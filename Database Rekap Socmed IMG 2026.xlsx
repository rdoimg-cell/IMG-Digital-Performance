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847" activeTab="4"/>
  </bookViews>
  <sheets>
    <sheet name="Facebook, Instagram, Tiktok, X" sheetId="2" r:id="rId1"/>
    <sheet name="Recap Youtube" sheetId="5" r:id="rId2"/>
    <sheet name="Source Revenue Youtube" sheetId="4" r:id="rId3"/>
    <sheet name="Competitor Youtube" sheetId="8" r:id="rId4"/>
    <sheet name="Revenue Direct Sales Socmed" sheetId="30" r:id="rId5"/>
  </sheets>
  <externalReferences>
    <externalReference r:id="rId6"/>
  </externalReferences>
  <definedNames>
    <definedName name="_xlnm._FilterDatabase" localSheetId="0" hidden="1">'Facebook, Instagram, Tiktok, X'!$A$1:$AA$1729</definedName>
    <definedName name="_xlnm._FilterDatabase" localSheetId="1" hidden="1">'Recap Youtube'!$A$1:$BW$721</definedName>
    <definedName name="_xlnm._FilterDatabase" localSheetId="2" hidden="1">'Source Revenue Youtube'!$A$1:$K$2590</definedName>
    <definedName name="_xlnm._FilterDatabase" localSheetId="4" hidden="1">'Revenue Direct Sales Socmed'!$A$1:$E$140</definedName>
    <definedName name="_xlnm._FilterDatabase" hidden="1">#REF!</definedName>
    <definedName name="_xlcn.WorksheetConnection_ReturnAN1" hidden="1">[1]Return!$A:$N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<sst xmlns="http://schemas.openxmlformats.org/spreadsheetml/2006/main" count="28720" uniqueCount="221">
  <si>
    <t>No</t>
  </si>
  <si>
    <t>Platform</t>
  </si>
  <si>
    <t>Unit</t>
  </si>
  <si>
    <t>Channel</t>
  </si>
  <si>
    <t>Status</t>
  </si>
  <si>
    <t>Year</t>
  </si>
  <si>
    <t>Month</t>
  </si>
  <si>
    <t>Videos Published</t>
  </si>
  <si>
    <t>Lifetime Subscriber/Followers</t>
  </si>
  <si>
    <t>New Subscribers/Followers</t>
  </si>
  <si>
    <t>Views (Cumulative)</t>
  </si>
  <si>
    <t>Revenue (USD)</t>
  </si>
  <si>
    <t>Revenue (IDR)</t>
  </si>
  <si>
    <t>Impressions</t>
  </si>
  <si>
    <t>Reach</t>
  </si>
  <si>
    <t>Engagement</t>
  </si>
  <si>
    <r>
      <rPr>
        <b/>
        <sz val="11"/>
        <color theme="1"/>
        <rFont val="Calibri"/>
        <charset val="134"/>
      </rPr>
      <t>View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Male (%)</t>
    </r>
  </si>
  <si>
    <r>
      <rPr>
        <b/>
        <sz val="11"/>
        <color theme="1"/>
        <rFont val="Calibri"/>
        <charset val="134"/>
      </rPr>
      <t>View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Female (%)</t>
    </r>
  </si>
  <si>
    <r>
      <rPr>
        <b/>
        <sz val="11"/>
        <color theme="1"/>
        <rFont val="Calibri"/>
        <charset val="134"/>
      </rPr>
      <t>View</t>
    </r>
    <r>
      <rPr>
        <b/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>Other (%)</t>
    </r>
  </si>
  <si>
    <t>13 - 17 Years</t>
  </si>
  <si>
    <t>18 - 24 Years</t>
  </si>
  <si>
    <t>25 - 34 Years</t>
  </si>
  <si>
    <t>35 - 44 Years</t>
  </si>
  <si>
    <t>45 - 54 Years</t>
  </si>
  <si>
    <t>55 - 64 Years</t>
  </si>
  <si>
    <t>65+ Years</t>
  </si>
  <si>
    <t>Notes Demografi</t>
  </si>
  <si>
    <t>Facebook</t>
  </si>
  <si>
    <t>IDX Channel</t>
  </si>
  <si>
    <t>IDX CHANNEL</t>
  </si>
  <si>
    <t>Active</t>
  </si>
  <si>
    <t>January</t>
  </si>
  <si>
    <t>data tidak keluar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</si>
  <si>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</si>
  <si>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</si>
  <si>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</si>
  <si>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</si>
  <si>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</si>
  <si>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</si>
  <si>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</si>
  <si>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</si>
  <si>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</si>
  <si>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</si>
  <si>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</si>
  <si>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</si>
  <si>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Demografi by Followers</t>
  </si>
  <si>
    <t>iNews</t>
  </si>
  <si>
    <t>Buletin iNews GTV</t>
  </si>
  <si>
    <t>data tidak ada</t>
  </si>
  <si>
    <t>Lintas iNews MNCTV</t>
  </si>
  <si>
    <t>MNC Trijaya</t>
  </si>
  <si>
    <t>Official iNews</t>
  </si>
  <si>
    <t>Seputar iNews RCTI</t>
  </si>
  <si>
    <t>Okezone</t>
  </si>
  <si>
    <t>Global Radio 88.4 FM Jakarta</t>
  </si>
  <si>
    <t>MNC Update</t>
  </si>
  <si>
    <t>RDI 97.1 FM Jakarta</t>
  </si>
  <si>
    <t>V Radio</t>
  </si>
  <si>
    <t>Sindonews</t>
  </si>
  <si>
    <t>SINDOnews</t>
  </si>
  <si>
    <t>Instagram</t>
  </si>
  <si>
    <t>data tdk keluar</t>
  </si>
  <si>
    <t>iNews Sports</t>
  </si>
  <si>
    <t>Okezone Women</t>
  </si>
  <si>
    <t>Okezone.Celeb</t>
  </si>
  <si>
    <t>Sindo Autotech</t>
  </si>
  <si>
    <t>Tiktok</t>
  </si>
  <si>
    <t>iNews Premium Sports</t>
  </si>
  <si>
    <t>Oke Vibes</t>
  </si>
  <si>
    <t>X</t>
  </si>
  <si>
    <t>Demografi by Impression</t>
  </si>
  <si>
    <t>Views Cummulative</t>
  </si>
  <si>
    <t>Engaged views</t>
  </si>
  <si>
    <t>Watch time (hours)</t>
  </si>
  <si>
    <t>Subscribers</t>
  </si>
  <si>
    <t>Average view duration</t>
  </si>
  <si>
    <t>Average percentage viewed (%)</t>
  </si>
  <si>
    <t>Videos published</t>
  </si>
  <si>
    <t>Impressions click-through rate (%)</t>
  </si>
  <si>
    <t>Unique viewers</t>
  </si>
  <si>
    <t>New viewers</t>
  </si>
  <si>
    <t>Returning viewers</t>
  </si>
  <si>
    <t>Casual viewers</t>
  </si>
  <si>
    <t>Regular viewers</t>
  </si>
  <si>
    <t>Subscribers gained</t>
  </si>
  <si>
    <t>Subscribers lost</t>
  </si>
  <si>
    <t>Likes</t>
  </si>
  <si>
    <t>Dislikes</t>
  </si>
  <si>
    <t>Shares</t>
  </si>
  <si>
    <t>Comments added</t>
  </si>
  <si>
    <t>Revenue Cummulative (IDR)</t>
  </si>
  <si>
    <t>Transaction revenue (IDR)</t>
  </si>
  <si>
    <t>Transactions</t>
  </si>
  <si>
    <t>YouTube Premium (IDR)</t>
  </si>
  <si>
    <t>Watch Page ads (IDR)</t>
  </si>
  <si>
    <t>YouTube ad revenue (IDR)</t>
  </si>
  <si>
    <t>Ad impressions</t>
  </si>
  <si>
    <t>CPM (IDR)</t>
  </si>
  <si>
    <t>Estimated monetized playbacks</t>
  </si>
  <si>
    <t>RPM (IDR)</t>
  </si>
  <si>
    <t>Product clicks</t>
  </si>
  <si>
    <t>Product impressions</t>
  </si>
  <si>
    <t>Total sales (IDR)</t>
  </si>
  <si>
    <t>Orders</t>
  </si>
  <si>
    <t>YouTube Premium views</t>
  </si>
  <si>
    <t>YouTube Premium watch time (hours)</t>
  </si>
  <si>
    <t>Hours streamed</t>
  </si>
  <si>
    <t>Reminders set</t>
  </si>
  <si>
    <t>Chat messages</t>
  </si>
  <si>
    <t>Reactions</t>
  </si>
  <si>
    <t>Remix count</t>
  </si>
  <si>
    <t>Remix views</t>
  </si>
  <si>
    <t>Community clip views</t>
  </si>
  <si>
    <t>Watch time from community clips (hours)</t>
  </si>
  <si>
    <t>Card clicks</t>
  </si>
  <si>
    <t>Cards shown</t>
  </si>
  <si>
    <t>End screen element clicks</t>
  </si>
  <si>
    <t>End screen elements shown</t>
  </si>
  <si>
    <t>Total members</t>
  </si>
  <si>
    <t>Active members</t>
  </si>
  <si>
    <t>Members gained</t>
  </si>
  <si>
    <t>Members lost</t>
  </si>
  <si>
    <t>Canceled memberships</t>
  </si>
  <si>
    <t>Exit surveys</t>
  </si>
  <si>
    <t>Average membership tenure (days)</t>
  </si>
  <si>
    <t>Churn rate (%)</t>
  </si>
  <si>
    <t>Views Fresh Content</t>
  </si>
  <si>
    <t>Revenue Fresh Content (IDR)</t>
  </si>
  <si>
    <t>Revenue Fresh Content (USD)</t>
  </si>
  <si>
    <t>View
 Male (%)</t>
  </si>
  <si>
    <t>View
 Female (%)</t>
  </si>
  <si>
    <t>View
 Other (%)</t>
  </si>
  <si>
    <t>IDX Channel Insight</t>
  </si>
  <si>
    <t>iNews Bali Nusra</t>
  </si>
  <si>
    <t>iNews Jabar</t>
  </si>
  <si>
    <t>iNews Jateng</t>
  </si>
  <si>
    <t>iNews Jatim Official</t>
  </si>
  <si>
    <t>iNews Premium Sport</t>
  </si>
  <si>
    <t>iNews Sumut Official</t>
  </si>
  <si>
    <t>Rakyat Bersuara</t>
  </si>
  <si>
    <t>Trijaya FM</t>
  </si>
  <si>
    <t>Okezone Vibes!</t>
  </si>
  <si>
    <t>Radio RDI</t>
  </si>
  <si>
    <t>Radio RDI 97.1 FM Jakarta</t>
  </si>
  <si>
    <t>Sindo Kalam</t>
  </si>
  <si>
    <t>SINDO Kalam</t>
  </si>
  <si>
    <t>Sindo Podcast</t>
  </si>
  <si>
    <t>Revenue source</t>
  </si>
  <si>
    <t>Estimated revenue (IDR)</t>
  </si>
  <si>
    <t>Affiliate program</t>
  </si>
  <si>
    <t>Shorts Feed ads</t>
  </si>
  <si>
    <t>Watch Page ads</t>
  </si>
  <si>
    <t>YouTube Premium</t>
  </si>
  <si>
    <t>Super Thanks</t>
  </si>
  <si>
    <t>Shopping Affiliate bonus</t>
  </si>
  <si>
    <t>Super Chat</t>
  </si>
  <si>
    <t>iNews Jatim</t>
  </si>
  <si>
    <t>Super Stickers</t>
  </si>
  <si>
    <t>iNews Sumut</t>
  </si>
  <si>
    <t>Gifted memberships</t>
  </si>
  <si>
    <t>Memberships</t>
  </si>
  <si>
    <t>Okezone Vibes</t>
  </si>
  <si>
    <t>Shopping Star Bonus</t>
  </si>
  <si>
    <t>SCRAPPING 15 CHANNEL</t>
  </si>
  <si>
    <t>SCRAPING CLUSTER - 80 CHANNEL</t>
  </si>
  <si>
    <t>JUNI 2026</t>
  </si>
  <si>
    <t>JULI 2026</t>
  </si>
  <si>
    <t>JANUARY 2026</t>
  </si>
  <si>
    <t>FEBRUARY 2026</t>
  </si>
  <si>
    <t>MARCH 2026</t>
  </si>
  <si>
    <t>APRIL 2026</t>
  </si>
  <si>
    <t>MEI 2026</t>
  </si>
  <si>
    <t>ALL TYPE CONTENT</t>
  </si>
  <si>
    <t>Views</t>
  </si>
  <si>
    <t>Video Published</t>
  </si>
  <si>
    <t>Duration</t>
  </si>
  <si>
    <t>Views (↓)</t>
  </si>
  <si>
    <t>Comments</t>
  </si>
  <si>
    <t>ER (%)</t>
  </si>
  <si>
    <t>tvOneNews</t>
  </si>
  <si>
    <t>Tribunnews</t>
  </si>
  <si>
    <t>Tribun</t>
  </si>
  <si>
    <t>KompasTV</t>
  </si>
  <si>
    <t>KOMPASTV</t>
  </si>
  <si>
    <t>TVRI Nasional</t>
  </si>
  <si>
    <t>MetroTV</t>
  </si>
  <si>
    <t>METRO TV</t>
  </si>
  <si>
    <t>Liputan6</t>
  </si>
  <si>
    <t>TV One</t>
  </si>
  <si>
    <t>CNN Indonesia</t>
  </si>
  <si>
    <t>NusantaraTV</t>
  </si>
  <si>
    <t>Nusantara TV</t>
  </si>
  <si>
    <t>Berita Satu</t>
  </si>
  <si>
    <t>BeritaSatu</t>
  </si>
  <si>
    <t>Tempodotco</t>
  </si>
  <si>
    <t>CNBC Indonesia</t>
  </si>
  <si>
    <t>Kumparan</t>
  </si>
  <si>
    <t>kumparan</t>
  </si>
  <si>
    <t>GARUDA TV</t>
  </si>
  <si>
    <t>KONTAN TV</t>
  </si>
  <si>
    <t>IDN Times</t>
  </si>
  <si>
    <t>Bisniscom</t>
  </si>
  <si>
    <t>BolacomID</t>
  </si>
  <si>
    <t>Antara TV Indonesia</t>
  </si>
  <si>
    <t>TOTAL</t>
  </si>
  <si>
    <t>VOD (&gt;3 menit)</t>
  </si>
  <si>
    <t>LIVE</t>
  </si>
  <si>
    <t>SHORTS (&lt;3 menit)</t>
  </si>
  <si>
    <t>MONTH</t>
  </si>
  <si>
    <t>YEAR</t>
  </si>
  <si>
    <t>PLATFORM</t>
  </si>
  <si>
    <t>CHANNEL</t>
  </si>
  <si>
    <t>VALUE</t>
  </si>
  <si>
    <t>FACEBOOK</t>
  </si>
  <si>
    <t>iNews.id</t>
  </si>
  <si>
    <t>OKEZONE</t>
  </si>
  <si>
    <t>SINDONEWS</t>
  </si>
  <si>
    <t>IDX</t>
  </si>
  <si>
    <t>INSTAGRAM</t>
  </si>
  <si>
    <t>TIKTOK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</si>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</sst>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_(* #,###.##000_);_(* \(#,###.##000\);_(* &quot;-&quot;??_);_(@_)"/>
    <numFmt numFmtId="181" formatCode="_(* #,###_);_(* \(#,###\);_(* &quot;-&quot;??_);_(@_)"/>
    <numFmt numFmtId="182" formatCode="_-* #,##0_-;\-* #,##0_-;_-* &quot;-&quot;??_-;_-@_-"/>
    <numFmt numFmtId="183" formatCode="_-* #,##0_-;\-* #,##0_-;_-* &quot;-&quot;??_-;_-@"/>
    <numFmt numFmtId="184" formatCode="hh:mm:ss;@"/>
    <numFmt numFmtId="185" formatCode="#,##0_);\(#,##0\)"/>
  </numFmts>
  <fonts count="44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6"/>
      <color theme="9" tint="-0.5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</font>
    <font>
      <sz val="12"/>
      <name val="Calibri"/>
      <charset val="134"/>
    </font>
    <font>
      <sz val="10"/>
      <color rgb="FF000000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ptos Narrow"/>
      <charset val="134"/>
    </font>
    <font>
      <sz val="11"/>
      <name val="Calibri"/>
      <charset val="134"/>
    </font>
    <font>
      <sz val="12"/>
      <color rgb="FF000000"/>
      <name val="Aptos Narrow"/>
      <charset val="134"/>
    </font>
  </fonts>
  <fills count="42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6"/>
        <bgColor theme="9"/>
      </patternFill>
    </fill>
    <fill>
      <patternFill patternType="solid">
        <fgColor theme="7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13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4" applyNumberFormat="0" applyAlignment="0" applyProtection="0">
      <alignment vertical="center"/>
    </xf>
    <xf numFmtId="0" fontId="31" fillId="15" borderId="5" applyNumberFormat="0" applyAlignment="0" applyProtection="0">
      <alignment vertical="center"/>
    </xf>
    <xf numFmtId="0" fontId="32" fillId="15" borderId="4" applyNumberFormat="0" applyAlignment="0" applyProtection="0">
      <alignment vertical="center"/>
    </xf>
    <xf numFmtId="0" fontId="33" fillId="16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" fillId="0" borderId="0"/>
    <xf numFmtId="0" fontId="17" fillId="0" borderId="0"/>
    <xf numFmtId="0" fontId="42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43" fillId="0" borderId="0">
      <alignment vertical="top"/>
      <protection locked="0"/>
    </xf>
    <xf numFmtId="0" fontId="41" fillId="0" borderId="0">
      <alignment vertical="center"/>
    </xf>
    <xf numFmtId="180" fontId="1" fillId="0" borderId="0" applyFont="0" applyFill="0" applyBorder="0" applyAlignment="0" applyProtection="0">
      <alignment vertical="center"/>
    </xf>
  </cellStyleXfs>
  <cellXfs count="156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4" fillId="0" borderId="0" xfId="0" applyFont="1"/>
    <xf numFmtId="0" fontId="1" fillId="0" borderId="0" xfId="53"/>
    <xf numFmtId="0" fontId="1" fillId="3" borderId="0" xfId="53" applyFill="1"/>
    <xf numFmtId="0" fontId="1" fillId="0" borderId="0" xfId="53" applyFill="1"/>
    <xf numFmtId="0" fontId="1" fillId="4" borderId="0" xfId="53" applyFill="1"/>
    <xf numFmtId="0" fontId="5" fillId="0" borderId="0" xfId="52" applyFont="1"/>
    <xf numFmtId="181" fontId="5" fillId="0" borderId="0" xfId="1" applyNumberFormat="1" applyFont="1" applyAlignment="1"/>
    <xf numFmtId="4" fontId="5" fillId="0" borderId="0" xfId="1" applyNumberFormat="1" applyFont="1" applyAlignment="1"/>
    <xf numFmtId="0" fontId="6" fillId="0" borderId="0" xfId="53" applyFont="1" applyAlignment="1">
      <alignment horizontal="center" vertical="center"/>
    </xf>
    <xf numFmtId="0" fontId="6" fillId="0" borderId="0" xfId="53" applyFont="1" applyFill="1" applyAlignment="1">
      <alignment horizontal="center" vertical="center"/>
    </xf>
    <xf numFmtId="0" fontId="7" fillId="0" borderId="0" xfId="53" applyFont="1" applyFill="1"/>
    <xf numFmtId="0" fontId="7" fillId="4" borderId="0" xfId="53" applyFont="1" applyFill="1"/>
    <xf numFmtId="0" fontId="8" fillId="0" borderId="0" xfId="52" applyFont="1" applyAlignment="1">
      <alignment horizontal="center"/>
    </xf>
    <xf numFmtId="0" fontId="9" fillId="0" borderId="0" xfId="52" applyFont="1"/>
    <xf numFmtId="0" fontId="8" fillId="0" borderId="0" xfId="52" applyFont="1"/>
    <xf numFmtId="181" fontId="8" fillId="0" borderId="0" xfId="1" applyNumberFormat="1" applyFont="1" applyAlignment="1"/>
    <xf numFmtId="4" fontId="8" fillId="0" borderId="0" xfId="1" applyNumberFormat="1" applyFont="1" applyAlignment="1"/>
    <xf numFmtId="49" fontId="10" fillId="3" borderId="0" xfId="53" applyNumberFormat="1" applyFont="1" applyFill="1" applyAlignment="1">
      <alignment horizontal="center"/>
    </xf>
    <xf numFmtId="49" fontId="11" fillId="3" borderId="0" xfId="53" applyNumberFormat="1" applyFont="1" applyFill="1"/>
    <xf numFmtId="49" fontId="10" fillId="0" borderId="0" xfId="53" applyNumberFormat="1" applyFont="1" applyFill="1" applyAlignment="1">
      <alignment horizontal="center"/>
    </xf>
    <xf numFmtId="49" fontId="10" fillId="4" borderId="0" xfId="53" applyNumberFormat="1" applyFont="1" applyFill="1" applyAlignment="1">
      <alignment horizontal="center"/>
    </xf>
    <xf numFmtId="0" fontId="8" fillId="0" borderId="0" xfId="52" applyFont="1" applyAlignment="1">
      <alignment horizontal="left"/>
    </xf>
    <xf numFmtId="0" fontId="12" fillId="5" borderId="0" xfId="52" applyFont="1" applyFill="1" applyAlignment="1">
      <alignment horizontal="center" vertical="center"/>
    </xf>
    <xf numFmtId="49" fontId="12" fillId="5" borderId="0" xfId="52" applyNumberFormat="1" applyFont="1" applyFill="1" applyAlignment="1">
      <alignment horizontal="center" vertical="center"/>
    </xf>
    <xf numFmtId="0" fontId="13" fillId="3" borderId="0" xfId="52" applyFont="1" applyFill="1"/>
    <xf numFmtId="0" fontId="8" fillId="5" borderId="0" xfId="52" applyFont="1" applyFill="1" applyAlignment="1">
      <alignment horizontal="center" vertical="center"/>
    </xf>
    <xf numFmtId="181" fontId="8" fillId="5" borderId="0" xfId="1" applyNumberFormat="1" applyFont="1" applyFill="1" applyAlignment="1">
      <alignment horizontal="center" vertical="center" wrapText="1"/>
    </xf>
    <xf numFmtId="4" fontId="8" fillId="5" borderId="0" xfId="1" applyNumberFormat="1" applyFont="1" applyFill="1" applyAlignment="1">
      <alignment horizontal="center" vertical="center" wrapText="1"/>
    </xf>
    <xf numFmtId="0" fontId="13" fillId="0" borderId="0" xfId="52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vertical="center" wrapText="1"/>
    </xf>
    <xf numFmtId="0" fontId="13" fillId="0" borderId="0" xfId="52" applyFont="1"/>
    <xf numFmtId="182" fontId="14" fillId="0" borderId="0" xfId="51" applyNumberFormat="1" applyFont="1" applyFill="1" applyBorder="1" applyAlignment="1">
      <alignment wrapText="1"/>
    </xf>
    <xf numFmtId="49" fontId="12" fillId="0" borderId="0" xfId="52" applyNumberFormat="1" applyFont="1" applyFill="1" applyAlignment="1">
      <alignment horizontal="center" vertical="center"/>
    </xf>
    <xf numFmtId="49" fontId="12" fillId="4" borderId="0" xfId="52" applyNumberFormat="1" applyFont="1" applyFill="1" applyAlignment="1">
      <alignment horizontal="center" vertical="center"/>
    </xf>
    <xf numFmtId="0" fontId="5" fillId="0" borderId="0" xfId="52" applyFont="1" applyAlignment="1">
      <alignment horizontal="center"/>
    </xf>
    <xf numFmtId="0" fontId="5" fillId="0" borderId="0" xfId="52" applyFont="1" applyAlignment="1">
      <alignment horizontal="left"/>
    </xf>
    <xf numFmtId="181" fontId="15" fillId="0" borderId="0" xfId="1" applyNumberFormat="1" applyFont="1" applyAlignment="1"/>
    <xf numFmtId="4" fontId="15" fillId="0" borderId="0" xfId="1" applyNumberFormat="1" applyFont="1" applyAlignment="1"/>
    <xf numFmtId="0" fontId="14" fillId="6" borderId="0" xfId="52" applyFont="1" applyFill="1" applyAlignment="1">
      <alignment horizontal="center"/>
    </xf>
    <xf numFmtId="0" fontId="14" fillId="6" borderId="0" xfId="52" applyFont="1" applyFill="1"/>
    <xf numFmtId="182" fontId="14" fillId="6" borderId="0" xfId="51" applyNumberFormat="1" applyFont="1" applyFill="1" applyBorder="1" applyAlignment="1">
      <alignment wrapText="1"/>
    </xf>
    <xf numFmtId="0" fontId="14" fillId="0" borderId="0" xfId="52" applyFont="1" applyFill="1" applyAlignment="1">
      <alignment horizontal="center"/>
    </xf>
    <xf numFmtId="182" fontId="14" fillId="0" borderId="0" xfId="51" applyNumberFormat="1" applyFont="1" applyFill="1" applyAlignment="1">
      <alignment wrapText="1"/>
    </xf>
    <xf numFmtId="182" fontId="14" fillId="4" borderId="0" xfId="51" applyNumberFormat="1" applyFont="1" applyFill="1" applyAlignment="1">
      <alignment wrapText="1"/>
    </xf>
    <xf numFmtId="0" fontId="15" fillId="0" borderId="0" xfId="0" applyFont="1" applyFill="1" applyAlignment="1"/>
    <xf numFmtId="0" fontId="16" fillId="6" borderId="0" xfId="0" applyFont="1" applyFill="1" applyAlignment="1">
      <alignment horizontal="left" vertical="center" wrapText="1"/>
    </xf>
    <xf numFmtId="3" fontId="16" fillId="6" borderId="0" xfId="0" applyNumberFormat="1" applyFont="1" applyFill="1" applyAlignment="1">
      <alignment vertical="center" wrapText="1"/>
    </xf>
    <xf numFmtId="0" fontId="13" fillId="7" borderId="0" xfId="52" applyFont="1" applyFill="1"/>
    <xf numFmtId="182" fontId="14" fillId="7" borderId="0" xfId="51" applyNumberFormat="1" applyFont="1" applyFill="1" applyBorder="1" applyAlignment="1">
      <alignment wrapText="1"/>
    </xf>
    <xf numFmtId="0" fontId="13" fillId="0" borderId="0" xfId="52" applyFont="1" applyAlignment="1">
      <alignment horizontal="left"/>
    </xf>
    <xf numFmtId="182" fontId="13" fillId="0" borderId="0" xfId="52" applyNumberFormat="1" applyFont="1"/>
    <xf numFmtId="0" fontId="5" fillId="8" borderId="0" xfId="52" applyFont="1" applyFill="1" applyAlignment="1">
      <alignment horizontal="center"/>
    </xf>
    <xf numFmtId="0" fontId="5" fillId="8" borderId="0" xfId="52" applyFont="1" applyFill="1" applyAlignment="1">
      <alignment horizontal="left"/>
    </xf>
    <xf numFmtId="181" fontId="15" fillId="8" borderId="0" xfId="1" applyNumberFormat="1" applyFont="1" applyFill="1" applyAlignment="1"/>
    <xf numFmtId="4" fontId="15" fillId="8" borderId="0" xfId="1" applyNumberFormat="1" applyFont="1" applyFill="1" applyAlignment="1"/>
    <xf numFmtId="0" fontId="13" fillId="6" borderId="0" xfId="52" applyFont="1" applyFill="1"/>
    <xf numFmtId="0" fontId="13" fillId="0" borderId="0" xfId="52" applyFont="1" applyFill="1"/>
    <xf numFmtId="0" fontId="13" fillId="6" borderId="0" xfId="52" applyFont="1" applyFill="1" applyAlignment="1">
      <alignment horizontal="left"/>
    </xf>
    <xf numFmtId="0" fontId="5" fillId="8" borderId="0" xfId="52" applyFont="1" applyFill="1"/>
    <xf numFmtId="0" fontId="13" fillId="0" borderId="0" xfId="52" applyFont="1" applyFill="1" applyAlignment="1">
      <alignment horizontal="left"/>
    </xf>
    <xf numFmtId="0" fontId="14" fillId="6" borderId="0" xfId="52" applyFont="1" applyFill="1" applyAlignment="1">
      <alignment horizontal="left"/>
    </xf>
    <xf numFmtId="0" fontId="13" fillId="7" borderId="0" xfId="52" applyFont="1" applyFill="1" applyAlignment="1">
      <alignment horizontal="left"/>
    </xf>
    <xf numFmtId="0" fontId="14" fillId="0" borderId="0" xfId="52" applyFont="1" applyFill="1" applyAlignment="1">
      <alignment horizontal="left"/>
    </xf>
    <xf numFmtId="181" fontId="16" fillId="0" borderId="0" xfId="1" applyNumberFormat="1" applyFont="1" applyFill="1" applyBorder="1" applyAlignment="1">
      <alignment wrapText="1"/>
    </xf>
    <xf numFmtId="4" fontId="16" fillId="0" borderId="0" xfId="1" applyNumberFormat="1" applyFont="1" applyFill="1" applyBorder="1" applyAlignment="1">
      <alignment wrapText="1"/>
    </xf>
    <xf numFmtId="181" fontId="16" fillId="8" borderId="0" xfId="1" applyNumberFormat="1" applyFont="1" applyFill="1" applyBorder="1" applyAlignment="1">
      <alignment wrapText="1"/>
    </xf>
    <xf numFmtId="4" fontId="16" fillId="8" borderId="0" xfId="1" applyNumberFormat="1" applyFont="1" applyFill="1" applyBorder="1" applyAlignment="1">
      <alignment wrapText="1"/>
    </xf>
    <xf numFmtId="181" fontId="16" fillId="0" borderId="0" xfId="1" applyNumberFormat="1" applyFont="1" applyFill="1" applyAlignment="1">
      <alignment wrapText="1"/>
    </xf>
    <xf numFmtId="4" fontId="16" fillId="0" borderId="0" xfId="1" applyNumberFormat="1" applyFont="1" applyFill="1" applyAlignment="1">
      <alignment wrapText="1"/>
    </xf>
    <xf numFmtId="181" fontId="16" fillId="8" borderId="0" xfId="1" applyNumberFormat="1" applyFont="1" applyFill="1" applyAlignment="1">
      <alignment wrapText="1"/>
    </xf>
    <xf numFmtId="4" fontId="16" fillId="8" borderId="0" xfId="1" applyNumberFormat="1" applyFont="1" applyFill="1" applyAlignment="1">
      <alignment wrapText="1"/>
    </xf>
    <xf numFmtId="181" fontId="5" fillId="0" borderId="0" xfId="1" applyNumberFormat="1" applyFont="1" applyFill="1" applyAlignment="1">
      <alignment wrapText="1"/>
    </xf>
    <xf numFmtId="4" fontId="5" fillId="0" borderId="0" xfId="1" applyNumberFormat="1" applyFont="1" applyFill="1" applyAlignment="1">
      <alignment wrapText="1"/>
    </xf>
    <xf numFmtId="181" fontId="15" fillId="0" borderId="0" xfId="1" applyNumberFormat="1" applyFont="1" applyFill="1" applyAlignment="1"/>
    <xf numFmtId="4" fontId="15" fillId="0" borderId="0" xfId="1" applyNumberFormat="1" applyFont="1" applyFill="1" applyAlignment="1"/>
    <xf numFmtId="182" fontId="5" fillId="0" borderId="0" xfId="52" applyNumberFormat="1" applyFont="1"/>
    <xf numFmtId="181" fontId="15" fillId="0" borderId="0" xfId="1" applyNumberFormat="1" applyFont="1" applyAlignment="1">
      <alignment horizontal="right"/>
    </xf>
    <xf numFmtId="4" fontId="15" fillId="0" borderId="0" xfId="1" applyNumberFormat="1" applyFont="1" applyAlignment="1">
      <alignment horizontal="right"/>
    </xf>
    <xf numFmtId="0" fontId="15" fillId="8" borderId="0" xfId="0" applyFont="1" applyFill="1" applyAlignment="1"/>
    <xf numFmtId="0" fontId="17" fillId="0" borderId="0" xfId="54"/>
    <xf numFmtId="0" fontId="18" fillId="0" borderId="0" xfId="0" applyFont="1" applyBorder="1" applyAlignment="1">
      <alignment horizontal="center" vertical="center" wrapText="1" readingOrder="1"/>
    </xf>
    <xf numFmtId="0" fontId="19" fillId="0" borderId="0" xfId="0" applyFont="1" applyBorder="1" applyAlignment="1">
      <alignment horizontal="center" wrapText="1" readingOrder="1"/>
    </xf>
    <xf numFmtId="0" fontId="19" fillId="0" borderId="0" xfId="0" applyFont="1" applyBorder="1" applyAlignment="1">
      <alignment wrapText="1" readingOrder="1"/>
    </xf>
    <xf numFmtId="0" fontId="19" fillId="0" borderId="0" xfId="0" applyFont="1" applyBorder="1" applyAlignment="1">
      <alignment horizontal="right" wrapText="1" readingOrder="1"/>
    </xf>
    <xf numFmtId="3" fontId="19" fillId="0" borderId="0" xfId="0" applyNumberFormat="1" applyFont="1" applyBorder="1" applyAlignment="1">
      <alignment horizontal="right" wrapText="1" readingOrder="1"/>
    </xf>
    <xf numFmtId="0" fontId="19" fillId="0" borderId="0" xfId="54" applyFont="1" applyAlignment="1">
      <alignment horizontal="center"/>
    </xf>
    <xf numFmtId="0" fontId="20" fillId="0" borderId="0" xfId="54" applyFont="1" applyAlignment="1">
      <alignment horizontal="center"/>
    </xf>
    <xf numFmtId="0" fontId="21" fillId="0" borderId="0" xfId="54" applyFont="1" applyAlignment="1">
      <alignment horizontal="left"/>
    </xf>
    <xf numFmtId="183" fontId="20" fillId="0" borderId="0" xfId="54" applyNumberFormat="1" applyFont="1" applyAlignment="1">
      <alignment horizontal="right"/>
    </xf>
    <xf numFmtId="0" fontId="20" fillId="0" borderId="0" xfId="54" applyFont="1" applyAlignment="1">
      <alignment horizontal="center" wrapText="1"/>
    </xf>
    <xf numFmtId="0" fontId="20" fillId="0" borderId="0" xfId="54" applyFont="1" applyFill="1" applyBorder="1"/>
    <xf numFmtId="0" fontId="20" fillId="0" borderId="0" xfId="54" applyFont="1"/>
    <xf numFmtId="0" fontId="20" fillId="0" borderId="0" xfId="54" applyFont="1" applyAlignment="1">
      <alignment horizontal="right"/>
    </xf>
    <xf numFmtId="184" fontId="20" fillId="0" borderId="0" xfId="54" applyNumberFormat="1" applyFont="1" applyAlignment="1">
      <alignment horizontal="right"/>
    </xf>
    <xf numFmtId="182" fontId="20" fillId="0" borderId="0" xfId="1" applyNumberFormat="1" applyFont="1" applyAlignment="1">
      <alignment horizontal="right"/>
    </xf>
    <xf numFmtId="182" fontId="20" fillId="0" borderId="0" xfId="1" applyNumberFormat="1" applyFont="1" applyFill="1" applyBorder="1" applyAlignment="1" applyProtection="1"/>
    <xf numFmtId="0" fontId="19" fillId="9" borderId="0" xfId="54" applyFont="1" applyFill="1" applyAlignment="1">
      <alignment horizontal="center" vertical="center" wrapText="1"/>
    </xf>
    <xf numFmtId="3" fontId="19" fillId="9" borderId="0" xfId="54" applyNumberFormat="1" applyFont="1" applyFill="1" applyAlignment="1">
      <alignment horizontal="center" vertical="center" wrapText="1"/>
    </xf>
    <xf numFmtId="184" fontId="19" fillId="9" borderId="0" xfId="54" applyNumberFormat="1" applyFont="1" applyFill="1" applyAlignment="1">
      <alignment horizontal="center" vertical="center" wrapText="1"/>
    </xf>
    <xf numFmtId="3" fontId="19" fillId="10" borderId="0" xfId="54" applyNumberFormat="1" applyFont="1" applyFill="1" applyAlignment="1">
      <alignment horizontal="center" vertical="center" wrapText="1"/>
    </xf>
    <xf numFmtId="182" fontId="19" fillId="11" borderId="0" xfId="1" applyNumberFormat="1" applyFont="1" applyFill="1" applyAlignment="1">
      <alignment horizontal="center" vertical="center" wrapText="1"/>
    </xf>
    <xf numFmtId="185" fontId="20" fillId="0" borderId="0" xfId="53" applyNumberFormat="1" applyFont="1" applyAlignment="1">
      <alignment horizontal="center" vertical="center" wrapText="1"/>
    </xf>
    <xf numFmtId="185" fontId="20" fillId="12" borderId="0" xfId="53" applyNumberFormat="1" applyFont="1" applyFill="1" applyAlignment="1">
      <alignment horizontal="center" vertical="center" wrapText="1"/>
    </xf>
    <xf numFmtId="182" fontId="19" fillId="12" borderId="0" xfId="1" applyNumberFormat="1" applyFont="1" applyFill="1" applyBorder="1" applyAlignment="1" applyProtection="1">
      <alignment horizontal="center" vertical="center" wrapText="1"/>
    </xf>
    <xf numFmtId="0" fontId="20" fillId="7" borderId="0" xfId="53" applyFont="1" applyFill="1" applyAlignment="1">
      <alignment horizontal="center" vertical="center" wrapText="1"/>
    </xf>
    <xf numFmtId="0" fontId="19" fillId="0" borderId="0" xfId="54" applyFont="1" applyFill="1" applyBorder="1" applyAlignment="1">
      <alignment horizontal="center" vertical="center"/>
    </xf>
    <xf numFmtId="0" fontId="19" fillId="0" borderId="0" xfId="54" applyFont="1" applyFill="1" applyBorder="1" applyAlignment="1">
      <alignment horizontal="left" vertical="center"/>
    </xf>
    <xf numFmtId="3" fontId="19" fillId="0" borderId="0" xfId="54" applyNumberFormat="1" applyFont="1" applyFill="1" applyBorder="1" applyAlignment="1">
      <alignment horizontal="left" vertical="center"/>
    </xf>
    <xf numFmtId="3" fontId="19" fillId="0" borderId="0" xfId="54" applyNumberFormat="1" applyFont="1" applyFill="1" applyBorder="1" applyAlignment="1">
      <alignment horizontal="right" vertical="center"/>
    </xf>
    <xf numFmtId="184" fontId="19" fillId="0" borderId="0" xfId="54" applyNumberFormat="1" applyFont="1" applyFill="1" applyBorder="1" applyAlignment="1">
      <alignment horizontal="right" vertical="center"/>
    </xf>
    <xf numFmtId="182" fontId="19" fillId="0" borderId="0" xfId="1" applyNumberFormat="1" applyFont="1" applyFill="1" applyBorder="1" applyAlignment="1">
      <alignment horizontal="right" vertical="center"/>
    </xf>
    <xf numFmtId="3" fontId="0" fillId="0" borderId="0" xfId="0" applyNumberFormat="1" applyFill="1" applyBorder="1" applyAlignment="1">
      <alignment horizontal="right" wrapText="1" readingOrder="1"/>
    </xf>
    <xf numFmtId="182" fontId="0" fillId="0" borderId="0" xfId="1" applyNumberFormat="1" applyFill="1" applyBorder="1" applyAlignment="1">
      <alignment horizontal="right" wrapText="1" readingOrder="1"/>
    </xf>
    <xf numFmtId="0" fontId="0" fillId="0" borderId="0" xfId="0" applyFill="1" applyBorder="1" applyAlignment="1">
      <alignment wrapText="1" readingOrder="1"/>
    </xf>
    <xf numFmtId="10" fontId="0" fillId="0" borderId="0" xfId="0" applyNumberFormat="1" applyFill="1" applyBorder="1" applyAlignment="1">
      <alignment horizontal="right" wrapText="1" readingOrder="1"/>
    </xf>
    <xf numFmtId="3" fontId="20" fillId="0" borderId="0" xfId="54" applyNumberFormat="1" applyFont="1" applyFill="1" applyBorder="1" applyAlignment="1">
      <alignment horizontal="right" vertical="center" wrapText="1"/>
    </xf>
    <xf numFmtId="0" fontId="20" fillId="0" borderId="0" xfId="54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right" vertical="center" wrapText="1" readingOrder="1"/>
    </xf>
    <xf numFmtId="184" fontId="19" fillId="0" borderId="0" xfId="0" applyNumberFormat="1" applyFont="1" applyFill="1" applyBorder="1" applyAlignment="1">
      <alignment horizontal="right" vertical="center" wrapText="1" readingOrder="1"/>
    </xf>
    <xf numFmtId="0" fontId="19" fillId="0" borderId="0" xfId="0" applyFont="1" applyFill="1" applyBorder="1" applyAlignment="1">
      <alignment horizontal="right" vertical="center" wrapText="1" readingOrder="1"/>
    </xf>
    <xf numFmtId="3" fontId="20" fillId="0" borderId="0" xfId="54" applyNumberFormat="1" applyFont="1" applyFill="1" applyBorder="1" applyAlignment="1">
      <alignment horizontal="right"/>
    </xf>
    <xf numFmtId="184" fontId="20" fillId="0" borderId="0" xfId="54" applyNumberFormat="1" applyFont="1" applyFill="1" applyBorder="1" applyAlignment="1">
      <alignment horizontal="right"/>
    </xf>
    <xf numFmtId="0" fontId="20" fillId="0" borderId="0" xfId="54" applyFont="1" applyFill="1" applyBorder="1" applyAlignment="1">
      <alignment horizontal="right"/>
    </xf>
    <xf numFmtId="182" fontId="20" fillId="0" borderId="0" xfId="1" applyNumberFormat="1" applyFont="1" applyFill="1" applyBorder="1" applyAlignment="1">
      <alignment horizontal="right"/>
    </xf>
    <xf numFmtId="3" fontId="0" fillId="0" borderId="0" xfId="0" applyNumberFormat="1" applyFill="1" applyBorder="1" applyAlignment="1">
      <alignment wrapText="1" readingOrder="1"/>
    </xf>
    <xf numFmtId="182" fontId="0" fillId="0" borderId="0" xfId="1" applyNumberFormat="1" applyFill="1" applyBorder="1" applyAlignment="1">
      <alignment wrapText="1" readingOrder="1"/>
    </xf>
    <xf numFmtId="10" fontId="0" fillId="0" borderId="0" xfId="0" applyNumberFormat="1" applyFill="1" applyBorder="1" applyAlignment="1">
      <alignment wrapText="1" readingOrder="1"/>
    </xf>
    <xf numFmtId="0" fontId="0" fillId="0" borderId="0" xfId="0" applyFill="1" applyBorder="1" applyAlignment="1">
      <alignment horizontal="right" wrapText="1" readingOrder="1"/>
    </xf>
    <xf numFmtId="9" fontId="0" fillId="0" borderId="0" xfId="0" applyNumberFormat="1" applyFill="1" applyBorder="1" applyAlignment="1">
      <alignment horizontal="right" wrapText="1" readingOrder="1"/>
    </xf>
    <xf numFmtId="3" fontId="19" fillId="0" borderId="0" xfId="54" applyNumberFormat="1" applyFont="1" applyFill="1" applyBorder="1" applyAlignment="1">
      <alignment horizontal="left"/>
    </xf>
    <xf numFmtId="3" fontId="19" fillId="0" borderId="0" xfId="54" applyNumberFormat="1" applyFont="1" applyFill="1" applyBorder="1" applyAlignment="1">
      <alignment horizontal="right"/>
    </xf>
    <xf numFmtId="184" fontId="19" fillId="0" borderId="0" xfId="54" applyNumberFormat="1" applyFont="1" applyFill="1" applyBorder="1" applyAlignment="1">
      <alignment horizontal="right"/>
    </xf>
    <xf numFmtId="182" fontId="19" fillId="0" borderId="0" xfId="1" applyNumberFormat="1" applyFon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 wrapText="1" readingOrder="1"/>
    </xf>
    <xf numFmtId="184" fontId="19" fillId="0" borderId="0" xfId="0" applyNumberFormat="1" applyFont="1" applyFill="1" applyBorder="1" applyAlignment="1">
      <alignment horizontal="right" wrapText="1" readingOrder="1"/>
    </xf>
    <xf numFmtId="0" fontId="19" fillId="0" borderId="0" xfId="0" applyFont="1" applyFill="1" applyBorder="1" applyAlignment="1">
      <alignment horizontal="right" wrapText="1" readingOrder="1"/>
    </xf>
    <xf numFmtId="0" fontId="1" fillId="0" borderId="0" xfId="53" applyAlignment="1">
      <alignment vertical="center" wrapText="1"/>
    </xf>
    <xf numFmtId="182" fontId="1" fillId="0" borderId="0" xfId="1" applyNumberFormat="1" applyFont="1" applyFill="1" applyBorder="1" applyAlignment="1" applyProtection="1"/>
    <xf numFmtId="0" fontId="4" fillId="0" borderId="0" xfId="0" applyFont="1" applyFill="1" applyAlignment="1">
      <alignment horizontal="center" vertical="center" wrapText="1" readingOrder="1"/>
    </xf>
    <xf numFmtId="182" fontId="4" fillId="0" borderId="0" xfId="1" applyNumberFormat="1" applyFont="1" applyFill="1" applyAlignment="1">
      <alignment horizontal="center" vertical="center" wrapText="1" readingOrder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top" readingOrder="1"/>
    </xf>
    <xf numFmtId="0" fontId="0" fillId="0" borderId="0" xfId="0" applyFill="1" applyAlignment="1">
      <alignment vertical="top" readingOrder="1"/>
    </xf>
    <xf numFmtId="0" fontId="0" fillId="0" borderId="0" xfId="0" applyFill="1" applyAlignment="1">
      <alignment horizontal="right" vertical="top" readingOrder="1"/>
    </xf>
    <xf numFmtId="3" fontId="0" fillId="0" borderId="0" xfId="0" applyNumberFormat="1" applyFill="1" applyAlignment="1">
      <alignment horizontal="right" vertical="top" readingOrder="1"/>
    </xf>
    <xf numFmtId="182" fontId="0" fillId="0" borderId="0" xfId="1" applyNumberFormat="1" applyFill="1" applyAlignment="1">
      <alignment horizontal="right" vertical="top" readingOrder="1"/>
    </xf>
    <xf numFmtId="182" fontId="0" fillId="0" borderId="0" xfId="1" applyNumberFormat="1" applyFill="1" applyAlignment="1">
      <alignment vertical="top" readingOrder="1"/>
    </xf>
    <xf numFmtId="4" fontId="0" fillId="0" borderId="0" xfId="0" applyNumberFormat="1" applyFill="1" applyAlignment="1">
      <alignment horizontal="right" vertical="top" readingOrder="1"/>
    </xf>
    <xf numFmtId="10" fontId="0" fillId="0" borderId="0" xfId="0" applyNumberFormat="1" applyFill="1" applyAlignment="1">
      <alignment horizontal="right" vertical="top" readingOrder="1"/>
    </xf>
    <xf numFmtId="9" fontId="0" fillId="0" borderId="0" xfId="0" applyNumberFormat="1" applyFill="1" applyAlignment="1">
      <alignment horizontal="right" vertical="top" readingOrder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Comma 5" xfId="51"/>
    <cellStyle name="Normal 12" xfId="52"/>
    <cellStyle name="Normal 2" xfId="53"/>
    <cellStyle name="Normal 3" xfId="54"/>
    <cellStyle name="Normal 5" xfId="55"/>
    <cellStyle name="Percent 2" xfId="56"/>
    <cellStyle name="Percent 3" xfId="57"/>
    <cellStyle name="Normal 3 3" xfId="58"/>
    <cellStyle name="Comma 2 2" xfId="59"/>
  </cellStyles>
  <dxfs count="2">
    <dxf>
      <fill>
        <patternFill patternType="solid">
          <fgColor rgb="FFDDEBF7"/>
          <bgColor rgb="FFDDEBF7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C%20GROUP\SOCMED\WEEKLY%20FRONTLINE\Monthly%20October%202025\Digital%20Performance%20Oktober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FULL OKTOBER"/>
      <sheetName val="Platform Monthly"/>
      <sheetName val="Proporsi"/>
      <sheetName val="Top Bottom"/>
      <sheetName val="Sheet1"/>
      <sheetName val="Sheet7"/>
      <sheetName val="Sheet8"/>
      <sheetName val="Sheet2"/>
      <sheetName val="Monthly"/>
      <sheetName val="Return"/>
      <sheetName val="Youtube All Competitor"/>
      <sheetName val="Other Plat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outlinePr summaryBelow="0" summaryRight="0"/>
  </sheetPr>
  <dimension ref="A1:AA1729"/>
  <sheetViews>
    <sheetView zoomScale="70" zoomScaleNormal="70" workbookViewId="0">
      <pane xSplit="7" ySplit="1" topLeftCell="H1686" activePane="bottomRight" state="frozen"/>
      <selection/>
      <selection pane="topRight"/>
      <selection pane="bottomLeft"/>
      <selection pane="bottomRight" activeCell="I1706" sqref="I1706"/>
    </sheetView>
  </sheetViews>
  <sheetFormatPr defaultColWidth="14.4285714285714" defaultRowHeight="15" customHeight="1"/>
  <cols>
    <col min="1" max="1" width="6.57142857142857" style="6" customWidth="1"/>
    <col min="2" max="2" width="11.5714285714286" style="6" customWidth="1"/>
    <col min="3" max="3" width="14.2857142857143" style="6" customWidth="1"/>
    <col min="4" max="4" width="25.8571428571429" style="6" customWidth="1"/>
    <col min="5" max="5" width="10.4285714285714" style="6" customWidth="1"/>
    <col min="6" max="6" width="7.71428571428571" style="6" customWidth="1"/>
    <col min="7" max="7" width="12.7142857142857" style="6" customWidth="1"/>
    <col min="8" max="10" width="14.4285714285714" style="6"/>
    <col min="11" max="11" width="16.1428571428571" style="6" customWidth="1"/>
    <col min="12" max="12" width="20.1428571428571" style="143" customWidth="1"/>
    <col min="13" max="13" width="14.7142857142857" style="143"/>
    <col min="14" max="14" width="16.4285714285714" style="6" customWidth="1"/>
    <col min="15" max="24" width="14.4285714285714" style="6"/>
    <col min="25" max="25" width="21.1428571428571" style="6" customWidth="1"/>
    <col min="26" max="26" width="16.4285714285714" style="6" customWidth="1"/>
    <col min="27" max="27" width="12.1428571428571" style="6" customWidth="1"/>
    <col min="28" max="16384" width="14.4285714285714" style="6"/>
  </cols>
  <sheetData>
    <row r="1" s="142" customFormat="1" ht="54" customHeight="1" spans="1:27">
      <c r="A1" s="144" t="s">
        <v>0</v>
      </c>
      <c r="B1" s="144" t="s">
        <v>1</v>
      </c>
      <c r="C1" s="144" t="s">
        <v>2</v>
      </c>
      <c r="D1" s="144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4" t="s">
        <v>10</v>
      </c>
      <c r="L1" s="145" t="s">
        <v>11</v>
      </c>
      <c r="M1" s="145" t="s">
        <v>12</v>
      </c>
      <c r="N1" s="144" t="s">
        <v>13</v>
      </c>
      <c r="O1" s="144" t="s">
        <v>14</v>
      </c>
      <c r="P1" s="144" t="s">
        <v>15</v>
      </c>
      <c r="Q1" s="146" t="s">
        <v>16</v>
      </c>
      <c r="R1" s="146" t="s">
        <v>17</v>
      </c>
      <c r="S1" s="146" t="s">
        <v>18</v>
      </c>
      <c r="T1" s="144" t="s">
        <v>19</v>
      </c>
      <c r="U1" s="144" t="s">
        <v>20</v>
      </c>
      <c r="V1" s="144" t="s">
        <v>21</v>
      </c>
      <c r="W1" s="144" t="s">
        <v>22</v>
      </c>
      <c r="X1" s="144" t="s">
        <v>23</v>
      </c>
      <c r="Y1" s="144" t="s">
        <v>24</v>
      </c>
      <c r="Z1" s="144" t="s">
        <v>25</v>
      </c>
      <c r="AA1" s="144" t="s">
        <v>26</v>
      </c>
    </row>
    <row r="2" spans="1:27">
      <c r="A2" s="147">
        <v>961</v>
      </c>
      <c r="B2" s="147" t="s">
        <v>27</v>
      </c>
      <c r="C2" s="147" t="s">
        <v>28</v>
      </c>
      <c r="D2" s="148" t="s">
        <v>29</v>
      </c>
      <c r="E2" s="148" t="s">
        <v>30</v>
      </c>
      <c r="F2" s="149">
        <v>2024</v>
      </c>
      <c r="G2" s="148" t="s">
        <v>31</v>
      </c>
      <c r="H2" s="150">
        <v>1221</v>
      </c>
      <c r="I2" s="150">
        <v>172981</v>
      </c>
      <c r="J2" s="149">
        <v>766</v>
      </c>
      <c r="K2" s="149" t="s">
        <v>32</v>
      </c>
      <c r="L2" s="151">
        <v>0</v>
      </c>
      <c r="M2" s="152">
        <f t="shared" ref="M2:M65" si="0">L2*17000</f>
        <v>0</v>
      </c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</row>
    <row r="3" spans="1:27">
      <c r="A3" s="147">
        <v>962</v>
      </c>
      <c r="B3" s="147" t="s">
        <v>27</v>
      </c>
      <c r="C3" s="147" t="s">
        <v>28</v>
      </c>
      <c r="D3" s="148" t="s">
        <v>29</v>
      </c>
      <c r="E3" s="148" t="s">
        <v>30</v>
      </c>
      <c r="F3" s="149">
        <v>2024</v>
      </c>
      <c r="G3" s="148" t="s">
        <v>33</v>
      </c>
      <c r="H3" s="150">
        <v>1293</v>
      </c>
      <c r="I3" s="150">
        <v>173137</v>
      </c>
      <c r="J3" s="149">
        <v>156</v>
      </c>
      <c r="K3" s="149" t="s">
        <v>32</v>
      </c>
      <c r="L3" s="151">
        <v>0</v>
      </c>
      <c r="M3" s="152">
        <f t="shared" si="0"/>
        <v>0</v>
      </c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</row>
    <row r="4" spans="1:27">
      <c r="A4" s="147">
        <v>963</v>
      </c>
      <c r="B4" s="147" t="s">
        <v>27</v>
      </c>
      <c r="C4" s="147" t="s">
        <v>28</v>
      </c>
      <c r="D4" s="148" t="s">
        <v>29</v>
      </c>
      <c r="E4" s="148" t="s">
        <v>30</v>
      </c>
      <c r="F4" s="149">
        <v>2024</v>
      </c>
      <c r="G4" s="148" t="s">
        <v>34</v>
      </c>
      <c r="H4" s="150">
        <v>1721</v>
      </c>
      <c r="I4" s="150">
        <v>173289</v>
      </c>
      <c r="J4" s="149">
        <v>152</v>
      </c>
      <c r="K4" s="149" t="s">
        <v>32</v>
      </c>
      <c r="L4" s="151">
        <v>0</v>
      </c>
      <c r="M4" s="152">
        <f t="shared" si="0"/>
        <v>0</v>
      </c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</row>
    <row r="5" spans="1:27">
      <c r="A5" s="147">
        <v>964</v>
      </c>
      <c r="B5" s="147" t="s">
        <v>27</v>
      </c>
      <c r="C5" s="147" t="s">
        <v>28</v>
      </c>
      <c r="D5" s="148" t="s">
        <v>29</v>
      </c>
      <c r="E5" s="148" t="s">
        <v>30</v>
      </c>
      <c r="F5" s="149">
        <v>2024</v>
      </c>
      <c r="G5" s="148" t="s">
        <v>35</v>
      </c>
      <c r="H5" s="150">
        <v>2122</v>
      </c>
      <c r="I5" s="150">
        <v>173666</v>
      </c>
      <c r="J5" s="149">
        <v>377</v>
      </c>
      <c r="K5" s="149" t="s">
        <v>32</v>
      </c>
      <c r="L5" s="151">
        <v>0</v>
      </c>
      <c r="M5" s="152">
        <f t="shared" si="0"/>
        <v>0</v>
      </c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</row>
    <row r="6" spans="1:27">
      <c r="A6" s="147">
        <v>965</v>
      </c>
      <c r="B6" s="147" t="s">
        <v>27</v>
      </c>
      <c r="C6" s="147" t="s">
        <v>28</v>
      </c>
      <c r="D6" s="148" t="s">
        <v>29</v>
      </c>
      <c r="E6" s="148" t="s">
        <v>30</v>
      </c>
      <c r="F6" s="149">
        <v>2024</v>
      </c>
      <c r="G6" s="148" t="s">
        <v>36</v>
      </c>
      <c r="H6" s="150">
        <v>2310</v>
      </c>
      <c r="I6" s="150">
        <v>174884</v>
      </c>
      <c r="J6" s="150">
        <v>1218</v>
      </c>
      <c r="K6" s="149" t="s">
        <v>32</v>
      </c>
      <c r="L6" s="151">
        <v>0</v>
      </c>
      <c r="M6" s="152">
        <f t="shared" si="0"/>
        <v>0</v>
      </c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</row>
    <row r="7" spans="1:27">
      <c r="A7" s="147">
        <v>966</v>
      </c>
      <c r="B7" s="147" t="s">
        <v>27</v>
      </c>
      <c r="C7" s="147" t="s">
        <v>28</v>
      </c>
      <c r="D7" s="148" t="s">
        <v>29</v>
      </c>
      <c r="E7" s="148" t="s">
        <v>30</v>
      </c>
      <c r="F7" s="149">
        <v>2024</v>
      </c>
      <c r="G7" s="148" t="s">
        <v>37</v>
      </c>
      <c r="H7" s="150">
        <v>1857</v>
      </c>
      <c r="I7" s="150">
        <v>175125</v>
      </c>
      <c r="J7" s="149">
        <v>241</v>
      </c>
      <c r="K7" s="149" t="s">
        <v>32</v>
      </c>
      <c r="L7" s="151">
        <v>0</v>
      </c>
      <c r="M7" s="152">
        <f t="shared" si="0"/>
        <v>0</v>
      </c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</row>
    <row r="8" spans="1:27">
      <c r="A8" s="147">
        <v>967</v>
      </c>
      <c r="B8" s="147" t="s">
        <v>27</v>
      </c>
      <c r="C8" s="147" t="s">
        <v>28</v>
      </c>
      <c r="D8" s="148" t="s">
        <v>29</v>
      </c>
      <c r="E8" s="148" t="s">
        <v>30</v>
      </c>
      <c r="F8" s="149">
        <v>2024</v>
      </c>
      <c r="G8" s="148" t="s">
        <v>38</v>
      </c>
      <c r="H8" s="150">
        <v>1981</v>
      </c>
      <c r="I8" s="150">
        <v>175624</v>
      </c>
      <c r="J8" s="149">
        <v>499</v>
      </c>
      <c r="K8" s="149" t="s">
        <v>32</v>
      </c>
      <c r="L8" s="151">
        <v>0</v>
      </c>
      <c r="M8" s="152">
        <f t="shared" si="0"/>
        <v>0</v>
      </c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</row>
    <row r="9" spans="1:27">
      <c r="A9" s="147">
        <v>968</v>
      </c>
      <c r="B9" s="147" t="s">
        <v>27</v>
      </c>
      <c r="C9" s="147" t="s">
        <v>28</v>
      </c>
      <c r="D9" s="148" t="s">
        <v>29</v>
      </c>
      <c r="E9" s="148" t="s">
        <v>30</v>
      </c>
      <c r="F9" s="149">
        <v>2024</v>
      </c>
      <c r="G9" s="148" t="s">
        <v>39</v>
      </c>
      <c r="H9" s="150">
        <v>1804</v>
      </c>
      <c r="I9" s="150">
        <v>175804</v>
      </c>
      <c r="J9" s="149">
        <v>180</v>
      </c>
      <c r="K9" s="149" t="s">
        <v>32</v>
      </c>
      <c r="L9" s="151">
        <v>0</v>
      </c>
      <c r="M9" s="152">
        <f t="shared" si="0"/>
        <v>0</v>
      </c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</row>
    <row r="10" spans="1:27">
      <c r="A10" s="147">
        <v>969</v>
      </c>
      <c r="B10" s="147" t="s">
        <v>27</v>
      </c>
      <c r="C10" s="147" t="s">
        <v>28</v>
      </c>
      <c r="D10" s="148" t="s">
        <v>29</v>
      </c>
      <c r="E10" s="148" t="s">
        <v>30</v>
      </c>
      <c r="F10" s="149">
        <v>2024</v>
      </c>
      <c r="G10" s="148" t="s">
        <v>40</v>
      </c>
      <c r="H10" s="150">
        <v>1917</v>
      </c>
      <c r="I10" s="150">
        <v>177598</v>
      </c>
      <c r="J10" s="150">
        <v>1794</v>
      </c>
      <c r="K10" s="149" t="s">
        <v>32</v>
      </c>
      <c r="L10" s="151">
        <v>0</v>
      </c>
      <c r="M10" s="152">
        <f t="shared" si="0"/>
        <v>0</v>
      </c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</row>
    <row r="11" spans="1:27">
      <c r="A11" s="147">
        <v>970</v>
      </c>
      <c r="B11" s="147" t="s">
        <v>27</v>
      </c>
      <c r="C11" s="147" t="s">
        <v>28</v>
      </c>
      <c r="D11" s="148" t="s">
        <v>29</v>
      </c>
      <c r="E11" s="148" t="s">
        <v>30</v>
      </c>
      <c r="F11" s="149">
        <v>2024</v>
      </c>
      <c r="G11" s="148" t="s">
        <v>41</v>
      </c>
      <c r="H11" s="150">
        <v>2380</v>
      </c>
      <c r="I11" s="150">
        <v>179118</v>
      </c>
      <c r="J11" s="150">
        <v>1520</v>
      </c>
      <c r="K11" s="150">
        <v>9393996</v>
      </c>
      <c r="L11" s="151">
        <v>0</v>
      </c>
      <c r="M11" s="152">
        <f t="shared" si="0"/>
        <v>0</v>
      </c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</row>
    <row r="12" spans="1:27">
      <c r="A12" s="147">
        <v>971</v>
      </c>
      <c r="B12" s="147" t="s">
        <v>27</v>
      </c>
      <c r="C12" s="147" t="s">
        <v>28</v>
      </c>
      <c r="D12" s="148" t="s">
        <v>29</v>
      </c>
      <c r="E12" s="148" t="s">
        <v>30</v>
      </c>
      <c r="F12" s="149">
        <v>2024</v>
      </c>
      <c r="G12" s="148" t="s">
        <v>42</v>
      </c>
      <c r="H12" s="150">
        <v>3451</v>
      </c>
      <c r="I12" s="150">
        <v>179713</v>
      </c>
      <c r="J12" s="149">
        <v>595</v>
      </c>
      <c r="K12" s="150">
        <v>2080946</v>
      </c>
      <c r="L12" s="151">
        <v>0</v>
      </c>
      <c r="M12" s="152">
        <f t="shared" si="0"/>
        <v>0</v>
      </c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</row>
    <row r="13" spans="1:27">
      <c r="A13" s="147">
        <v>972</v>
      </c>
      <c r="B13" s="147" t="s">
        <v>27</v>
      </c>
      <c r="C13" s="147" t="s">
        <v>28</v>
      </c>
      <c r="D13" s="148" t="s">
        <v>29</v>
      </c>
      <c r="E13" s="148" t="s">
        <v>30</v>
      </c>
      <c r="F13" s="149">
        <v>2024</v>
      </c>
      <c r="G13" s="148" t="s">
        <v>43</v>
      </c>
      <c r="H13" s="150">
        <v>3001</v>
      </c>
      <c r="I13" s="150">
        <v>181212</v>
      </c>
      <c r="J13" s="150">
        <v>1499</v>
      </c>
      <c r="K13" s="150">
        <v>6350289</v>
      </c>
      <c r="L13" s="151">
        <v>0</v>
      </c>
      <c r="M13" s="152">
        <f t="shared" si="0"/>
        <v>0</v>
      </c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</row>
    <row r="14" spans="1:27">
      <c r="A14" s="147">
        <v>973</v>
      </c>
      <c r="B14" s="147" t="s">
        <v>27</v>
      </c>
      <c r="C14" s="147" t="s">
        <v>28</v>
      </c>
      <c r="D14" s="148" t="s">
        <v>29</v>
      </c>
      <c r="E14" s="148" t="s">
        <v>30</v>
      </c>
      <c r="F14" s="149">
        <v>2025</v>
      </c>
      <c r="G14" s="148" t="s">
        <v>31</v>
      </c>
      <c r="H14" s="150">
        <v>2537</v>
      </c>
      <c r="I14" s="150">
        <v>181795</v>
      </c>
      <c r="J14" s="149">
        <v>583</v>
      </c>
      <c r="K14" s="150">
        <v>2921277</v>
      </c>
      <c r="L14" s="151">
        <v>0</v>
      </c>
      <c r="M14" s="152">
        <f t="shared" si="0"/>
        <v>0</v>
      </c>
      <c r="N14" s="148"/>
      <c r="O14" s="153">
        <v>1528446</v>
      </c>
      <c r="P14" s="150">
        <v>37541</v>
      </c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</row>
    <row r="15" spans="1:27">
      <c r="A15" s="147">
        <v>974</v>
      </c>
      <c r="B15" s="147" t="s">
        <v>27</v>
      </c>
      <c r="C15" s="147" t="s">
        <v>28</v>
      </c>
      <c r="D15" s="148" t="s">
        <v>29</v>
      </c>
      <c r="E15" s="148" t="s">
        <v>30</v>
      </c>
      <c r="F15" s="149">
        <v>2025</v>
      </c>
      <c r="G15" s="148" t="s">
        <v>33</v>
      </c>
      <c r="H15" s="150">
        <v>2134</v>
      </c>
      <c r="I15" s="150">
        <v>184792</v>
      </c>
      <c r="J15" s="150">
        <v>2997</v>
      </c>
      <c r="K15" s="150">
        <v>4058525</v>
      </c>
      <c r="L15" s="151">
        <v>0</v>
      </c>
      <c r="M15" s="152">
        <f t="shared" si="0"/>
        <v>0</v>
      </c>
      <c r="N15" s="148"/>
      <c r="O15" s="153">
        <v>1929900</v>
      </c>
      <c r="P15" s="150">
        <v>69048</v>
      </c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</row>
    <row r="16" spans="1:27">
      <c r="A16" s="147">
        <v>975</v>
      </c>
      <c r="B16" s="147" t="s">
        <v>27</v>
      </c>
      <c r="C16" s="147" t="s">
        <v>28</v>
      </c>
      <c r="D16" s="148" t="s">
        <v>29</v>
      </c>
      <c r="E16" s="148" t="s">
        <v>30</v>
      </c>
      <c r="F16" s="149">
        <v>2025</v>
      </c>
      <c r="G16" s="148" t="s">
        <v>34</v>
      </c>
      <c r="H16" s="150">
        <v>2179</v>
      </c>
      <c r="I16" s="150">
        <v>185529</v>
      </c>
      <c r="J16" s="149">
        <v>737</v>
      </c>
      <c r="K16" s="150">
        <v>2485021</v>
      </c>
      <c r="L16" s="151">
        <v>0</v>
      </c>
      <c r="M16" s="152">
        <f t="shared" si="0"/>
        <v>0</v>
      </c>
      <c r="N16" s="148"/>
      <c r="O16" s="153">
        <v>934907</v>
      </c>
      <c r="P16" s="150">
        <v>19729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</row>
    <row r="17" spans="1:27">
      <c r="A17" s="147">
        <v>976</v>
      </c>
      <c r="B17" s="147" t="s">
        <v>27</v>
      </c>
      <c r="C17" s="147" t="s">
        <v>28</v>
      </c>
      <c r="D17" s="148" t="s">
        <v>29</v>
      </c>
      <c r="E17" s="148" t="s">
        <v>30</v>
      </c>
      <c r="F17" s="149">
        <v>2025</v>
      </c>
      <c r="G17" s="148" t="s">
        <v>35</v>
      </c>
      <c r="H17" s="149">
        <v>356</v>
      </c>
      <c r="I17" s="150">
        <v>185646</v>
      </c>
      <c r="J17" s="149">
        <v>117</v>
      </c>
      <c r="K17" s="150">
        <v>213227</v>
      </c>
      <c r="L17" s="151">
        <v>0</v>
      </c>
      <c r="M17" s="152">
        <f t="shared" si="0"/>
        <v>0</v>
      </c>
      <c r="N17" s="148"/>
      <c r="O17" s="153">
        <v>48431</v>
      </c>
      <c r="P17" s="150">
        <v>3443</v>
      </c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</row>
    <row r="18" spans="1:27">
      <c r="A18" s="147">
        <v>977</v>
      </c>
      <c r="B18" s="147" t="s">
        <v>27</v>
      </c>
      <c r="C18" s="147" t="s">
        <v>28</v>
      </c>
      <c r="D18" s="148" t="s">
        <v>29</v>
      </c>
      <c r="E18" s="148" t="s">
        <v>30</v>
      </c>
      <c r="F18" s="149">
        <v>2025</v>
      </c>
      <c r="G18" s="148" t="s">
        <v>36</v>
      </c>
      <c r="H18" s="149">
        <v>559</v>
      </c>
      <c r="I18" s="150">
        <v>185781</v>
      </c>
      <c r="J18" s="149">
        <v>135</v>
      </c>
      <c r="K18" s="150">
        <v>269578</v>
      </c>
      <c r="L18" s="151">
        <v>0</v>
      </c>
      <c r="M18" s="152">
        <f t="shared" si="0"/>
        <v>0</v>
      </c>
      <c r="N18" s="148"/>
      <c r="O18" s="153">
        <v>57035</v>
      </c>
      <c r="P18" s="150">
        <v>3957</v>
      </c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</row>
    <row r="19" spans="1:27">
      <c r="A19" s="147">
        <v>978</v>
      </c>
      <c r="B19" s="147" t="s">
        <v>27</v>
      </c>
      <c r="C19" s="147" t="s">
        <v>28</v>
      </c>
      <c r="D19" s="148" t="s">
        <v>29</v>
      </c>
      <c r="E19" s="148" t="s">
        <v>30</v>
      </c>
      <c r="F19" s="149">
        <v>2025</v>
      </c>
      <c r="G19" s="148" t="s">
        <v>37</v>
      </c>
      <c r="H19" s="149">
        <v>165</v>
      </c>
      <c r="I19" s="150">
        <v>188444</v>
      </c>
      <c r="J19" s="150">
        <v>2663</v>
      </c>
      <c r="K19" s="150">
        <v>8649165</v>
      </c>
      <c r="L19" s="151">
        <v>0</v>
      </c>
      <c r="M19" s="152">
        <f t="shared" si="0"/>
        <v>0</v>
      </c>
      <c r="N19" s="148"/>
      <c r="O19" s="153">
        <v>3898013</v>
      </c>
      <c r="P19" s="150">
        <v>59536</v>
      </c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</row>
    <row r="20" spans="1:27">
      <c r="A20" s="147">
        <v>979</v>
      </c>
      <c r="B20" s="147" t="s">
        <v>27</v>
      </c>
      <c r="C20" s="147" t="s">
        <v>28</v>
      </c>
      <c r="D20" s="148" t="s">
        <v>29</v>
      </c>
      <c r="E20" s="148" t="s">
        <v>30</v>
      </c>
      <c r="F20" s="149">
        <v>2025</v>
      </c>
      <c r="G20" s="148" t="s">
        <v>38</v>
      </c>
      <c r="H20" s="149">
        <v>228</v>
      </c>
      <c r="I20" s="150">
        <v>190927</v>
      </c>
      <c r="J20" s="150">
        <v>2730</v>
      </c>
      <c r="K20" s="150">
        <v>8910633</v>
      </c>
      <c r="L20" s="151">
        <v>0</v>
      </c>
      <c r="M20" s="152">
        <f t="shared" si="0"/>
        <v>0</v>
      </c>
      <c r="N20" s="148"/>
      <c r="O20" s="150">
        <v>4096097</v>
      </c>
      <c r="P20" s="150">
        <v>32554</v>
      </c>
      <c r="Q20" s="154">
        <v>0.707</v>
      </c>
      <c r="R20" s="154">
        <v>0.293</v>
      </c>
      <c r="S20" s="148"/>
      <c r="T20" s="148" t="s">
        <v>44</v>
      </c>
      <c r="U20" s="154">
        <v>0.091</v>
      </c>
      <c r="V20" s="154">
        <v>0.356</v>
      </c>
      <c r="W20" s="154">
        <v>0.305</v>
      </c>
      <c r="X20" s="154">
        <v>0.16</v>
      </c>
      <c r="Y20" s="154">
        <v>0.051</v>
      </c>
      <c r="Z20" s="154">
        <v>0.037</v>
      </c>
      <c r="AA20" s="148" t="s">
        <v>45</v>
      </c>
    </row>
    <row r="21" spans="1:27">
      <c r="A21" s="147">
        <v>980</v>
      </c>
      <c r="B21" s="147" t="s">
        <v>27</v>
      </c>
      <c r="C21" s="147" t="s">
        <v>28</v>
      </c>
      <c r="D21" s="148" t="s">
        <v>29</v>
      </c>
      <c r="E21" s="148" t="s">
        <v>30</v>
      </c>
      <c r="F21" s="149">
        <v>2025</v>
      </c>
      <c r="G21" s="148" t="s">
        <v>39</v>
      </c>
      <c r="H21" s="149">
        <v>200</v>
      </c>
      <c r="I21" s="150">
        <v>192986</v>
      </c>
      <c r="J21" s="150">
        <v>2338</v>
      </c>
      <c r="K21" s="150">
        <v>9749165</v>
      </c>
      <c r="L21" s="151">
        <v>1</v>
      </c>
      <c r="M21" s="152">
        <f t="shared" si="0"/>
        <v>17000</v>
      </c>
      <c r="N21" s="148"/>
      <c r="O21" s="150">
        <v>3870767</v>
      </c>
      <c r="P21" s="150">
        <v>41290</v>
      </c>
      <c r="Q21" s="154">
        <v>0.709</v>
      </c>
      <c r="R21" s="154">
        <v>0.291</v>
      </c>
      <c r="S21" s="148"/>
      <c r="T21" s="148"/>
      <c r="U21" s="154">
        <v>0.087</v>
      </c>
      <c r="V21" s="154">
        <v>0.359</v>
      </c>
      <c r="W21" s="154">
        <v>0.305</v>
      </c>
      <c r="X21" s="154">
        <v>0.161</v>
      </c>
      <c r="Y21" s="154">
        <v>0.051</v>
      </c>
      <c r="Z21" s="154">
        <v>0.037</v>
      </c>
      <c r="AA21" s="148" t="s">
        <v>45</v>
      </c>
    </row>
    <row r="22" spans="1:27">
      <c r="A22" s="147">
        <v>981</v>
      </c>
      <c r="B22" s="147" t="s">
        <v>27</v>
      </c>
      <c r="C22" s="147" t="s">
        <v>28</v>
      </c>
      <c r="D22" s="148" t="s">
        <v>29</v>
      </c>
      <c r="E22" s="148" t="s">
        <v>30</v>
      </c>
      <c r="F22" s="149">
        <v>2025</v>
      </c>
      <c r="G22" s="148" t="s">
        <v>40</v>
      </c>
      <c r="H22" s="149">
        <v>120</v>
      </c>
      <c r="I22" s="150">
        <v>193717</v>
      </c>
      <c r="J22" s="150">
        <v>1290</v>
      </c>
      <c r="K22" s="150">
        <v>4253636</v>
      </c>
      <c r="L22" s="151">
        <v>1</v>
      </c>
      <c r="M22" s="152">
        <f t="shared" si="0"/>
        <v>17000</v>
      </c>
      <c r="N22" s="148"/>
      <c r="O22" s="150">
        <v>1716783</v>
      </c>
      <c r="P22" s="150">
        <v>18480</v>
      </c>
      <c r="Q22" s="154">
        <v>0.71</v>
      </c>
      <c r="R22" s="154">
        <v>0.29</v>
      </c>
      <c r="S22" s="148"/>
      <c r="T22" s="148"/>
      <c r="U22" s="154">
        <v>0.083</v>
      </c>
      <c r="V22" s="154">
        <v>0.361</v>
      </c>
      <c r="W22" s="154">
        <v>0.306</v>
      </c>
      <c r="X22" s="154">
        <v>0.161</v>
      </c>
      <c r="Y22" s="154">
        <v>0.052</v>
      </c>
      <c r="Z22" s="154">
        <v>0.037</v>
      </c>
      <c r="AA22" s="148" t="s">
        <v>45</v>
      </c>
    </row>
    <row r="23" spans="1:27">
      <c r="A23" s="147">
        <v>982</v>
      </c>
      <c r="B23" s="147" t="s">
        <v>27</v>
      </c>
      <c r="C23" s="147" t="s">
        <v>28</v>
      </c>
      <c r="D23" s="148" t="s">
        <v>29</v>
      </c>
      <c r="E23" s="148" t="s">
        <v>30</v>
      </c>
      <c r="F23" s="149">
        <v>2025</v>
      </c>
      <c r="G23" s="148" t="s">
        <v>41</v>
      </c>
      <c r="H23" s="149">
        <v>93</v>
      </c>
      <c r="I23" s="150">
        <v>195253</v>
      </c>
      <c r="J23" s="150">
        <v>2118</v>
      </c>
      <c r="K23" s="150">
        <v>2062797</v>
      </c>
      <c r="L23" s="151">
        <v>14</v>
      </c>
      <c r="M23" s="152">
        <f t="shared" si="0"/>
        <v>238000</v>
      </c>
      <c r="N23" s="148"/>
      <c r="O23" s="150">
        <v>857690</v>
      </c>
      <c r="P23" s="150">
        <v>13021</v>
      </c>
      <c r="Q23" s="154">
        <v>0.711</v>
      </c>
      <c r="R23" s="154">
        <v>0.289</v>
      </c>
      <c r="S23" s="148"/>
      <c r="T23" s="148"/>
      <c r="U23" s="154">
        <v>0.079</v>
      </c>
      <c r="V23" s="154">
        <v>0.365</v>
      </c>
      <c r="W23" s="154">
        <v>0.306</v>
      </c>
      <c r="X23" s="154">
        <v>0.162</v>
      </c>
      <c r="Y23" s="154">
        <v>0.052</v>
      </c>
      <c r="Z23" s="154">
        <v>0.036</v>
      </c>
      <c r="AA23" s="148" t="s">
        <v>45</v>
      </c>
    </row>
    <row r="24" spans="1:27">
      <c r="A24" s="147">
        <v>983</v>
      </c>
      <c r="B24" s="147" t="s">
        <v>27</v>
      </c>
      <c r="C24" s="147" t="s">
        <v>28</v>
      </c>
      <c r="D24" s="148" t="s">
        <v>29</v>
      </c>
      <c r="E24" s="148" t="s">
        <v>30</v>
      </c>
      <c r="F24" s="149">
        <v>2025</v>
      </c>
      <c r="G24" s="148" t="s">
        <v>42</v>
      </c>
      <c r="H24" s="149">
        <v>604</v>
      </c>
      <c r="I24" s="150">
        <v>206445</v>
      </c>
      <c r="J24" s="150">
        <v>11690</v>
      </c>
      <c r="K24" s="150">
        <v>15379356</v>
      </c>
      <c r="L24" s="151">
        <v>114</v>
      </c>
      <c r="M24" s="152">
        <f t="shared" si="0"/>
        <v>1938000</v>
      </c>
      <c r="N24" s="148"/>
      <c r="O24" s="150">
        <v>3753493</v>
      </c>
      <c r="P24" s="150">
        <v>119069</v>
      </c>
      <c r="Q24" s="154">
        <v>0.72</v>
      </c>
      <c r="R24" s="154">
        <v>0.28</v>
      </c>
      <c r="S24" s="148"/>
      <c r="T24" s="148"/>
      <c r="U24" s="154">
        <v>0.078</v>
      </c>
      <c r="V24" s="154">
        <v>0.371</v>
      </c>
      <c r="W24" s="154">
        <v>0.305</v>
      </c>
      <c r="X24" s="154">
        <v>0.16</v>
      </c>
      <c r="Y24" s="154">
        <v>0.051</v>
      </c>
      <c r="Z24" s="154">
        <v>0.035</v>
      </c>
      <c r="AA24" s="148" t="s">
        <v>45</v>
      </c>
    </row>
    <row r="25" spans="1:27">
      <c r="A25" s="147">
        <v>984</v>
      </c>
      <c r="B25" s="147" t="s">
        <v>27</v>
      </c>
      <c r="C25" s="147" t="s">
        <v>28</v>
      </c>
      <c r="D25" s="148" t="s">
        <v>29</v>
      </c>
      <c r="E25" s="148" t="s">
        <v>30</v>
      </c>
      <c r="F25" s="149">
        <v>2025</v>
      </c>
      <c r="G25" s="148" t="s">
        <v>43</v>
      </c>
      <c r="H25" s="149">
        <v>485</v>
      </c>
      <c r="I25" s="150">
        <v>223445</v>
      </c>
      <c r="J25" s="150">
        <v>18439</v>
      </c>
      <c r="K25" s="150">
        <v>22744318</v>
      </c>
      <c r="L25" s="151">
        <v>189</v>
      </c>
      <c r="M25" s="152">
        <f t="shared" si="0"/>
        <v>3213000</v>
      </c>
      <c r="N25" s="148"/>
      <c r="O25" s="150">
        <v>7299612</v>
      </c>
      <c r="P25" s="150">
        <v>229872</v>
      </c>
      <c r="Q25" s="154">
        <v>0.733</v>
      </c>
      <c r="R25" s="154">
        <v>0.267</v>
      </c>
      <c r="S25" s="148"/>
      <c r="T25" s="148"/>
      <c r="U25" s="154">
        <v>0.077</v>
      </c>
      <c r="V25" s="154">
        <v>0.38</v>
      </c>
      <c r="W25" s="154">
        <v>0.303</v>
      </c>
      <c r="X25" s="154">
        <v>0.156</v>
      </c>
      <c r="Y25" s="154">
        <v>0.049</v>
      </c>
      <c r="Z25" s="154">
        <v>0.035</v>
      </c>
      <c r="AA25" s="148" t="s">
        <v>45</v>
      </c>
    </row>
    <row r="26" spans="1:27">
      <c r="A26" s="147">
        <v>985</v>
      </c>
      <c r="B26" s="147" t="s">
        <v>27</v>
      </c>
      <c r="C26" s="147" t="s">
        <v>28</v>
      </c>
      <c r="D26" s="148" t="s">
        <v>29</v>
      </c>
      <c r="E26" s="148" t="s">
        <v>30</v>
      </c>
      <c r="F26" s="149">
        <v>2026</v>
      </c>
      <c r="G26" s="148" t="s">
        <v>31</v>
      </c>
      <c r="H26" s="149">
        <v>595</v>
      </c>
      <c r="I26" s="150">
        <v>251471</v>
      </c>
      <c r="J26" s="150">
        <v>26967</v>
      </c>
      <c r="K26" s="150">
        <v>17611124</v>
      </c>
      <c r="L26" s="151">
        <v>195</v>
      </c>
      <c r="M26" s="152">
        <f t="shared" si="0"/>
        <v>3315000</v>
      </c>
      <c r="N26" s="148"/>
      <c r="O26" s="150">
        <v>4496026</v>
      </c>
      <c r="P26" s="150">
        <v>177229</v>
      </c>
      <c r="Q26" s="154">
        <v>0.748</v>
      </c>
      <c r="R26" s="154">
        <v>0.252</v>
      </c>
      <c r="S26" s="148"/>
      <c r="T26" s="148"/>
      <c r="U26" s="154">
        <v>0.082</v>
      </c>
      <c r="V26" s="154">
        <v>0.389</v>
      </c>
      <c r="W26" s="154">
        <v>0.3</v>
      </c>
      <c r="X26" s="154">
        <v>0.15</v>
      </c>
      <c r="Y26" s="154">
        <v>0.047</v>
      </c>
      <c r="Z26" s="154">
        <v>0.032</v>
      </c>
      <c r="AA26" s="148" t="s">
        <v>45</v>
      </c>
    </row>
    <row r="27" spans="1:27">
      <c r="A27" s="147">
        <v>986</v>
      </c>
      <c r="B27" s="147" t="s">
        <v>27</v>
      </c>
      <c r="C27" s="147" t="s">
        <v>28</v>
      </c>
      <c r="D27" s="148" t="s">
        <v>29</v>
      </c>
      <c r="E27" s="148" t="s">
        <v>30</v>
      </c>
      <c r="F27" s="149">
        <v>2026</v>
      </c>
      <c r="G27" s="148" t="s">
        <v>33</v>
      </c>
      <c r="H27" s="149">
        <v>583</v>
      </c>
      <c r="I27" s="150">
        <v>260151</v>
      </c>
      <c r="J27" s="150">
        <v>9776</v>
      </c>
      <c r="K27" s="150">
        <v>9853068</v>
      </c>
      <c r="L27" s="151">
        <v>125</v>
      </c>
      <c r="M27" s="152">
        <f t="shared" si="0"/>
        <v>2125000</v>
      </c>
      <c r="N27" s="148"/>
      <c r="O27" s="150">
        <v>2347947</v>
      </c>
      <c r="P27" s="150">
        <v>89160</v>
      </c>
      <c r="Q27" s="154">
        <v>0.752</v>
      </c>
      <c r="R27" s="154">
        <v>0.248</v>
      </c>
      <c r="S27" s="148"/>
      <c r="T27" s="148"/>
      <c r="U27" s="154">
        <v>0.082</v>
      </c>
      <c r="V27" s="154">
        <v>0.39</v>
      </c>
      <c r="W27" s="154">
        <v>0.3</v>
      </c>
      <c r="X27" s="154">
        <v>0.15</v>
      </c>
      <c r="Y27" s="154">
        <v>0.047</v>
      </c>
      <c r="Z27" s="154">
        <v>0.031</v>
      </c>
      <c r="AA27" s="148" t="s">
        <v>45</v>
      </c>
    </row>
    <row r="28" spans="1:27">
      <c r="A28" s="147">
        <v>987</v>
      </c>
      <c r="B28" s="147" t="s">
        <v>27</v>
      </c>
      <c r="C28" s="147" t="s">
        <v>28</v>
      </c>
      <c r="D28" s="148" t="s">
        <v>29</v>
      </c>
      <c r="E28" s="148" t="s">
        <v>30</v>
      </c>
      <c r="F28" s="149">
        <v>2026</v>
      </c>
      <c r="G28" s="148" t="s">
        <v>34</v>
      </c>
      <c r="H28" s="149">
        <v>738</v>
      </c>
      <c r="I28" s="150">
        <v>276877</v>
      </c>
      <c r="J28" s="150">
        <v>17848</v>
      </c>
      <c r="K28" s="150">
        <v>29697935</v>
      </c>
      <c r="L28" s="151">
        <v>284</v>
      </c>
      <c r="M28" s="152">
        <f t="shared" si="0"/>
        <v>4828000</v>
      </c>
      <c r="N28" s="148"/>
      <c r="O28" s="150">
        <v>10122850</v>
      </c>
      <c r="P28" s="150">
        <v>271017</v>
      </c>
      <c r="Q28" s="154">
        <v>0.758</v>
      </c>
      <c r="R28" s="154">
        <v>0.242</v>
      </c>
      <c r="S28" s="148"/>
      <c r="T28" s="148"/>
      <c r="U28" s="154">
        <v>0.079</v>
      </c>
      <c r="V28" s="154">
        <v>0.387</v>
      </c>
      <c r="W28" s="154">
        <v>0.304</v>
      </c>
      <c r="X28" s="154">
        <v>0.152</v>
      </c>
      <c r="Y28" s="154">
        <v>0.047</v>
      </c>
      <c r="Z28" s="154">
        <v>0.031</v>
      </c>
      <c r="AA28" s="148" t="s">
        <v>45</v>
      </c>
    </row>
    <row r="29" spans="1:27">
      <c r="A29" s="147">
        <v>988</v>
      </c>
      <c r="B29" s="147" t="s">
        <v>27</v>
      </c>
      <c r="C29" s="147" t="s">
        <v>28</v>
      </c>
      <c r="D29" s="148" t="s">
        <v>29</v>
      </c>
      <c r="E29" s="148" t="s">
        <v>30</v>
      </c>
      <c r="F29" s="149">
        <v>2026</v>
      </c>
      <c r="G29" s="148" t="s">
        <v>35</v>
      </c>
      <c r="H29" s="150">
        <v>1370</v>
      </c>
      <c r="I29" s="150">
        <v>288506</v>
      </c>
      <c r="J29" s="150">
        <v>12502</v>
      </c>
      <c r="K29" s="150">
        <v>32244575</v>
      </c>
      <c r="L29" s="151">
        <v>402</v>
      </c>
      <c r="M29" s="152">
        <f t="shared" si="0"/>
        <v>6834000</v>
      </c>
      <c r="N29" s="148"/>
      <c r="O29" s="150">
        <v>7615094</v>
      </c>
      <c r="P29" s="150">
        <v>243489</v>
      </c>
      <c r="Q29" s="154">
        <v>0.761</v>
      </c>
      <c r="R29" s="154">
        <v>0.239</v>
      </c>
      <c r="S29" s="148"/>
      <c r="T29" s="148"/>
      <c r="U29" s="154">
        <v>0.079</v>
      </c>
      <c r="V29" s="154">
        <v>0.384</v>
      </c>
      <c r="W29" s="154">
        <v>0.306</v>
      </c>
      <c r="X29" s="154">
        <v>0.153</v>
      </c>
      <c r="Y29" s="154">
        <v>0.047</v>
      </c>
      <c r="Z29" s="154">
        <v>0.031</v>
      </c>
      <c r="AA29" s="148" t="s">
        <v>45</v>
      </c>
    </row>
    <row r="30" spans="1:27">
      <c r="A30" s="147">
        <v>989</v>
      </c>
      <c r="B30" s="147" t="s">
        <v>27</v>
      </c>
      <c r="C30" s="147" t="s">
        <v>28</v>
      </c>
      <c r="D30" s="148" t="s">
        <v>29</v>
      </c>
      <c r="E30" s="148" t="s">
        <v>30</v>
      </c>
      <c r="F30" s="149">
        <v>2026</v>
      </c>
      <c r="G30" s="148" t="s">
        <v>36</v>
      </c>
      <c r="H30" s="150">
        <v>1248</v>
      </c>
      <c r="I30" s="150">
        <v>293577</v>
      </c>
      <c r="J30" s="150">
        <v>6468</v>
      </c>
      <c r="K30" s="150">
        <v>22363681</v>
      </c>
      <c r="L30" s="151">
        <v>275</v>
      </c>
      <c r="M30" s="152">
        <f t="shared" si="0"/>
        <v>4675000</v>
      </c>
      <c r="N30" s="148"/>
      <c r="O30" s="150">
        <v>3679440</v>
      </c>
      <c r="P30" s="150">
        <v>161056</v>
      </c>
      <c r="Q30" s="154">
        <v>0.764</v>
      </c>
      <c r="R30" s="154">
        <v>0.236</v>
      </c>
      <c r="S30" s="148"/>
      <c r="T30" s="148"/>
      <c r="U30" s="154">
        <v>0.076</v>
      </c>
      <c r="V30" s="154">
        <v>0.386</v>
      </c>
      <c r="W30" s="154">
        <v>0.306</v>
      </c>
      <c r="X30" s="154">
        <v>0.154</v>
      </c>
      <c r="Y30" s="154">
        <v>0.047</v>
      </c>
      <c r="Z30" s="154">
        <v>0.031</v>
      </c>
      <c r="AA30" s="148" t="s">
        <v>45</v>
      </c>
    </row>
    <row r="31" spans="1:27">
      <c r="A31" s="147">
        <v>990</v>
      </c>
      <c r="B31" s="147" t="s">
        <v>27</v>
      </c>
      <c r="C31" s="147" t="s">
        <v>28</v>
      </c>
      <c r="D31" s="148" t="s">
        <v>29</v>
      </c>
      <c r="E31" s="148" t="s">
        <v>30</v>
      </c>
      <c r="F31" s="149">
        <v>2026</v>
      </c>
      <c r="G31" s="148" t="s">
        <v>37</v>
      </c>
      <c r="H31" s="149">
        <v>934</v>
      </c>
      <c r="I31" s="150">
        <v>297805</v>
      </c>
      <c r="J31" s="150">
        <v>6092</v>
      </c>
      <c r="K31" s="150">
        <v>13944280</v>
      </c>
      <c r="L31" s="151">
        <v>217</v>
      </c>
      <c r="M31" s="152">
        <f t="shared" si="0"/>
        <v>3689000</v>
      </c>
      <c r="N31" s="148"/>
      <c r="O31" s="150">
        <v>3792034</v>
      </c>
      <c r="P31" s="150">
        <v>161836</v>
      </c>
      <c r="Q31" s="154">
        <v>0.764</v>
      </c>
      <c r="R31" s="154">
        <v>0.236</v>
      </c>
      <c r="S31" s="148"/>
      <c r="T31" s="148"/>
      <c r="U31" s="154">
        <v>0.075</v>
      </c>
      <c r="V31" s="154">
        <v>0.385</v>
      </c>
      <c r="W31" s="154">
        <v>0.307</v>
      </c>
      <c r="X31" s="154">
        <v>0.154</v>
      </c>
      <c r="Y31" s="154">
        <v>0.048</v>
      </c>
      <c r="Z31" s="154">
        <v>0.031</v>
      </c>
      <c r="AA31" s="148" t="s">
        <v>45</v>
      </c>
    </row>
    <row r="32" spans="1:27">
      <c r="A32" s="147">
        <v>991</v>
      </c>
      <c r="B32" s="147" t="s">
        <v>27</v>
      </c>
      <c r="C32" s="147" t="s">
        <v>28</v>
      </c>
      <c r="D32" s="148" t="s">
        <v>29</v>
      </c>
      <c r="E32" s="148" t="s">
        <v>30</v>
      </c>
      <c r="F32" s="149">
        <v>2026</v>
      </c>
      <c r="G32" s="148" t="s">
        <v>38</v>
      </c>
      <c r="H32" s="149">
        <v>985</v>
      </c>
      <c r="I32" s="150">
        <v>300595</v>
      </c>
      <c r="J32" s="150">
        <v>4374</v>
      </c>
      <c r="K32" s="150">
        <v>11142754</v>
      </c>
      <c r="L32" s="151">
        <v>146</v>
      </c>
      <c r="M32" s="152">
        <f t="shared" si="0"/>
        <v>2482000</v>
      </c>
      <c r="N32" s="148"/>
      <c r="O32" s="150">
        <v>4474161</v>
      </c>
      <c r="P32" s="150">
        <v>139397</v>
      </c>
      <c r="Q32" s="154">
        <v>0.774</v>
      </c>
      <c r="R32" s="154">
        <v>0.226</v>
      </c>
      <c r="S32" s="148"/>
      <c r="T32" s="148"/>
      <c r="U32" s="154">
        <v>0.074</v>
      </c>
      <c r="V32" s="154">
        <v>0.384</v>
      </c>
      <c r="W32" s="154">
        <v>0.308</v>
      </c>
      <c r="X32" s="154">
        <v>0.157</v>
      </c>
      <c r="Y32" s="154">
        <v>0.048</v>
      </c>
      <c r="Z32" s="154">
        <v>0.029</v>
      </c>
      <c r="AA32" s="148" t="s">
        <v>45</v>
      </c>
    </row>
    <row r="33" spans="1:27">
      <c r="A33" s="147">
        <v>992</v>
      </c>
      <c r="B33" s="147" t="s">
        <v>27</v>
      </c>
      <c r="C33" s="147" t="s">
        <v>28</v>
      </c>
      <c r="D33" s="148" t="s">
        <v>29</v>
      </c>
      <c r="E33" s="148" t="s">
        <v>30</v>
      </c>
      <c r="F33" s="149">
        <v>2026</v>
      </c>
      <c r="G33" s="148" t="s">
        <v>39</v>
      </c>
      <c r="H33" s="148"/>
      <c r="I33" s="148"/>
      <c r="J33" s="148"/>
      <c r="K33" s="148"/>
      <c r="L33" s="152"/>
      <c r="M33" s="152">
        <f t="shared" si="0"/>
        <v>0</v>
      </c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</row>
    <row r="34" spans="1:27">
      <c r="A34" s="147">
        <v>993</v>
      </c>
      <c r="B34" s="147" t="s">
        <v>27</v>
      </c>
      <c r="C34" s="147" t="s">
        <v>28</v>
      </c>
      <c r="D34" s="148" t="s">
        <v>29</v>
      </c>
      <c r="E34" s="148" t="s">
        <v>30</v>
      </c>
      <c r="F34" s="149">
        <v>2026</v>
      </c>
      <c r="G34" s="148" t="s">
        <v>40</v>
      </c>
      <c r="H34" s="148"/>
      <c r="I34" s="148"/>
      <c r="J34" s="148"/>
      <c r="K34" s="148"/>
      <c r="L34" s="152"/>
      <c r="M34" s="152">
        <f t="shared" si="0"/>
        <v>0</v>
      </c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</row>
    <row r="35" spans="1:27">
      <c r="A35" s="147">
        <v>994</v>
      </c>
      <c r="B35" s="147" t="s">
        <v>27</v>
      </c>
      <c r="C35" s="147" t="s">
        <v>28</v>
      </c>
      <c r="D35" s="148" t="s">
        <v>29</v>
      </c>
      <c r="E35" s="148" t="s">
        <v>30</v>
      </c>
      <c r="F35" s="149">
        <v>2026</v>
      </c>
      <c r="G35" s="148" t="s">
        <v>41</v>
      </c>
      <c r="H35" s="148"/>
      <c r="I35" s="148"/>
      <c r="J35" s="148"/>
      <c r="K35" s="148"/>
      <c r="L35" s="152"/>
      <c r="M35" s="152">
        <f t="shared" si="0"/>
        <v>0</v>
      </c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</row>
    <row r="36" spans="1:27">
      <c r="A36" s="147">
        <v>995</v>
      </c>
      <c r="B36" s="147" t="s">
        <v>27</v>
      </c>
      <c r="C36" s="147" t="s">
        <v>28</v>
      </c>
      <c r="D36" s="148" t="s">
        <v>29</v>
      </c>
      <c r="E36" s="148" t="s">
        <v>30</v>
      </c>
      <c r="F36" s="149">
        <v>2026</v>
      </c>
      <c r="G36" s="148" t="s">
        <v>42</v>
      </c>
      <c r="H36" s="148"/>
      <c r="I36" s="148"/>
      <c r="J36" s="148"/>
      <c r="K36" s="148"/>
      <c r="L36" s="152"/>
      <c r="M36" s="152">
        <f t="shared" si="0"/>
        <v>0</v>
      </c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</row>
    <row r="37" spans="1:27">
      <c r="A37" s="147">
        <v>996</v>
      </c>
      <c r="B37" s="147" t="s">
        <v>27</v>
      </c>
      <c r="C37" s="147" t="s">
        <v>28</v>
      </c>
      <c r="D37" s="148" t="s">
        <v>29</v>
      </c>
      <c r="E37" s="148" t="s">
        <v>30</v>
      </c>
      <c r="F37" s="149">
        <v>2026</v>
      </c>
      <c r="G37" s="148" t="s">
        <v>43</v>
      </c>
      <c r="H37" s="148"/>
      <c r="I37" s="148"/>
      <c r="J37" s="148"/>
      <c r="K37" s="148"/>
      <c r="L37" s="152"/>
      <c r="M37" s="152">
        <f t="shared" si="0"/>
        <v>0</v>
      </c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</row>
    <row r="38" spans="1:27">
      <c r="A38" s="147">
        <v>1009</v>
      </c>
      <c r="B38" s="147" t="s">
        <v>27</v>
      </c>
      <c r="C38" s="147" t="s">
        <v>46</v>
      </c>
      <c r="D38" s="148" t="s">
        <v>47</v>
      </c>
      <c r="E38" s="148" t="s">
        <v>30</v>
      </c>
      <c r="F38" s="149">
        <v>2024</v>
      </c>
      <c r="G38" s="148" t="s">
        <v>31</v>
      </c>
      <c r="H38" s="150">
        <v>2876</v>
      </c>
      <c r="I38" s="150">
        <v>1112797</v>
      </c>
      <c r="J38" s="150">
        <v>13399</v>
      </c>
      <c r="K38" s="148" t="s">
        <v>32</v>
      </c>
      <c r="L38" s="151">
        <v>231</v>
      </c>
      <c r="M38" s="152">
        <f t="shared" si="0"/>
        <v>3927000</v>
      </c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</row>
    <row r="39" spans="1:27">
      <c r="A39" s="147">
        <v>1010</v>
      </c>
      <c r="B39" s="147" t="s">
        <v>27</v>
      </c>
      <c r="C39" s="147" t="s">
        <v>46</v>
      </c>
      <c r="D39" s="148" t="s">
        <v>47</v>
      </c>
      <c r="E39" s="148" t="s">
        <v>30</v>
      </c>
      <c r="F39" s="149">
        <v>2024</v>
      </c>
      <c r="G39" s="148" t="s">
        <v>33</v>
      </c>
      <c r="H39" s="150">
        <v>2270</v>
      </c>
      <c r="I39" s="150">
        <v>1121355</v>
      </c>
      <c r="J39" s="150">
        <v>8558</v>
      </c>
      <c r="K39" s="148" t="s">
        <v>32</v>
      </c>
      <c r="L39" s="151">
        <v>247</v>
      </c>
      <c r="M39" s="152">
        <f t="shared" si="0"/>
        <v>4199000</v>
      </c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</row>
    <row r="40" spans="1:27">
      <c r="A40" s="147">
        <v>1011</v>
      </c>
      <c r="B40" s="147" t="s">
        <v>27</v>
      </c>
      <c r="C40" s="147" t="s">
        <v>46</v>
      </c>
      <c r="D40" s="148" t="s">
        <v>47</v>
      </c>
      <c r="E40" s="148" t="s">
        <v>30</v>
      </c>
      <c r="F40" s="149">
        <v>2024</v>
      </c>
      <c r="G40" s="148" t="s">
        <v>34</v>
      </c>
      <c r="H40" s="150">
        <v>3530</v>
      </c>
      <c r="I40" s="150">
        <v>1135403</v>
      </c>
      <c r="J40" s="150">
        <v>14048</v>
      </c>
      <c r="K40" s="148" t="s">
        <v>32</v>
      </c>
      <c r="L40" s="151">
        <v>349</v>
      </c>
      <c r="M40" s="152">
        <f t="shared" si="0"/>
        <v>5933000</v>
      </c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</row>
    <row r="41" spans="1:27">
      <c r="A41" s="147">
        <v>1012</v>
      </c>
      <c r="B41" s="147" t="s">
        <v>27</v>
      </c>
      <c r="C41" s="147" t="s">
        <v>46</v>
      </c>
      <c r="D41" s="148" t="s">
        <v>47</v>
      </c>
      <c r="E41" s="148" t="s">
        <v>30</v>
      </c>
      <c r="F41" s="149">
        <v>2024</v>
      </c>
      <c r="G41" s="148" t="s">
        <v>35</v>
      </c>
      <c r="H41" s="150">
        <v>4166</v>
      </c>
      <c r="I41" s="150">
        <v>1145959</v>
      </c>
      <c r="J41" s="150">
        <v>10556</v>
      </c>
      <c r="K41" s="148" t="s">
        <v>32</v>
      </c>
      <c r="L41" s="151">
        <v>117</v>
      </c>
      <c r="M41" s="152">
        <f t="shared" si="0"/>
        <v>1989000</v>
      </c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</row>
    <row r="42" spans="1:27">
      <c r="A42" s="147">
        <v>1013</v>
      </c>
      <c r="B42" s="147" t="s">
        <v>27</v>
      </c>
      <c r="C42" s="147" t="s">
        <v>46</v>
      </c>
      <c r="D42" s="148" t="s">
        <v>47</v>
      </c>
      <c r="E42" s="148" t="s">
        <v>30</v>
      </c>
      <c r="F42" s="149">
        <v>2024</v>
      </c>
      <c r="G42" s="148" t="s">
        <v>36</v>
      </c>
      <c r="H42" s="150">
        <v>3571</v>
      </c>
      <c r="I42" s="150">
        <v>1157737</v>
      </c>
      <c r="J42" s="150">
        <v>11778</v>
      </c>
      <c r="K42" s="148" t="s">
        <v>32</v>
      </c>
      <c r="L42" s="151">
        <v>251</v>
      </c>
      <c r="M42" s="152">
        <f t="shared" si="0"/>
        <v>4267000</v>
      </c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</row>
    <row r="43" spans="1:27">
      <c r="A43" s="147">
        <v>1014</v>
      </c>
      <c r="B43" s="147" t="s">
        <v>27</v>
      </c>
      <c r="C43" s="147" t="s">
        <v>46</v>
      </c>
      <c r="D43" s="148" t="s">
        <v>47</v>
      </c>
      <c r="E43" s="148" t="s">
        <v>30</v>
      </c>
      <c r="F43" s="149">
        <v>2024</v>
      </c>
      <c r="G43" s="148" t="s">
        <v>37</v>
      </c>
      <c r="H43" s="150">
        <v>4333</v>
      </c>
      <c r="I43" s="150">
        <v>1163679</v>
      </c>
      <c r="J43" s="150">
        <v>5942</v>
      </c>
      <c r="K43" s="148" t="s">
        <v>32</v>
      </c>
      <c r="L43" s="151">
        <v>118</v>
      </c>
      <c r="M43" s="152">
        <f t="shared" si="0"/>
        <v>2006000</v>
      </c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</row>
    <row r="44" spans="1:27">
      <c r="A44" s="147">
        <v>1015</v>
      </c>
      <c r="B44" s="147" t="s">
        <v>27</v>
      </c>
      <c r="C44" s="147" t="s">
        <v>46</v>
      </c>
      <c r="D44" s="148" t="s">
        <v>47</v>
      </c>
      <c r="E44" s="148" t="s">
        <v>30</v>
      </c>
      <c r="F44" s="149">
        <v>2024</v>
      </c>
      <c r="G44" s="148" t="s">
        <v>38</v>
      </c>
      <c r="H44" s="150">
        <v>2942</v>
      </c>
      <c r="I44" s="150">
        <v>1169335</v>
      </c>
      <c r="J44" s="150">
        <v>5656</v>
      </c>
      <c r="K44" s="148" t="s">
        <v>32</v>
      </c>
      <c r="L44" s="151">
        <v>111</v>
      </c>
      <c r="M44" s="152">
        <f t="shared" si="0"/>
        <v>1887000</v>
      </c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</row>
    <row r="45" spans="1:27">
      <c r="A45" s="147">
        <v>1016</v>
      </c>
      <c r="B45" s="147" t="s">
        <v>27</v>
      </c>
      <c r="C45" s="147" t="s">
        <v>46</v>
      </c>
      <c r="D45" s="148" t="s">
        <v>47</v>
      </c>
      <c r="E45" s="148" t="s">
        <v>30</v>
      </c>
      <c r="F45" s="149">
        <v>2024</v>
      </c>
      <c r="G45" s="148" t="s">
        <v>39</v>
      </c>
      <c r="H45" s="150">
        <v>1483</v>
      </c>
      <c r="I45" s="150">
        <v>1175302</v>
      </c>
      <c r="J45" s="150">
        <v>5967</v>
      </c>
      <c r="K45" s="148" t="s">
        <v>32</v>
      </c>
      <c r="L45" s="151">
        <v>106</v>
      </c>
      <c r="M45" s="152">
        <f t="shared" si="0"/>
        <v>1802000</v>
      </c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</row>
    <row r="46" spans="1:27">
      <c r="A46" s="147">
        <v>1017</v>
      </c>
      <c r="B46" s="147" t="s">
        <v>27</v>
      </c>
      <c r="C46" s="147" t="s">
        <v>46</v>
      </c>
      <c r="D46" s="148" t="s">
        <v>47</v>
      </c>
      <c r="E46" s="148" t="s">
        <v>30</v>
      </c>
      <c r="F46" s="149">
        <v>2024</v>
      </c>
      <c r="G46" s="148" t="s">
        <v>40</v>
      </c>
      <c r="H46" s="150">
        <v>1729</v>
      </c>
      <c r="I46" s="150">
        <v>1190579</v>
      </c>
      <c r="J46" s="150">
        <v>15277</v>
      </c>
      <c r="K46" s="148" t="s">
        <v>32</v>
      </c>
      <c r="L46" s="151">
        <v>188</v>
      </c>
      <c r="M46" s="152">
        <f t="shared" si="0"/>
        <v>3196000</v>
      </c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</row>
    <row r="47" spans="1:27">
      <c r="A47" s="147">
        <v>1018</v>
      </c>
      <c r="B47" s="147" t="s">
        <v>27</v>
      </c>
      <c r="C47" s="147" t="s">
        <v>46</v>
      </c>
      <c r="D47" s="148" t="s">
        <v>47</v>
      </c>
      <c r="E47" s="148" t="s">
        <v>30</v>
      </c>
      <c r="F47" s="149">
        <v>2024</v>
      </c>
      <c r="G47" s="148" t="s">
        <v>41</v>
      </c>
      <c r="H47" s="150">
        <v>3019</v>
      </c>
      <c r="I47" s="150">
        <v>1196971</v>
      </c>
      <c r="J47" s="150">
        <v>6392</v>
      </c>
      <c r="K47" s="150">
        <v>12528499</v>
      </c>
      <c r="L47" s="151">
        <v>39</v>
      </c>
      <c r="M47" s="152">
        <f t="shared" si="0"/>
        <v>663000</v>
      </c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</row>
    <row r="48" spans="1:27">
      <c r="A48" s="147">
        <v>1019</v>
      </c>
      <c r="B48" s="147" t="s">
        <v>27</v>
      </c>
      <c r="C48" s="147" t="s">
        <v>46</v>
      </c>
      <c r="D48" s="148" t="s">
        <v>47</v>
      </c>
      <c r="E48" s="148" t="s">
        <v>30</v>
      </c>
      <c r="F48" s="149">
        <v>2024</v>
      </c>
      <c r="G48" s="148" t="s">
        <v>42</v>
      </c>
      <c r="H48" s="150">
        <v>4000</v>
      </c>
      <c r="I48" s="150">
        <v>1215574</v>
      </c>
      <c r="J48" s="150">
        <v>18603</v>
      </c>
      <c r="K48" s="150">
        <v>21457196</v>
      </c>
      <c r="L48" s="151">
        <v>515</v>
      </c>
      <c r="M48" s="152">
        <f t="shared" si="0"/>
        <v>8755000</v>
      </c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</row>
    <row r="49" spans="1:27">
      <c r="A49" s="147">
        <v>1020</v>
      </c>
      <c r="B49" s="147" t="s">
        <v>27</v>
      </c>
      <c r="C49" s="147" t="s">
        <v>46</v>
      </c>
      <c r="D49" s="148" t="s">
        <v>47</v>
      </c>
      <c r="E49" s="148" t="s">
        <v>30</v>
      </c>
      <c r="F49" s="149">
        <v>2024</v>
      </c>
      <c r="G49" s="148" t="s">
        <v>43</v>
      </c>
      <c r="H49" s="150">
        <v>2983</v>
      </c>
      <c r="I49" s="150">
        <v>1223128</v>
      </c>
      <c r="J49" s="150">
        <v>7554</v>
      </c>
      <c r="K49" s="150">
        <v>20898237</v>
      </c>
      <c r="L49" s="151">
        <v>151</v>
      </c>
      <c r="M49" s="152">
        <f t="shared" si="0"/>
        <v>2567000</v>
      </c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</row>
    <row r="50" spans="1:27">
      <c r="A50" s="147">
        <v>1021</v>
      </c>
      <c r="B50" s="147" t="s">
        <v>27</v>
      </c>
      <c r="C50" s="147" t="s">
        <v>46</v>
      </c>
      <c r="D50" s="148" t="s">
        <v>47</v>
      </c>
      <c r="E50" s="148" t="s">
        <v>30</v>
      </c>
      <c r="F50" s="149">
        <v>2025</v>
      </c>
      <c r="G50" s="148" t="s">
        <v>31</v>
      </c>
      <c r="H50" s="150">
        <v>5032</v>
      </c>
      <c r="I50" s="150">
        <v>1229539</v>
      </c>
      <c r="J50" s="150">
        <v>6411</v>
      </c>
      <c r="K50" s="150">
        <v>23274700</v>
      </c>
      <c r="L50" s="151">
        <v>76</v>
      </c>
      <c r="M50" s="152">
        <f t="shared" si="0"/>
        <v>1292000</v>
      </c>
      <c r="N50" s="148"/>
      <c r="O50" s="148" t="s">
        <v>48</v>
      </c>
      <c r="P50" s="150">
        <v>112745</v>
      </c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</row>
    <row r="51" spans="1:27">
      <c r="A51" s="147">
        <v>1022</v>
      </c>
      <c r="B51" s="147" t="s">
        <v>27</v>
      </c>
      <c r="C51" s="147" t="s">
        <v>46</v>
      </c>
      <c r="D51" s="148" t="s">
        <v>47</v>
      </c>
      <c r="E51" s="148" t="s">
        <v>30</v>
      </c>
      <c r="F51" s="149">
        <v>2025</v>
      </c>
      <c r="G51" s="148" t="s">
        <v>33</v>
      </c>
      <c r="H51" s="150">
        <v>3800</v>
      </c>
      <c r="I51" s="150">
        <v>1236302</v>
      </c>
      <c r="J51" s="150">
        <v>6763</v>
      </c>
      <c r="K51" s="150">
        <v>19756623</v>
      </c>
      <c r="L51" s="151">
        <v>71</v>
      </c>
      <c r="M51" s="152">
        <f t="shared" si="0"/>
        <v>1207000</v>
      </c>
      <c r="N51" s="148"/>
      <c r="O51" s="148" t="s">
        <v>48</v>
      </c>
      <c r="P51" s="150">
        <v>115865</v>
      </c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</row>
    <row r="52" spans="1:27">
      <c r="A52" s="147">
        <v>1023</v>
      </c>
      <c r="B52" s="147" t="s">
        <v>27</v>
      </c>
      <c r="C52" s="147" t="s">
        <v>46</v>
      </c>
      <c r="D52" s="148" t="s">
        <v>47</v>
      </c>
      <c r="E52" s="148" t="s">
        <v>30</v>
      </c>
      <c r="F52" s="149">
        <v>2025</v>
      </c>
      <c r="G52" s="148" t="s">
        <v>34</v>
      </c>
      <c r="H52" s="150">
        <v>3566</v>
      </c>
      <c r="I52" s="150">
        <v>1247775</v>
      </c>
      <c r="J52" s="150">
        <v>11473</v>
      </c>
      <c r="K52" s="150">
        <v>21729919</v>
      </c>
      <c r="L52" s="151">
        <v>113</v>
      </c>
      <c r="M52" s="152">
        <f t="shared" si="0"/>
        <v>1921000</v>
      </c>
      <c r="N52" s="148"/>
      <c r="O52" s="148" t="s">
        <v>48</v>
      </c>
      <c r="P52" s="150">
        <v>152415</v>
      </c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</row>
    <row r="53" spans="1:27">
      <c r="A53" s="147">
        <v>1024</v>
      </c>
      <c r="B53" s="147" t="s">
        <v>27</v>
      </c>
      <c r="C53" s="147" t="s">
        <v>46</v>
      </c>
      <c r="D53" s="148" t="s">
        <v>47</v>
      </c>
      <c r="E53" s="148" t="s">
        <v>30</v>
      </c>
      <c r="F53" s="149">
        <v>2025</v>
      </c>
      <c r="G53" s="148" t="s">
        <v>35</v>
      </c>
      <c r="H53" s="150">
        <v>4106</v>
      </c>
      <c r="I53" s="150">
        <v>1256393</v>
      </c>
      <c r="J53" s="150">
        <v>8618</v>
      </c>
      <c r="K53" s="150">
        <v>19893900</v>
      </c>
      <c r="L53" s="151">
        <v>79</v>
      </c>
      <c r="M53" s="152">
        <f t="shared" si="0"/>
        <v>1343000</v>
      </c>
      <c r="N53" s="148"/>
      <c r="O53" s="148" t="s">
        <v>48</v>
      </c>
      <c r="P53" s="150">
        <v>141408</v>
      </c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</row>
    <row r="54" spans="1:27">
      <c r="A54" s="147">
        <v>1025</v>
      </c>
      <c r="B54" s="147" t="s">
        <v>27</v>
      </c>
      <c r="C54" s="147" t="s">
        <v>46</v>
      </c>
      <c r="D54" s="148" t="s">
        <v>47</v>
      </c>
      <c r="E54" s="148" t="s">
        <v>30</v>
      </c>
      <c r="F54" s="149">
        <v>2025</v>
      </c>
      <c r="G54" s="148" t="s">
        <v>36</v>
      </c>
      <c r="H54" s="150">
        <v>3721</v>
      </c>
      <c r="I54" s="150">
        <v>1264115</v>
      </c>
      <c r="J54" s="150">
        <v>7722</v>
      </c>
      <c r="K54" s="150">
        <v>17658638</v>
      </c>
      <c r="L54" s="151">
        <v>86</v>
      </c>
      <c r="M54" s="152">
        <f t="shared" si="0"/>
        <v>1462000</v>
      </c>
      <c r="N54" s="148"/>
      <c r="O54" s="148" t="s">
        <v>48</v>
      </c>
      <c r="P54" s="150">
        <v>147084</v>
      </c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</row>
    <row r="55" spans="1:27">
      <c r="A55" s="147">
        <v>1026</v>
      </c>
      <c r="B55" s="147" t="s">
        <v>27</v>
      </c>
      <c r="C55" s="147" t="s">
        <v>46</v>
      </c>
      <c r="D55" s="148" t="s">
        <v>47</v>
      </c>
      <c r="E55" s="148" t="s">
        <v>30</v>
      </c>
      <c r="F55" s="149">
        <v>2025</v>
      </c>
      <c r="G55" s="148" t="s">
        <v>37</v>
      </c>
      <c r="H55" s="149">
        <v>825</v>
      </c>
      <c r="I55" s="150">
        <v>1273209</v>
      </c>
      <c r="J55" s="150">
        <v>9094</v>
      </c>
      <c r="K55" s="150">
        <v>12570520</v>
      </c>
      <c r="L55" s="151">
        <v>90</v>
      </c>
      <c r="M55" s="152">
        <f t="shared" si="0"/>
        <v>1530000</v>
      </c>
      <c r="N55" s="148"/>
      <c r="O55" s="148" t="s">
        <v>48</v>
      </c>
      <c r="P55" s="150">
        <v>120634</v>
      </c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</row>
    <row r="56" spans="1:27">
      <c r="A56" s="147">
        <v>1027</v>
      </c>
      <c r="B56" s="147" t="s">
        <v>27</v>
      </c>
      <c r="C56" s="147" t="s">
        <v>46</v>
      </c>
      <c r="D56" s="148" t="s">
        <v>47</v>
      </c>
      <c r="E56" s="148" t="s">
        <v>30</v>
      </c>
      <c r="F56" s="149">
        <v>2025</v>
      </c>
      <c r="G56" s="148" t="s">
        <v>38</v>
      </c>
      <c r="H56" s="149">
        <v>142</v>
      </c>
      <c r="I56" s="150">
        <v>1274852</v>
      </c>
      <c r="J56" s="150">
        <v>2711</v>
      </c>
      <c r="K56" s="150">
        <v>2969682</v>
      </c>
      <c r="L56" s="151">
        <v>20</v>
      </c>
      <c r="M56" s="152">
        <f t="shared" si="0"/>
        <v>340000</v>
      </c>
      <c r="N56" s="148"/>
      <c r="O56" s="150">
        <v>933260</v>
      </c>
      <c r="P56" s="150">
        <v>23337</v>
      </c>
      <c r="Q56" s="154">
        <v>0.675</v>
      </c>
      <c r="R56" s="154">
        <v>0.325</v>
      </c>
      <c r="S56" s="148"/>
      <c r="T56" s="148" t="s">
        <v>44</v>
      </c>
      <c r="U56" s="154">
        <v>0.172</v>
      </c>
      <c r="V56" s="154">
        <v>0.384</v>
      </c>
      <c r="W56" s="154">
        <v>0.277</v>
      </c>
      <c r="X56" s="154">
        <v>0.109</v>
      </c>
      <c r="Y56" s="154">
        <v>0.034</v>
      </c>
      <c r="Z56" s="154">
        <v>0.024</v>
      </c>
      <c r="AA56" s="148" t="s">
        <v>45</v>
      </c>
    </row>
    <row r="57" spans="1:27">
      <c r="A57" s="147">
        <v>1028</v>
      </c>
      <c r="B57" s="147" t="s">
        <v>27</v>
      </c>
      <c r="C57" s="147" t="s">
        <v>46</v>
      </c>
      <c r="D57" s="148" t="s">
        <v>47</v>
      </c>
      <c r="E57" s="148" t="s">
        <v>30</v>
      </c>
      <c r="F57" s="149">
        <v>2025</v>
      </c>
      <c r="G57" s="148" t="s">
        <v>39</v>
      </c>
      <c r="H57" s="149">
        <v>20</v>
      </c>
      <c r="I57" s="150">
        <v>1277019</v>
      </c>
      <c r="J57" s="150">
        <v>3954</v>
      </c>
      <c r="K57" s="150">
        <v>1910114</v>
      </c>
      <c r="L57" s="151">
        <v>20</v>
      </c>
      <c r="M57" s="152">
        <f t="shared" si="0"/>
        <v>340000</v>
      </c>
      <c r="N57" s="148"/>
      <c r="O57" s="150">
        <v>945992</v>
      </c>
      <c r="P57" s="150">
        <v>25450</v>
      </c>
      <c r="Q57" s="154">
        <v>0.676</v>
      </c>
      <c r="R57" s="154">
        <v>0.324</v>
      </c>
      <c r="S57" s="148"/>
      <c r="T57" s="148"/>
      <c r="U57" s="154">
        <v>0.167</v>
      </c>
      <c r="V57" s="154">
        <v>0.387</v>
      </c>
      <c r="W57" s="154">
        <v>0.277</v>
      </c>
      <c r="X57" s="154">
        <v>0.11</v>
      </c>
      <c r="Y57" s="154">
        <v>0.035</v>
      </c>
      <c r="Z57" s="154">
        <v>0.024</v>
      </c>
      <c r="AA57" s="148" t="s">
        <v>45</v>
      </c>
    </row>
    <row r="58" spans="1:27">
      <c r="A58" s="147">
        <v>1029</v>
      </c>
      <c r="B58" s="147" t="s">
        <v>27</v>
      </c>
      <c r="C58" s="147" t="s">
        <v>46</v>
      </c>
      <c r="D58" s="148" t="s">
        <v>47</v>
      </c>
      <c r="E58" s="148" t="s">
        <v>30</v>
      </c>
      <c r="F58" s="149">
        <v>2025</v>
      </c>
      <c r="G58" s="148" t="s">
        <v>40</v>
      </c>
      <c r="H58" s="149">
        <v>29</v>
      </c>
      <c r="I58" s="150">
        <v>1280890</v>
      </c>
      <c r="J58" s="150">
        <v>6022</v>
      </c>
      <c r="K58" s="150">
        <v>2184653</v>
      </c>
      <c r="L58" s="151">
        <v>23</v>
      </c>
      <c r="M58" s="152">
        <f t="shared" si="0"/>
        <v>391000</v>
      </c>
      <c r="N58" s="148"/>
      <c r="O58" s="150">
        <v>1347092</v>
      </c>
      <c r="P58" s="150">
        <v>35786</v>
      </c>
      <c r="Q58" s="154">
        <v>0.675</v>
      </c>
      <c r="R58" s="154">
        <v>0.325</v>
      </c>
      <c r="S58" s="148"/>
      <c r="T58" s="148"/>
      <c r="U58" s="154">
        <v>0.163</v>
      </c>
      <c r="V58" s="154">
        <v>0.387</v>
      </c>
      <c r="W58" s="154">
        <v>0.279</v>
      </c>
      <c r="X58" s="154">
        <v>0.112</v>
      </c>
      <c r="Y58" s="154">
        <v>0.035</v>
      </c>
      <c r="Z58" s="154">
        <v>0.024</v>
      </c>
      <c r="AA58" s="148" t="s">
        <v>45</v>
      </c>
    </row>
    <row r="59" spans="1:27">
      <c r="A59" s="147">
        <v>1030</v>
      </c>
      <c r="B59" s="147" t="s">
        <v>27</v>
      </c>
      <c r="C59" s="147" t="s">
        <v>46</v>
      </c>
      <c r="D59" s="148" t="s">
        <v>47</v>
      </c>
      <c r="E59" s="148" t="s">
        <v>30</v>
      </c>
      <c r="F59" s="149">
        <v>2025</v>
      </c>
      <c r="G59" s="148" t="s">
        <v>41</v>
      </c>
      <c r="H59" s="149">
        <v>47</v>
      </c>
      <c r="I59" s="150">
        <v>1281820</v>
      </c>
      <c r="J59" s="150">
        <v>3739</v>
      </c>
      <c r="K59" s="150">
        <v>1519350</v>
      </c>
      <c r="L59" s="151">
        <v>17</v>
      </c>
      <c r="M59" s="152">
        <f t="shared" si="0"/>
        <v>289000</v>
      </c>
      <c r="N59" s="148"/>
      <c r="O59" s="150">
        <v>845873</v>
      </c>
      <c r="P59" s="150">
        <v>19824</v>
      </c>
      <c r="Q59" s="154">
        <v>0.677</v>
      </c>
      <c r="R59" s="154">
        <v>0.323</v>
      </c>
      <c r="S59" s="148"/>
      <c r="T59" s="148"/>
      <c r="U59" s="154">
        <v>0.158</v>
      </c>
      <c r="V59" s="154">
        <v>0.39</v>
      </c>
      <c r="W59" s="154">
        <v>0.28</v>
      </c>
      <c r="X59" s="154">
        <v>0.113</v>
      </c>
      <c r="Y59" s="154">
        <v>0.035</v>
      </c>
      <c r="Z59" s="154">
        <v>0.024</v>
      </c>
      <c r="AA59" s="148" t="s">
        <v>45</v>
      </c>
    </row>
    <row r="60" spans="1:27">
      <c r="A60" s="147">
        <v>1031</v>
      </c>
      <c r="B60" s="147" t="s">
        <v>27</v>
      </c>
      <c r="C60" s="147" t="s">
        <v>46</v>
      </c>
      <c r="D60" s="148" t="s">
        <v>47</v>
      </c>
      <c r="E60" s="148" t="s">
        <v>30</v>
      </c>
      <c r="F60" s="149">
        <v>2025</v>
      </c>
      <c r="G60" s="148" t="s">
        <v>42</v>
      </c>
      <c r="H60" s="149">
        <v>22</v>
      </c>
      <c r="I60" s="150">
        <v>1281711</v>
      </c>
      <c r="J60" s="150">
        <v>2408</v>
      </c>
      <c r="K60" s="150">
        <v>984474</v>
      </c>
      <c r="L60" s="151">
        <v>12</v>
      </c>
      <c r="M60" s="152">
        <f t="shared" si="0"/>
        <v>204000</v>
      </c>
      <c r="N60" s="148"/>
      <c r="O60" s="150">
        <v>510789</v>
      </c>
      <c r="P60" s="150">
        <v>11660</v>
      </c>
      <c r="Q60" s="154">
        <v>0.677</v>
      </c>
      <c r="R60" s="154">
        <v>0.323</v>
      </c>
      <c r="S60" s="148"/>
      <c r="T60" s="148"/>
      <c r="U60" s="154">
        <v>0.155</v>
      </c>
      <c r="V60" s="154">
        <v>0.391</v>
      </c>
      <c r="W60" s="154">
        <v>0.281</v>
      </c>
      <c r="X60" s="154">
        <v>0.114</v>
      </c>
      <c r="Y60" s="154">
        <v>0.035</v>
      </c>
      <c r="Z60" s="154">
        <v>0.024</v>
      </c>
      <c r="AA60" s="148" t="s">
        <v>45</v>
      </c>
    </row>
    <row r="61" spans="1:27">
      <c r="A61" s="147">
        <v>1032</v>
      </c>
      <c r="B61" s="147" t="s">
        <v>27</v>
      </c>
      <c r="C61" s="147" t="s">
        <v>46</v>
      </c>
      <c r="D61" s="148" t="s">
        <v>47</v>
      </c>
      <c r="E61" s="148" t="s">
        <v>30</v>
      </c>
      <c r="F61" s="149">
        <v>2025</v>
      </c>
      <c r="G61" s="148" t="s">
        <v>43</v>
      </c>
      <c r="H61" s="149">
        <v>7</v>
      </c>
      <c r="I61" s="150">
        <v>1280120</v>
      </c>
      <c r="J61" s="149">
        <v>365</v>
      </c>
      <c r="K61" s="150">
        <v>166205</v>
      </c>
      <c r="L61" s="151">
        <v>2</v>
      </c>
      <c r="M61" s="152">
        <f t="shared" si="0"/>
        <v>34000</v>
      </c>
      <c r="N61" s="148"/>
      <c r="O61" s="150">
        <v>113488</v>
      </c>
      <c r="P61" s="150">
        <v>1000</v>
      </c>
      <c r="Q61" s="154">
        <v>0.675</v>
      </c>
      <c r="R61" s="154">
        <v>0.325</v>
      </c>
      <c r="S61" s="148"/>
      <c r="T61" s="148"/>
      <c r="U61" s="154">
        <v>0.15</v>
      </c>
      <c r="V61" s="154">
        <v>0.391</v>
      </c>
      <c r="W61" s="154">
        <v>0.282</v>
      </c>
      <c r="X61" s="154">
        <v>0.116</v>
      </c>
      <c r="Y61" s="154">
        <v>0.037</v>
      </c>
      <c r="Z61" s="154">
        <v>0.024</v>
      </c>
      <c r="AA61" s="148" t="s">
        <v>45</v>
      </c>
    </row>
    <row r="62" spans="1:27">
      <c r="A62" s="147">
        <v>1033</v>
      </c>
      <c r="B62" s="147" t="s">
        <v>27</v>
      </c>
      <c r="C62" s="147" t="s">
        <v>46</v>
      </c>
      <c r="D62" s="148" t="s">
        <v>47</v>
      </c>
      <c r="E62" s="148" t="s">
        <v>30</v>
      </c>
      <c r="F62" s="149">
        <v>2026</v>
      </c>
      <c r="G62" s="148" t="s">
        <v>31</v>
      </c>
      <c r="H62" s="149">
        <v>7</v>
      </c>
      <c r="I62" s="150">
        <v>1278360</v>
      </c>
      <c r="J62" s="149">
        <v>340</v>
      </c>
      <c r="K62" s="150">
        <v>156403</v>
      </c>
      <c r="L62" s="151">
        <v>0</v>
      </c>
      <c r="M62" s="152">
        <f t="shared" si="0"/>
        <v>0</v>
      </c>
      <c r="N62" s="148"/>
      <c r="O62" s="150">
        <v>101679</v>
      </c>
      <c r="P62" s="149">
        <v>612</v>
      </c>
      <c r="Q62" s="154">
        <v>0.675</v>
      </c>
      <c r="R62" s="154">
        <v>0.325</v>
      </c>
      <c r="S62" s="148"/>
      <c r="T62" s="148"/>
      <c r="U62" s="154">
        <v>0.147</v>
      </c>
      <c r="V62" s="154">
        <v>0.392</v>
      </c>
      <c r="W62" s="154">
        <v>0.283</v>
      </c>
      <c r="X62" s="154">
        <v>0.116</v>
      </c>
      <c r="Y62" s="154">
        <v>0.037</v>
      </c>
      <c r="Z62" s="154">
        <v>0.025</v>
      </c>
      <c r="AA62" s="148" t="s">
        <v>45</v>
      </c>
    </row>
    <row r="63" spans="1:27">
      <c r="A63" s="147">
        <v>1034</v>
      </c>
      <c r="B63" s="147" t="s">
        <v>27</v>
      </c>
      <c r="C63" s="147" t="s">
        <v>46</v>
      </c>
      <c r="D63" s="148" t="s">
        <v>47</v>
      </c>
      <c r="E63" s="148" t="s">
        <v>30</v>
      </c>
      <c r="F63" s="149">
        <v>2026</v>
      </c>
      <c r="G63" s="148" t="s">
        <v>33</v>
      </c>
      <c r="H63" s="149">
        <v>19</v>
      </c>
      <c r="I63" s="150">
        <v>1276920</v>
      </c>
      <c r="J63" s="149">
        <v>264</v>
      </c>
      <c r="K63" s="150">
        <v>180411</v>
      </c>
      <c r="L63" s="151">
        <v>0</v>
      </c>
      <c r="M63" s="152">
        <f t="shared" si="0"/>
        <v>0</v>
      </c>
      <c r="N63" s="148"/>
      <c r="O63" s="150">
        <v>94234</v>
      </c>
      <c r="P63" s="149">
        <v>564</v>
      </c>
      <c r="Q63" s="154">
        <v>0.675</v>
      </c>
      <c r="R63" s="154">
        <v>0.325</v>
      </c>
      <c r="S63" s="148"/>
      <c r="T63" s="148"/>
      <c r="U63" s="154">
        <v>0.145</v>
      </c>
      <c r="V63" s="154">
        <v>0.392</v>
      </c>
      <c r="W63" s="154">
        <v>0.283</v>
      </c>
      <c r="X63" s="154">
        <v>0.117</v>
      </c>
      <c r="Y63" s="154">
        <v>0.037</v>
      </c>
      <c r="Z63" s="154">
        <v>0.026</v>
      </c>
      <c r="AA63" s="148" t="s">
        <v>45</v>
      </c>
    </row>
    <row r="64" spans="1:27">
      <c r="A64" s="147">
        <v>1035</v>
      </c>
      <c r="B64" s="147" t="s">
        <v>27</v>
      </c>
      <c r="C64" s="147" t="s">
        <v>46</v>
      </c>
      <c r="D64" s="148" t="s">
        <v>47</v>
      </c>
      <c r="E64" s="148" t="s">
        <v>30</v>
      </c>
      <c r="F64" s="149">
        <v>2026</v>
      </c>
      <c r="G64" s="148" t="s">
        <v>34</v>
      </c>
      <c r="H64" s="149">
        <v>5</v>
      </c>
      <c r="I64" s="150">
        <v>1275514</v>
      </c>
      <c r="J64" s="149">
        <v>337</v>
      </c>
      <c r="K64" s="150">
        <v>177152</v>
      </c>
      <c r="L64" s="151">
        <v>0</v>
      </c>
      <c r="M64" s="152">
        <f t="shared" si="0"/>
        <v>0</v>
      </c>
      <c r="N64" s="148"/>
      <c r="O64" s="150">
        <v>122007</v>
      </c>
      <c r="P64" s="149">
        <v>609</v>
      </c>
      <c r="Q64" s="154">
        <v>0.673</v>
      </c>
      <c r="R64" s="154">
        <v>0.327</v>
      </c>
      <c r="S64" s="148"/>
      <c r="T64" s="148"/>
      <c r="U64" s="154">
        <v>0.143</v>
      </c>
      <c r="V64" s="154">
        <v>0.392</v>
      </c>
      <c r="W64" s="154">
        <v>0.283</v>
      </c>
      <c r="X64" s="154">
        <v>0.118</v>
      </c>
      <c r="Y64" s="154">
        <v>0.038</v>
      </c>
      <c r="Z64" s="154">
        <v>0.026</v>
      </c>
      <c r="AA64" s="148" t="s">
        <v>45</v>
      </c>
    </row>
    <row r="65" spans="1:27">
      <c r="A65" s="147">
        <v>1036</v>
      </c>
      <c r="B65" s="147" t="s">
        <v>27</v>
      </c>
      <c r="C65" s="147" t="s">
        <v>46</v>
      </c>
      <c r="D65" s="148" t="s">
        <v>47</v>
      </c>
      <c r="E65" s="148" t="s">
        <v>30</v>
      </c>
      <c r="F65" s="149">
        <v>2026</v>
      </c>
      <c r="G65" s="148" t="s">
        <v>35</v>
      </c>
      <c r="H65" s="149">
        <v>5</v>
      </c>
      <c r="I65" s="150">
        <v>1273786</v>
      </c>
      <c r="J65" s="149">
        <v>322</v>
      </c>
      <c r="K65" s="150">
        <v>150362</v>
      </c>
      <c r="L65" s="151">
        <v>0</v>
      </c>
      <c r="M65" s="152">
        <f t="shared" si="0"/>
        <v>0</v>
      </c>
      <c r="N65" s="148"/>
      <c r="O65" s="150">
        <v>108367</v>
      </c>
      <c r="P65" s="149">
        <v>605</v>
      </c>
      <c r="Q65" s="154">
        <v>0.673</v>
      </c>
      <c r="R65" s="154">
        <v>0.327</v>
      </c>
      <c r="S65" s="148"/>
      <c r="T65" s="148"/>
      <c r="U65" s="154">
        <v>0.141</v>
      </c>
      <c r="V65" s="154">
        <v>0.393</v>
      </c>
      <c r="W65" s="154">
        <v>0.284</v>
      </c>
      <c r="X65" s="154">
        <v>0.118</v>
      </c>
      <c r="Y65" s="154">
        <v>0.038</v>
      </c>
      <c r="Z65" s="154">
        <v>0.026</v>
      </c>
      <c r="AA65" s="148" t="s">
        <v>45</v>
      </c>
    </row>
    <row r="66" spans="1:27">
      <c r="A66" s="147">
        <v>1037</v>
      </c>
      <c r="B66" s="147" t="s">
        <v>27</v>
      </c>
      <c r="C66" s="147" t="s">
        <v>46</v>
      </c>
      <c r="D66" s="148" t="s">
        <v>47</v>
      </c>
      <c r="E66" s="148" t="s">
        <v>30</v>
      </c>
      <c r="F66" s="149">
        <v>2026</v>
      </c>
      <c r="G66" s="148" t="s">
        <v>36</v>
      </c>
      <c r="H66" s="149">
        <v>2</v>
      </c>
      <c r="I66" s="150">
        <v>1271594</v>
      </c>
      <c r="J66" s="149">
        <v>319</v>
      </c>
      <c r="K66" s="150">
        <v>126185</v>
      </c>
      <c r="L66" s="151">
        <v>0</v>
      </c>
      <c r="M66" s="152">
        <f t="shared" ref="M66:M129" si="1">L66*17000</f>
        <v>0</v>
      </c>
      <c r="N66" s="148"/>
      <c r="O66" s="150">
        <v>92762</v>
      </c>
      <c r="P66" s="149">
        <v>582</v>
      </c>
      <c r="Q66" s="154">
        <v>0.675</v>
      </c>
      <c r="R66" s="154">
        <v>0.325</v>
      </c>
      <c r="S66" s="148"/>
      <c r="T66" s="148"/>
      <c r="U66" s="154">
        <v>0.136</v>
      </c>
      <c r="V66" s="154">
        <v>0.395</v>
      </c>
      <c r="W66" s="154">
        <v>0.285</v>
      </c>
      <c r="X66" s="154">
        <v>0.12</v>
      </c>
      <c r="Y66" s="154">
        <v>0.038</v>
      </c>
      <c r="Z66" s="154">
        <v>0.026</v>
      </c>
      <c r="AA66" s="148" t="s">
        <v>45</v>
      </c>
    </row>
    <row r="67" spans="1:27">
      <c r="A67" s="147">
        <v>1038</v>
      </c>
      <c r="B67" s="147" t="s">
        <v>27</v>
      </c>
      <c r="C67" s="147" t="s">
        <v>46</v>
      </c>
      <c r="D67" s="148" t="s">
        <v>47</v>
      </c>
      <c r="E67" s="148" t="s">
        <v>30</v>
      </c>
      <c r="F67" s="149">
        <v>2026</v>
      </c>
      <c r="G67" s="148" t="s">
        <v>37</v>
      </c>
      <c r="H67" s="149">
        <v>4</v>
      </c>
      <c r="I67" s="150">
        <v>1268193</v>
      </c>
      <c r="J67" s="149">
        <v>263</v>
      </c>
      <c r="K67" s="150">
        <v>136404</v>
      </c>
      <c r="L67" s="151">
        <v>0</v>
      </c>
      <c r="M67" s="152">
        <f t="shared" si="1"/>
        <v>0</v>
      </c>
      <c r="N67" s="148"/>
      <c r="O67" s="150">
        <v>94186</v>
      </c>
      <c r="P67" s="149">
        <v>464</v>
      </c>
      <c r="Q67" s="154">
        <v>0.675</v>
      </c>
      <c r="R67" s="154">
        <v>0.325</v>
      </c>
      <c r="S67" s="148"/>
      <c r="T67" s="148"/>
      <c r="U67" s="154">
        <v>0.135</v>
      </c>
      <c r="V67" s="154">
        <v>0.395</v>
      </c>
      <c r="W67" s="154">
        <v>0.286</v>
      </c>
      <c r="X67" s="154">
        <v>0.12</v>
      </c>
      <c r="Y67" s="154">
        <v>0.038</v>
      </c>
      <c r="Z67" s="154">
        <v>0.026</v>
      </c>
      <c r="AA67" s="148" t="s">
        <v>45</v>
      </c>
    </row>
    <row r="68" spans="1:27">
      <c r="A68" s="147">
        <v>1039</v>
      </c>
      <c r="B68" s="147" t="s">
        <v>27</v>
      </c>
      <c r="C68" s="147" t="s">
        <v>46</v>
      </c>
      <c r="D68" s="148" t="s">
        <v>47</v>
      </c>
      <c r="E68" s="148" t="s">
        <v>30</v>
      </c>
      <c r="F68" s="149">
        <v>2026</v>
      </c>
      <c r="G68" s="148" t="s">
        <v>38</v>
      </c>
      <c r="H68" s="149">
        <v>1</v>
      </c>
      <c r="I68" s="150">
        <v>1265344</v>
      </c>
      <c r="J68" s="149">
        <v>316</v>
      </c>
      <c r="K68" s="150">
        <v>134005</v>
      </c>
      <c r="L68" s="151">
        <v>0</v>
      </c>
      <c r="M68" s="152">
        <f t="shared" si="1"/>
        <v>0</v>
      </c>
      <c r="N68" s="148"/>
      <c r="O68" s="150">
        <v>96756</v>
      </c>
      <c r="P68" s="149">
        <v>584</v>
      </c>
      <c r="Q68" s="154">
        <v>0.69</v>
      </c>
      <c r="R68" s="154">
        <v>0.31</v>
      </c>
      <c r="S68" s="148"/>
      <c r="T68" s="148"/>
      <c r="U68" s="154">
        <v>0.111</v>
      </c>
      <c r="V68" s="154">
        <v>0.384</v>
      </c>
      <c r="W68" s="154">
        <v>0.303</v>
      </c>
      <c r="X68" s="154">
        <v>0.132</v>
      </c>
      <c r="Y68" s="154">
        <v>0.044</v>
      </c>
      <c r="Z68" s="154">
        <v>0.026</v>
      </c>
      <c r="AA68" s="148" t="s">
        <v>45</v>
      </c>
    </row>
    <row r="69" spans="1:27">
      <c r="A69" s="147">
        <v>1040</v>
      </c>
      <c r="B69" s="147" t="s">
        <v>27</v>
      </c>
      <c r="C69" s="147" t="s">
        <v>46</v>
      </c>
      <c r="D69" s="148" t="s">
        <v>47</v>
      </c>
      <c r="E69" s="148" t="s">
        <v>30</v>
      </c>
      <c r="F69" s="149">
        <v>2026</v>
      </c>
      <c r="G69" s="148" t="s">
        <v>39</v>
      </c>
      <c r="H69" s="148"/>
      <c r="I69" s="148"/>
      <c r="J69" s="148"/>
      <c r="K69" s="148"/>
      <c r="L69" s="152"/>
      <c r="M69" s="152">
        <f t="shared" si="1"/>
        <v>0</v>
      </c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</row>
    <row r="70" spans="1:27">
      <c r="A70" s="147">
        <v>1041</v>
      </c>
      <c r="B70" s="147" t="s">
        <v>27</v>
      </c>
      <c r="C70" s="147" t="s">
        <v>46</v>
      </c>
      <c r="D70" s="148" t="s">
        <v>47</v>
      </c>
      <c r="E70" s="148" t="s">
        <v>30</v>
      </c>
      <c r="F70" s="149">
        <v>2026</v>
      </c>
      <c r="G70" s="148" t="s">
        <v>40</v>
      </c>
      <c r="H70" s="148"/>
      <c r="I70" s="148"/>
      <c r="J70" s="148"/>
      <c r="K70" s="148"/>
      <c r="L70" s="152"/>
      <c r="M70" s="152">
        <f t="shared" si="1"/>
        <v>0</v>
      </c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</row>
    <row r="71" spans="1:27">
      <c r="A71" s="147">
        <v>1042</v>
      </c>
      <c r="B71" s="147" t="s">
        <v>27</v>
      </c>
      <c r="C71" s="147" t="s">
        <v>46</v>
      </c>
      <c r="D71" s="148" t="s">
        <v>47</v>
      </c>
      <c r="E71" s="148" t="s">
        <v>30</v>
      </c>
      <c r="F71" s="149">
        <v>2026</v>
      </c>
      <c r="G71" s="148" t="s">
        <v>41</v>
      </c>
      <c r="H71" s="148"/>
      <c r="I71" s="148"/>
      <c r="J71" s="148"/>
      <c r="K71" s="148"/>
      <c r="L71" s="152"/>
      <c r="M71" s="152">
        <f t="shared" si="1"/>
        <v>0</v>
      </c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</row>
    <row r="72" spans="1:27">
      <c r="A72" s="147">
        <v>1043</v>
      </c>
      <c r="B72" s="147" t="s">
        <v>27</v>
      </c>
      <c r="C72" s="147" t="s">
        <v>46</v>
      </c>
      <c r="D72" s="148" t="s">
        <v>47</v>
      </c>
      <c r="E72" s="148" t="s">
        <v>30</v>
      </c>
      <c r="F72" s="149">
        <v>2026</v>
      </c>
      <c r="G72" s="148" t="s">
        <v>42</v>
      </c>
      <c r="H72" s="148"/>
      <c r="I72" s="148"/>
      <c r="J72" s="148"/>
      <c r="K72" s="148"/>
      <c r="L72" s="152"/>
      <c r="M72" s="152">
        <f t="shared" si="1"/>
        <v>0</v>
      </c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</row>
    <row r="73" spans="1:27">
      <c r="A73" s="147">
        <v>1044</v>
      </c>
      <c r="B73" s="147" t="s">
        <v>27</v>
      </c>
      <c r="C73" s="147" t="s">
        <v>46</v>
      </c>
      <c r="D73" s="148" t="s">
        <v>47</v>
      </c>
      <c r="E73" s="148" t="s">
        <v>30</v>
      </c>
      <c r="F73" s="149">
        <v>2026</v>
      </c>
      <c r="G73" s="148" t="s">
        <v>43</v>
      </c>
      <c r="H73" s="148"/>
      <c r="I73" s="148"/>
      <c r="J73" s="148"/>
      <c r="K73" s="148"/>
      <c r="L73" s="152"/>
      <c r="M73" s="152">
        <f t="shared" si="1"/>
        <v>0</v>
      </c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</row>
    <row r="74" spans="1:27">
      <c r="A74" s="147">
        <v>1057</v>
      </c>
      <c r="B74" s="147" t="s">
        <v>27</v>
      </c>
      <c r="C74" s="147" t="s">
        <v>46</v>
      </c>
      <c r="D74" s="148" t="s">
        <v>49</v>
      </c>
      <c r="E74" s="148" t="s">
        <v>30</v>
      </c>
      <c r="F74" s="149">
        <v>2024</v>
      </c>
      <c r="G74" s="148" t="s">
        <v>31</v>
      </c>
      <c r="H74" s="150">
        <v>4320</v>
      </c>
      <c r="I74" s="150">
        <v>778910</v>
      </c>
      <c r="J74" s="149">
        <v>330</v>
      </c>
      <c r="K74" s="149" t="s">
        <v>32</v>
      </c>
      <c r="L74" s="151">
        <v>5</v>
      </c>
      <c r="M74" s="152">
        <f t="shared" si="1"/>
        <v>85000</v>
      </c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</row>
    <row r="75" spans="1:27">
      <c r="A75" s="147">
        <v>1058</v>
      </c>
      <c r="B75" s="147" t="s">
        <v>27</v>
      </c>
      <c r="C75" s="147" t="s">
        <v>46</v>
      </c>
      <c r="D75" s="148" t="s">
        <v>49</v>
      </c>
      <c r="E75" s="148" t="s">
        <v>30</v>
      </c>
      <c r="F75" s="149">
        <v>2024</v>
      </c>
      <c r="G75" s="148" t="s">
        <v>33</v>
      </c>
      <c r="H75" s="150">
        <v>2913</v>
      </c>
      <c r="I75" s="150">
        <v>779140</v>
      </c>
      <c r="J75" s="149">
        <v>230</v>
      </c>
      <c r="K75" s="149" t="s">
        <v>32</v>
      </c>
      <c r="L75" s="151">
        <v>3</v>
      </c>
      <c r="M75" s="152">
        <f t="shared" si="1"/>
        <v>51000</v>
      </c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</row>
    <row r="76" spans="1:27">
      <c r="A76" s="147">
        <v>1059</v>
      </c>
      <c r="B76" s="147" t="s">
        <v>27</v>
      </c>
      <c r="C76" s="147" t="s">
        <v>46</v>
      </c>
      <c r="D76" s="148" t="s">
        <v>49</v>
      </c>
      <c r="E76" s="148" t="s">
        <v>30</v>
      </c>
      <c r="F76" s="149">
        <v>2024</v>
      </c>
      <c r="G76" s="148" t="s">
        <v>34</v>
      </c>
      <c r="H76" s="150">
        <v>4158</v>
      </c>
      <c r="I76" s="150">
        <v>780076</v>
      </c>
      <c r="J76" s="149">
        <v>936</v>
      </c>
      <c r="K76" s="149" t="s">
        <v>32</v>
      </c>
      <c r="L76" s="151">
        <v>22</v>
      </c>
      <c r="M76" s="152">
        <f t="shared" si="1"/>
        <v>374000</v>
      </c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</row>
    <row r="77" spans="1:27">
      <c r="A77" s="147">
        <v>1060</v>
      </c>
      <c r="B77" s="147" t="s">
        <v>27</v>
      </c>
      <c r="C77" s="147" t="s">
        <v>46</v>
      </c>
      <c r="D77" s="148" t="s">
        <v>49</v>
      </c>
      <c r="E77" s="148" t="s">
        <v>30</v>
      </c>
      <c r="F77" s="149">
        <v>2024</v>
      </c>
      <c r="G77" s="148" t="s">
        <v>35</v>
      </c>
      <c r="H77" s="150">
        <v>4949</v>
      </c>
      <c r="I77" s="150">
        <v>780322</v>
      </c>
      <c r="J77" s="149">
        <v>246</v>
      </c>
      <c r="K77" s="149" t="s">
        <v>32</v>
      </c>
      <c r="L77" s="151">
        <v>4</v>
      </c>
      <c r="M77" s="152">
        <f t="shared" si="1"/>
        <v>68000</v>
      </c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</row>
    <row r="78" spans="1:27">
      <c r="A78" s="147">
        <v>1061</v>
      </c>
      <c r="B78" s="147" t="s">
        <v>27</v>
      </c>
      <c r="C78" s="147" t="s">
        <v>46</v>
      </c>
      <c r="D78" s="148" t="s">
        <v>49</v>
      </c>
      <c r="E78" s="148" t="s">
        <v>30</v>
      </c>
      <c r="F78" s="149">
        <v>2024</v>
      </c>
      <c r="G78" s="148" t="s">
        <v>36</v>
      </c>
      <c r="H78" s="150">
        <v>3981</v>
      </c>
      <c r="I78" s="150">
        <v>781722</v>
      </c>
      <c r="J78" s="150">
        <v>1400</v>
      </c>
      <c r="K78" s="149" t="s">
        <v>32</v>
      </c>
      <c r="L78" s="151">
        <v>3</v>
      </c>
      <c r="M78" s="152">
        <f t="shared" si="1"/>
        <v>51000</v>
      </c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</row>
    <row r="79" spans="1:27">
      <c r="A79" s="147">
        <v>1062</v>
      </c>
      <c r="B79" s="147" t="s">
        <v>27</v>
      </c>
      <c r="C79" s="147" t="s">
        <v>46</v>
      </c>
      <c r="D79" s="148" t="s">
        <v>49</v>
      </c>
      <c r="E79" s="148" t="s">
        <v>30</v>
      </c>
      <c r="F79" s="149">
        <v>2024</v>
      </c>
      <c r="G79" s="148" t="s">
        <v>37</v>
      </c>
      <c r="H79" s="150">
        <v>3332</v>
      </c>
      <c r="I79" s="150">
        <v>782107</v>
      </c>
      <c r="J79" s="149">
        <v>385</v>
      </c>
      <c r="K79" s="149" t="s">
        <v>32</v>
      </c>
      <c r="L79" s="151">
        <v>2</v>
      </c>
      <c r="M79" s="152">
        <f t="shared" si="1"/>
        <v>34000</v>
      </c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</row>
    <row r="80" spans="1:27">
      <c r="A80" s="147">
        <v>1063</v>
      </c>
      <c r="B80" s="147" t="s">
        <v>27</v>
      </c>
      <c r="C80" s="147" t="s">
        <v>46</v>
      </c>
      <c r="D80" s="148" t="s">
        <v>49</v>
      </c>
      <c r="E80" s="148" t="s">
        <v>30</v>
      </c>
      <c r="F80" s="149">
        <v>2024</v>
      </c>
      <c r="G80" s="148" t="s">
        <v>38</v>
      </c>
      <c r="H80" s="150">
        <v>3308</v>
      </c>
      <c r="I80" s="150">
        <v>782326</v>
      </c>
      <c r="J80" s="149">
        <v>219</v>
      </c>
      <c r="K80" s="149" t="s">
        <v>32</v>
      </c>
      <c r="L80" s="151">
        <v>1</v>
      </c>
      <c r="M80" s="152">
        <f t="shared" si="1"/>
        <v>17000</v>
      </c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</row>
    <row r="81" spans="1:27">
      <c r="A81" s="147">
        <v>1064</v>
      </c>
      <c r="B81" s="147" t="s">
        <v>27</v>
      </c>
      <c r="C81" s="147" t="s">
        <v>46</v>
      </c>
      <c r="D81" s="148" t="s">
        <v>49</v>
      </c>
      <c r="E81" s="148" t="s">
        <v>30</v>
      </c>
      <c r="F81" s="149">
        <v>2024</v>
      </c>
      <c r="G81" s="148" t="s">
        <v>39</v>
      </c>
      <c r="H81" s="150">
        <v>3870</v>
      </c>
      <c r="I81" s="150">
        <v>782566</v>
      </c>
      <c r="J81" s="149">
        <v>240</v>
      </c>
      <c r="K81" s="148" t="s">
        <v>32</v>
      </c>
      <c r="L81" s="151">
        <v>1</v>
      </c>
      <c r="M81" s="152">
        <f t="shared" si="1"/>
        <v>17000</v>
      </c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</row>
    <row r="82" spans="1:27">
      <c r="A82" s="147">
        <v>1065</v>
      </c>
      <c r="B82" s="147" t="s">
        <v>27</v>
      </c>
      <c r="C82" s="147" t="s">
        <v>46</v>
      </c>
      <c r="D82" s="148" t="s">
        <v>49</v>
      </c>
      <c r="E82" s="148" t="s">
        <v>30</v>
      </c>
      <c r="F82" s="149">
        <v>2024</v>
      </c>
      <c r="G82" s="148" t="s">
        <v>40</v>
      </c>
      <c r="H82" s="150">
        <v>3585</v>
      </c>
      <c r="I82" s="150">
        <v>783304</v>
      </c>
      <c r="J82" s="149">
        <v>738</v>
      </c>
      <c r="K82" s="148" t="s">
        <v>32</v>
      </c>
      <c r="L82" s="151">
        <v>6</v>
      </c>
      <c r="M82" s="152">
        <f t="shared" si="1"/>
        <v>102000</v>
      </c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</row>
    <row r="83" spans="1:27">
      <c r="A83" s="147">
        <v>1066</v>
      </c>
      <c r="B83" s="147" t="s">
        <v>27</v>
      </c>
      <c r="C83" s="147" t="s">
        <v>46</v>
      </c>
      <c r="D83" s="148" t="s">
        <v>49</v>
      </c>
      <c r="E83" s="148" t="s">
        <v>30</v>
      </c>
      <c r="F83" s="149">
        <v>2024</v>
      </c>
      <c r="G83" s="148" t="s">
        <v>41</v>
      </c>
      <c r="H83" s="150">
        <v>4305</v>
      </c>
      <c r="I83" s="150">
        <v>785514</v>
      </c>
      <c r="J83" s="150">
        <v>2210</v>
      </c>
      <c r="K83" s="150">
        <v>5998931</v>
      </c>
      <c r="L83" s="151">
        <v>23</v>
      </c>
      <c r="M83" s="152">
        <f t="shared" si="1"/>
        <v>391000</v>
      </c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</row>
    <row r="84" spans="1:27">
      <c r="A84" s="147">
        <v>1067</v>
      </c>
      <c r="B84" s="147" t="s">
        <v>27</v>
      </c>
      <c r="C84" s="147" t="s">
        <v>46</v>
      </c>
      <c r="D84" s="148" t="s">
        <v>49</v>
      </c>
      <c r="E84" s="148" t="s">
        <v>30</v>
      </c>
      <c r="F84" s="149">
        <v>2024</v>
      </c>
      <c r="G84" s="148" t="s">
        <v>42</v>
      </c>
      <c r="H84" s="150">
        <v>4567</v>
      </c>
      <c r="I84" s="150">
        <v>785693</v>
      </c>
      <c r="J84" s="149">
        <v>179</v>
      </c>
      <c r="K84" s="150">
        <v>4386122</v>
      </c>
      <c r="L84" s="151">
        <v>0</v>
      </c>
      <c r="M84" s="152">
        <f t="shared" si="1"/>
        <v>0</v>
      </c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</row>
    <row r="85" spans="1:27">
      <c r="A85" s="147">
        <v>1068</v>
      </c>
      <c r="B85" s="147" t="s">
        <v>27</v>
      </c>
      <c r="C85" s="147" t="s">
        <v>46</v>
      </c>
      <c r="D85" s="148" t="s">
        <v>49</v>
      </c>
      <c r="E85" s="148" t="s">
        <v>30</v>
      </c>
      <c r="F85" s="149">
        <v>2024</v>
      </c>
      <c r="G85" s="148" t="s">
        <v>43</v>
      </c>
      <c r="H85" s="150">
        <v>1503</v>
      </c>
      <c r="I85" s="150">
        <v>788107</v>
      </c>
      <c r="J85" s="150">
        <v>2414</v>
      </c>
      <c r="K85" s="150">
        <v>8816735</v>
      </c>
      <c r="L85" s="151">
        <v>0</v>
      </c>
      <c r="M85" s="152">
        <f t="shared" si="1"/>
        <v>0</v>
      </c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</row>
    <row r="86" spans="1:27">
      <c r="A86" s="147">
        <v>1069</v>
      </c>
      <c r="B86" s="147" t="s">
        <v>27</v>
      </c>
      <c r="C86" s="147" t="s">
        <v>46</v>
      </c>
      <c r="D86" s="148" t="s">
        <v>49</v>
      </c>
      <c r="E86" s="148" t="s">
        <v>30</v>
      </c>
      <c r="F86" s="149">
        <v>2025</v>
      </c>
      <c r="G86" s="148" t="s">
        <v>31</v>
      </c>
      <c r="H86" s="150">
        <v>1832</v>
      </c>
      <c r="I86" s="150">
        <v>794864</v>
      </c>
      <c r="J86" s="150">
        <v>6757</v>
      </c>
      <c r="K86" s="150">
        <v>8192077</v>
      </c>
      <c r="L86" s="151">
        <v>40</v>
      </c>
      <c r="M86" s="152">
        <f t="shared" si="1"/>
        <v>680000</v>
      </c>
      <c r="N86" s="148"/>
      <c r="O86" s="148" t="s">
        <v>48</v>
      </c>
      <c r="P86" s="150">
        <v>69161</v>
      </c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</row>
    <row r="87" spans="1:27">
      <c r="A87" s="147">
        <v>1070</v>
      </c>
      <c r="B87" s="147" t="s">
        <v>27</v>
      </c>
      <c r="C87" s="147" t="s">
        <v>46</v>
      </c>
      <c r="D87" s="148" t="s">
        <v>49</v>
      </c>
      <c r="E87" s="148" t="s">
        <v>30</v>
      </c>
      <c r="F87" s="149">
        <v>2025</v>
      </c>
      <c r="G87" s="148" t="s">
        <v>33</v>
      </c>
      <c r="H87" s="149">
        <v>768</v>
      </c>
      <c r="I87" s="150">
        <v>801245</v>
      </c>
      <c r="J87" s="150">
        <v>6381</v>
      </c>
      <c r="K87" s="150">
        <v>6954775</v>
      </c>
      <c r="L87" s="151">
        <v>36</v>
      </c>
      <c r="M87" s="152">
        <f t="shared" si="1"/>
        <v>612000</v>
      </c>
      <c r="N87" s="148"/>
      <c r="O87" s="148" t="s">
        <v>48</v>
      </c>
      <c r="P87" s="150">
        <v>65862</v>
      </c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</row>
    <row r="88" spans="1:27">
      <c r="A88" s="147">
        <v>1071</v>
      </c>
      <c r="B88" s="147" t="s">
        <v>27</v>
      </c>
      <c r="C88" s="147" t="s">
        <v>46</v>
      </c>
      <c r="D88" s="148" t="s">
        <v>49</v>
      </c>
      <c r="E88" s="148" t="s">
        <v>30</v>
      </c>
      <c r="F88" s="149">
        <v>2025</v>
      </c>
      <c r="G88" s="148" t="s">
        <v>34</v>
      </c>
      <c r="H88" s="149">
        <v>385</v>
      </c>
      <c r="I88" s="150">
        <v>812216</v>
      </c>
      <c r="J88" s="150">
        <v>10971</v>
      </c>
      <c r="K88" s="150">
        <v>7580652</v>
      </c>
      <c r="L88" s="151">
        <v>71</v>
      </c>
      <c r="M88" s="152">
        <f t="shared" si="1"/>
        <v>1207000</v>
      </c>
      <c r="N88" s="148"/>
      <c r="O88" s="148" t="s">
        <v>48</v>
      </c>
      <c r="P88" s="150">
        <v>83829</v>
      </c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</row>
    <row r="89" spans="1:27">
      <c r="A89" s="147">
        <v>1072</v>
      </c>
      <c r="B89" s="147" t="s">
        <v>27</v>
      </c>
      <c r="C89" s="147" t="s">
        <v>46</v>
      </c>
      <c r="D89" s="148" t="s">
        <v>49</v>
      </c>
      <c r="E89" s="148" t="s">
        <v>30</v>
      </c>
      <c r="F89" s="149">
        <v>2025</v>
      </c>
      <c r="G89" s="148" t="s">
        <v>35</v>
      </c>
      <c r="H89" s="149">
        <v>206</v>
      </c>
      <c r="I89" s="150">
        <v>821449</v>
      </c>
      <c r="J89" s="150">
        <v>9233</v>
      </c>
      <c r="K89" s="150">
        <v>5719137</v>
      </c>
      <c r="L89" s="151">
        <v>50</v>
      </c>
      <c r="M89" s="152">
        <f t="shared" si="1"/>
        <v>850000</v>
      </c>
      <c r="N89" s="148"/>
      <c r="O89" s="148" t="s">
        <v>48</v>
      </c>
      <c r="P89" s="150">
        <v>71131</v>
      </c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</row>
    <row r="90" spans="1:27">
      <c r="A90" s="147">
        <v>1073</v>
      </c>
      <c r="B90" s="147" t="s">
        <v>27</v>
      </c>
      <c r="C90" s="147" t="s">
        <v>46</v>
      </c>
      <c r="D90" s="148" t="s">
        <v>49</v>
      </c>
      <c r="E90" s="148" t="s">
        <v>30</v>
      </c>
      <c r="F90" s="149">
        <v>2025</v>
      </c>
      <c r="G90" s="148" t="s">
        <v>36</v>
      </c>
      <c r="H90" s="149">
        <v>60</v>
      </c>
      <c r="I90" s="150">
        <v>829257</v>
      </c>
      <c r="J90" s="150">
        <v>7808</v>
      </c>
      <c r="K90" s="150">
        <v>4182430</v>
      </c>
      <c r="L90" s="151">
        <v>41</v>
      </c>
      <c r="M90" s="152">
        <f t="shared" si="1"/>
        <v>697000</v>
      </c>
      <c r="N90" s="148"/>
      <c r="O90" s="148" t="s">
        <v>48</v>
      </c>
      <c r="P90" s="150">
        <v>48913</v>
      </c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</row>
    <row r="91" spans="1:27">
      <c r="A91" s="147">
        <v>1074</v>
      </c>
      <c r="B91" s="147" t="s">
        <v>27</v>
      </c>
      <c r="C91" s="147" t="s">
        <v>46</v>
      </c>
      <c r="D91" s="148" t="s">
        <v>49</v>
      </c>
      <c r="E91" s="148" t="s">
        <v>30</v>
      </c>
      <c r="F91" s="149">
        <v>2025</v>
      </c>
      <c r="G91" s="148" t="s">
        <v>37</v>
      </c>
      <c r="H91" s="149">
        <v>95</v>
      </c>
      <c r="I91" s="150">
        <v>835119</v>
      </c>
      <c r="J91" s="150">
        <v>5862</v>
      </c>
      <c r="K91" s="150">
        <v>3277395</v>
      </c>
      <c r="L91" s="151">
        <v>63</v>
      </c>
      <c r="M91" s="152">
        <f t="shared" si="1"/>
        <v>1071000</v>
      </c>
      <c r="N91" s="148"/>
      <c r="O91" s="148" t="s">
        <v>48</v>
      </c>
      <c r="P91" s="150">
        <v>39117</v>
      </c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</row>
    <row r="92" spans="1:27">
      <c r="A92" s="147">
        <v>1075</v>
      </c>
      <c r="B92" s="147" t="s">
        <v>27</v>
      </c>
      <c r="C92" s="147" t="s">
        <v>46</v>
      </c>
      <c r="D92" s="148" t="s">
        <v>49</v>
      </c>
      <c r="E92" s="148" t="s">
        <v>30</v>
      </c>
      <c r="F92" s="149">
        <v>2025</v>
      </c>
      <c r="G92" s="148" t="s">
        <v>38</v>
      </c>
      <c r="H92" s="149">
        <v>16</v>
      </c>
      <c r="I92" s="150">
        <v>836739</v>
      </c>
      <c r="J92" s="150">
        <v>2344</v>
      </c>
      <c r="K92" s="150">
        <v>993094</v>
      </c>
      <c r="L92" s="151">
        <v>14</v>
      </c>
      <c r="M92" s="152">
        <f t="shared" si="1"/>
        <v>238000</v>
      </c>
      <c r="N92" s="148"/>
      <c r="O92" s="150">
        <v>666830</v>
      </c>
      <c r="P92" s="150">
        <v>13110</v>
      </c>
      <c r="Q92" s="154">
        <v>0.623</v>
      </c>
      <c r="R92" s="154">
        <v>0.377</v>
      </c>
      <c r="S92" s="148"/>
      <c r="T92" s="148" t="s">
        <v>44</v>
      </c>
      <c r="U92" s="154">
        <v>0.14</v>
      </c>
      <c r="V92" s="154">
        <v>0.386</v>
      </c>
      <c r="W92" s="154">
        <v>0.295</v>
      </c>
      <c r="X92" s="154">
        <v>0.118</v>
      </c>
      <c r="Y92" s="154">
        <v>0.036</v>
      </c>
      <c r="Z92" s="154">
        <v>0.025</v>
      </c>
      <c r="AA92" s="148" t="s">
        <v>45</v>
      </c>
    </row>
    <row r="93" spans="1:27">
      <c r="A93" s="147">
        <v>1076</v>
      </c>
      <c r="B93" s="147" t="s">
        <v>27</v>
      </c>
      <c r="C93" s="147" t="s">
        <v>46</v>
      </c>
      <c r="D93" s="148" t="s">
        <v>49</v>
      </c>
      <c r="E93" s="148" t="s">
        <v>30</v>
      </c>
      <c r="F93" s="149">
        <v>2025</v>
      </c>
      <c r="G93" s="148" t="s">
        <v>39</v>
      </c>
      <c r="H93" s="149">
        <v>11</v>
      </c>
      <c r="I93" s="150">
        <v>839938</v>
      </c>
      <c r="J93" s="150">
        <v>4655</v>
      </c>
      <c r="K93" s="150">
        <v>1820420</v>
      </c>
      <c r="L93" s="151">
        <v>24</v>
      </c>
      <c r="M93" s="152">
        <f t="shared" si="1"/>
        <v>408000</v>
      </c>
      <c r="N93" s="148"/>
      <c r="O93" s="150">
        <v>1141988</v>
      </c>
      <c r="P93" s="150">
        <v>25562</v>
      </c>
      <c r="Q93" s="154">
        <v>0.623</v>
      </c>
      <c r="R93" s="154">
        <v>0.377</v>
      </c>
      <c r="S93" s="148"/>
      <c r="T93" s="148"/>
      <c r="U93" s="154">
        <v>0.135</v>
      </c>
      <c r="V93" s="154">
        <v>0.39</v>
      </c>
      <c r="W93" s="154">
        <v>0.295</v>
      </c>
      <c r="X93" s="154">
        <v>0.119</v>
      </c>
      <c r="Y93" s="154">
        <v>0.036</v>
      </c>
      <c r="Z93" s="154">
        <v>0.025</v>
      </c>
      <c r="AA93" s="148" t="s">
        <v>45</v>
      </c>
    </row>
    <row r="94" spans="1:27">
      <c r="A94" s="147">
        <v>1077</v>
      </c>
      <c r="B94" s="147" t="s">
        <v>27</v>
      </c>
      <c r="C94" s="147" t="s">
        <v>46</v>
      </c>
      <c r="D94" s="148" t="s">
        <v>49</v>
      </c>
      <c r="E94" s="148" t="s">
        <v>30</v>
      </c>
      <c r="F94" s="149">
        <v>2025</v>
      </c>
      <c r="G94" s="148" t="s">
        <v>40</v>
      </c>
      <c r="H94" s="149">
        <v>17</v>
      </c>
      <c r="I94" s="150">
        <v>844171</v>
      </c>
      <c r="J94" s="150">
        <v>5705</v>
      </c>
      <c r="K94" s="150">
        <v>1875123</v>
      </c>
      <c r="L94" s="151">
        <v>24</v>
      </c>
      <c r="M94" s="152">
        <f t="shared" si="1"/>
        <v>408000</v>
      </c>
      <c r="N94" s="148"/>
      <c r="O94" s="150">
        <v>1235781</v>
      </c>
      <c r="P94" s="150">
        <v>32816</v>
      </c>
      <c r="Q94" s="154">
        <v>0.622</v>
      </c>
      <c r="R94" s="154">
        <v>0.378</v>
      </c>
      <c r="S94" s="148"/>
      <c r="T94" s="148"/>
      <c r="U94" s="154">
        <v>0.133</v>
      </c>
      <c r="V94" s="154">
        <v>0.389</v>
      </c>
      <c r="W94" s="154">
        <v>0.296</v>
      </c>
      <c r="X94" s="154">
        <v>0.12</v>
      </c>
      <c r="Y94" s="154">
        <v>0.037</v>
      </c>
      <c r="Z94" s="154">
        <v>0.025</v>
      </c>
      <c r="AA94" s="148" t="s">
        <v>45</v>
      </c>
    </row>
    <row r="95" spans="1:27">
      <c r="A95" s="147">
        <v>1078</v>
      </c>
      <c r="B95" s="147" t="s">
        <v>27</v>
      </c>
      <c r="C95" s="147" t="s">
        <v>46</v>
      </c>
      <c r="D95" s="148" t="s">
        <v>49</v>
      </c>
      <c r="E95" s="148" t="s">
        <v>30</v>
      </c>
      <c r="F95" s="149">
        <v>2025</v>
      </c>
      <c r="G95" s="148" t="s">
        <v>41</v>
      </c>
      <c r="H95" s="149">
        <v>21</v>
      </c>
      <c r="I95" s="150">
        <v>844965</v>
      </c>
      <c r="J95" s="150">
        <v>2497</v>
      </c>
      <c r="K95" s="150">
        <v>912643</v>
      </c>
      <c r="L95" s="151">
        <v>12</v>
      </c>
      <c r="M95" s="152">
        <f t="shared" si="1"/>
        <v>204000</v>
      </c>
      <c r="N95" s="148"/>
      <c r="O95" s="150">
        <v>577641</v>
      </c>
      <c r="P95" s="150">
        <v>12780</v>
      </c>
      <c r="Q95" s="154">
        <v>0.624</v>
      </c>
      <c r="R95" s="154">
        <v>0.376</v>
      </c>
      <c r="S95" s="148"/>
      <c r="T95" s="148"/>
      <c r="U95" s="154">
        <v>0.128</v>
      </c>
      <c r="V95" s="154">
        <v>0.39</v>
      </c>
      <c r="W95" s="154">
        <v>0.298</v>
      </c>
      <c r="X95" s="154">
        <v>0.122</v>
      </c>
      <c r="Y95" s="154">
        <v>0.037</v>
      </c>
      <c r="Z95" s="154">
        <v>0.025</v>
      </c>
      <c r="AA95" s="148" t="s">
        <v>45</v>
      </c>
    </row>
    <row r="96" spans="1:27">
      <c r="A96" s="147">
        <v>1079</v>
      </c>
      <c r="B96" s="147" t="s">
        <v>27</v>
      </c>
      <c r="C96" s="147" t="s">
        <v>46</v>
      </c>
      <c r="D96" s="148" t="s">
        <v>49</v>
      </c>
      <c r="E96" s="148" t="s">
        <v>30</v>
      </c>
      <c r="F96" s="149">
        <v>2025</v>
      </c>
      <c r="G96" s="148" t="s">
        <v>42</v>
      </c>
      <c r="H96" s="149">
        <v>13</v>
      </c>
      <c r="I96" s="150">
        <v>844564</v>
      </c>
      <c r="J96" s="150">
        <v>1198</v>
      </c>
      <c r="K96" s="150">
        <v>426694</v>
      </c>
      <c r="L96" s="151">
        <v>5</v>
      </c>
      <c r="M96" s="152">
        <f t="shared" si="1"/>
        <v>85000</v>
      </c>
      <c r="N96" s="148"/>
      <c r="O96" s="150">
        <v>216962</v>
      </c>
      <c r="P96" s="150">
        <v>5084</v>
      </c>
      <c r="Q96" s="154">
        <v>0.623</v>
      </c>
      <c r="R96" s="154">
        <v>0.377</v>
      </c>
      <c r="S96" s="148"/>
      <c r="T96" s="148"/>
      <c r="U96" s="154">
        <v>0.126</v>
      </c>
      <c r="V96" s="154">
        <v>0.389</v>
      </c>
      <c r="W96" s="154">
        <v>0.3</v>
      </c>
      <c r="X96" s="154">
        <v>0.123</v>
      </c>
      <c r="Y96" s="154">
        <v>0.037</v>
      </c>
      <c r="Z96" s="154">
        <v>0.025</v>
      </c>
      <c r="AA96" s="148" t="s">
        <v>45</v>
      </c>
    </row>
    <row r="97" spans="1:27">
      <c r="A97" s="147">
        <v>1080</v>
      </c>
      <c r="B97" s="147" t="s">
        <v>27</v>
      </c>
      <c r="C97" s="147" t="s">
        <v>46</v>
      </c>
      <c r="D97" s="148" t="s">
        <v>49</v>
      </c>
      <c r="E97" s="148" t="s">
        <v>30</v>
      </c>
      <c r="F97" s="149">
        <v>2025</v>
      </c>
      <c r="G97" s="148" t="s">
        <v>43</v>
      </c>
      <c r="H97" s="149">
        <v>9</v>
      </c>
      <c r="I97" s="150">
        <v>843424</v>
      </c>
      <c r="J97" s="149">
        <v>256</v>
      </c>
      <c r="K97" s="150">
        <v>119564</v>
      </c>
      <c r="L97" s="151">
        <v>1</v>
      </c>
      <c r="M97" s="152">
        <f t="shared" si="1"/>
        <v>17000</v>
      </c>
      <c r="N97" s="148"/>
      <c r="O97" s="150">
        <v>86566</v>
      </c>
      <c r="P97" s="149">
        <v>565</v>
      </c>
      <c r="Q97" s="154">
        <v>0.623</v>
      </c>
      <c r="R97" s="154">
        <v>0.377</v>
      </c>
      <c r="S97" s="148"/>
      <c r="T97" s="148"/>
      <c r="U97" s="154">
        <v>0.122</v>
      </c>
      <c r="V97" s="154">
        <v>0.39</v>
      </c>
      <c r="W97" s="154">
        <v>0.3</v>
      </c>
      <c r="X97" s="154">
        <v>0.124</v>
      </c>
      <c r="Y97" s="154">
        <v>0.038</v>
      </c>
      <c r="Z97" s="154">
        <v>0.026</v>
      </c>
      <c r="AA97" s="148" t="s">
        <v>45</v>
      </c>
    </row>
    <row r="98" spans="1:27">
      <c r="A98" s="147">
        <v>1081</v>
      </c>
      <c r="B98" s="147" t="s">
        <v>27</v>
      </c>
      <c r="C98" s="147" t="s">
        <v>46</v>
      </c>
      <c r="D98" s="148" t="s">
        <v>49</v>
      </c>
      <c r="E98" s="148" t="s">
        <v>30</v>
      </c>
      <c r="F98" s="149">
        <v>2026</v>
      </c>
      <c r="G98" s="148" t="s">
        <v>31</v>
      </c>
      <c r="H98" s="149">
        <v>16</v>
      </c>
      <c r="I98" s="150">
        <v>842355</v>
      </c>
      <c r="J98" s="149">
        <v>288</v>
      </c>
      <c r="K98" s="150">
        <v>147011</v>
      </c>
      <c r="L98" s="151">
        <v>1</v>
      </c>
      <c r="M98" s="152">
        <f t="shared" si="1"/>
        <v>17000</v>
      </c>
      <c r="N98" s="148"/>
      <c r="O98" s="150">
        <v>101813</v>
      </c>
      <c r="P98" s="149">
        <v>744</v>
      </c>
      <c r="Q98" s="154">
        <v>0.624</v>
      </c>
      <c r="R98" s="154">
        <v>0.376</v>
      </c>
      <c r="S98" s="148"/>
      <c r="T98" s="148"/>
      <c r="U98" s="154">
        <v>0.12</v>
      </c>
      <c r="V98" s="154">
        <v>0.389</v>
      </c>
      <c r="W98" s="154">
        <v>0.301</v>
      </c>
      <c r="X98" s="154">
        <v>0.125</v>
      </c>
      <c r="Y98" s="154">
        <v>0.039</v>
      </c>
      <c r="Z98" s="154">
        <v>0.026</v>
      </c>
      <c r="AA98" s="148" t="s">
        <v>45</v>
      </c>
    </row>
    <row r="99" spans="1:27">
      <c r="A99" s="147">
        <v>1082</v>
      </c>
      <c r="B99" s="147" t="s">
        <v>27</v>
      </c>
      <c r="C99" s="147" t="s">
        <v>46</v>
      </c>
      <c r="D99" s="148" t="s">
        <v>49</v>
      </c>
      <c r="E99" s="148" t="s">
        <v>30</v>
      </c>
      <c r="F99" s="149">
        <v>2026</v>
      </c>
      <c r="G99" s="148" t="s">
        <v>33</v>
      </c>
      <c r="H99" s="149">
        <v>25</v>
      </c>
      <c r="I99" s="150">
        <v>841532</v>
      </c>
      <c r="J99" s="149">
        <v>209</v>
      </c>
      <c r="K99" s="150">
        <v>146560</v>
      </c>
      <c r="L99" s="151">
        <v>1</v>
      </c>
      <c r="M99" s="152">
        <f t="shared" si="1"/>
        <v>17000</v>
      </c>
      <c r="N99" s="148"/>
      <c r="O99" s="150">
        <v>88458</v>
      </c>
      <c r="P99" s="149">
        <v>562</v>
      </c>
      <c r="Q99" s="154">
        <v>0.623</v>
      </c>
      <c r="R99" s="154">
        <v>0.377</v>
      </c>
      <c r="S99" s="148"/>
      <c r="T99" s="148"/>
      <c r="U99" s="154">
        <v>0.117</v>
      </c>
      <c r="V99" s="154">
        <v>0.39</v>
      </c>
      <c r="W99" s="154">
        <v>0.302</v>
      </c>
      <c r="X99" s="154">
        <v>0.126</v>
      </c>
      <c r="Y99" s="154">
        <v>0.039</v>
      </c>
      <c r="Z99" s="154">
        <v>0.026</v>
      </c>
      <c r="AA99" s="148" t="s">
        <v>45</v>
      </c>
    </row>
    <row r="100" spans="1:27">
      <c r="A100" s="147">
        <v>1083</v>
      </c>
      <c r="B100" s="147" t="s">
        <v>27</v>
      </c>
      <c r="C100" s="147" t="s">
        <v>46</v>
      </c>
      <c r="D100" s="148" t="s">
        <v>49</v>
      </c>
      <c r="E100" s="148" t="s">
        <v>30</v>
      </c>
      <c r="F100" s="149">
        <v>2026</v>
      </c>
      <c r="G100" s="148" t="s">
        <v>34</v>
      </c>
      <c r="H100" s="149">
        <v>13</v>
      </c>
      <c r="I100" s="150">
        <v>841711</v>
      </c>
      <c r="J100" s="150">
        <v>1406</v>
      </c>
      <c r="K100" s="150">
        <v>1591522</v>
      </c>
      <c r="L100" s="151">
        <v>19</v>
      </c>
      <c r="M100" s="152">
        <f t="shared" si="1"/>
        <v>323000</v>
      </c>
      <c r="N100" s="148"/>
      <c r="O100" s="150">
        <v>1261730</v>
      </c>
      <c r="P100" s="150">
        <v>23476</v>
      </c>
      <c r="Q100" s="154">
        <v>0.623</v>
      </c>
      <c r="R100" s="154">
        <v>0.377</v>
      </c>
      <c r="S100" s="148"/>
      <c r="T100" s="148"/>
      <c r="U100" s="154">
        <v>0.116</v>
      </c>
      <c r="V100" s="154">
        <v>0.389</v>
      </c>
      <c r="W100" s="154">
        <v>0.303</v>
      </c>
      <c r="X100" s="154">
        <v>0.127</v>
      </c>
      <c r="Y100" s="154">
        <v>0.039</v>
      </c>
      <c r="Z100" s="154">
        <v>0.026</v>
      </c>
      <c r="AA100" s="148" t="s">
        <v>45</v>
      </c>
    </row>
    <row r="101" spans="1:27">
      <c r="A101" s="147">
        <v>1084</v>
      </c>
      <c r="B101" s="147" t="s">
        <v>27</v>
      </c>
      <c r="C101" s="147" t="s">
        <v>46</v>
      </c>
      <c r="D101" s="148" t="s">
        <v>49</v>
      </c>
      <c r="E101" s="148" t="s">
        <v>30</v>
      </c>
      <c r="F101" s="149">
        <v>2026</v>
      </c>
      <c r="G101" s="148" t="s">
        <v>35</v>
      </c>
      <c r="H101" s="149">
        <v>18</v>
      </c>
      <c r="I101" s="150">
        <v>840641</v>
      </c>
      <c r="J101" s="149">
        <v>291</v>
      </c>
      <c r="K101" s="150">
        <v>256844</v>
      </c>
      <c r="L101" s="151">
        <v>1</v>
      </c>
      <c r="M101" s="152">
        <f t="shared" si="1"/>
        <v>17000</v>
      </c>
      <c r="N101" s="148"/>
      <c r="O101" s="150">
        <v>160796</v>
      </c>
      <c r="P101" s="150">
        <v>1370</v>
      </c>
      <c r="Q101" s="154">
        <v>0.623</v>
      </c>
      <c r="R101" s="154">
        <v>0.377</v>
      </c>
      <c r="S101" s="148"/>
      <c r="T101" s="148"/>
      <c r="U101" s="154">
        <v>0.114</v>
      </c>
      <c r="V101" s="154">
        <v>0.389</v>
      </c>
      <c r="W101" s="154">
        <v>0.304</v>
      </c>
      <c r="X101" s="154">
        <v>0.128</v>
      </c>
      <c r="Y101" s="154">
        <v>0.039</v>
      </c>
      <c r="Z101" s="154">
        <v>0.026</v>
      </c>
      <c r="AA101" s="148" t="s">
        <v>45</v>
      </c>
    </row>
    <row r="102" spans="1:27">
      <c r="A102" s="147">
        <v>1085</v>
      </c>
      <c r="B102" s="147" t="s">
        <v>27</v>
      </c>
      <c r="C102" s="147" t="s">
        <v>46</v>
      </c>
      <c r="D102" s="148" t="s">
        <v>49</v>
      </c>
      <c r="E102" s="148" t="s">
        <v>30</v>
      </c>
      <c r="F102" s="149">
        <v>2026</v>
      </c>
      <c r="G102" s="148" t="s">
        <v>36</v>
      </c>
      <c r="H102" s="149">
        <v>6</v>
      </c>
      <c r="I102" s="150">
        <v>839391</v>
      </c>
      <c r="J102" s="149">
        <v>314</v>
      </c>
      <c r="K102" s="150">
        <v>206420</v>
      </c>
      <c r="L102" s="151">
        <v>1</v>
      </c>
      <c r="M102" s="152">
        <f t="shared" si="1"/>
        <v>17000</v>
      </c>
      <c r="N102" s="148"/>
      <c r="O102" s="150">
        <v>150720</v>
      </c>
      <c r="P102" s="150">
        <v>1216</v>
      </c>
      <c r="Q102" s="154">
        <v>0.623</v>
      </c>
      <c r="R102" s="154">
        <v>0.377</v>
      </c>
      <c r="S102" s="148"/>
      <c r="T102" s="148"/>
      <c r="U102" s="154">
        <v>0.112</v>
      </c>
      <c r="V102" s="154">
        <v>0.388</v>
      </c>
      <c r="W102" s="154">
        <v>0.305</v>
      </c>
      <c r="X102" s="154">
        <v>0.129</v>
      </c>
      <c r="Y102" s="154">
        <v>0.04</v>
      </c>
      <c r="Z102" s="154">
        <v>0.026</v>
      </c>
      <c r="AA102" s="148" t="s">
        <v>45</v>
      </c>
    </row>
    <row r="103" spans="1:27">
      <c r="A103" s="147">
        <v>1086</v>
      </c>
      <c r="B103" s="147" t="s">
        <v>27</v>
      </c>
      <c r="C103" s="147" t="s">
        <v>46</v>
      </c>
      <c r="D103" s="148" t="s">
        <v>49</v>
      </c>
      <c r="E103" s="148" t="s">
        <v>30</v>
      </c>
      <c r="F103" s="149">
        <v>2026</v>
      </c>
      <c r="G103" s="148" t="s">
        <v>37</v>
      </c>
      <c r="H103" s="149">
        <v>11</v>
      </c>
      <c r="I103" s="150">
        <v>837412</v>
      </c>
      <c r="J103" s="149">
        <v>343</v>
      </c>
      <c r="K103" s="150">
        <v>268852</v>
      </c>
      <c r="L103" s="151">
        <v>1</v>
      </c>
      <c r="M103" s="152">
        <f t="shared" si="1"/>
        <v>17000</v>
      </c>
      <c r="N103" s="148"/>
      <c r="O103" s="150">
        <v>165926</v>
      </c>
      <c r="P103" s="150">
        <v>1321</v>
      </c>
      <c r="Q103" s="154">
        <v>0.623</v>
      </c>
      <c r="R103" s="154">
        <v>0.377</v>
      </c>
      <c r="S103" s="148"/>
      <c r="T103" s="148"/>
      <c r="U103" s="154">
        <v>0.111</v>
      </c>
      <c r="V103" s="154">
        <v>0.388</v>
      </c>
      <c r="W103" s="154">
        <v>0.305</v>
      </c>
      <c r="X103" s="154">
        <v>0.13</v>
      </c>
      <c r="Y103" s="154">
        <v>0.04</v>
      </c>
      <c r="Z103" s="154">
        <v>0.026</v>
      </c>
      <c r="AA103" s="148" t="s">
        <v>45</v>
      </c>
    </row>
    <row r="104" spans="1:27">
      <c r="A104" s="147">
        <v>1087</v>
      </c>
      <c r="B104" s="147" t="s">
        <v>27</v>
      </c>
      <c r="C104" s="147" t="s">
        <v>46</v>
      </c>
      <c r="D104" s="148" t="s">
        <v>49</v>
      </c>
      <c r="E104" s="148" t="s">
        <v>30</v>
      </c>
      <c r="F104" s="149">
        <v>2026</v>
      </c>
      <c r="G104" s="148" t="s">
        <v>38</v>
      </c>
      <c r="H104" s="149">
        <v>1</v>
      </c>
      <c r="I104" s="150">
        <v>835780</v>
      </c>
      <c r="J104" s="149">
        <v>313</v>
      </c>
      <c r="K104" s="150">
        <v>138131</v>
      </c>
      <c r="L104" s="151">
        <v>0</v>
      </c>
      <c r="M104" s="152">
        <f t="shared" si="1"/>
        <v>0</v>
      </c>
      <c r="N104" s="148"/>
      <c r="O104" s="150">
        <v>104940</v>
      </c>
      <c r="P104" s="149">
        <v>457</v>
      </c>
      <c r="Q104" s="154">
        <v>0.629</v>
      </c>
      <c r="R104" s="154">
        <v>0.371</v>
      </c>
      <c r="S104" s="148"/>
      <c r="T104" s="148"/>
      <c r="U104" s="154">
        <v>0.095</v>
      </c>
      <c r="V104" s="154">
        <v>0.375</v>
      </c>
      <c r="W104" s="154">
        <v>0.32</v>
      </c>
      <c r="X104" s="154">
        <v>0.139</v>
      </c>
      <c r="Y104" s="154">
        <v>0.045</v>
      </c>
      <c r="Z104" s="154">
        <v>0.026</v>
      </c>
      <c r="AA104" s="148" t="s">
        <v>45</v>
      </c>
    </row>
    <row r="105" spans="1:27">
      <c r="A105" s="147">
        <v>1088</v>
      </c>
      <c r="B105" s="147" t="s">
        <v>27</v>
      </c>
      <c r="C105" s="147" t="s">
        <v>46</v>
      </c>
      <c r="D105" s="148" t="s">
        <v>49</v>
      </c>
      <c r="E105" s="148" t="s">
        <v>30</v>
      </c>
      <c r="F105" s="149">
        <v>2026</v>
      </c>
      <c r="G105" s="148" t="s">
        <v>39</v>
      </c>
      <c r="H105" s="148"/>
      <c r="I105" s="148"/>
      <c r="J105" s="148"/>
      <c r="K105" s="148"/>
      <c r="L105" s="152"/>
      <c r="M105" s="152">
        <f t="shared" si="1"/>
        <v>0</v>
      </c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</row>
    <row r="106" spans="1:27">
      <c r="A106" s="147">
        <v>1089</v>
      </c>
      <c r="B106" s="147" t="s">
        <v>27</v>
      </c>
      <c r="C106" s="147" t="s">
        <v>46</v>
      </c>
      <c r="D106" s="148" t="s">
        <v>49</v>
      </c>
      <c r="E106" s="148" t="s">
        <v>30</v>
      </c>
      <c r="F106" s="149">
        <v>2026</v>
      </c>
      <c r="G106" s="148" t="s">
        <v>40</v>
      </c>
      <c r="H106" s="148"/>
      <c r="I106" s="148"/>
      <c r="J106" s="148"/>
      <c r="K106" s="148"/>
      <c r="L106" s="152"/>
      <c r="M106" s="152">
        <f t="shared" si="1"/>
        <v>0</v>
      </c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</row>
    <row r="107" spans="1:27">
      <c r="A107" s="147">
        <v>1090</v>
      </c>
      <c r="B107" s="147" t="s">
        <v>27</v>
      </c>
      <c r="C107" s="147" t="s">
        <v>46</v>
      </c>
      <c r="D107" s="148" t="s">
        <v>49</v>
      </c>
      <c r="E107" s="148" t="s">
        <v>30</v>
      </c>
      <c r="F107" s="149">
        <v>2026</v>
      </c>
      <c r="G107" s="148" t="s">
        <v>41</v>
      </c>
      <c r="H107" s="148"/>
      <c r="I107" s="148"/>
      <c r="J107" s="148"/>
      <c r="K107" s="148"/>
      <c r="L107" s="152"/>
      <c r="M107" s="152">
        <f t="shared" si="1"/>
        <v>0</v>
      </c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</row>
    <row r="108" spans="1:27">
      <c r="A108" s="147">
        <v>1091</v>
      </c>
      <c r="B108" s="147" t="s">
        <v>27</v>
      </c>
      <c r="C108" s="147" t="s">
        <v>46</v>
      </c>
      <c r="D108" s="148" t="s">
        <v>49</v>
      </c>
      <c r="E108" s="148" t="s">
        <v>30</v>
      </c>
      <c r="F108" s="149">
        <v>2026</v>
      </c>
      <c r="G108" s="148" t="s">
        <v>42</v>
      </c>
      <c r="H108" s="148"/>
      <c r="I108" s="148"/>
      <c r="J108" s="148"/>
      <c r="K108" s="148"/>
      <c r="L108" s="152"/>
      <c r="M108" s="152">
        <f t="shared" si="1"/>
        <v>0</v>
      </c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</row>
    <row r="109" spans="1:27">
      <c r="A109" s="147">
        <v>1092</v>
      </c>
      <c r="B109" s="147" t="s">
        <v>27</v>
      </c>
      <c r="C109" s="147" t="s">
        <v>46</v>
      </c>
      <c r="D109" s="148" t="s">
        <v>49</v>
      </c>
      <c r="E109" s="148" t="s">
        <v>30</v>
      </c>
      <c r="F109" s="149">
        <v>2026</v>
      </c>
      <c r="G109" s="148" t="s">
        <v>43</v>
      </c>
      <c r="H109" s="148"/>
      <c r="I109" s="148"/>
      <c r="J109" s="148"/>
      <c r="K109" s="148"/>
      <c r="L109" s="152"/>
      <c r="M109" s="152">
        <f t="shared" si="1"/>
        <v>0</v>
      </c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</row>
    <row r="110" spans="1:27">
      <c r="A110" s="147">
        <v>1105</v>
      </c>
      <c r="B110" s="147" t="s">
        <v>27</v>
      </c>
      <c r="C110" s="147" t="s">
        <v>46</v>
      </c>
      <c r="D110" s="148" t="s">
        <v>50</v>
      </c>
      <c r="E110" s="148" t="s">
        <v>30</v>
      </c>
      <c r="F110" s="149">
        <v>2024</v>
      </c>
      <c r="G110" s="148" t="s">
        <v>31</v>
      </c>
      <c r="H110" s="149">
        <v>423</v>
      </c>
      <c r="I110" s="150">
        <v>7125</v>
      </c>
      <c r="J110" s="149">
        <v>19</v>
      </c>
      <c r="K110" s="149" t="s">
        <v>32</v>
      </c>
      <c r="L110" s="151">
        <v>0</v>
      </c>
      <c r="M110" s="152">
        <f t="shared" si="1"/>
        <v>0</v>
      </c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</row>
    <row r="111" spans="1:27">
      <c r="A111" s="147">
        <v>1106</v>
      </c>
      <c r="B111" s="147" t="s">
        <v>27</v>
      </c>
      <c r="C111" s="147" t="s">
        <v>46</v>
      </c>
      <c r="D111" s="148" t="s">
        <v>50</v>
      </c>
      <c r="E111" s="148" t="s">
        <v>30</v>
      </c>
      <c r="F111" s="149">
        <v>2024</v>
      </c>
      <c r="G111" s="148" t="s">
        <v>33</v>
      </c>
      <c r="H111" s="149">
        <v>256</v>
      </c>
      <c r="I111" s="150">
        <v>7154</v>
      </c>
      <c r="J111" s="149">
        <v>29</v>
      </c>
      <c r="K111" s="149" t="s">
        <v>32</v>
      </c>
      <c r="L111" s="151">
        <v>0</v>
      </c>
      <c r="M111" s="152">
        <f t="shared" si="1"/>
        <v>0</v>
      </c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</row>
    <row r="112" spans="1:27">
      <c r="A112" s="147">
        <v>1107</v>
      </c>
      <c r="B112" s="147" t="s">
        <v>27</v>
      </c>
      <c r="C112" s="147" t="s">
        <v>46</v>
      </c>
      <c r="D112" s="148" t="s">
        <v>50</v>
      </c>
      <c r="E112" s="148" t="s">
        <v>30</v>
      </c>
      <c r="F112" s="149">
        <v>2024</v>
      </c>
      <c r="G112" s="148" t="s">
        <v>34</v>
      </c>
      <c r="H112" s="149">
        <v>151</v>
      </c>
      <c r="I112" s="150">
        <v>7162</v>
      </c>
      <c r="J112" s="149">
        <v>8</v>
      </c>
      <c r="K112" s="149" t="s">
        <v>32</v>
      </c>
      <c r="L112" s="151">
        <v>0</v>
      </c>
      <c r="M112" s="152">
        <f t="shared" si="1"/>
        <v>0</v>
      </c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</row>
    <row r="113" spans="1:27">
      <c r="A113" s="147">
        <v>1108</v>
      </c>
      <c r="B113" s="147" t="s">
        <v>27</v>
      </c>
      <c r="C113" s="147" t="s">
        <v>46</v>
      </c>
      <c r="D113" s="148" t="s">
        <v>50</v>
      </c>
      <c r="E113" s="148" t="s">
        <v>30</v>
      </c>
      <c r="F113" s="149">
        <v>2024</v>
      </c>
      <c r="G113" s="148" t="s">
        <v>35</v>
      </c>
      <c r="H113" s="149">
        <v>76</v>
      </c>
      <c r="I113" s="150">
        <v>7182</v>
      </c>
      <c r="J113" s="149">
        <v>20</v>
      </c>
      <c r="K113" s="149" t="s">
        <v>32</v>
      </c>
      <c r="L113" s="151">
        <v>0</v>
      </c>
      <c r="M113" s="152">
        <f t="shared" si="1"/>
        <v>0</v>
      </c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</row>
    <row r="114" spans="1:27">
      <c r="A114" s="147">
        <v>1109</v>
      </c>
      <c r="B114" s="147" t="s">
        <v>27</v>
      </c>
      <c r="C114" s="147" t="s">
        <v>46</v>
      </c>
      <c r="D114" s="148" t="s">
        <v>50</v>
      </c>
      <c r="E114" s="148" t="s">
        <v>30</v>
      </c>
      <c r="F114" s="149">
        <v>2024</v>
      </c>
      <c r="G114" s="148" t="s">
        <v>36</v>
      </c>
      <c r="H114" s="149">
        <v>111</v>
      </c>
      <c r="I114" s="150">
        <v>7208</v>
      </c>
      <c r="J114" s="149">
        <v>26</v>
      </c>
      <c r="K114" s="149" t="s">
        <v>32</v>
      </c>
      <c r="L114" s="151">
        <v>0</v>
      </c>
      <c r="M114" s="152">
        <f t="shared" si="1"/>
        <v>0</v>
      </c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</row>
    <row r="115" spans="1:27">
      <c r="A115" s="147">
        <v>1110</v>
      </c>
      <c r="B115" s="147" t="s">
        <v>27</v>
      </c>
      <c r="C115" s="147" t="s">
        <v>46</v>
      </c>
      <c r="D115" s="148" t="s">
        <v>50</v>
      </c>
      <c r="E115" s="148" t="s">
        <v>30</v>
      </c>
      <c r="F115" s="149">
        <v>2024</v>
      </c>
      <c r="G115" s="148" t="s">
        <v>37</v>
      </c>
      <c r="H115" s="149">
        <v>99</v>
      </c>
      <c r="I115" s="150">
        <v>7221</v>
      </c>
      <c r="J115" s="149">
        <v>13</v>
      </c>
      <c r="K115" s="149" t="s">
        <v>32</v>
      </c>
      <c r="L115" s="151">
        <v>0</v>
      </c>
      <c r="M115" s="152">
        <f t="shared" si="1"/>
        <v>0</v>
      </c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</row>
    <row r="116" spans="1:27">
      <c r="A116" s="147">
        <v>1111</v>
      </c>
      <c r="B116" s="147" t="s">
        <v>27</v>
      </c>
      <c r="C116" s="147" t="s">
        <v>46</v>
      </c>
      <c r="D116" s="148" t="s">
        <v>50</v>
      </c>
      <c r="E116" s="148" t="s">
        <v>30</v>
      </c>
      <c r="F116" s="149">
        <v>2024</v>
      </c>
      <c r="G116" s="148" t="s">
        <v>38</v>
      </c>
      <c r="H116" s="149">
        <v>98</v>
      </c>
      <c r="I116" s="150">
        <v>7225</v>
      </c>
      <c r="J116" s="149">
        <v>4</v>
      </c>
      <c r="K116" s="149" t="s">
        <v>32</v>
      </c>
      <c r="L116" s="151">
        <v>0</v>
      </c>
      <c r="M116" s="152">
        <f t="shared" si="1"/>
        <v>0</v>
      </c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</row>
    <row r="117" spans="1:27">
      <c r="A117" s="147">
        <v>1112</v>
      </c>
      <c r="B117" s="147" t="s">
        <v>27</v>
      </c>
      <c r="C117" s="147" t="s">
        <v>46</v>
      </c>
      <c r="D117" s="148" t="s">
        <v>50</v>
      </c>
      <c r="E117" s="148" t="s">
        <v>30</v>
      </c>
      <c r="F117" s="149">
        <v>2024</v>
      </c>
      <c r="G117" s="148" t="s">
        <v>39</v>
      </c>
      <c r="H117" s="149">
        <v>79</v>
      </c>
      <c r="I117" s="150">
        <v>7234</v>
      </c>
      <c r="J117" s="149">
        <v>9</v>
      </c>
      <c r="K117" s="149" t="s">
        <v>32</v>
      </c>
      <c r="L117" s="151">
        <v>0</v>
      </c>
      <c r="M117" s="152">
        <f t="shared" si="1"/>
        <v>0</v>
      </c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</row>
    <row r="118" spans="1:27">
      <c r="A118" s="147">
        <v>1113</v>
      </c>
      <c r="B118" s="147" t="s">
        <v>27</v>
      </c>
      <c r="C118" s="147" t="s">
        <v>46</v>
      </c>
      <c r="D118" s="148" t="s">
        <v>50</v>
      </c>
      <c r="E118" s="148" t="s">
        <v>30</v>
      </c>
      <c r="F118" s="149">
        <v>2024</v>
      </c>
      <c r="G118" s="148" t="s">
        <v>40</v>
      </c>
      <c r="H118" s="149">
        <v>46</v>
      </c>
      <c r="I118" s="150">
        <v>7251</v>
      </c>
      <c r="J118" s="149">
        <v>17</v>
      </c>
      <c r="K118" s="149" t="s">
        <v>32</v>
      </c>
      <c r="L118" s="151">
        <v>0</v>
      </c>
      <c r="M118" s="152">
        <f t="shared" si="1"/>
        <v>0</v>
      </c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</row>
    <row r="119" spans="1:27">
      <c r="A119" s="147">
        <v>1114</v>
      </c>
      <c r="B119" s="147" t="s">
        <v>27</v>
      </c>
      <c r="C119" s="147" t="s">
        <v>46</v>
      </c>
      <c r="D119" s="148" t="s">
        <v>50</v>
      </c>
      <c r="E119" s="148" t="s">
        <v>30</v>
      </c>
      <c r="F119" s="149">
        <v>2024</v>
      </c>
      <c r="G119" s="148" t="s">
        <v>41</v>
      </c>
      <c r="H119" s="149">
        <v>201</v>
      </c>
      <c r="I119" s="150">
        <v>7272</v>
      </c>
      <c r="J119" s="149">
        <v>21</v>
      </c>
      <c r="K119" s="150">
        <v>11828</v>
      </c>
      <c r="L119" s="151">
        <v>0</v>
      </c>
      <c r="M119" s="152">
        <f t="shared" si="1"/>
        <v>0</v>
      </c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</row>
    <row r="120" spans="1:27">
      <c r="A120" s="147">
        <v>1115</v>
      </c>
      <c r="B120" s="147" t="s">
        <v>27</v>
      </c>
      <c r="C120" s="147" t="s">
        <v>46</v>
      </c>
      <c r="D120" s="148" t="s">
        <v>50</v>
      </c>
      <c r="E120" s="148" t="s">
        <v>30</v>
      </c>
      <c r="F120" s="149">
        <v>2024</v>
      </c>
      <c r="G120" s="148" t="s">
        <v>42</v>
      </c>
      <c r="H120" s="149">
        <v>190</v>
      </c>
      <c r="I120" s="150">
        <v>7277</v>
      </c>
      <c r="J120" s="149">
        <v>5</v>
      </c>
      <c r="K120" s="150">
        <v>8801</v>
      </c>
      <c r="L120" s="151">
        <v>0</v>
      </c>
      <c r="M120" s="152">
        <f t="shared" si="1"/>
        <v>0</v>
      </c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</row>
    <row r="121" spans="1:27">
      <c r="A121" s="147">
        <v>1116</v>
      </c>
      <c r="B121" s="147" t="s">
        <v>27</v>
      </c>
      <c r="C121" s="147" t="s">
        <v>46</v>
      </c>
      <c r="D121" s="148" t="s">
        <v>50</v>
      </c>
      <c r="E121" s="148" t="s">
        <v>30</v>
      </c>
      <c r="F121" s="149">
        <v>2024</v>
      </c>
      <c r="G121" s="148" t="s">
        <v>43</v>
      </c>
      <c r="H121" s="149">
        <v>35</v>
      </c>
      <c r="I121" s="150">
        <v>7294</v>
      </c>
      <c r="J121" s="149">
        <v>17</v>
      </c>
      <c r="K121" s="150">
        <v>6822</v>
      </c>
      <c r="L121" s="151">
        <v>0</v>
      </c>
      <c r="M121" s="152">
        <f t="shared" si="1"/>
        <v>0</v>
      </c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</row>
    <row r="122" spans="1:27">
      <c r="A122" s="147">
        <v>1117</v>
      </c>
      <c r="B122" s="147" t="s">
        <v>27</v>
      </c>
      <c r="C122" s="147" t="s">
        <v>46</v>
      </c>
      <c r="D122" s="148" t="s">
        <v>50</v>
      </c>
      <c r="E122" s="148" t="s">
        <v>30</v>
      </c>
      <c r="F122" s="149">
        <v>2025</v>
      </c>
      <c r="G122" s="148" t="s">
        <v>31</v>
      </c>
      <c r="H122" s="149">
        <v>30</v>
      </c>
      <c r="I122" s="150">
        <v>7304</v>
      </c>
      <c r="J122" s="149">
        <v>10</v>
      </c>
      <c r="K122" s="150">
        <v>7265</v>
      </c>
      <c r="L122" s="151">
        <v>0</v>
      </c>
      <c r="M122" s="152">
        <f t="shared" si="1"/>
        <v>0</v>
      </c>
      <c r="N122" s="148"/>
      <c r="O122" s="148" t="s">
        <v>48</v>
      </c>
      <c r="P122" s="149">
        <v>593</v>
      </c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</row>
    <row r="123" spans="1:27">
      <c r="A123" s="147">
        <v>1118</v>
      </c>
      <c r="B123" s="147" t="s">
        <v>27</v>
      </c>
      <c r="C123" s="147" t="s">
        <v>46</v>
      </c>
      <c r="D123" s="148" t="s">
        <v>50</v>
      </c>
      <c r="E123" s="148" t="s">
        <v>30</v>
      </c>
      <c r="F123" s="149">
        <v>2025</v>
      </c>
      <c r="G123" s="148" t="s">
        <v>33</v>
      </c>
      <c r="H123" s="149">
        <v>23</v>
      </c>
      <c r="I123" s="150">
        <v>7350</v>
      </c>
      <c r="J123" s="149">
        <v>46</v>
      </c>
      <c r="K123" s="150">
        <v>226045</v>
      </c>
      <c r="L123" s="151">
        <v>0</v>
      </c>
      <c r="M123" s="152">
        <f t="shared" si="1"/>
        <v>0</v>
      </c>
      <c r="N123" s="148"/>
      <c r="O123" s="148" t="s">
        <v>48</v>
      </c>
      <c r="P123" s="150">
        <v>4828</v>
      </c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</row>
    <row r="124" spans="1:27">
      <c r="A124" s="147">
        <v>1119</v>
      </c>
      <c r="B124" s="147" t="s">
        <v>27</v>
      </c>
      <c r="C124" s="147" t="s">
        <v>46</v>
      </c>
      <c r="D124" s="148" t="s">
        <v>50</v>
      </c>
      <c r="E124" s="148" t="s">
        <v>30</v>
      </c>
      <c r="F124" s="149">
        <v>2025</v>
      </c>
      <c r="G124" s="148" t="s">
        <v>34</v>
      </c>
      <c r="H124" s="149">
        <v>20</v>
      </c>
      <c r="I124" s="150">
        <v>7376</v>
      </c>
      <c r="J124" s="149">
        <v>26</v>
      </c>
      <c r="K124" s="150">
        <v>38713</v>
      </c>
      <c r="L124" s="151">
        <v>0</v>
      </c>
      <c r="M124" s="152">
        <f t="shared" si="1"/>
        <v>0</v>
      </c>
      <c r="N124" s="148"/>
      <c r="O124" s="148" t="s">
        <v>48</v>
      </c>
      <c r="P124" s="149">
        <v>808</v>
      </c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</row>
    <row r="125" spans="1:27">
      <c r="A125" s="147">
        <v>1120</v>
      </c>
      <c r="B125" s="147" t="s">
        <v>27</v>
      </c>
      <c r="C125" s="147" t="s">
        <v>46</v>
      </c>
      <c r="D125" s="148" t="s">
        <v>50</v>
      </c>
      <c r="E125" s="148" t="s">
        <v>30</v>
      </c>
      <c r="F125" s="149">
        <v>2025</v>
      </c>
      <c r="G125" s="148" t="s">
        <v>35</v>
      </c>
      <c r="H125" s="149">
        <v>25</v>
      </c>
      <c r="I125" s="150">
        <v>7422</v>
      </c>
      <c r="J125" s="149">
        <v>46</v>
      </c>
      <c r="K125" s="150">
        <v>189842</v>
      </c>
      <c r="L125" s="151">
        <v>0</v>
      </c>
      <c r="M125" s="152">
        <f t="shared" si="1"/>
        <v>0</v>
      </c>
      <c r="N125" s="148"/>
      <c r="O125" s="148" t="s">
        <v>48</v>
      </c>
      <c r="P125" s="150">
        <v>3423</v>
      </c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</row>
    <row r="126" spans="1:27">
      <c r="A126" s="147">
        <v>1121</v>
      </c>
      <c r="B126" s="147" t="s">
        <v>27</v>
      </c>
      <c r="C126" s="147" t="s">
        <v>46</v>
      </c>
      <c r="D126" s="148" t="s">
        <v>50</v>
      </c>
      <c r="E126" s="148" t="s">
        <v>30</v>
      </c>
      <c r="F126" s="149">
        <v>2025</v>
      </c>
      <c r="G126" s="148" t="s">
        <v>36</v>
      </c>
      <c r="H126" s="149">
        <v>20</v>
      </c>
      <c r="I126" s="150">
        <v>7492</v>
      </c>
      <c r="J126" s="149">
        <v>70</v>
      </c>
      <c r="K126" s="150">
        <v>201708</v>
      </c>
      <c r="L126" s="151">
        <v>0</v>
      </c>
      <c r="M126" s="152">
        <f t="shared" si="1"/>
        <v>0</v>
      </c>
      <c r="N126" s="148"/>
      <c r="O126" s="148" t="s">
        <v>48</v>
      </c>
      <c r="P126" s="150">
        <v>3664</v>
      </c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</row>
    <row r="127" spans="1:27">
      <c r="A127" s="147">
        <v>1122</v>
      </c>
      <c r="B127" s="147" t="s">
        <v>27</v>
      </c>
      <c r="C127" s="147" t="s">
        <v>46</v>
      </c>
      <c r="D127" s="148" t="s">
        <v>50</v>
      </c>
      <c r="E127" s="148" t="s">
        <v>30</v>
      </c>
      <c r="F127" s="149">
        <v>2025</v>
      </c>
      <c r="G127" s="148" t="s">
        <v>37</v>
      </c>
      <c r="H127" s="149">
        <v>17</v>
      </c>
      <c r="I127" s="150">
        <v>7503</v>
      </c>
      <c r="J127" s="149">
        <v>11</v>
      </c>
      <c r="K127" s="150">
        <v>14195</v>
      </c>
      <c r="L127" s="151">
        <v>0</v>
      </c>
      <c r="M127" s="152">
        <f t="shared" si="1"/>
        <v>0</v>
      </c>
      <c r="N127" s="148"/>
      <c r="O127" s="148" t="s">
        <v>48</v>
      </c>
      <c r="P127" s="149">
        <v>90</v>
      </c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</row>
    <row r="128" spans="1:27">
      <c r="A128" s="147">
        <v>1123</v>
      </c>
      <c r="B128" s="147" t="s">
        <v>27</v>
      </c>
      <c r="C128" s="147" t="s">
        <v>46</v>
      </c>
      <c r="D128" s="148" t="s">
        <v>50</v>
      </c>
      <c r="E128" s="148" t="s">
        <v>30</v>
      </c>
      <c r="F128" s="149">
        <v>2025</v>
      </c>
      <c r="G128" s="148" t="s">
        <v>38</v>
      </c>
      <c r="H128" s="149">
        <v>27</v>
      </c>
      <c r="I128" s="150">
        <v>7512</v>
      </c>
      <c r="J128" s="149">
        <v>13</v>
      </c>
      <c r="K128" s="150">
        <v>25940</v>
      </c>
      <c r="L128" s="151">
        <v>0</v>
      </c>
      <c r="M128" s="152">
        <f t="shared" si="1"/>
        <v>0</v>
      </c>
      <c r="N128" s="148"/>
      <c r="O128" s="150">
        <v>16958</v>
      </c>
      <c r="P128" s="150">
        <v>1129</v>
      </c>
      <c r="Q128" s="154">
        <v>0.702</v>
      </c>
      <c r="R128" s="154">
        <v>0.298</v>
      </c>
      <c r="S128" s="148"/>
      <c r="T128" s="148" t="s">
        <v>44</v>
      </c>
      <c r="U128" s="154">
        <v>0.083</v>
      </c>
      <c r="V128" s="154">
        <v>0.327</v>
      </c>
      <c r="W128" s="154">
        <v>0.281</v>
      </c>
      <c r="X128" s="154">
        <v>0.196</v>
      </c>
      <c r="Y128" s="154">
        <v>0.07</v>
      </c>
      <c r="Z128" s="154">
        <v>0.043</v>
      </c>
      <c r="AA128" s="148" t="s">
        <v>45</v>
      </c>
    </row>
    <row r="129" spans="1:27">
      <c r="A129" s="147">
        <v>1124</v>
      </c>
      <c r="B129" s="147" t="s">
        <v>27</v>
      </c>
      <c r="C129" s="147" t="s">
        <v>46</v>
      </c>
      <c r="D129" s="148" t="s">
        <v>50</v>
      </c>
      <c r="E129" s="148" t="s">
        <v>30</v>
      </c>
      <c r="F129" s="149">
        <v>2025</v>
      </c>
      <c r="G129" s="148" t="s">
        <v>39</v>
      </c>
      <c r="H129" s="149">
        <v>46</v>
      </c>
      <c r="I129" s="150">
        <v>7629</v>
      </c>
      <c r="J129" s="149">
        <v>125</v>
      </c>
      <c r="K129" s="150">
        <v>401368</v>
      </c>
      <c r="L129" s="151">
        <v>0</v>
      </c>
      <c r="M129" s="152">
        <f t="shared" si="1"/>
        <v>0</v>
      </c>
      <c r="N129" s="148"/>
      <c r="O129" s="150">
        <v>266331</v>
      </c>
      <c r="P129" s="150">
        <v>3925</v>
      </c>
      <c r="Q129" s="154">
        <v>0.707</v>
      </c>
      <c r="R129" s="154">
        <v>0.293</v>
      </c>
      <c r="S129" s="148"/>
      <c r="T129" s="148"/>
      <c r="U129" s="154">
        <v>0.08</v>
      </c>
      <c r="V129" s="154">
        <v>0.326</v>
      </c>
      <c r="W129" s="154">
        <v>0.282</v>
      </c>
      <c r="X129" s="154">
        <v>0.197</v>
      </c>
      <c r="Y129" s="154">
        <v>0.072</v>
      </c>
      <c r="Z129" s="154">
        <v>0.043</v>
      </c>
      <c r="AA129" s="148" t="s">
        <v>45</v>
      </c>
    </row>
    <row r="130" spans="1:27">
      <c r="A130" s="147">
        <v>1125</v>
      </c>
      <c r="B130" s="147" t="s">
        <v>27</v>
      </c>
      <c r="C130" s="147" t="s">
        <v>46</v>
      </c>
      <c r="D130" s="148" t="s">
        <v>50</v>
      </c>
      <c r="E130" s="148" t="s">
        <v>30</v>
      </c>
      <c r="F130" s="149">
        <v>2025</v>
      </c>
      <c r="G130" s="148" t="s">
        <v>40</v>
      </c>
      <c r="H130" s="149">
        <v>161</v>
      </c>
      <c r="I130" s="150">
        <v>7815</v>
      </c>
      <c r="J130" s="149">
        <v>215</v>
      </c>
      <c r="K130" s="150">
        <v>960735</v>
      </c>
      <c r="L130" s="151">
        <v>0</v>
      </c>
      <c r="M130" s="152">
        <f t="shared" ref="M130:M193" si="2">L130*17000</f>
        <v>0</v>
      </c>
      <c r="N130" s="148"/>
      <c r="O130" s="150">
        <v>621438</v>
      </c>
      <c r="P130" s="150">
        <v>4562</v>
      </c>
      <c r="Q130" s="154">
        <v>0.711</v>
      </c>
      <c r="R130" s="154">
        <v>0.289</v>
      </c>
      <c r="S130" s="148"/>
      <c r="T130" s="148"/>
      <c r="U130" s="154">
        <v>0.078</v>
      </c>
      <c r="V130" s="154">
        <v>0.324</v>
      </c>
      <c r="W130" s="154">
        <v>0.285</v>
      </c>
      <c r="X130" s="154">
        <v>0.2</v>
      </c>
      <c r="Y130" s="154">
        <v>0.071</v>
      </c>
      <c r="Z130" s="154">
        <v>0.042</v>
      </c>
      <c r="AA130" s="148" t="s">
        <v>45</v>
      </c>
    </row>
    <row r="131" spans="1:27">
      <c r="A131" s="147">
        <v>1126</v>
      </c>
      <c r="B131" s="147" t="s">
        <v>27</v>
      </c>
      <c r="C131" s="147" t="s">
        <v>46</v>
      </c>
      <c r="D131" s="148" t="s">
        <v>50</v>
      </c>
      <c r="E131" s="148" t="s">
        <v>30</v>
      </c>
      <c r="F131" s="149">
        <v>2025</v>
      </c>
      <c r="G131" s="148" t="s">
        <v>41</v>
      </c>
      <c r="H131" s="149">
        <v>110</v>
      </c>
      <c r="I131" s="150">
        <v>15160</v>
      </c>
      <c r="J131" s="150">
        <v>7358</v>
      </c>
      <c r="K131" s="150">
        <v>7555603</v>
      </c>
      <c r="L131" s="151">
        <v>0</v>
      </c>
      <c r="M131" s="152">
        <f t="shared" si="2"/>
        <v>0</v>
      </c>
      <c r="N131" s="148"/>
      <c r="O131" s="150">
        <v>5154681</v>
      </c>
      <c r="P131" s="150">
        <v>163440</v>
      </c>
      <c r="Q131" s="154">
        <v>0.66</v>
      </c>
      <c r="R131" s="154">
        <v>0.34</v>
      </c>
      <c r="S131" s="148"/>
      <c r="T131" s="148"/>
      <c r="U131" s="154">
        <v>0.073</v>
      </c>
      <c r="V131" s="154">
        <v>0.32</v>
      </c>
      <c r="W131" s="154">
        <v>0.316</v>
      </c>
      <c r="X131" s="154">
        <v>0.192</v>
      </c>
      <c r="Y131" s="154">
        <v>0.066</v>
      </c>
      <c r="Z131" s="154">
        <v>0.033</v>
      </c>
      <c r="AA131" s="148" t="s">
        <v>45</v>
      </c>
    </row>
    <row r="132" spans="1:27">
      <c r="A132" s="147">
        <v>1127</v>
      </c>
      <c r="B132" s="147" t="s">
        <v>27</v>
      </c>
      <c r="C132" s="147" t="s">
        <v>46</v>
      </c>
      <c r="D132" s="148" t="s">
        <v>50</v>
      </c>
      <c r="E132" s="148" t="s">
        <v>30</v>
      </c>
      <c r="F132" s="149">
        <v>2025</v>
      </c>
      <c r="G132" s="148" t="s">
        <v>42</v>
      </c>
      <c r="H132" s="149">
        <v>146</v>
      </c>
      <c r="I132" s="150">
        <v>17970</v>
      </c>
      <c r="J132" s="150">
        <v>2855</v>
      </c>
      <c r="K132" s="150">
        <v>1958440</v>
      </c>
      <c r="L132" s="151">
        <v>0</v>
      </c>
      <c r="M132" s="152">
        <f t="shared" si="2"/>
        <v>0</v>
      </c>
      <c r="N132" s="148"/>
      <c r="O132" s="150">
        <v>1202587</v>
      </c>
      <c r="P132" s="150">
        <v>56774</v>
      </c>
      <c r="Q132" s="154">
        <v>0.67</v>
      </c>
      <c r="R132" s="154">
        <v>0.33</v>
      </c>
      <c r="S132" s="148"/>
      <c r="T132" s="148"/>
      <c r="U132" s="154">
        <v>0.074</v>
      </c>
      <c r="V132" s="154">
        <v>0.321</v>
      </c>
      <c r="W132" s="154">
        <v>0.325</v>
      </c>
      <c r="X132" s="154">
        <v>0.185</v>
      </c>
      <c r="Y132" s="154">
        <v>0.064</v>
      </c>
      <c r="Z132" s="154">
        <v>0.031</v>
      </c>
      <c r="AA132" s="148" t="s">
        <v>45</v>
      </c>
    </row>
    <row r="133" spans="1:27">
      <c r="A133" s="147">
        <v>1128</v>
      </c>
      <c r="B133" s="147" t="s">
        <v>27</v>
      </c>
      <c r="C133" s="147" t="s">
        <v>46</v>
      </c>
      <c r="D133" s="148" t="s">
        <v>50</v>
      </c>
      <c r="E133" s="148" t="s">
        <v>30</v>
      </c>
      <c r="F133" s="149">
        <v>2025</v>
      </c>
      <c r="G133" s="148" t="s">
        <v>43</v>
      </c>
      <c r="H133" s="149">
        <v>73</v>
      </c>
      <c r="I133" s="150">
        <v>22851</v>
      </c>
      <c r="J133" s="150">
        <v>5188</v>
      </c>
      <c r="K133" s="150">
        <v>2066921</v>
      </c>
      <c r="L133" s="151">
        <v>0</v>
      </c>
      <c r="M133" s="152">
        <f t="shared" si="2"/>
        <v>0</v>
      </c>
      <c r="N133" s="148"/>
      <c r="O133" s="150">
        <v>1545369</v>
      </c>
      <c r="P133" s="150">
        <v>93944</v>
      </c>
      <c r="Q133" s="154">
        <v>0.696</v>
      </c>
      <c r="R133" s="154">
        <v>0.304</v>
      </c>
      <c r="S133" s="148"/>
      <c r="T133" s="148"/>
      <c r="U133" s="154">
        <v>0.071</v>
      </c>
      <c r="V133" s="154">
        <v>0.319</v>
      </c>
      <c r="W133" s="154">
        <v>0.327</v>
      </c>
      <c r="X133" s="154">
        <v>0.192</v>
      </c>
      <c r="Y133" s="154">
        <v>0.063</v>
      </c>
      <c r="Z133" s="154">
        <v>0.028</v>
      </c>
      <c r="AA133" s="148" t="s">
        <v>45</v>
      </c>
    </row>
    <row r="134" spans="1:27">
      <c r="A134" s="147">
        <v>1129</v>
      </c>
      <c r="B134" s="147" t="s">
        <v>27</v>
      </c>
      <c r="C134" s="147" t="s">
        <v>46</v>
      </c>
      <c r="D134" s="148" t="s">
        <v>50</v>
      </c>
      <c r="E134" s="148" t="s">
        <v>30</v>
      </c>
      <c r="F134" s="149">
        <v>2026</v>
      </c>
      <c r="G134" s="148" t="s">
        <v>31</v>
      </c>
      <c r="H134" s="149">
        <v>48</v>
      </c>
      <c r="I134" s="150">
        <v>24050</v>
      </c>
      <c r="J134" s="150">
        <v>1331</v>
      </c>
      <c r="K134" s="150">
        <v>1599958</v>
      </c>
      <c r="L134" s="151">
        <v>0</v>
      </c>
      <c r="M134" s="152">
        <f t="shared" si="2"/>
        <v>0</v>
      </c>
      <c r="N134" s="148"/>
      <c r="O134" s="150">
        <v>1356479</v>
      </c>
      <c r="P134" s="150">
        <v>39008</v>
      </c>
      <c r="Q134" s="154">
        <v>0.701</v>
      </c>
      <c r="R134" s="154">
        <v>0.299</v>
      </c>
      <c r="S134" s="148"/>
      <c r="T134" s="148"/>
      <c r="U134" s="154">
        <v>0.07</v>
      </c>
      <c r="V134" s="154">
        <v>0.318</v>
      </c>
      <c r="W134" s="154">
        <v>0.33</v>
      </c>
      <c r="X134" s="154">
        <v>0.191</v>
      </c>
      <c r="Y134" s="154">
        <v>0.063</v>
      </c>
      <c r="Z134" s="154">
        <v>0.028</v>
      </c>
      <c r="AA134" s="148" t="s">
        <v>45</v>
      </c>
    </row>
    <row r="135" spans="1:27">
      <c r="A135" s="147">
        <v>1130</v>
      </c>
      <c r="B135" s="147" t="s">
        <v>27</v>
      </c>
      <c r="C135" s="147" t="s">
        <v>46</v>
      </c>
      <c r="D135" s="148" t="s">
        <v>50</v>
      </c>
      <c r="E135" s="148" t="s">
        <v>30</v>
      </c>
      <c r="F135" s="149">
        <v>2026</v>
      </c>
      <c r="G135" s="148" t="s">
        <v>33</v>
      </c>
      <c r="H135" s="149">
        <v>47</v>
      </c>
      <c r="I135" s="150">
        <v>25079</v>
      </c>
      <c r="J135" s="150">
        <v>1180</v>
      </c>
      <c r="K135" s="150">
        <v>1324678</v>
      </c>
      <c r="L135" s="151">
        <v>0</v>
      </c>
      <c r="M135" s="152">
        <f t="shared" si="2"/>
        <v>0</v>
      </c>
      <c r="N135" s="148"/>
      <c r="O135" s="150">
        <v>1079369</v>
      </c>
      <c r="P135" s="150">
        <v>24481</v>
      </c>
      <c r="Q135" s="154">
        <v>0.703</v>
      </c>
      <c r="R135" s="154">
        <v>0.297</v>
      </c>
      <c r="S135" s="148"/>
      <c r="T135" s="148"/>
      <c r="U135" s="154">
        <v>0.072</v>
      </c>
      <c r="V135" s="154">
        <v>0.323</v>
      </c>
      <c r="W135" s="154">
        <v>0.328</v>
      </c>
      <c r="X135" s="154">
        <v>0.187</v>
      </c>
      <c r="Y135" s="154">
        <v>0.062</v>
      </c>
      <c r="Z135" s="154">
        <v>0.028</v>
      </c>
      <c r="AA135" s="148" t="s">
        <v>45</v>
      </c>
    </row>
    <row r="136" spans="1:27">
      <c r="A136" s="147">
        <v>1131</v>
      </c>
      <c r="B136" s="147" t="s">
        <v>27</v>
      </c>
      <c r="C136" s="147" t="s">
        <v>46</v>
      </c>
      <c r="D136" s="148" t="s">
        <v>50</v>
      </c>
      <c r="E136" s="148" t="s">
        <v>30</v>
      </c>
      <c r="F136" s="149">
        <v>2026</v>
      </c>
      <c r="G136" s="148" t="s">
        <v>34</v>
      </c>
      <c r="H136" s="149">
        <v>67</v>
      </c>
      <c r="I136" s="150">
        <v>25223</v>
      </c>
      <c r="J136" s="149">
        <v>256</v>
      </c>
      <c r="K136" s="150">
        <v>346689</v>
      </c>
      <c r="L136" s="151">
        <v>0</v>
      </c>
      <c r="M136" s="152">
        <f t="shared" si="2"/>
        <v>0</v>
      </c>
      <c r="N136" s="148"/>
      <c r="O136" s="150">
        <v>268752</v>
      </c>
      <c r="P136" s="150">
        <v>5834</v>
      </c>
      <c r="Q136" s="154">
        <v>0.704</v>
      </c>
      <c r="R136" s="154">
        <v>0.296</v>
      </c>
      <c r="S136" s="148"/>
      <c r="T136" s="148"/>
      <c r="U136" s="154">
        <v>0.071</v>
      </c>
      <c r="V136" s="154">
        <v>0.322</v>
      </c>
      <c r="W136" s="154">
        <v>0.33</v>
      </c>
      <c r="X136" s="154">
        <v>0.188</v>
      </c>
      <c r="Y136" s="154">
        <v>0.062</v>
      </c>
      <c r="Z136" s="154">
        <v>0.027</v>
      </c>
      <c r="AA136" s="148" t="s">
        <v>45</v>
      </c>
    </row>
    <row r="137" spans="1:27">
      <c r="A137" s="147">
        <v>1132</v>
      </c>
      <c r="B137" s="147" t="s">
        <v>27</v>
      </c>
      <c r="C137" s="147" t="s">
        <v>46</v>
      </c>
      <c r="D137" s="148" t="s">
        <v>50</v>
      </c>
      <c r="E137" s="148" t="s">
        <v>30</v>
      </c>
      <c r="F137" s="149">
        <v>2026</v>
      </c>
      <c r="G137" s="148" t="s">
        <v>35</v>
      </c>
      <c r="H137" s="149">
        <v>0</v>
      </c>
      <c r="I137" s="150">
        <v>25166</v>
      </c>
      <c r="J137" s="149">
        <v>35</v>
      </c>
      <c r="K137" s="150">
        <v>13860</v>
      </c>
      <c r="L137" s="151">
        <v>0</v>
      </c>
      <c r="M137" s="152">
        <f t="shared" si="2"/>
        <v>0</v>
      </c>
      <c r="N137" s="148"/>
      <c r="O137" s="150">
        <v>11306</v>
      </c>
      <c r="P137" s="149">
        <v>478</v>
      </c>
      <c r="Q137" s="154">
        <v>0.703</v>
      </c>
      <c r="R137" s="154">
        <v>0.297</v>
      </c>
      <c r="S137" s="148"/>
      <c r="T137" s="148"/>
      <c r="U137" s="154">
        <v>0.071</v>
      </c>
      <c r="V137" s="154">
        <v>0.32</v>
      </c>
      <c r="W137" s="154">
        <v>0.329</v>
      </c>
      <c r="X137" s="154">
        <v>0.19</v>
      </c>
      <c r="Y137" s="154">
        <v>0.063</v>
      </c>
      <c r="Z137" s="154">
        <v>0.027</v>
      </c>
      <c r="AA137" s="148" t="s">
        <v>45</v>
      </c>
    </row>
    <row r="138" spans="1:27">
      <c r="A138" s="147">
        <v>1133</v>
      </c>
      <c r="B138" s="147" t="s">
        <v>27</v>
      </c>
      <c r="C138" s="147" t="s">
        <v>46</v>
      </c>
      <c r="D138" s="148" t="s">
        <v>50</v>
      </c>
      <c r="E138" s="148" t="s">
        <v>30</v>
      </c>
      <c r="F138" s="149">
        <v>2026</v>
      </c>
      <c r="G138" s="148" t="s">
        <v>36</v>
      </c>
      <c r="H138" s="149">
        <v>3</v>
      </c>
      <c r="I138" s="150">
        <v>25071</v>
      </c>
      <c r="J138" s="149">
        <v>16</v>
      </c>
      <c r="K138" s="150">
        <v>6097</v>
      </c>
      <c r="L138" s="151">
        <v>0</v>
      </c>
      <c r="M138" s="152">
        <f t="shared" si="2"/>
        <v>0</v>
      </c>
      <c r="N138" s="148"/>
      <c r="O138" s="150">
        <v>4688</v>
      </c>
      <c r="P138" s="149">
        <v>27</v>
      </c>
      <c r="Q138" s="154">
        <v>0.702</v>
      </c>
      <c r="R138" s="154">
        <v>0.298</v>
      </c>
      <c r="S138" s="148"/>
      <c r="T138" s="148"/>
      <c r="U138" s="154">
        <v>0.07</v>
      </c>
      <c r="V138" s="154">
        <v>0.319</v>
      </c>
      <c r="W138" s="154">
        <v>0.33</v>
      </c>
      <c r="X138" s="154">
        <v>0.19</v>
      </c>
      <c r="Y138" s="154">
        <v>0.064</v>
      </c>
      <c r="Z138" s="154">
        <v>0.027</v>
      </c>
      <c r="AA138" s="148" t="s">
        <v>45</v>
      </c>
    </row>
    <row r="139" spans="1:27">
      <c r="A139" s="147">
        <v>1134</v>
      </c>
      <c r="B139" s="147" t="s">
        <v>27</v>
      </c>
      <c r="C139" s="147" t="s">
        <v>46</v>
      </c>
      <c r="D139" s="148" t="s">
        <v>50</v>
      </c>
      <c r="E139" s="148" t="s">
        <v>30</v>
      </c>
      <c r="F139" s="149">
        <v>2026</v>
      </c>
      <c r="G139" s="148" t="s">
        <v>37</v>
      </c>
      <c r="H139" s="149">
        <v>4</v>
      </c>
      <c r="I139" s="150">
        <v>24913</v>
      </c>
      <c r="J139" s="149">
        <v>21</v>
      </c>
      <c r="K139" s="150">
        <v>6489</v>
      </c>
      <c r="L139" s="151">
        <v>0</v>
      </c>
      <c r="M139" s="152">
        <f t="shared" si="2"/>
        <v>0</v>
      </c>
      <c r="N139" s="148"/>
      <c r="O139" s="150">
        <v>4820</v>
      </c>
      <c r="P139" s="149">
        <v>25</v>
      </c>
      <c r="Q139" s="154">
        <v>0.702</v>
      </c>
      <c r="R139" s="154">
        <v>0.298</v>
      </c>
      <c r="S139" s="148"/>
      <c r="T139" s="148"/>
      <c r="U139" s="154">
        <v>0.07</v>
      </c>
      <c r="V139" s="154">
        <v>0.318</v>
      </c>
      <c r="W139" s="154">
        <v>0.329</v>
      </c>
      <c r="X139" s="154">
        <v>0.191</v>
      </c>
      <c r="Y139" s="154">
        <v>0.065</v>
      </c>
      <c r="Z139" s="154">
        <v>0.027</v>
      </c>
      <c r="AA139" s="148" t="s">
        <v>45</v>
      </c>
    </row>
    <row r="140" spans="1:27">
      <c r="A140" s="147">
        <v>1135</v>
      </c>
      <c r="B140" s="147" t="s">
        <v>27</v>
      </c>
      <c r="C140" s="147" t="s">
        <v>46</v>
      </c>
      <c r="D140" s="148" t="s">
        <v>50</v>
      </c>
      <c r="E140" s="148" t="s">
        <v>30</v>
      </c>
      <c r="F140" s="149">
        <v>2026</v>
      </c>
      <c r="G140" s="148" t="s">
        <v>38</v>
      </c>
      <c r="H140" s="149">
        <v>3</v>
      </c>
      <c r="I140" s="150">
        <v>24808</v>
      </c>
      <c r="J140" s="149">
        <v>24</v>
      </c>
      <c r="K140" s="150">
        <v>5127</v>
      </c>
      <c r="L140" s="151">
        <v>0</v>
      </c>
      <c r="M140" s="152">
        <f t="shared" si="2"/>
        <v>0</v>
      </c>
      <c r="N140" s="148"/>
      <c r="O140" s="150">
        <v>4018</v>
      </c>
      <c r="P140" s="149">
        <v>36</v>
      </c>
      <c r="Q140" s="154">
        <v>0.704</v>
      </c>
      <c r="R140" s="154">
        <v>0.296</v>
      </c>
      <c r="S140" s="148"/>
      <c r="T140" s="148"/>
      <c r="U140" s="154">
        <v>0.069</v>
      </c>
      <c r="V140" s="154">
        <v>0.312</v>
      </c>
      <c r="W140" s="154">
        <v>0.328</v>
      </c>
      <c r="X140" s="154">
        <v>0.196</v>
      </c>
      <c r="Y140" s="154">
        <v>0.066</v>
      </c>
      <c r="Z140" s="154">
        <v>0.029</v>
      </c>
      <c r="AA140" s="148" t="s">
        <v>45</v>
      </c>
    </row>
    <row r="141" spans="1:27">
      <c r="A141" s="147">
        <v>1136</v>
      </c>
      <c r="B141" s="147" t="s">
        <v>27</v>
      </c>
      <c r="C141" s="147" t="s">
        <v>46</v>
      </c>
      <c r="D141" s="148" t="s">
        <v>50</v>
      </c>
      <c r="E141" s="148" t="s">
        <v>30</v>
      </c>
      <c r="F141" s="149">
        <v>2026</v>
      </c>
      <c r="G141" s="148" t="s">
        <v>39</v>
      </c>
      <c r="H141" s="148"/>
      <c r="I141" s="148"/>
      <c r="J141" s="148"/>
      <c r="K141" s="148"/>
      <c r="L141" s="152"/>
      <c r="M141" s="152">
        <f t="shared" si="2"/>
        <v>0</v>
      </c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</row>
    <row r="142" spans="1:27">
      <c r="A142" s="147">
        <v>1137</v>
      </c>
      <c r="B142" s="147" t="s">
        <v>27</v>
      </c>
      <c r="C142" s="147" t="s">
        <v>46</v>
      </c>
      <c r="D142" s="148" t="s">
        <v>50</v>
      </c>
      <c r="E142" s="148" t="s">
        <v>30</v>
      </c>
      <c r="F142" s="149">
        <v>2026</v>
      </c>
      <c r="G142" s="148" t="s">
        <v>40</v>
      </c>
      <c r="H142" s="148"/>
      <c r="I142" s="148"/>
      <c r="J142" s="148"/>
      <c r="K142" s="148"/>
      <c r="L142" s="152"/>
      <c r="M142" s="152">
        <f t="shared" si="2"/>
        <v>0</v>
      </c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</row>
    <row r="143" spans="1:27">
      <c r="A143" s="147">
        <v>1138</v>
      </c>
      <c r="B143" s="147" t="s">
        <v>27</v>
      </c>
      <c r="C143" s="147" t="s">
        <v>46</v>
      </c>
      <c r="D143" s="148" t="s">
        <v>50</v>
      </c>
      <c r="E143" s="148" t="s">
        <v>30</v>
      </c>
      <c r="F143" s="149">
        <v>2026</v>
      </c>
      <c r="G143" s="148" t="s">
        <v>41</v>
      </c>
      <c r="H143" s="148"/>
      <c r="I143" s="148"/>
      <c r="J143" s="148"/>
      <c r="K143" s="148"/>
      <c r="L143" s="152"/>
      <c r="M143" s="152">
        <f t="shared" si="2"/>
        <v>0</v>
      </c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</row>
    <row r="144" spans="1:27">
      <c r="A144" s="147">
        <v>1139</v>
      </c>
      <c r="B144" s="147" t="s">
        <v>27</v>
      </c>
      <c r="C144" s="147" t="s">
        <v>46</v>
      </c>
      <c r="D144" s="148" t="s">
        <v>50</v>
      </c>
      <c r="E144" s="148" t="s">
        <v>30</v>
      </c>
      <c r="F144" s="149">
        <v>2026</v>
      </c>
      <c r="G144" s="148" t="s">
        <v>42</v>
      </c>
      <c r="H144" s="148"/>
      <c r="I144" s="148"/>
      <c r="J144" s="148"/>
      <c r="K144" s="148"/>
      <c r="L144" s="152"/>
      <c r="M144" s="152">
        <f t="shared" si="2"/>
        <v>0</v>
      </c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</row>
    <row r="145" spans="1:27">
      <c r="A145" s="147">
        <v>1140</v>
      </c>
      <c r="B145" s="147" t="s">
        <v>27</v>
      </c>
      <c r="C145" s="147" t="s">
        <v>46</v>
      </c>
      <c r="D145" s="148" t="s">
        <v>50</v>
      </c>
      <c r="E145" s="148" t="s">
        <v>30</v>
      </c>
      <c r="F145" s="149">
        <v>2026</v>
      </c>
      <c r="G145" s="148" t="s">
        <v>43</v>
      </c>
      <c r="H145" s="148"/>
      <c r="I145" s="148"/>
      <c r="J145" s="148"/>
      <c r="K145" s="148"/>
      <c r="L145" s="152"/>
      <c r="M145" s="152">
        <f t="shared" si="2"/>
        <v>0</v>
      </c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</row>
    <row r="146" spans="1:27">
      <c r="A146" s="147">
        <v>1153</v>
      </c>
      <c r="B146" s="147" t="s">
        <v>27</v>
      </c>
      <c r="C146" s="147" t="s">
        <v>46</v>
      </c>
      <c r="D146" s="148" t="s">
        <v>51</v>
      </c>
      <c r="E146" s="148" t="s">
        <v>30</v>
      </c>
      <c r="F146" s="149">
        <v>2024</v>
      </c>
      <c r="G146" s="148" t="s">
        <v>31</v>
      </c>
      <c r="H146" s="150">
        <v>6180</v>
      </c>
      <c r="I146" s="150">
        <v>2835818</v>
      </c>
      <c r="J146" s="150">
        <v>15968</v>
      </c>
      <c r="K146" s="149" t="s">
        <v>32</v>
      </c>
      <c r="L146" s="151">
        <v>385</v>
      </c>
      <c r="M146" s="152">
        <f t="shared" si="2"/>
        <v>6545000</v>
      </c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</row>
    <row r="147" spans="1:27">
      <c r="A147" s="147">
        <v>1154</v>
      </c>
      <c r="B147" s="147" t="s">
        <v>27</v>
      </c>
      <c r="C147" s="147" t="s">
        <v>46</v>
      </c>
      <c r="D147" s="148" t="s">
        <v>51</v>
      </c>
      <c r="E147" s="148" t="s">
        <v>30</v>
      </c>
      <c r="F147" s="149">
        <v>2024</v>
      </c>
      <c r="G147" s="148" t="s">
        <v>33</v>
      </c>
      <c r="H147" s="150">
        <v>5566</v>
      </c>
      <c r="I147" s="150">
        <v>2849427</v>
      </c>
      <c r="J147" s="150">
        <v>13609</v>
      </c>
      <c r="K147" s="149" t="s">
        <v>32</v>
      </c>
      <c r="L147" s="151">
        <v>271</v>
      </c>
      <c r="M147" s="152">
        <f t="shared" si="2"/>
        <v>4607000</v>
      </c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</row>
    <row r="148" spans="1:27">
      <c r="A148" s="147">
        <v>1155</v>
      </c>
      <c r="B148" s="147" t="s">
        <v>27</v>
      </c>
      <c r="C148" s="147" t="s">
        <v>46</v>
      </c>
      <c r="D148" s="148" t="s">
        <v>51</v>
      </c>
      <c r="E148" s="148" t="s">
        <v>30</v>
      </c>
      <c r="F148" s="149">
        <v>2024</v>
      </c>
      <c r="G148" s="148" t="s">
        <v>34</v>
      </c>
      <c r="H148" s="150">
        <v>6110</v>
      </c>
      <c r="I148" s="150">
        <v>2868597</v>
      </c>
      <c r="J148" s="150">
        <v>19170</v>
      </c>
      <c r="K148" s="149" t="s">
        <v>32</v>
      </c>
      <c r="L148" s="151">
        <v>636</v>
      </c>
      <c r="M148" s="152">
        <f t="shared" si="2"/>
        <v>10812000</v>
      </c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</row>
    <row r="149" spans="1:27">
      <c r="A149" s="147">
        <v>1156</v>
      </c>
      <c r="B149" s="147" t="s">
        <v>27</v>
      </c>
      <c r="C149" s="147" t="s">
        <v>46</v>
      </c>
      <c r="D149" s="148" t="s">
        <v>51</v>
      </c>
      <c r="E149" s="148" t="s">
        <v>30</v>
      </c>
      <c r="F149" s="149">
        <v>2024</v>
      </c>
      <c r="G149" s="148" t="s">
        <v>35</v>
      </c>
      <c r="H149" s="149">
        <v>421</v>
      </c>
      <c r="I149" s="150">
        <v>2894895</v>
      </c>
      <c r="J149" s="150">
        <v>26298</v>
      </c>
      <c r="K149" s="149" t="s">
        <v>32</v>
      </c>
      <c r="L149" s="151">
        <v>773</v>
      </c>
      <c r="M149" s="152">
        <f t="shared" si="2"/>
        <v>13141000</v>
      </c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</row>
    <row r="150" spans="1:27">
      <c r="A150" s="147">
        <v>1157</v>
      </c>
      <c r="B150" s="147" t="s">
        <v>27</v>
      </c>
      <c r="C150" s="147" t="s">
        <v>46</v>
      </c>
      <c r="D150" s="148" t="s">
        <v>51</v>
      </c>
      <c r="E150" s="148" t="s">
        <v>30</v>
      </c>
      <c r="F150" s="149">
        <v>2024</v>
      </c>
      <c r="G150" s="148" t="s">
        <v>36</v>
      </c>
      <c r="H150" s="150">
        <v>7424</v>
      </c>
      <c r="I150" s="150">
        <v>2929828</v>
      </c>
      <c r="J150" s="150">
        <v>34933</v>
      </c>
      <c r="K150" s="149" t="s">
        <v>32</v>
      </c>
      <c r="L150" s="151">
        <v>1990</v>
      </c>
      <c r="M150" s="152">
        <f t="shared" si="2"/>
        <v>33830000</v>
      </c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</row>
    <row r="151" spans="1:27">
      <c r="A151" s="147">
        <v>1158</v>
      </c>
      <c r="B151" s="147" t="s">
        <v>27</v>
      </c>
      <c r="C151" s="147" t="s">
        <v>46</v>
      </c>
      <c r="D151" s="148" t="s">
        <v>51</v>
      </c>
      <c r="E151" s="148" t="s">
        <v>30</v>
      </c>
      <c r="F151" s="149">
        <v>2024</v>
      </c>
      <c r="G151" s="148" t="s">
        <v>37</v>
      </c>
      <c r="H151" s="150">
        <v>7049</v>
      </c>
      <c r="I151" s="150">
        <v>2950021</v>
      </c>
      <c r="J151" s="150">
        <v>20193</v>
      </c>
      <c r="K151" s="149" t="s">
        <v>32</v>
      </c>
      <c r="L151" s="151">
        <v>1000</v>
      </c>
      <c r="M151" s="152">
        <f t="shared" si="2"/>
        <v>17000000</v>
      </c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</row>
    <row r="152" spans="1:27">
      <c r="A152" s="147">
        <v>1159</v>
      </c>
      <c r="B152" s="147" t="s">
        <v>27</v>
      </c>
      <c r="C152" s="147" t="s">
        <v>46</v>
      </c>
      <c r="D152" s="148" t="s">
        <v>51</v>
      </c>
      <c r="E152" s="148" t="s">
        <v>30</v>
      </c>
      <c r="F152" s="149">
        <v>2024</v>
      </c>
      <c r="G152" s="148" t="s">
        <v>38</v>
      </c>
      <c r="H152" s="150">
        <v>6720</v>
      </c>
      <c r="I152" s="150">
        <v>2970588</v>
      </c>
      <c r="J152" s="150">
        <v>20567</v>
      </c>
      <c r="K152" s="149" t="s">
        <v>32</v>
      </c>
      <c r="L152" s="151">
        <v>795</v>
      </c>
      <c r="M152" s="152">
        <f t="shared" si="2"/>
        <v>13515000</v>
      </c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</row>
    <row r="153" spans="1:27">
      <c r="A153" s="147">
        <v>1160</v>
      </c>
      <c r="B153" s="147" t="s">
        <v>27</v>
      </c>
      <c r="C153" s="147" t="s">
        <v>46</v>
      </c>
      <c r="D153" s="148" t="s">
        <v>51</v>
      </c>
      <c r="E153" s="148" t="s">
        <v>30</v>
      </c>
      <c r="F153" s="149">
        <v>2024</v>
      </c>
      <c r="G153" s="148" t="s">
        <v>39</v>
      </c>
      <c r="H153" s="150">
        <v>6961</v>
      </c>
      <c r="I153" s="150">
        <v>2986927</v>
      </c>
      <c r="J153" s="150">
        <v>16339</v>
      </c>
      <c r="K153" s="149" t="s">
        <v>32</v>
      </c>
      <c r="L153" s="151">
        <v>541</v>
      </c>
      <c r="M153" s="152">
        <f t="shared" si="2"/>
        <v>9197000</v>
      </c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</row>
    <row r="154" spans="1:27">
      <c r="A154" s="147">
        <v>1161</v>
      </c>
      <c r="B154" s="147" t="s">
        <v>27</v>
      </c>
      <c r="C154" s="147" t="s">
        <v>46</v>
      </c>
      <c r="D154" s="148" t="s">
        <v>51</v>
      </c>
      <c r="E154" s="148" t="s">
        <v>30</v>
      </c>
      <c r="F154" s="149">
        <v>2024</v>
      </c>
      <c r="G154" s="148" t="s">
        <v>40</v>
      </c>
      <c r="H154" s="150">
        <v>9107</v>
      </c>
      <c r="I154" s="150">
        <v>3005777</v>
      </c>
      <c r="J154" s="150">
        <v>18850</v>
      </c>
      <c r="K154" s="149" t="s">
        <v>32</v>
      </c>
      <c r="L154" s="151">
        <v>317</v>
      </c>
      <c r="M154" s="152">
        <f t="shared" si="2"/>
        <v>5389000</v>
      </c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</row>
    <row r="155" spans="1:27">
      <c r="A155" s="147">
        <v>1162</v>
      </c>
      <c r="B155" s="147" t="s">
        <v>27</v>
      </c>
      <c r="C155" s="147" t="s">
        <v>46</v>
      </c>
      <c r="D155" s="148" t="s">
        <v>51</v>
      </c>
      <c r="E155" s="148" t="s">
        <v>30</v>
      </c>
      <c r="F155" s="149">
        <v>2024</v>
      </c>
      <c r="G155" s="148" t="s">
        <v>41</v>
      </c>
      <c r="H155" s="150">
        <v>9532</v>
      </c>
      <c r="I155" s="150">
        <v>3021749</v>
      </c>
      <c r="J155" s="150">
        <v>15972</v>
      </c>
      <c r="K155" s="150">
        <v>122515398</v>
      </c>
      <c r="L155" s="151">
        <v>420</v>
      </c>
      <c r="M155" s="152">
        <f t="shared" si="2"/>
        <v>7140000</v>
      </c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</row>
    <row r="156" spans="1:27">
      <c r="A156" s="147">
        <v>1163</v>
      </c>
      <c r="B156" s="147" t="s">
        <v>27</v>
      </c>
      <c r="C156" s="147" t="s">
        <v>46</v>
      </c>
      <c r="D156" s="148" t="s">
        <v>51</v>
      </c>
      <c r="E156" s="148" t="s">
        <v>30</v>
      </c>
      <c r="F156" s="149">
        <v>2024</v>
      </c>
      <c r="G156" s="148" t="s">
        <v>42</v>
      </c>
      <c r="H156" s="150">
        <v>9621</v>
      </c>
      <c r="I156" s="150">
        <v>3033128</v>
      </c>
      <c r="J156" s="150">
        <v>11379</v>
      </c>
      <c r="K156" s="150">
        <v>100433423</v>
      </c>
      <c r="L156" s="151">
        <v>425</v>
      </c>
      <c r="M156" s="152">
        <f t="shared" si="2"/>
        <v>7225000</v>
      </c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</row>
    <row r="157" spans="1:27">
      <c r="A157" s="147">
        <v>1164</v>
      </c>
      <c r="B157" s="147" t="s">
        <v>27</v>
      </c>
      <c r="C157" s="147" t="s">
        <v>46</v>
      </c>
      <c r="D157" s="148" t="s">
        <v>51</v>
      </c>
      <c r="E157" s="148" t="s">
        <v>30</v>
      </c>
      <c r="F157" s="149">
        <v>2024</v>
      </c>
      <c r="G157" s="148" t="s">
        <v>43</v>
      </c>
      <c r="H157" s="150">
        <v>9884</v>
      </c>
      <c r="I157" s="150">
        <v>3048826</v>
      </c>
      <c r="J157" s="150">
        <v>15698</v>
      </c>
      <c r="K157" s="150">
        <v>125748042</v>
      </c>
      <c r="L157" s="151">
        <v>410</v>
      </c>
      <c r="M157" s="152">
        <f t="shared" si="2"/>
        <v>6970000</v>
      </c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</row>
    <row r="158" spans="1:27">
      <c r="A158" s="147">
        <v>1165</v>
      </c>
      <c r="B158" s="147" t="s">
        <v>27</v>
      </c>
      <c r="C158" s="147" t="s">
        <v>46</v>
      </c>
      <c r="D158" s="148" t="s">
        <v>51</v>
      </c>
      <c r="E158" s="148" t="s">
        <v>30</v>
      </c>
      <c r="F158" s="149">
        <v>2025</v>
      </c>
      <c r="G158" s="148" t="s">
        <v>31</v>
      </c>
      <c r="H158" s="150">
        <v>9502</v>
      </c>
      <c r="I158" s="150">
        <v>3081534</v>
      </c>
      <c r="J158" s="150">
        <v>32708</v>
      </c>
      <c r="K158" s="150">
        <v>147406825</v>
      </c>
      <c r="L158" s="151">
        <v>382</v>
      </c>
      <c r="M158" s="152">
        <f t="shared" si="2"/>
        <v>6494000</v>
      </c>
      <c r="N158" s="148"/>
      <c r="O158" s="148" t="s">
        <v>48</v>
      </c>
      <c r="P158" s="150">
        <v>1230607</v>
      </c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</row>
    <row r="159" spans="1:27">
      <c r="A159" s="147">
        <v>1166</v>
      </c>
      <c r="B159" s="147" t="s">
        <v>27</v>
      </c>
      <c r="C159" s="147" t="s">
        <v>46</v>
      </c>
      <c r="D159" s="148" t="s">
        <v>51</v>
      </c>
      <c r="E159" s="148" t="s">
        <v>30</v>
      </c>
      <c r="F159" s="149">
        <v>2025</v>
      </c>
      <c r="G159" s="148" t="s">
        <v>33</v>
      </c>
      <c r="H159" s="150">
        <v>7941</v>
      </c>
      <c r="I159" s="150">
        <v>3100117</v>
      </c>
      <c r="J159" s="150">
        <v>18583</v>
      </c>
      <c r="K159" s="150">
        <v>133054424</v>
      </c>
      <c r="L159" s="151">
        <v>419</v>
      </c>
      <c r="M159" s="152">
        <f t="shared" si="2"/>
        <v>7123000</v>
      </c>
      <c r="N159" s="148"/>
      <c r="O159" s="148" t="s">
        <v>48</v>
      </c>
      <c r="P159" s="150">
        <v>1131968</v>
      </c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</row>
    <row r="160" spans="1:27">
      <c r="A160" s="147">
        <v>1167</v>
      </c>
      <c r="B160" s="147" t="s">
        <v>27</v>
      </c>
      <c r="C160" s="147" t="s">
        <v>46</v>
      </c>
      <c r="D160" s="148" t="s">
        <v>51</v>
      </c>
      <c r="E160" s="148" t="s">
        <v>30</v>
      </c>
      <c r="F160" s="149">
        <v>2025</v>
      </c>
      <c r="G160" s="148" t="s">
        <v>34</v>
      </c>
      <c r="H160" s="150">
        <v>8532</v>
      </c>
      <c r="I160" s="150">
        <v>3140368</v>
      </c>
      <c r="J160" s="150">
        <v>40251</v>
      </c>
      <c r="K160" s="150">
        <v>145161314</v>
      </c>
      <c r="L160" s="151">
        <v>797</v>
      </c>
      <c r="M160" s="152">
        <f t="shared" si="2"/>
        <v>13549000</v>
      </c>
      <c r="N160" s="148"/>
      <c r="O160" s="148" t="s">
        <v>48</v>
      </c>
      <c r="P160" s="150">
        <v>1378947</v>
      </c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</row>
    <row r="161" spans="1:27">
      <c r="A161" s="147">
        <v>1168</v>
      </c>
      <c r="B161" s="147" t="s">
        <v>27</v>
      </c>
      <c r="C161" s="147" t="s">
        <v>46</v>
      </c>
      <c r="D161" s="148" t="s">
        <v>51</v>
      </c>
      <c r="E161" s="148" t="s">
        <v>30</v>
      </c>
      <c r="F161" s="149">
        <v>2025</v>
      </c>
      <c r="G161" s="148" t="s">
        <v>35</v>
      </c>
      <c r="H161" s="150">
        <v>6358</v>
      </c>
      <c r="I161" s="150">
        <v>3173285</v>
      </c>
      <c r="J161" s="150">
        <v>32917</v>
      </c>
      <c r="K161" s="150">
        <v>115221782</v>
      </c>
      <c r="L161" s="151">
        <v>781</v>
      </c>
      <c r="M161" s="152">
        <f t="shared" si="2"/>
        <v>13277000</v>
      </c>
      <c r="N161" s="148"/>
      <c r="O161" s="148" t="s">
        <v>48</v>
      </c>
      <c r="P161" s="150">
        <v>1353981</v>
      </c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</row>
    <row r="162" spans="1:27">
      <c r="A162" s="147">
        <v>1169</v>
      </c>
      <c r="B162" s="147" t="s">
        <v>27</v>
      </c>
      <c r="C162" s="147" t="s">
        <v>46</v>
      </c>
      <c r="D162" s="148" t="s">
        <v>51</v>
      </c>
      <c r="E162" s="148" t="s">
        <v>30</v>
      </c>
      <c r="F162" s="149">
        <v>2025</v>
      </c>
      <c r="G162" s="148" t="s">
        <v>36</v>
      </c>
      <c r="H162" s="150">
        <v>6084</v>
      </c>
      <c r="I162" s="150">
        <v>3233694</v>
      </c>
      <c r="J162" s="150">
        <v>60409</v>
      </c>
      <c r="K162" s="150">
        <v>128588334</v>
      </c>
      <c r="L162" s="151">
        <v>1607</v>
      </c>
      <c r="M162" s="152">
        <f t="shared" si="2"/>
        <v>27319000</v>
      </c>
      <c r="N162" s="148"/>
      <c r="O162" s="148" t="s">
        <v>48</v>
      </c>
      <c r="P162" s="150">
        <v>2273526</v>
      </c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</row>
    <row r="163" spans="1:27">
      <c r="A163" s="147">
        <v>1170</v>
      </c>
      <c r="B163" s="147" t="s">
        <v>27</v>
      </c>
      <c r="C163" s="147" t="s">
        <v>46</v>
      </c>
      <c r="D163" s="148" t="s">
        <v>51</v>
      </c>
      <c r="E163" s="148" t="s">
        <v>30</v>
      </c>
      <c r="F163" s="149">
        <v>2025</v>
      </c>
      <c r="G163" s="148" t="s">
        <v>37</v>
      </c>
      <c r="H163" s="150">
        <v>5086</v>
      </c>
      <c r="I163" s="150">
        <v>3298095</v>
      </c>
      <c r="J163" s="150">
        <v>64401</v>
      </c>
      <c r="K163" s="150">
        <v>182540590</v>
      </c>
      <c r="L163" s="151">
        <v>1252</v>
      </c>
      <c r="M163" s="152">
        <f t="shared" si="2"/>
        <v>21284000</v>
      </c>
      <c r="N163" s="148"/>
      <c r="O163" s="148" t="s">
        <v>48</v>
      </c>
      <c r="P163" s="150">
        <v>3178718</v>
      </c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</row>
    <row r="164" spans="1:27">
      <c r="A164" s="147">
        <v>1171</v>
      </c>
      <c r="B164" s="147" t="s">
        <v>27</v>
      </c>
      <c r="C164" s="147" t="s">
        <v>46</v>
      </c>
      <c r="D164" s="148" t="s">
        <v>51</v>
      </c>
      <c r="E164" s="148" t="s">
        <v>30</v>
      </c>
      <c r="F164" s="149">
        <v>2025</v>
      </c>
      <c r="G164" s="148" t="s">
        <v>38</v>
      </c>
      <c r="H164" s="150">
        <v>4386</v>
      </c>
      <c r="I164" s="150">
        <v>3353591</v>
      </c>
      <c r="J164" s="150">
        <v>59440</v>
      </c>
      <c r="K164" s="150">
        <v>185739137</v>
      </c>
      <c r="L164" s="151">
        <v>1228</v>
      </c>
      <c r="M164" s="152">
        <f t="shared" si="2"/>
        <v>20876000</v>
      </c>
      <c r="N164" s="148"/>
      <c r="O164" s="150">
        <v>28418173</v>
      </c>
      <c r="P164" s="150">
        <v>2575529</v>
      </c>
      <c r="Q164" s="154">
        <v>0.624</v>
      </c>
      <c r="R164" s="154">
        <v>0.376</v>
      </c>
      <c r="S164" s="148"/>
      <c r="T164" s="148" t="s">
        <v>44</v>
      </c>
      <c r="U164" s="154">
        <v>0.103</v>
      </c>
      <c r="V164" s="154">
        <v>0.343</v>
      </c>
      <c r="W164" s="154">
        <v>0.31</v>
      </c>
      <c r="X164" s="154">
        <v>0.154</v>
      </c>
      <c r="Y164" s="154">
        <v>0.058</v>
      </c>
      <c r="Z164" s="154">
        <v>0.032</v>
      </c>
      <c r="AA164" s="148" t="s">
        <v>45</v>
      </c>
    </row>
    <row r="165" spans="1:27">
      <c r="A165" s="147">
        <v>1172</v>
      </c>
      <c r="B165" s="147" t="s">
        <v>27</v>
      </c>
      <c r="C165" s="147" t="s">
        <v>46</v>
      </c>
      <c r="D165" s="148" t="s">
        <v>51</v>
      </c>
      <c r="E165" s="148" t="s">
        <v>30</v>
      </c>
      <c r="F165" s="149">
        <v>2025</v>
      </c>
      <c r="G165" s="148" t="s">
        <v>39</v>
      </c>
      <c r="H165" s="150">
        <v>3880</v>
      </c>
      <c r="I165" s="150">
        <v>3481404</v>
      </c>
      <c r="J165" s="150">
        <v>134237</v>
      </c>
      <c r="K165" s="150">
        <v>248725317</v>
      </c>
      <c r="L165" s="151">
        <v>4897</v>
      </c>
      <c r="M165" s="152">
        <f t="shared" si="2"/>
        <v>83249000</v>
      </c>
      <c r="N165" s="148"/>
      <c r="O165" s="150">
        <v>42989376</v>
      </c>
      <c r="P165" s="150">
        <v>4603916</v>
      </c>
      <c r="Q165" s="154">
        <v>0.628</v>
      </c>
      <c r="R165" s="154">
        <v>0.372</v>
      </c>
      <c r="S165" s="148"/>
      <c r="T165" s="148"/>
      <c r="U165" s="154">
        <v>0.1</v>
      </c>
      <c r="V165" s="154">
        <v>0.345</v>
      </c>
      <c r="W165" s="154">
        <v>0.311</v>
      </c>
      <c r="X165" s="154">
        <v>0.155</v>
      </c>
      <c r="Y165" s="154">
        <v>0.058</v>
      </c>
      <c r="Z165" s="154">
        <v>0.031</v>
      </c>
      <c r="AA165" s="148" t="s">
        <v>45</v>
      </c>
    </row>
    <row r="166" spans="1:27">
      <c r="A166" s="147">
        <v>1173</v>
      </c>
      <c r="B166" s="147" t="s">
        <v>27</v>
      </c>
      <c r="C166" s="147" t="s">
        <v>46</v>
      </c>
      <c r="D166" s="148" t="s">
        <v>51</v>
      </c>
      <c r="E166" s="148" t="s">
        <v>30</v>
      </c>
      <c r="F166" s="149">
        <v>2025</v>
      </c>
      <c r="G166" s="148" t="s">
        <v>40</v>
      </c>
      <c r="H166" s="150">
        <v>3675</v>
      </c>
      <c r="I166" s="150">
        <v>3571221</v>
      </c>
      <c r="J166" s="150">
        <v>102807</v>
      </c>
      <c r="K166" s="150">
        <v>205031670</v>
      </c>
      <c r="L166" s="151">
        <v>3131</v>
      </c>
      <c r="M166" s="152">
        <f t="shared" si="2"/>
        <v>53227000</v>
      </c>
      <c r="N166" s="148"/>
      <c r="O166" s="150">
        <v>34241513</v>
      </c>
      <c r="P166" s="150">
        <v>3725296</v>
      </c>
      <c r="Q166" s="154">
        <v>0.632</v>
      </c>
      <c r="R166" s="154">
        <v>0.368</v>
      </c>
      <c r="S166" s="148"/>
      <c r="T166" s="148"/>
      <c r="U166" s="154">
        <v>0.096</v>
      </c>
      <c r="V166" s="154">
        <v>0.345</v>
      </c>
      <c r="W166" s="154">
        <v>0.313</v>
      </c>
      <c r="X166" s="154">
        <v>0.157</v>
      </c>
      <c r="Y166" s="154">
        <v>0.058</v>
      </c>
      <c r="Z166" s="154">
        <v>0.031</v>
      </c>
      <c r="AA166" s="148" t="s">
        <v>45</v>
      </c>
    </row>
    <row r="167" spans="1:27">
      <c r="A167" s="147">
        <v>1174</v>
      </c>
      <c r="B167" s="147" t="s">
        <v>27</v>
      </c>
      <c r="C167" s="147" t="s">
        <v>46</v>
      </c>
      <c r="D167" s="148" t="s">
        <v>51</v>
      </c>
      <c r="E167" s="148" t="s">
        <v>30</v>
      </c>
      <c r="F167" s="149">
        <v>2025</v>
      </c>
      <c r="G167" s="148" t="s">
        <v>41</v>
      </c>
      <c r="H167" s="150">
        <v>3383</v>
      </c>
      <c r="I167" s="150">
        <v>3636697</v>
      </c>
      <c r="J167" s="150">
        <v>75345</v>
      </c>
      <c r="K167" s="150">
        <v>190208367</v>
      </c>
      <c r="L167" s="151">
        <v>2511</v>
      </c>
      <c r="M167" s="152">
        <f t="shared" si="2"/>
        <v>42687000</v>
      </c>
      <c r="N167" s="148"/>
      <c r="O167" s="150">
        <v>31578463</v>
      </c>
      <c r="P167" s="150">
        <v>4006325</v>
      </c>
      <c r="Q167" s="154">
        <v>0.633</v>
      </c>
      <c r="R167" s="154">
        <v>0.367</v>
      </c>
      <c r="S167" s="148"/>
      <c r="T167" s="148"/>
      <c r="U167" s="154">
        <v>0.093</v>
      </c>
      <c r="V167" s="154">
        <v>0.344</v>
      </c>
      <c r="W167" s="154">
        <v>0.314</v>
      </c>
      <c r="X167" s="154">
        <v>0.159</v>
      </c>
      <c r="Y167" s="154">
        <v>0.059</v>
      </c>
      <c r="Z167" s="154">
        <v>0.031</v>
      </c>
      <c r="AA167" s="148" t="s">
        <v>45</v>
      </c>
    </row>
    <row r="168" spans="1:27">
      <c r="A168" s="147">
        <v>1175</v>
      </c>
      <c r="B168" s="147" t="s">
        <v>27</v>
      </c>
      <c r="C168" s="147" t="s">
        <v>46</v>
      </c>
      <c r="D168" s="148" t="s">
        <v>51</v>
      </c>
      <c r="E168" s="148" t="s">
        <v>30</v>
      </c>
      <c r="F168" s="149">
        <v>2025</v>
      </c>
      <c r="G168" s="148" t="s">
        <v>42</v>
      </c>
      <c r="H168" s="150">
        <v>2520</v>
      </c>
      <c r="I168" s="150">
        <v>3729793</v>
      </c>
      <c r="J168" s="150">
        <v>104953</v>
      </c>
      <c r="K168" s="150">
        <v>230439088</v>
      </c>
      <c r="L168" s="151">
        <v>3059</v>
      </c>
      <c r="M168" s="152">
        <f t="shared" si="2"/>
        <v>52003000</v>
      </c>
      <c r="N168" s="148"/>
      <c r="O168" s="150">
        <v>38882956</v>
      </c>
      <c r="P168" s="150">
        <v>5434990</v>
      </c>
      <c r="Q168" s="154">
        <v>0.636</v>
      </c>
      <c r="R168" s="154">
        <v>0.364</v>
      </c>
      <c r="S168" s="148"/>
      <c r="T168" s="148"/>
      <c r="U168" s="154">
        <v>0.091</v>
      </c>
      <c r="V168" s="154">
        <v>0.344</v>
      </c>
      <c r="W168" s="154">
        <v>0.314</v>
      </c>
      <c r="X168" s="154">
        <v>0.16</v>
      </c>
      <c r="Y168" s="154">
        <v>0.06</v>
      </c>
      <c r="Z168" s="154">
        <v>0.031</v>
      </c>
      <c r="AA168" s="148" t="s">
        <v>45</v>
      </c>
    </row>
    <row r="169" spans="1:27">
      <c r="A169" s="147">
        <v>1176</v>
      </c>
      <c r="B169" s="147" t="s">
        <v>27</v>
      </c>
      <c r="C169" s="147" t="s">
        <v>46</v>
      </c>
      <c r="D169" s="148" t="s">
        <v>51</v>
      </c>
      <c r="E169" s="148" t="s">
        <v>30</v>
      </c>
      <c r="F169" s="149">
        <v>2025</v>
      </c>
      <c r="G169" s="148" t="s">
        <v>43</v>
      </c>
      <c r="H169" s="150">
        <v>2961</v>
      </c>
      <c r="I169" s="150">
        <v>3824052</v>
      </c>
      <c r="J169" s="150">
        <v>110394</v>
      </c>
      <c r="K169" s="150">
        <v>286446188</v>
      </c>
      <c r="L169" s="151">
        <v>2801</v>
      </c>
      <c r="M169" s="152">
        <f t="shared" si="2"/>
        <v>47617000</v>
      </c>
      <c r="N169" s="148"/>
      <c r="O169" s="150">
        <v>65133818</v>
      </c>
      <c r="P169" s="150">
        <v>4966832</v>
      </c>
      <c r="Q169" s="154">
        <v>0.639</v>
      </c>
      <c r="R169" s="154">
        <v>0.361</v>
      </c>
      <c r="S169" s="148"/>
      <c r="T169" s="148"/>
      <c r="U169" s="154">
        <v>0.087</v>
      </c>
      <c r="V169" s="154">
        <v>0.345</v>
      </c>
      <c r="W169" s="154">
        <v>0.315</v>
      </c>
      <c r="X169" s="154">
        <v>0.162</v>
      </c>
      <c r="Y169" s="154">
        <v>0.06</v>
      </c>
      <c r="Z169" s="154">
        <v>0.031</v>
      </c>
      <c r="AA169" s="148" t="s">
        <v>45</v>
      </c>
    </row>
    <row r="170" spans="1:27">
      <c r="A170" s="147">
        <v>1177</v>
      </c>
      <c r="B170" s="147" t="s">
        <v>27</v>
      </c>
      <c r="C170" s="147" t="s">
        <v>46</v>
      </c>
      <c r="D170" s="148" t="s">
        <v>51</v>
      </c>
      <c r="E170" s="148" t="s">
        <v>30</v>
      </c>
      <c r="F170" s="149">
        <v>2026</v>
      </c>
      <c r="G170" s="148" t="s">
        <v>31</v>
      </c>
      <c r="H170" s="150">
        <v>2967</v>
      </c>
      <c r="I170" s="150">
        <v>3897886</v>
      </c>
      <c r="J170" s="150">
        <v>77494</v>
      </c>
      <c r="K170" s="150">
        <v>230030440</v>
      </c>
      <c r="L170" s="151">
        <v>2150</v>
      </c>
      <c r="M170" s="152">
        <f t="shared" si="2"/>
        <v>36550000</v>
      </c>
      <c r="N170" s="148"/>
      <c r="O170" s="150">
        <v>58761183</v>
      </c>
      <c r="P170" s="150">
        <v>3258593</v>
      </c>
      <c r="Q170" s="154">
        <v>0.733</v>
      </c>
      <c r="R170" s="154">
        <v>0.267</v>
      </c>
      <c r="S170" s="148"/>
      <c r="T170" s="148"/>
      <c r="U170" s="154">
        <v>0.06</v>
      </c>
      <c r="V170" s="154">
        <v>0.361</v>
      </c>
      <c r="W170" s="154">
        <v>0.322</v>
      </c>
      <c r="X170" s="154">
        <v>0.171</v>
      </c>
      <c r="Y170" s="154">
        <v>0.056</v>
      </c>
      <c r="Z170" s="154">
        <v>0.03</v>
      </c>
      <c r="AA170" s="148" t="s">
        <v>45</v>
      </c>
    </row>
    <row r="171" spans="1:27">
      <c r="A171" s="147">
        <v>1178</v>
      </c>
      <c r="B171" s="147" t="s">
        <v>27</v>
      </c>
      <c r="C171" s="147" t="s">
        <v>46</v>
      </c>
      <c r="D171" s="148" t="s">
        <v>51</v>
      </c>
      <c r="E171" s="148" t="s">
        <v>30</v>
      </c>
      <c r="F171" s="149">
        <v>2026</v>
      </c>
      <c r="G171" s="148" t="s">
        <v>33</v>
      </c>
      <c r="H171" s="150">
        <v>2479</v>
      </c>
      <c r="I171" s="150">
        <v>3983016</v>
      </c>
      <c r="J171" s="150">
        <v>87311</v>
      </c>
      <c r="K171" s="150">
        <v>209188976</v>
      </c>
      <c r="L171" s="151">
        <v>2148</v>
      </c>
      <c r="M171" s="152">
        <f t="shared" si="2"/>
        <v>36516000</v>
      </c>
      <c r="N171" s="148"/>
      <c r="O171" s="150">
        <v>51487154</v>
      </c>
      <c r="P171" s="150">
        <v>4325425</v>
      </c>
      <c r="Q171" s="154">
        <v>0.644</v>
      </c>
      <c r="R171" s="154">
        <v>0.356</v>
      </c>
      <c r="S171" s="148"/>
      <c r="T171" s="148"/>
      <c r="U171" s="154">
        <v>0.085</v>
      </c>
      <c r="V171" s="154">
        <v>0.343</v>
      </c>
      <c r="W171" s="154">
        <v>0.317</v>
      </c>
      <c r="X171" s="154">
        <v>0.164</v>
      </c>
      <c r="Y171" s="154">
        <v>0.06</v>
      </c>
      <c r="Z171" s="154">
        <v>0.031</v>
      </c>
      <c r="AA171" s="148" t="s">
        <v>45</v>
      </c>
    </row>
    <row r="172" spans="1:27">
      <c r="A172" s="147">
        <v>1179</v>
      </c>
      <c r="B172" s="147" t="s">
        <v>27</v>
      </c>
      <c r="C172" s="147" t="s">
        <v>46</v>
      </c>
      <c r="D172" s="148" t="s">
        <v>51</v>
      </c>
      <c r="E172" s="148" t="s">
        <v>30</v>
      </c>
      <c r="F172" s="149">
        <v>2026</v>
      </c>
      <c r="G172" s="148" t="s">
        <v>34</v>
      </c>
      <c r="H172" s="150">
        <v>2593</v>
      </c>
      <c r="I172" s="150">
        <v>4083377</v>
      </c>
      <c r="J172" s="150">
        <v>118886</v>
      </c>
      <c r="K172" s="150">
        <v>255432845</v>
      </c>
      <c r="L172" s="151">
        <v>2785</v>
      </c>
      <c r="M172" s="152">
        <f t="shared" si="2"/>
        <v>47345000</v>
      </c>
      <c r="N172" s="148"/>
      <c r="O172" s="150">
        <v>40581723</v>
      </c>
      <c r="P172" s="150">
        <v>5571662</v>
      </c>
      <c r="Q172" s="154">
        <v>0.645</v>
      </c>
      <c r="R172" s="154">
        <v>0.355</v>
      </c>
      <c r="S172" s="148"/>
      <c r="T172" s="148"/>
      <c r="U172" s="154">
        <v>0.085</v>
      </c>
      <c r="V172" s="154">
        <v>0.342</v>
      </c>
      <c r="W172" s="154">
        <v>0.318</v>
      </c>
      <c r="X172" s="154">
        <v>0.164</v>
      </c>
      <c r="Y172" s="154">
        <v>0.06</v>
      </c>
      <c r="Z172" s="154">
        <v>0.031</v>
      </c>
      <c r="AA172" s="148" t="s">
        <v>45</v>
      </c>
    </row>
    <row r="173" spans="1:27">
      <c r="A173" s="147">
        <v>1180</v>
      </c>
      <c r="B173" s="147" t="s">
        <v>27</v>
      </c>
      <c r="C173" s="147" t="s">
        <v>46</v>
      </c>
      <c r="D173" s="148" t="s">
        <v>51</v>
      </c>
      <c r="E173" s="148" t="s">
        <v>30</v>
      </c>
      <c r="F173" s="149">
        <v>2026</v>
      </c>
      <c r="G173" s="148" t="s">
        <v>35</v>
      </c>
      <c r="H173" s="150">
        <v>2295</v>
      </c>
      <c r="I173" s="150">
        <v>4130858</v>
      </c>
      <c r="J173" s="150">
        <v>59380</v>
      </c>
      <c r="K173" s="150">
        <v>157530641</v>
      </c>
      <c r="L173" s="151">
        <v>1643</v>
      </c>
      <c r="M173" s="152">
        <f t="shared" si="2"/>
        <v>27931000</v>
      </c>
      <c r="N173" s="148"/>
      <c r="O173" s="150">
        <v>32121841</v>
      </c>
      <c r="P173" s="150">
        <v>2881075</v>
      </c>
      <c r="Q173" s="154">
        <v>0.645</v>
      </c>
      <c r="R173" s="154">
        <v>0.355</v>
      </c>
      <c r="S173" s="148"/>
      <c r="T173" s="148"/>
      <c r="U173" s="154">
        <v>0.083</v>
      </c>
      <c r="V173" s="154">
        <v>0.342</v>
      </c>
      <c r="W173" s="154">
        <v>0.318</v>
      </c>
      <c r="X173" s="154">
        <v>0.166</v>
      </c>
      <c r="Y173" s="154">
        <v>0.06</v>
      </c>
      <c r="Z173" s="154">
        <v>0.031</v>
      </c>
      <c r="AA173" s="148" t="s">
        <v>45</v>
      </c>
    </row>
    <row r="174" spans="1:27">
      <c r="A174" s="147">
        <v>1181</v>
      </c>
      <c r="B174" s="147" t="s">
        <v>27</v>
      </c>
      <c r="C174" s="147" t="s">
        <v>46</v>
      </c>
      <c r="D174" s="148" t="s">
        <v>51</v>
      </c>
      <c r="E174" s="148" t="s">
        <v>30</v>
      </c>
      <c r="F174" s="149">
        <v>2026</v>
      </c>
      <c r="G174" s="148" t="s">
        <v>36</v>
      </c>
      <c r="H174" s="150">
        <v>2064</v>
      </c>
      <c r="I174" s="150">
        <v>4197148</v>
      </c>
      <c r="J174" s="150">
        <v>86510</v>
      </c>
      <c r="K174" s="150">
        <v>235364167</v>
      </c>
      <c r="L174" s="151">
        <v>2257</v>
      </c>
      <c r="M174" s="152">
        <f t="shared" si="2"/>
        <v>38369000</v>
      </c>
      <c r="N174" s="148"/>
      <c r="O174" s="150">
        <v>44976016</v>
      </c>
      <c r="P174" s="150">
        <v>4879474</v>
      </c>
      <c r="Q174" s="154">
        <v>0.646</v>
      </c>
      <c r="R174" s="154">
        <v>0.354</v>
      </c>
      <c r="S174" s="148"/>
      <c r="T174" s="148"/>
      <c r="U174" s="154">
        <v>0.081</v>
      </c>
      <c r="V174" s="154">
        <v>0.342</v>
      </c>
      <c r="W174" s="154">
        <v>0.319</v>
      </c>
      <c r="X174" s="154">
        <v>0.166</v>
      </c>
      <c r="Y174" s="154">
        <v>0.061</v>
      </c>
      <c r="Z174" s="154">
        <v>0.031</v>
      </c>
      <c r="AA174" s="148" t="s">
        <v>45</v>
      </c>
    </row>
    <row r="175" spans="1:27">
      <c r="A175" s="147">
        <v>1182</v>
      </c>
      <c r="B175" s="147" t="s">
        <v>27</v>
      </c>
      <c r="C175" s="147" t="s">
        <v>46</v>
      </c>
      <c r="D175" s="148" t="s">
        <v>51</v>
      </c>
      <c r="E175" s="148" t="s">
        <v>30</v>
      </c>
      <c r="F175" s="149">
        <v>2026</v>
      </c>
      <c r="G175" s="148" t="s">
        <v>37</v>
      </c>
      <c r="H175" s="150">
        <v>2054</v>
      </c>
      <c r="I175" s="150">
        <v>4273527</v>
      </c>
      <c r="J175" s="150">
        <v>93707</v>
      </c>
      <c r="K175" s="150">
        <v>258208482</v>
      </c>
      <c r="L175" s="151">
        <v>3401</v>
      </c>
      <c r="M175" s="152">
        <f t="shared" si="2"/>
        <v>57817000</v>
      </c>
      <c r="N175" s="148"/>
      <c r="O175" s="150">
        <v>53172570</v>
      </c>
      <c r="P175" s="150">
        <v>5019536</v>
      </c>
      <c r="Q175" s="154">
        <v>0.646</v>
      </c>
      <c r="R175" s="154">
        <v>0.354</v>
      </c>
      <c r="S175" s="148"/>
      <c r="T175" s="148"/>
      <c r="U175" s="154">
        <v>0.081</v>
      </c>
      <c r="V175" s="154">
        <v>0.34</v>
      </c>
      <c r="W175" s="154">
        <v>0.32</v>
      </c>
      <c r="X175" s="154">
        <v>0.166</v>
      </c>
      <c r="Y175" s="154">
        <v>0.062</v>
      </c>
      <c r="Z175" s="154">
        <v>0.031</v>
      </c>
      <c r="AA175" s="148" t="s">
        <v>45</v>
      </c>
    </row>
    <row r="176" spans="1:27">
      <c r="A176" s="147">
        <v>1183</v>
      </c>
      <c r="B176" s="147" t="s">
        <v>27</v>
      </c>
      <c r="C176" s="147" t="s">
        <v>46</v>
      </c>
      <c r="D176" s="148" t="s">
        <v>51</v>
      </c>
      <c r="E176" s="148" t="s">
        <v>30</v>
      </c>
      <c r="F176" s="149">
        <v>2026</v>
      </c>
      <c r="G176" s="148" t="s">
        <v>38</v>
      </c>
      <c r="H176" s="150">
        <v>1779</v>
      </c>
      <c r="I176" s="150">
        <v>4342726</v>
      </c>
      <c r="J176" s="150">
        <v>84736</v>
      </c>
      <c r="K176" s="150">
        <v>233398950</v>
      </c>
      <c r="L176" s="151">
        <v>2827</v>
      </c>
      <c r="M176" s="152">
        <f t="shared" si="2"/>
        <v>48059000</v>
      </c>
      <c r="N176" s="148"/>
      <c r="O176" s="150">
        <v>45107507</v>
      </c>
      <c r="P176" s="150">
        <v>4134798</v>
      </c>
      <c r="Q176" s="154">
        <v>0.643</v>
      </c>
      <c r="R176" s="154">
        <v>0.357</v>
      </c>
      <c r="S176" s="148"/>
      <c r="T176" s="148"/>
      <c r="U176" s="154">
        <v>0.072</v>
      </c>
      <c r="V176" s="154">
        <v>0.335</v>
      </c>
      <c r="W176" s="154">
        <v>0.326</v>
      </c>
      <c r="X176" s="154">
        <v>0.171</v>
      </c>
      <c r="Y176" s="154">
        <v>0.064</v>
      </c>
      <c r="Z176" s="154">
        <v>0.032</v>
      </c>
      <c r="AA176" s="148" t="s">
        <v>45</v>
      </c>
    </row>
    <row r="177" spans="1:27">
      <c r="A177" s="147">
        <v>1184</v>
      </c>
      <c r="B177" s="147" t="s">
        <v>27</v>
      </c>
      <c r="C177" s="147" t="s">
        <v>46</v>
      </c>
      <c r="D177" s="148" t="s">
        <v>51</v>
      </c>
      <c r="E177" s="148" t="s">
        <v>30</v>
      </c>
      <c r="F177" s="149">
        <v>2026</v>
      </c>
      <c r="G177" s="148" t="s">
        <v>39</v>
      </c>
      <c r="H177" s="148"/>
      <c r="I177" s="148"/>
      <c r="J177" s="148"/>
      <c r="K177" s="148"/>
      <c r="L177" s="152"/>
      <c r="M177" s="152">
        <f t="shared" si="2"/>
        <v>0</v>
      </c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</row>
    <row r="178" spans="1:27">
      <c r="A178" s="147">
        <v>1185</v>
      </c>
      <c r="B178" s="147" t="s">
        <v>27</v>
      </c>
      <c r="C178" s="147" t="s">
        <v>46</v>
      </c>
      <c r="D178" s="148" t="s">
        <v>51</v>
      </c>
      <c r="E178" s="148" t="s">
        <v>30</v>
      </c>
      <c r="F178" s="149">
        <v>2026</v>
      </c>
      <c r="G178" s="148" t="s">
        <v>40</v>
      </c>
      <c r="H178" s="148"/>
      <c r="I178" s="148"/>
      <c r="J178" s="148"/>
      <c r="K178" s="148"/>
      <c r="L178" s="152"/>
      <c r="M178" s="152">
        <f t="shared" si="2"/>
        <v>0</v>
      </c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</row>
    <row r="179" spans="1:27">
      <c r="A179" s="147">
        <v>1186</v>
      </c>
      <c r="B179" s="147" t="s">
        <v>27</v>
      </c>
      <c r="C179" s="147" t="s">
        <v>46</v>
      </c>
      <c r="D179" s="148" t="s">
        <v>51</v>
      </c>
      <c r="E179" s="148" t="s">
        <v>30</v>
      </c>
      <c r="F179" s="149">
        <v>2026</v>
      </c>
      <c r="G179" s="148" t="s">
        <v>41</v>
      </c>
      <c r="H179" s="148"/>
      <c r="I179" s="148"/>
      <c r="J179" s="148"/>
      <c r="K179" s="148"/>
      <c r="L179" s="152"/>
      <c r="M179" s="152">
        <f t="shared" si="2"/>
        <v>0</v>
      </c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</row>
    <row r="180" spans="1:27">
      <c r="A180" s="147">
        <v>1187</v>
      </c>
      <c r="B180" s="147" t="s">
        <v>27</v>
      </c>
      <c r="C180" s="147" t="s">
        <v>46</v>
      </c>
      <c r="D180" s="148" t="s">
        <v>51</v>
      </c>
      <c r="E180" s="148" t="s">
        <v>30</v>
      </c>
      <c r="F180" s="149">
        <v>2026</v>
      </c>
      <c r="G180" s="148" t="s">
        <v>42</v>
      </c>
      <c r="H180" s="148"/>
      <c r="I180" s="148"/>
      <c r="J180" s="148"/>
      <c r="K180" s="148"/>
      <c r="L180" s="152"/>
      <c r="M180" s="152">
        <f t="shared" si="2"/>
        <v>0</v>
      </c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</row>
    <row r="181" spans="1:27">
      <c r="A181" s="147">
        <v>1188</v>
      </c>
      <c r="B181" s="147" t="s">
        <v>27</v>
      </c>
      <c r="C181" s="147" t="s">
        <v>46</v>
      </c>
      <c r="D181" s="148" t="s">
        <v>51</v>
      </c>
      <c r="E181" s="148" t="s">
        <v>30</v>
      </c>
      <c r="F181" s="149">
        <v>2026</v>
      </c>
      <c r="G181" s="148" t="s">
        <v>43</v>
      </c>
      <c r="H181" s="148"/>
      <c r="I181" s="148"/>
      <c r="J181" s="148"/>
      <c r="K181" s="148"/>
      <c r="L181" s="152"/>
      <c r="M181" s="152">
        <f t="shared" si="2"/>
        <v>0</v>
      </c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</row>
    <row r="182" spans="1:27">
      <c r="A182" s="147">
        <v>1201</v>
      </c>
      <c r="B182" s="147" t="s">
        <v>27</v>
      </c>
      <c r="C182" s="147" t="s">
        <v>46</v>
      </c>
      <c r="D182" s="148" t="s">
        <v>52</v>
      </c>
      <c r="E182" s="148" t="s">
        <v>30</v>
      </c>
      <c r="F182" s="149">
        <v>2024</v>
      </c>
      <c r="G182" s="148" t="s">
        <v>31</v>
      </c>
      <c r="H182" s="150">
        <v>5480</v>
      </c>
      <c r="I182" s="150">
        <v>980042</v>
      </c>
      <c r="J182" s="150">
        <v>12664</v>
      </c>
      <c r="K182" s="148" t="s">
        <v>32</v>
      </c>
      <c r="L182" s="151">
        <v>246</v>
      </c>
      <c r="M182" s="152">
        <f t="shared" si="2"/>
        <v>4182000</v>
      </c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</row>
    <row r="183" spans="1:27">
      <c r="A183" s="147">
        <v>1202</v>
      </c>
      <c r="B183" s="147" t="s">
        <v>27</v>
      </c>
      <c r="C183" s="147" t="s">
        <v>46</v>
      </c>
      <c r="D183" s="148" t="s">
        <v>52</v>
      </c>
      <c r="E183" s="148" t="s">
        <v>30</v>
      </c>
      <c r="F183" s="149">
        <v>2024</v>
      </c>
      <c r="G183" s="148" t="s">
        <v>33</v>
      </c>
      <c r="H183" s="150">
        <v>4717</v>
      </c>
      <c r="I183" s="150">
        <v>988009</v>
      </c>
      <c r="J183" s="150">
        <v>7967</v>
      </c>
      <c r="K183" s="148" t="s">
        <v>32</v>
      </c>
      <c r="L183" s="151">
        <v>112</v>
      </c>
      <c r="M183" s="152">
        <f t="shared" si="2"/>
        <v>1904000</v>
      </c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</row>
    <row r="184" spans="1:27">
      <c r="A184" s="147">
        <v>1203</v>
      </c>
      <c r="B184" s="147" t="s">
        <v>27</v>
      </c>
      <c r="C184" s="147" t="s">
        <v>46</v>
      </c>
      <c r="D184" s="148" t="s">
        <v>52</v>
      </c>
      <c r="E184" s="148" t="s">
        <v>30</v>
      </c>
      <c r="F184" s="149">
        <v>2024</v>
      </c>
      <c r="G184" s="148" t="s">
        <v>34</v>
      </c>
      <c r="H184" s="150">
        <v>5862</v>
      </c>
      <c r="I184" s="150">
        <v>1001702</v>
      </c>
      <c r="J184" s="150">
        <v>13693</v>
      </c>
      <c r="K184" s="148" t="s">
        <v>32</v>
      </c>
      <c r="L184" s="151">
        <v>356</v>
      </c>
      <c r="M184" s="152">
        <f t="shared" si="2"/>
        <v>6052000</v>
      </c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</row>
    <row r="185" spans="1:27">
      <c r="A185" s="147">
        <v>1204</v>
      </c>
      <c r="B185" s="147" t="s">
        <v>27</v>
      </c>
      <c r="C185" s="147" t="s">
        <v>46</v>
      </c>
      <c r="D185" s="148" t="s">
        <v>52</v>
      </c>
      <c r="E185" s="148" t="s">
        <v>30</v>
      </c>
      <c r="F185" s="149">
        <v>2024</v>
      </c>
      <c r="G185" s="148" t="s">
        <v>35</v>
      </c>
      <c r="H185" s="150">
        <v>6669</v>
      </c>
      <c r="I185" s="150">
        <v>1011384</v>
      </c>
      <c r="J185" s="150">
        <v>9682</v>
      </c>
      <c r="K185" s="148" t="s">
        <v>32</v>
      </c>
      <c r="L185" s="151">
        <v>148</v>
      </c>
      <c r="M185" s="152">
        <f t="shared" si="2"/>
        <v>2516000</v>
      </c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</row>
    <row r="186" spans="1:27">
      <c r="A186" s="147">
        <v>1205</v>
      </c>
      <c r="B186" s="147" t="s">
        <v>27</v>
      </c>
      <c r="C186" s="147" t="s">
        <v>46</v>
      </c>
      <c r="D186" s="148" t="s">
        <v>52</v>
      </c>
      <c r="E186" s="148" t="s">
        <v>30</v>
      </c>
      <c r="F186" s="149">
        <v>2024</v>
      </c>
      <c r="G186" s="148" t="s">
        <v>36</v>
      </c>
      <c r="H186" s="150">
        <v>7273</v>
      </c>
      <c r="I186" s="150">
        <v>1021260</v>
      </c>
      <c r="J186" s="150">
        <v>9876</v>
      </c>
      <c r="K186" s="148" t="s">
        <v>32</v>
      </c>
      <c r="L186" s="151">
        <v>274</v>
      </c>
      <c r="M186" s="152">
        <f t="shared" si="2"/>
        <v>4658000</v>
      </c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</row>
    <row r="187" spans="1:27">
      <c r="A187" s="147">
        <v>1206</v>
      </c>
      <c r="B187" s="147" t="s">
        <v>27</v>
      </c>
      <c r="C187" s="147" t="s">
        <v>46</v>
      </c>
      <c r="D187" s="148" t="s">
        <v>52</v>
      </c>
      <c r="E187" s="148" t="s">
        <v>30</v>
      </c>
      <c r="F187" s="149">
        <v>2024</v>
      </c>
      <c r="G187" s="148" t="s">
        <v>37</v>
      </c>
      <c r="H187" s="150">
        <v>6894</v>
      </c>
      <c r="I187" s="150">
        <v>1036175</v>
      </c>
      <c r="J187" s="150">
        <v>14915</v>
      </c>
      <c r="K187" s="148" t="s">
        <v>32</v>
      </c>
      <c r="L187" s="151">
        <v>187</v>
      </c>
      <c r="M187" s="152">
        <f t="shared" si="2"/>
        <v>3179000</v>
      </c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</row>
    <row r="188" spans="1:27">
      <c r="A188" s="147">
        <v>1207</v>
      </c>
      <c r="B188" s="147" t="s">
        <v>27</v>
      </c>
      <c r="C188" s="147" t="s">
        <v>46</v>
      </c>
      <c r="D188" s="148" t="s">
        <v>52</v>
      </c>
      <c r="E188" s="148" t="s">
        <v>30</v>
      </c>
      <c r="F188" s="149">
        <v>2024</v>
      </c>
      <c r="G188" s="148" t="s">
        <v>38</v>
      </c>
      <c r="H188" s="150">
        <v>7130</v>
      </c>
      <c r="I188" s="150">
        <v>1042971</v>
      </c>
      <c r="J188" s="150">
        <v>6796</v>
      </c>
      <c r="K188" s="148" t="s">
        <v>32</v>
      </c>
      <c r="L188" s="151">
        <v>94</v>
      </c>
      <c r="M188" s="152">
        <f t="shared" si="2"/>
        <v>1598000</v>
      </c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</row>
    <row r="189" spans="1:27">
      <c r="A189" s="147">
        <v>1208</v>
      </c>
      <c r="B189" s="147" t="s">
        <v>27</v>
      </c>
      <c r="C189" s="147" t="s">
        <v>46</v>
      </c>
      <c r="D189" s="148" t="s">
        <v>52</v>
      </c>
      <c r="E189" s="148" t="s">
        <v>30</v>
      </c>
      <c r="F189" s="149">
        <v>2024</v>
      </c>
      <c r="G189" s="148" t="s">
        <v>39</v>
      </c>
      <c r="H189" s="150">
        <v>6790</v>
      </c>
      <c r="I189" s="150">
        <v>1056070</v>
      </c>
      <c r="J189" s="150">
        <v>13099</v>
      </c>
      <c r="K189" s="148" t="s">
        <v>32</v>
      </c>
      <c r="L189" s="151">
        <v>171</v>
      </c>
      <c r="M189" s="152">
        <f t="shared" si="2"/>
        <v>2907000</v>
      </c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</row>
    <row r="190" spans="1:27">
      <c r="A190" s="147">
        <v>1209</v>
      </c>
      <c r="B190" s="147" t="s">
        <v>27</v>
      </c>
      <c r="C190" s="147" t="s">
        <v>46</v>
      </c>
      <c r="D190" s="148" t="s">
        <v>52</v>
      </c>
      <c r="E190" s="148" t="s">
        <v>30</v>
      </c>
      <c r="F190" s="149">
        <v>2024</v>
      </c>
      <c r="G190" s="148" t="s">
        <v>40</v>
      </c>
      <c r="H190" s="150">
        <v>9512</v>
      </c>
      <c r="I190" s="150">
        <v>1064951</v>
      </c>
      <c r="J190" s="150">
        <v>8881</v>
      </c>
      <c r="K190" s="148" t="s">
        <v>32</v>
      </c>
      <c r="L190" s="151">
        <v>80</v>
      </c>
      <c r="M190" s="152">
        <f t="shared" si="2"/>
        <v>1360000</v>
      </c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</row>
    <row r="191" spans="1:27">
      <c r="A191" s="147">
        <v>1210</v>
      </c>
      <c r="B191" s="147" t="s">
        <v>27</v>
      </c>
      <c r="C191" s="147" t="s">
        <v>46</v>
      </c>
      <c r="D191" s="148" t="s">
        <v>52</v>
      </c>
      <c r="E191" s="148" t="s">
        <v>30</v>
      </c>
      <c r="F191" s="149">
        <v>2024</v>
      </c>
      <c r="G191" s="148" t="s">
        <v>41</v>
      </c>
      <c r="H191" s="150">
        <v>10466</v>
      </c>
      <c r="I191" s="150">
        <v>1079393</v>
      </c>
      <c r="J191" s="150">
        <v>14442</v>
      </c>
      <c r="K191" s="150">
        <v>32295219</v>
      </c>
      <c r="L191" s="151">
        <v>126</v>
      </c>
      <c r="M191" s="152">
        <f t="shared" si="2"/>
        <v>2142000</v>
      </c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</row>
    <row r="192" spans="1:27">
      <c r="A192" s="147">
        <v>1211</v>
      </c>
      <c r="B192" s="147" t="s">
        <v>27</v>
      </c>
      <c r="C192" s="147" t="s">
        <v>46</v>
      </c>
      <c r="D192" s="148" t="s">
        <v>52</v>
      </c>
      <c r="E192" s="148" t="s">
        <v>30</v>
      </c>
      <c r="F192" s="149">
        <v>2024</v>
      </c>
      <c r="G192" s="148" t="s">
        <v>42</v>
      </c>
      <c r="H192" s="150">
        <v>9947</v>
      </c>
      <c r="I192" s="150">
        <v>1105930</v>
      </c>
      <c r="J192" s="150">
        <v>26537</v>
      </c>
      <c r="K192" s="150">
        <v>34042242</v>
      </c>
      <c r="L192" s="151">
        <v>380</v>
      </c>
      <c r="M192" s="152">
        <f t="shared" si="2"/>
        <v>6460000</v>
      </c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</row>
    <row r="193" spans="1:27">
      <c r="A193" s="147">
        <v>1212</v>
      </c>
      <c r="B193" s="147" t="s">
        <v>27</v>
      </c>
      <c r="C193" s="147" t="s">
        <v>46</v>
      </c>
      <c r="D193" s="148" t="s">
        <v>52</v>
      </c>
      <c r="E193" s="148" t="s">
        <v>30</v>
      </c>
      <c r="F193" s="149">
        <v>2024</v>
      </c>
      <c r="G193" s="148" t="s">
        <v>43</v>
      </c>
      <c r="H193" s="150">
        <v>8960</v>
      </c>
      <c r="I193" s="150">
        <v>1125893</v>
      </c>
      <c r="J193" s="150">
        <v>19963</v>
      </c>
      <c r="K193" s="150">
        <v>40026939</v>
      </c>
      <c r="L193" s="151">
        <v>336</v>
      </c>
      <c r="M193" s="152">
        <f t="shared" si="2"/>
        <v>5712000</v>
      </c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</row>
    <row r="194" spans="1:27">
      <c r="A194" s="147">
        <v>1213</v>
      </c>
      <c r="B194" s="147" t="s">
        <v>27</v>
      </c>
      <c r="C194" s="147" t="s">
        <v>46</v>
      </c>
      <c r="D194" s="148" t="s">
        <v>52</v>
      </c>
      <c r="E194" s="148" t="s">
        <v>30</v>
      </c>
      <c r="F194" s="149">
        <v>2025</v>
      </c>
      <c r="G194" s="148" t="s">
        <v>31</v>
      </c>
      <c r="H194" s="150">
        <v>8400</v>
      </c>
      <c r="I194" s="150">
        <v>1141613</v>
      </c>
      <c r="J194" s="150">
        <v>15720</v>
      </c>
      <c r="K194" s="150">
        <v>48885154</v>
      </c>
      <c r="L194" s="151">
        <v>187</v>
      </c>
      <c r="M194" s="152">
        <f t="shared" ref="M194:M257" si="3">L194*17000</f>
        <v>3179000</v>
      </c>
      <c r="N194" s="148"/>
      <c r="O194" s="148" t="s">
        <v>48</v>
      </c>
      <c r="P194" s="150">
        <v>373548</v>
      </c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</row>
    <row r="195" spans="1:27">
      <c r="A195" s="147">
        <v>1214</v>
      </c>
      <c r="B195" s="147" t="s">
        <v>27</v>
      </c>
      <c r="C195" s="147" t="s">
        <v>46</v>
      </c>
      <c r="D195" s="148" t="s">
        <v>52</v>
      </c>
      <c r="E195" s="148" t="s">
        <v>30</v>
      </c>
      <c r="F195" s="149">
        <v>2025</v>
      </c>
      <c r="G195" s="148" t="s">
        <v>33</v>
      </c>
      <c r="H195" s="150">
        <v>6965</v>
      </c>
      <c r="I195" s="150">
        <v>1157368</v>
      </c>
      <c r="J195" s="150">
        <v>15755</v>
      </c>
      <c r="K195" s="150">
        <v>47107114</v>
      </c>
      <c r="L195" s="151">
        <v>185</v>
      </c>
      <c r="M195" s="152">
        <f t="shared" si="3"/>
        <v>3145000</v>
      </c>
      <c r="N195" s="148"/>
      <c r="O195" s="148" t="s">
        <v>48</v>
      </c>
      <c r="P195" s="150">
        <v>421943</v>
      </c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</row>
    <row r="196" spans="1:27">
      <c r="A196" s="147">
        <v>1215</v>
      </c>
      <c r="B196" s="147" t="s">
        <v>27</v>
      </c>
      <c r="C196" s="147" t="s">
        <v>46</v>
      </c>
      <c r="D196" s="148" t="s">
        <v>52</v>
      </c>
      <c r="E196" s="148" t="s">
        <v>30</v>
      </c>
      <c r="F196" s="149">
        <v>2025</v>
      </c>
      <c r="G196" s="148" t="s">
        <v>34</v>
      </c>
      <c r="H196" s="150">
        <v>6221</v>
      </c>
      <c r="I196" s="150">
        <v>1177037</v>
      </c>
      <c r="J196" s="150">
        <v>19669</v>
      </c>
      <c r="K196" s="150">
        <v>40728466</v>
      </c>
      <c r="L196" s="151">
        <v>190</v>
      </c>
      <c r="M196" s="152">
        <f t="shared" si="3"/>
        <v>3230000</v>
      </c>
      <c r="N196" s="148"/>
      <c r="O196" s="148" t="s">
        <v>48</v>
      </c>
      <c r="P196" s="150">
        <v>370521</v>
      </c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</row>
    <row r="197" spans="1:27">
      <c r="A197" s="147">
        <v>1216</v>
      </c>
      <c r="B197" s="147" t="s">
        <v>27</v>
      </c>
      <c r="C197" s="147" t="s">
        <v>46</v>
      </c>
      <c r="D197" s="148" t="s">
        <v>52</v>
      </c>
      <c r="E197" s="148" t="s">
        <v>30</v>
      </c>
      <c r="F197" s="149">
        <v>2025</v>
      </c>
      <c r="G197" s="148" t="s">
        <v>35</v>
      </c>
      <c r="H197" s="150">
        <v>4480</v>
      </c>
      <c r="I197" s="150">
        <v>1184967</v>
      </c>
      <c r="J197" s="150">
        <v>7930</v>
      </c>
      <c r="K197" s="150">
        <v>21290922</v>
      </c>
      <c r="L197" s="151">
        <v>92</v>
      </c>
      <c r="M197" s="152">
        <f t="shared" si="3"/>
        <v>1564000</v>
      </c>
      <c r="N197" s="148"/>
      <c r="O197" s="148" t="s">
        <v>48</v>
      </c>
      <c r="P197" s="150">
        <v>150383</v>
      </c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</row>
    <row r="198" spans="1:27">
      <c r="A198" s="147">
        <v>1217</v>
      </c>
      <c r="B198" s="147" t="s">
        <v>27</v>
      </c>
      <c r="C198" s="147" t="s">
        <v>46</v>
      </c>
      <c r="D198" s="148" t="s">
        <v>52</v>
      </c>
      <c r="E198" s="148" t="s">
        <v>30</v>
      </c>
      <c r="F198" s="149">
        <v>2025</v>
      </c>
      <c r="G198" s="148" t="s">
        <v>36</v>
      </c>
      <c r="H198" s="150">
        <v>3350</v>
      </c>
      <c r="I198" s="150">
        <v>1191180</v>
      </c>
      <c r="J198" s="150">
        <v>6213</v>
      </c>
      <c r="K198" s="150">
        <v>13702695</v>
      </c>
      <c r="L198" s="151">
        <v>88</v>
      </c>
      <c r="M198" s="152">
        <f t="shared" si="3"/>
        <v>1496000</v>
      </c>
      <c r="N198" s="148"/>
      <c r="O198" s="148" t="s">
        <v>48</v>
      </c>
      <c r="P198" s="150">
        <v>123586</v>
      </c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</row>
    <row r="199" spans="1:27">
      <c r="A199" s="147">
        <v>1218</v>
      </c>
      <c r="B199" s="147" t="s">
        <v>27</v>
      </c>
      <c r="C199" s="147" t="s">
        <v>46</v>
      </c>
      <c r="D199" s="148" t="s">
        <v>52</v>
      </c>
      <c r="E199" s="148" t="s">
        <v>30</v>
      </c>
      <c r="F199" s="149">
        <v>2025</v>
      </c>
      <c r="G199" s="148" t="s">
        <v>37</v>
      </c>
      <c r="H199" s="149">
        <v>903</v>
      </c>
      <c r="I199" s="150">
        <v>1204161</v>
      </c>
      <c r="J199" s="150">
        <v>12981</v>
      </c>
      <c r="K199" s="150">
        <v>15115457</v>
      </c>
      <c r="L199" s="151">
        <v>264</v>
      </c>
      <c r="M199" s="152">
        <f t="shared" si="3"/>
        <v>4488000</v>
      </c>
      <c r="N199" s="148"/>
      <c r="O199" s="148" t="s">
        <v>48</v>
      </c>
      <c r="P199" s="150">
        <v>220012</v>
      </c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</row>
    <row r="200" spans="1:27">
      <c r="A200" s="147">
        <v>1219</v>
      </c>
      <c r="B200" s="147" t="s">
        <v>27</v>
      </c>
      <c r="C200" s="147" t="s">
        <v>46</v>
      </c>
      <c r="D200" s="148" t="s">
        <v>52</v>
      </c>
      <c r="E200" s="148" t="s">
        <v>30</v>
      </c>
      <c r="F200" s="149">
        <v>2025</v>
      </c>
      <c r="G200" s="148" t="s">
        <v>38</v>
      </c>
      <c r="H200" s="149">
        <v>121</v>
      </c>
      <c r="I200" s="150">
        <v>1205676</v>
      </c>
      <c r="J200" s="150">
        <v>2580</v>
      </c>
      <c r="K200" s="150">
        <v>2994255</v>
      </c>
      <c r="L200" s="151">
        <v>24</v>
      </c>
      <c r="M200" s="152">
        <f t="shared" si="3"/>
        <v>408000</v>
      </c>
      <c r="N200" s="148"/>
      <c r="O200" s="150">
        <v>1005018</v>
      </c>
      <c r="P200" s="150">
        <v>22406</v>
      </c>
      <c r="Q200" s="154">
        <v>0.639</v>
      </c>
      <c r="R200" s="154">
        <v>0.361</v>
      </c>
      <c r="S200" s="148"/>
      <c r="T200" s="148" t="s">
        <v>44</v>
      </c>
      <c r="U200" s="154">
        <v>0.16</v>
      </c>
      <c r="V200" s="154">
        <v>0.342</v>
      </c>
      <c r="W200" s="154">
        <v>0.29</v>
      </c>
      <c r="X200" s="154">
        <v>0.136</v>
      </c>
      <c r="Y200" s="154">
        <v>0.045</v>
      </c>
      <c r="Z200" s="154">
        <v>0.027</v>
      </c>
      <c r="AA200" s="148" t="s">
        <v>45</v>
      </c>
    </row>
    <row r="201" spans="1:27">
      <c r="A201" s="147">
        <v>1220</v>
      </c>
      <c r="B201" s="147" t="s">
        <v>27</v>
      </c>
      <c r="C201" s="147" t="s">
        <v>46</v>
      </c>
      <c r="D201" s="148" t="s">
        <v>52</v>
      </c>
      <c r="E201" s="148" t="s">
        <v>30</v>
      </c>
      <c r="F201" s="149">
        <v>2025</v>
      </c>
      <c r="G201" s="148" t="s">
        <v>39</v>
      </c>
      <c r="H201" s="149">
        <v>34</v>
      </c>
      <c r="I201" s="150">
        <v>1206907</v>
      </c>
      <c r="J201" s="150">
        <v>2963</v>
      </c>
      <c r="K201" s="150">
        <v>2002988</v>
      </c>
      <c r="L201" s="151">
        <v>14</v>
      </c>
      <c r="M201" s="152">
        <f t="shared" si="3"/>
        <v>238000</v>
      </c>
      <c r="N201" s="148"/>
      <c r="O201" s="150">
        <v>902299</v>
      </c>
      <c r="P201" s="150">
        <v>22468</v>
      </c>
      <c r="Q201" s="154">
        <v>0.641</v>
      </c>
      <c r="R201" s="154">
        <v>0.359</v>
      </c>
      <c r="S201" s="148"/>
      <c r="T201" s="148"/>
      <c r="U201" s="154">
        <v>0.155</v>
      </c>
      <c r="V201" s="154">
        <v>0.346</v>
      </c>
      <c r="W201" s="154">
        <v>0.29</v>
      </c>
      <c r="X201" s="154">
        <v>0.136</v>
      </c>
      <c r="Y201" s="154">
        <v>0.046</v>
      </c>
      <c r="Z201" s="154">
        <v>0.027</v>
      </c>
      <c r="AA201" s="148" t="s">
        <v>45</v>
      </c>
    </row>
    <row r="202" spans="1:27">
      <c r="A202" s="147">
        <v>1221</v>
      </c>
      <c r="B202" s="147" t="s">
        <v>27</v>
      </c>
      <c r="C202" s="147" t="s">
        <v>46</v>
      </c>
      <c r="D202" s="148" t="s">
        <v>52</v>
      </c>
      <c r="E202" s="148" t="s">
        <v>30</v>
      </c>
      <c r="F202" s="149">
        <v>2025</v>
      </c>
      <c r="G202" s="148" t="s">
        <v>40</v>
      </c>
      <c r="H202" s="149">
        <v>50</v>
      </c>
      <c r="I202" s="150">
        <v>1209056</v>
      </c>
      <c r="J202" s="150">
        <v>4315</v>
      </c>
      <c r="K202" s="150">
        <v>2030816</v>
      </c>
      <c r="L202" s="151">
        <v>16</v>
      </c>
      <c r="M202" s="152">
        <f t="shared" si="3"/>
        <v>272000</v>
      </c>
      <c r="N202" s="148"/>
      <c r="O202" s="150">
        <v>1021191</v>
      </c>
      <c r="P202" s="150">
        <v>29359</v>
      </c>
      <c r="Q202" s="154">
        <v>0.641</v>
      </c>
      <c r="R202" s="154">
        <v>0.359</v>
      </c>
      <c r="S202" s="148"/>
      <c r="T202" s="148"/>
      <c r="U202" s="154">
        <v>0.152</v>
      </c>
      <c r="V202" s="154">
        <v>0.348</v>
      </c>
      <c r="W202" s="154">
        <v>0.291</v>
      </c>
      <c r="X202" s="154">
        <v>0.136</v>
      </c>
      <c r="Y202" s="154">
        <v>0.046</v>
      </c>
      <c r="Z202" s="154">
        <v>0.027</v>
      </c>
      <c r="AA202" s="148" t="s">
        <v>45</v>
      </c>
    </row>
    <row r="203" spans="1:27">
      <c r="A203" s="147">
        <v>1222</v>
      </c>
      <c r="B203" s="147" t="s">
        <v>27</v>
      </c>
      <c r="C203" s="147" t="s">
        <v>46</v>
      </c>
      <c r="D203" s="148" t="s">
        <v>52</v>
      </c>
      <c r="E203" s="148" t="s">
        <v>30</v>
      </c>
      <c r="F203" s="149">
        <v>2025</v>
      </c>
      <c r="G203" s="148" t="s">
        <v>41</v>
      </c>
      <c r="H203" s="149">
        <v>82</v>
      </c>
      <c r="I203" s="150">
        <v>1208487</v>
      </c>
      <c r="J203" s="150">
        <v>1902</v>
      </c>
      <c r="K203" s="150">
        <v>1302891</v>
      </c>
      <c r="L203" s="151">
        <v>11</v>
      </c>
      <c r="M203" s="152">
        <f t="shared" si="3"/>
        <v>187000</v>
      </c>
      <c r="N203" s="148"/>
      <c r="O203" s="150">
        <v>696704</v>
      </c>
      <c r="P203" s="150">
        <v>11971</v>
      </c>
      <c r="Q203" s="154">
        <v>0.642</v>
      </c>
      <c r="R203" s="154">
        <v>0.358</v>
      </c>
      <c r="S203" s="148"/>
      <c r="T203" s="148"/>
      <c r="U203" s="154">
        <v>0.148</v>
      </c>
      <c r="V203" s="154">
        <v>0.348</v>
      </c>
      <c r="W203" s="154">
        <v>0.293</v>
      </c>
      <c r="X203" s="154">
        <v>0.138</v>
      </c>
      <c r="Y203" s="154">
        <v>0.046</v>
      </c>
      <c r="Z203" s="154">
        <v>0.027</v>
      </c>
      <c r="AA203" s="148" t="s">
        <v>45</v>
      </c>
    </row>
    <row r="204" spans="1:27">
      <c r="A204" s="147">
        <v>1223</v>
      </c>
      <c r="B204" s="147" t="s">
        <v>27</v>
      </c>
      <c r="C204" s="147" t="s">
        <v>46</v>
      </c>
      <c r="D204" s="148" t="s">
        <v>52</v>
      </c>
      <c r="E204" s="148" t="s">
        <v>30</v>
      </c>
      <c r="F204" s="149">
        <v>2025</v>
      </c>
      <c r="G204" s="148" t="s">
        <v>42</v>
      </c>
      <c r="H204" s="149">
        <v>58</v>
      </c>
      <c r="I204" s="150">
        <v>1206909</v>
      </c>
      <c r="J204" s="149">
        <v>741</v>
      </c>
      <c r="K204" s="150">
        <v>683308</v>
      </c>
      <c r="L204" s="151">
        <v>4</v>
      </c>
      <c r="M204" s="152">
        <f t="shared" si="3"/>
        <v>68000</v>
      </c>
      <c r="N204" s="148"/>
      <c r="O204" s="150">
        <v>232244</v>
      </c>
      <c r="P204" s="150">
        <v>5496</v>
      </c>
      <c r="Q204" s="154">
        <v>0.641</v>
      </c>
      <c r="R204" s="154">
        <v>0.359</v>
      </c>
      <c r="S204" s="148"/>
      <c r="T204" s="148"/>
      <c r="U204" s="154">
        <v>0.145</v>
      </c>
      <c r="V204" s="154">
        <v>0.349</v>
      </c>
      <c r="W204" s="154">
        <v>0.293</v>
      </c>
      <c r="X204" s="154">
        <v>0.139</v>
      </c>
      <c r="Y204" s="154">
        <v>0.047</v>
      </c>
      <c r="Z204" s="154">
        <v>0.027</v>
      </c>
      <c r="AA204" s="148" t="s">
        <v>45</v>
      </c>
    </row>
    <row r="205" spans="1:27">
      <c r="A205" s="147">
        <v>1224</v>
      </c>
      <c r="B205" s="147" t="s">
        <v>27</v>
      </c>
      <c r="C205" s="147" t="s">
        <v>46</v>
      </c>
      <c r="D205" s="148" t="s">
        <v>52</v>
      </c>
      <c r="E205" s="148" t="s">
        <v>30</v>
      </c>
      <c r="F205" s="149">
        <v>2025</v>
      </c>
      <c r="G205" s="148" t="s">
        <v>43</v>
      </c>
      <c r="H205" s="149">
        <v>23</v>
      </c>
      <c r="I205" s="150">
        <v>1205269</v>
      </c>
      <c r="J205" s="149">
        <v>300</v>
      </c>
      <c r="K205" s="150">
        <v>283990</v>
      </c>
      <c r="L205" s="151">
        <v>2</v>
      </c>
      <c r="M205" s="152">
        <f t="shared" si="3"/>
        <v>34000</v>
      </c>
      <c r="N205" s="148"/>
      <c r="O205" s="150">
        <v>165159</v>
      </c>
      <c r="P205" s="150">
        <v>1902</v>
      </c>
      <c r="Q205" s="154">
        <v>0.64</v>
      </c>
      <c r="R205" s="154">
        <v>0.36</v>
      </c>
      <c r="S205" s="148"/>
      <c r="T205" s="148"/>
      <c r="U205" s="154">
        <v>0.14</v>
      </c>
      <c r="V205" s="154">
        <v>0.349</v>
      </c>
      <c r="W205" s="154">
        <v>0.294</v>
      </c>
      <c r="X205" s="154">
        <v>0.141</v>
      </c>
      <c r="Y205" s="154">
        <v>0.048</v>
      </c>
      <c r="Z205" s="154">
        <v>0.028</v>
      </c>
      <c r="AA205" s="148" t="s">
        <v>45</v>
      </c>
    </row>
    <row r="206" spans="1:27">
      <c r="A206" s="147">
        <v>1225</v>
      </c>
      <c r="B206" s="147" t="s">
        <v>27</v>
      </c>
      <c r="C206" s="147" t="s">
        <v>46</v>
      </c>
      <c r="D206" s="148" t="s">
        <v>52</v>
      </c>
      <c r="E206" s="148" t="s">
        <v>30</v>
      </c>
      <c r="F206" s="149">
        <v>2026</v>
      </c>
      <c r="G206" s="148" t="s">
        <v>31</v>
      </c>
      <c r="H206" s="149">
        <v>56</v>
      </c>
      <c r="I206" s="150">
        <v>1203576</v>
      </c>
      <c r="J206" s="149">
        <v>299</v>
      </c>
      <c r="K206" s="150">
        <v>341849</v>
      </c>
      <c r="L206" s="151">
        <v>3</v>
      </c>
      <c r="M206" s="152">
        <f t="shared" si="3"/>
        <v>51000</v>
      </c>
      <c r="N206" s="148"/>
      <c r="O206" s="150">
        <v>157662</v>
      </c>
      <c r="P206" s="150">
        <v>2001</v>
      </c>
      <c r="Q206" s="154">
        <v>0.64</v>
      </c>
      <c r="R206" s="154">
        <v>0.36</v>
      </c>
      <c r="S206" s="148"/>
      <c r="T206" s="148"/>
      <c r="U206" s="154">
        <v>0.138</v>
      </c>
      <c r="V206" s="154">
        <v>0.349</v>
      </c>
      <c r="W206" s="154">
        <v>0.294</v>
      </c>
      <c r="X206" s="154">
        <v>0.142</v>
      </c>
      <c r="Y206" s="154">
        <v>0.048</v>
      </c>
      <c r="Z206" s="154">
        <v>0.029</v>
      </c>
      <c r="AA206" s="148" t="s">
        <v>45</v>
      </c>
    </row>
    <row r="207" spans="1:27">
      <c r="A207" s="147">
        <v>1226</v>
      </c>
      <c r="B207" s="147" t="s">
        <v>27</v>
      </c>
      <c r="C207" s="147" t="s">
        <v>46</v>
      </c>
      <c r="D207" s="148" t="s">
        <v>52</v>
      </c>
      <c r="E207" s="148" t="s">
        <v>30</v>
      </c>
      <c r="F207" s="149">
        <v>2026</v>
      </c>
      <c r="G207" s="148" t="s">
        <v>33</v>
      </c>
      <c r="H207" s="149">
        <v>79</v>
      </c>
      <c r="I207" s="150">
        <v>1202438</v>
      </c>
      <c r="J207" s="149">
        <v>492</v>
      </c>
      <c r="K207" s="150">
        <v>909264</v>
      </c>
      <c r="L207" s="151">
        <v>11</v>
      </c>
      <c r="M207" s="152">
        <f t="shared" si="3"/>
        <v>187000</v>
      </c>
      <c r="N207" s="148"/>
      <c r="O207" s="150">
        <v>373629</v>
      </c>
      <c r="P207" s="150">
        <v>6331</v>
      </c>
      <c r="Q207" s="154">
        <v>0.641</v>
      </c>
      <c r="R207" s="154">
        <v>0.359</v>
      </c>
      <c r="S207" s="148"/>
      <c r="T207" s="148"/>
      <c r="U207" s="154">
        <v>0.136</v>
      </c>
      <c r="V207" s="154">
        <v>0.349</v>
      </c>
      <c r="W207" s="154">
        <v>0.295</v>
      </c>
      <c r="X207" s="154">
        <v>0.142</v>
      </c>
      <c r="Y207" s="154">
        <v>0.049</v>
      </c>
      <c r="Z207" s="154">
        <v>0.029</v>
      </c>
      <c r="AA207" s="148" t="s">
        <v>45</v>
      </c>
    </row>
    <row r="208" spans="1:27">
      <c r="A208" s="147">
        <v>1227</v>
      </c>
      <c r="B208" s="147" t="s">
        <v>27</v>
      </c>
      <c r="C208" s="147" t="s">
        <v>46</v>
      </c>
      <c r="D208" s="148" t="s">
        <v>52</v>
      </c>
      <c r="E208" s="148" t="s">
        <v>30</v>
      </c>
      <c r="F208" s="149">
        <v>2026</v>
      </c>
      <c r="G208" s="148" t="s">
        <v>34</v>
      </c>
      <c r="H208" s="149">
        <v>94</v>
      </c>
      <c r="I208" s="150">
        <v>1206976</v>
      </c>
      <c r="J208" s="150">
        <v>6661</v>
      </c>
      <c r="K208" s="150">
        <v>8056649</v>
      </c>
      <c r="L208" s="151">
        <v>96</v>
      </c>
      <c r="M208" s="152">
        <f t="shared" si="3"/>
        <v>1632000</v>
      </c>
      <c r="N208" s="148"/>
      <c r="O208" s="150">
        <v>4983564</v>
      </c>
      <c r="P208" s="150">
        <v>179258</v>
      </c>
      <c r="Q208" s="154">
        <v>0.642</v>
      </c>
      <c r="R208" s="154">
        <v>0.358</v>
      </c>
      <c r="S208" s="148"/>
      <c r="T208" s="148"/>
      <c r="U208" s="154">
        <v>0.134</v>
      </c>
      <c r="V208" s="154">
        <v>0.35</v>
      </c>
      <c r="W208" s="154">
        <v>0.295</v>
      </c>
      <c r="X208" s="154">
        <v>0.143</v>
      </c>
      <c r="Y208" s="154">
        <v>0.049</v>
      </c>
      <c r="Z208" s="154">
        <v>0.029</v>
      </c>
      <c r="AA208" s="148" t="s">
        <v>45</v>
      </c>
    </row>
    <row r="209" spans="1:27">
      <c r="A209" s="147">
        <v>1228</v>
      </c>
      <c r="B209" s="147" t="s">
        <v>27</v>
      </c>
      <c r="C209" s="147" t="s">
        <v>46</v>
      </c>
      <c r="D209" s="148" t="s">
        <v>52</v>
      </c>
      <c r="E209" s="148" t="s">
        <v>30</v>
      </c>
      <c r="F209" s="149">
        <v>2026</v>
      </c>
      <c r="G209" s="148" t="s">
        <v>35</v>
      </c>
      <c r="H209" s="149">
        <v>144</v>
      </c>
      <c r="I209" s="150">
        <v>1206208</v>
      </c>
      <c r="J209" s="150">
        <v>1351</v>
      </c>
      <c r="K209" s="150">
        <v>2515117</v>
      </c>
      <c r="L209" s="151">
        <v>24</v>
      </c>
      <c r="M209" s="152">
        <f t="shared" si="3"/>
        <v>408000</v>
      </c>
      <c r="N209" s="148"/>
      <c r="O209" s="150">
        <v>1201717</v>
      </c>
      <c r="P209" s="150">
        <v>35967</v>
      </c>
      <c r="Q209" s="154">
        <v>0.641</v>
      </c>
      <c r="R209" s="154">
        <v>0.359</v>
      </c>
      <c r="S209" s="148"/>
      <c r="T209" s="148"/>
      <c r="U209" s="154">
        <v>0.132</v>
      </c>
      <c r="V209" s="154">
        <v>0.35</v>
      </c>
      <c r="W209" s="154">
        <v>0.296</v>
      </c>
      <c r="X209" s="154">
        <v>0.144</v>
      </c>
      <c r="Y209" s="154">
        <v>0.049</v>
      </c>
      <c r="Z209" s="154">
        <v>0.029</v>
      </c>
      <c r="AA209" s="148" t="s">
        <v>45</v>
      </c>
    </row>
    <row r="210" spans="1:27">
      <c r="A210" s="147">
        <v>1229</v>
      </c>
      <c r="B210" s="147" t="s">
        <v>27</v>
      </c>
      <c r="C210" s="147" t="s">
        <v>46</v>
      </c>
      <c r="D210" s="148" t="s">
        <v>52</v>
      </c>
      <c r="E210" s="148" t="s">
        <v>30</v>
      </c>
      <c r="F210" s="149">
        <v>2026</v>
      </c>
      <c r="G210" s="148" t="s">
        <v>36</v>
      </c>
      <c r="H210" s="149">
        <v>102</v>
      </c>
      <c r="I210" s="150">
        <v>1206918</v>
      </c>
      <c r="J210" s="150">
        <v>3173</v>
      </c>
      <c r="K210" s="150">
        <v>4035899</v>
      </c>
      <c r="L210" s="151">
        <v>36</v>
      </c>
      <c r="M210" s="152">
        <f t="shared" si="3"/>
        <v>612000</v>
      </c>
      <c r="N210" s="148"/>
      <c r="O210" s="150">
        <v>2374226</v>
      </c>
      <c r="P210" s="150">
        <v>47339</v>
      </c>
      <c r="Q210" s="154">
        <v>0.641</v>
      </c>
      <c r="R210" s="154">
        <v>0.359</v>
      </c>
      <c r="S210" s="148"/>
      <c r="T210" s="148"/>
      <c r="U210" s="154">
        <v>0.13</v>
      </c>
      <c r="V210" s="154">
        <v>0.351</v>
      </c>
      <c r="W210" s="154">
        <v>0.296</v>
      </c>
      <c r="X210" s="154">
        <v>0.145</v>
      </c>
      <c r="Y210" s="154">
        <v>0.049</v>
      </c>
      <c r="Z210" s="154">
        <v>0.029</v>
      </c>
      <c r="AA210" s="148" t="s">
        <v>45</v>
      </c>
    </row>
    <row r="211" spans="1:27">
      <c r="A211" s="147">
        <v>1230</v>
      </c>
      <c r="B211" s="147" t="s">
        <v>27</v>
      </c>
      <c r="C211" s="147" t="s">
        <v>46</v>
      </c>
      <c r="D211" s="148" t="s">
        <v>52</v>
      </c>
      <c r="E211" s="148" t="s">
        <v>30</v>
      </c>
      <c r="F211" s="149">
        <v>2026</v>
      </c>
      <c r="G211" s="148" t="s">
        <v>37</v>
      </c>
      <c r="H211" s="149">
        <v>9</v>
      </c>
      <c r="I211" s="150">
        <v>1206301</v>
      </c>
      <c r="J211" s="150">
        <v>3050</v>
      </c>
      <c r="K211" s="150">
        <v>3429426</v>
      </c>
      <c r="L211" s="151">
        <v>13</v>
      </c>
      <c r="M211" s="152">
        <f t="shared" si="3"/>
        <v>221000</v>
      </c>
      <c r="N211" s="148"/>
      <c r="O211" s="150">
        <v>2448018</v>
      </c>
      <c r="P211" s="150">
        <v>30872</v>
      </c>
      <c r="Q211" s="154">
        <v>0.641</v>
      </c>
      <c r="R211" s="154">
        <v>0.359</v>
      </c>
      <c r="S211" s="148"/>
      <c r="T211" s="148"/>
      <c r="U211" s="154">
        <v>0.129</v>
      </c>
      <c r="V211" s="154">
        <v>0.351</v>
      </c>
      <c r="W211" s="154">
        <v>0.296</v>
      </c>
      <c r="X211" s="154">
        <v>0.145</v>
      </c>
      <c r="Y211" s="154">
        <v>0.05</v>
      </c>
      <c r="Z211" s="154">
        <v>0.029</v>
      </c>
      <c r="AA211" s="148" t="s">
        <v>45</v>
      </c>
    </row>
    <row r="212" spans="1:27">
      <c r="A212" s="147">
        <v>1231</v>
      </c>
      <c r="B212" s="147" t="s">
        <v>27</v>
      </c>
      <c r="C212" s="147" t="s">
        <v>46</v>
      </c>
      <c r="D212" s="148" t="s">
        <v>52</v>
      </c>
      <c r="E212" s="148" t="s">
        <v>30</v>
      </c>
      <c r="F212" s="149">
        <v>2026</v>
      </c>
      <c r="G212" s="148" t="s">
        <v>38</v>
      </c>
      <c r="H212" s="149">
        <v>3</v>
      </c>
      <c r="I212" s="150">
        <v>1203636</v>
      </c>
      <c r="J212" s="149">
        <v>328</v>
      </c>
      <c r="K212" s="150">
        <v>157370</v>
      </c>
      <c r="L212" s="151">
        <v>0</v>
      </c>
      <c r="M212" s="152">
        <f t="shared" si="3"/>
        <v>0</v>
      </c>
      <c r="N212" s="148"/>
      <c r="O212" s="150">
        <v>119141</v>
      </c>
      <c r="P212" s="149">
        <v>611</v>
      </c>
      <c r="Q212" s="154">
        <v>0.653</v>
      </c>
      <c r="R212" s="154">
        <v>0.347</v>
      </c>
      <c r="S212" s="148"/>
      <c r="T212" s="148"/>
      <c r="U212" s="154">
        <v>0.1</v>
      </c>
      <c r="V212" s="154">
        <v>0.341</v>
      </c>
      <c r="W212" s="154">
        <v>0.315</v>
      </c>
      <c r="X212" s="154">
        <v>0.159</v>
      </c>
      <c r="Y212" s="154">
        <v>0.055</v>
      </c>
      <c r="Z212" s="154">
        <v>0.03</v>
      </c>
      <c r="AA212" s="148" t="s">
        <v>45</v>
      </c>
    </row>
    <row r="213" spans="1:27">
      <c r="A213" s="147">
        <v>1232</v>
      </c>
      <c r="B213" s="147" t="s">
        <v>27</v>
      </c>
      <c r="C213" s="147" t="s">
        <v>46</v>
      </c>
      <c r="D213" s="148" t="s">
        <v>52</v>
      </c>
      <c r="E213" s="148" t="s">
        <v>30</v>
      </c>
      <c r="F213" s="149">
        <v>2026</v>
      </c>
      <c r="G213" s="148" t="s">
        <v>39</v>
      </c>
      <c r="H213" s="148"/>
      <c r="I213" s="148"/>
      <c r="J213" s="148"/>
      <c r="K213" s="148"/>
      <c r="L213" s="152"/>
      <c r="M213" s="152">
        <f t="shared" si="3"/>
        <v>0</v>
      </c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</row>
    <row r="214" spans="1:27">
      <c r="A214" s="147">
        <v>1233</v>
      </c>
      <c r="B214" s="147" t="s">
        <v>27</v>
      </c>
      <c r="C214" s="147" t="s">
        <v>46</v>
      </c>
      <c r="D214" s="148" t="s">
        <v>52</v>
      </c>
      <c r="E214" s="148" t="s">
        <v>30</v>
      </c>
      <c r="F214" s="149">
        <v>2026</v>
      </c>
      <c r="G214" s="148" t="s">
        <v>40</v>
      </c>
      <c r="H214" s="148"/>
      <c r="I214" s="148"/>
      <c r="J214" s="148"/>
      <c r="K214" s="148"/>
      <c r="L214" s="152"/>
      <c r="M214" s="152">
        <f t="shared" si="3"/>
        <v>0</v>
      </c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</row>
    <row r="215" spans="1:27">
      <c r="A215" s="147">
        <v>1234</v>
      </c>
      <c r="B215" s="147" t="s">
        <v>27</v>
      </c>
      <c r="C215" s="147" t="s">
        <v>46</v>
      </c>
      <c r="D215" s="148" t="s">
        <v>52</v>
      </c>
      <c r="E215" s="148" t="s">
        <v>30</v>
      </c>
      <c r="F215" s="149">
        <v>2026</v>
      </c>
      <c r="G215" s="148" t="s">
        <v>41</v>
      </c>
      <c r="H215" s="148"/>
      <c r="I215" s="148"/>
      <c r="J215" s="148"/>
      <c r="K215" s="148"/>
      <c r="L215" s="152"/>
      <c r="M215" s="152">
        <f t="shared" si="3"/>
        <v>0</v>
      </c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</row>
    <row r="216" spans="1:27">
      <c r="A216" s="147">
        <v>1235</v>
      </c>
      <c r="B216" s="147" t="s">
        <v>27</v>
      </c>
      <c r="C216" s="147" t="s">
        <v>46</v>
      </c>
      <c r="D216" s="148" t="s">
        <v>52</v>
      </c>
      <c r="E216" s="148" t="s">
        <v>30</v>
      </c>
      <c r="F216" s="149">
        <v>2026</v>
      </c>
      <c r="G216" s="148" t="s">
        <v>42</v>
      </c>
      <c r="H216" s="148"/>
      <c r="I216" s="148"/>
      <c r="J216" s="148"/>
      <c r="K216" s="148"/>
      <c r="L216" s="152"/>
      <c r="M216" s="152">
        <f t="shared" si="3"/>
        <v>0</v>
      </c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</row>
    <row r="217" spans="1:27">
      <c r="A217" s="147">
        <v>1236</v>
      </c>
      <c r="B217" s="147" t="s">
        <v>27</v>
      </c>
      <c r="C217" s="147" t="s">
        <v>46</v>
      </c>
      <c r="D217" s="148" t="s">
        <v>52</v>
      </c>
      <c r="E217" s="148" t="s">
        <v>30</v>
      </c>
      <c r="F217" s="149">
        <v>2026</v>
      </c>
      <c r="G217" s="148" t="s">
        <v>43</v>
      </c>
      <c r="H217" s="148"/>
      <c r="I217" s="148"/>
      <c r="J217" s="148"/>
      <c r="K217" s="148"/>
      <c r="L217" s="152"/>
      <c r="M217" s="152">
        <f t="shared" si="3"/>
        <v>0</v>
      </c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</row>
    <row r="218" spans="1:27">
      <c r="A218" s="147">
        <v>1249</v>
      </c>
      <c r="B218" s="147" t="s">
        <v>27</v>
      </c>
      <c r="C218" s="147" t="s">
        <v>53</v>
      </c>
      <c r="D218" s="148" t="s">
        <v>54</v>
      </c>
      <c r="E218" s="148" t="s">
        <v>30</v>
      </c>
      <c r="F218" s="149">
        <v>2024</v>
      </c>
      <c r="G218" s="148" t="s">
        <v>31</v>
      </c>
      <c r="H218" s="149">
        <v>56</v>
      </c>
      <c r="I218" s="150">
        <v>94414</v>
      </c>
      <c r="J218" s="149">
        <v>80</v>
      </c>
      <c r="K218" s="149" t="s">
        <v>32</v>
      </c>
      <c r="L218" s="151">
        <v>0</v>
      </c>
      <c r="M218" s="152">
        <f t="shared" si="3"/>
        <v>0</v>
      </c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</row>
    <row r="219" spans="1:27">
      <c r="A219" s="147">
        <v>1250</v>
      </c>
      <c r="B219" s="147" t="s">
        <v>27</v>
      </c>
      <c r="C219" s="147" t="s">
        <v>53</v>
      </c>
      <c r="D219" s="148" t="s">
        <v>54</v>
      </c>
      <c r="E219" s="148" t="s">
        <v>30</v>
      </c>
      <c r="F219" s="149">
        <v>2024</v>
      </c>
      <c r="G219" s="148" t="s">
        <v>33</v>
      </c>
      <c r="H219" s="149">
        <v>45</v>
      </c>
      <c r="I219" s="150">
        <v>94445</v>
      </c>
      <c r="J219" s="149">
        <v>31</v>
      </c>
      <c r="K219" s="149" t="s">
        <v>32</v>
      </c>
      <c r="L219" s="151">
        <v>0</v>
      </c>
      <c r="M219" s="152">
        <f t="shared" si="3"/>
        <v>0</v>
      </c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</row>
    <row r="220" spans="1:27">
      <c r="A220" s="147">
        <v>1251</v>
      </c>
      <c r="B220" s="147" t="s">
        <v>27</v>
      </c>
      <c r="C220" s="147" t="s">
        <v>53</v>
      </c>
      <c r="D220" s="148" t="s">
        <v>54</v>
      </c>
      <c r="E220" s="148" t="s">
        <v>30</v>
      </c>
      <c r="F220" s="149">
        <v>2024</v>
      </c>
      <c r="G220" s="148" t="s">
        <v>34</v>
      </c>
      <c r="H220" s="149">
        <v>58</v>
      </c>
      <c r="I220" s="150">
        <v>94464</v>
      </c>
      <c r="J220" s="149">
        <v>19</v>
      </c>
      <c r="K220" s="149" t="s">
        <v>32</v>
      </c>
      <c r="L220" s="151">
        <v>0</v>
      </c>
      <c r="M220" s="152">
        <f t="shared" si="3"/>
        <v>0</v>
      </c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</row>
    <row r="221" spans="1:27">
      <c r="A221" s="147">
        <v>1252</v>
      </c>
      <c r="B221" s="147" t="s">
        <v>27</v>
      </c>
      <c r="C221" s="147" t="s">
        <v>53</v>
      </c>
      <c r="D221" s="148" t="s">
        <v>54</v>
      </c>
      <c r="E221" s="148" t="s">
        <v>30</v>
      </c>
      <c r="F221" s="149">
        <v>2024</v>
      </c>
      <c r="G221" s="148" t="s">
        <v>35</v>
      </c>
      <c r="H221" s="149">
        <v>54</v>
      </c>
      <c r="I221" s="150">
        <v>94493</v>
      </c>
      <c r="J221" s="149">
        <v>29</v>
      </c>
      <c r="K221" s="149" t="s">
        <v>32</v>
      </c>
      <c r="L221" s="151">
        <v>0</v>
      </c>
      <c r="M221" s="152">
        <f t="shared" si="3"/>
        <v>0</v>
      </c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</row>
    <row r="222" spans="1:27">
      <c r="A222" s="147">
        <v>1253</v>
      </c>
      <c r="B222" s="147" t="s">
        <v>27</v>
      </c>
      <c r="C222" s="147" t="s">
        <v>53</v>
      </c>
      <c r="D222" s="148" t="s">
        <v>54</v>
      </c>
      <c r="E222" s="148" t="s">
        <v>30</v>
      </c>
      <c r="F222" s="149">
        <v>2024</v>
      </c>
      <c r="G222" s="148" t="s">
        <v>36</v>
      </c>
      <c r="H222" s="149">
        <v>75</v>
      </c>
      <c r="I222" s="150">
        <v>94505</v>
      </c>
      <c r="J222" s="149">
        <v>12</v>
      </c>
      <c r="K222" s="149" t="s">
        <v>32</v>
      </c>
      <c r="L222" s="151">
        <v>0</v>
      </c>
      <c r="M222" s="152">
        <f t="shared" si="3"/>
        <v>0</v>
      </c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</row>
    <row r="223" spans="1:27">
      <c r="A223" s="147">
        <v>1254</v>
      </c>
      <c r="B223" s="147" t="s">
        <v>27</v>
      </c>
      <c r="C223" s="147" t="s">
        <v>53</v>
      </c>
      <c r="D223" s="148" t="s">
        <v>54</v>
      </c>
      <c r="E223" s="148" t="s">
        <v>30</v>
      </c>
      <c r="F223" s="149">
        <v>2024</v>
      </c>
      <c r="G223" s="148" t="s">
        <v>37</v>
      </c>
      <c r="H223" s="149">
        <v>86</v>
      </c>
      <c r="I223" s="150">
        <v>94519</v>
      </c>
      <c r="J223" s="149">
        <v>14</v>
      </c>
      <c r="K223" s="149" t="s">
        <v>32</v>
      </c>
      <c r="L223" s="151">
        <v>0</v>
      </c>
      <c r="M223" s="152">
        <f t="shared" si="3"/>
        <v>0</v>
      </c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</row>
    <row r="224" spans="1:27">
      <c r="A224" s="147">
        <v>1255</v>
      </c>
      <c r="B224" s="147" t="s">
        <v>27</v>
      </c>
      <c r="C224" s="147" t="s">
        <v>53</v>
      </c>
      <c r="D224" s="148" t="s">
        <v>54</v>
      </c>
      <c r="E224" s="148" t="s">
        <v>30</v>
      </c>
      <c r="F224" s="149">
        <v>2024</v>
      </c>
      <c r="G224" s="148" t="s">
        <v>38</v>
      </c>
      <c r="H224" s="149">
        <v>88</v>
      </c>
      <c r="I224" s="150">
        <v>94532</v>
      </c>
      <c r="J224" s="149">
        <v>13</v>
      </c>
      <c r="K224" s="149" t="s">
        <v>32</v>
      </c>
      <c r="L224" s="151">
        <v>0</v>
      </c>
      <c r="M224" s="152">
        <f t="shared" si="3"/>
        <v>0</v>
      </c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</row>
    <row r="225" spans="1:27">
      <c r="A225" s="147">
        <v>1256</v>
      </c>
      <c r="B225" s="147" t="s">
        <v>27</v>
      </c>
      <c r="C225" s="147" t="s">
        <v>53</v>
      </c>
      <c r="D225" s="148" t="s">
        <v>54</v>
      </c>
      <c r="E225" s="148" t="s">
        <v>30</v>
      </c>
      <c r="F225" s="149">
        <v>2024</v>
      </c>
      <c r="G225" s="148" t="s">
        <v>39</v>
      </c>
      <c r="H225" s="149">
        <v>69</v>
      </c>
      <c r="I225" s="150">
        <v>94551</v>
      </c>
      <c r="J225" s="149">
        <v>19</v>
      </c>
      <c r="K225" s="148" t="s">
        <v>32</v>
      </c>
      <c r="L225" s="151">
        <v>0</v>
      </c>
      <c r="M225" s="152">
        <f t="shared" si="3"/>
        <v>0</v>
      </c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</row>
    <row r="226" spans="1:27">
      <c r="A226" s="147">
        <v>1257</v>
      </c>
      <c r="B226" s="147" t="s">
        <v>27</v>
      </c>
      <c r="C226" s="147" t="s">
        <v>53</v>
      </c>
      <c r="D226" s="148" t="s">
        <v>54</v>
      </c>
      <c r="E226" s="148" t="s">
        <v>30</v>
      </c>
      <c r="F226" s="149">
        <v>2024</v>
      </c>
      <c r="G226" s="148" t="s">
        <v>40</v>
      </c>
      <c r="H226" s="149">
        <v>94</v>
      </c>
      <c r="I226" s="150">
        <v>94564</v>
      </c>
      <c r="J226" s="149">
        <v>13</v>
      </c>
      <c r="K226" s="148" t="s">
        <v>32</v>
      </c>
      <c r="L226" s="151">
        <v>0</v>
      </c>
      <c r="M226" s="152">
        <f t="shared" si="3"/>
        <v>0</v>
      </c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</row>
    <row r="227" spans="1:27">
      <c r="A227" s="147">
        <v>1258</v>
      </c>
      <c r="B227" s="147" t="s">
        <v>27</v>
      </c>
      <c r="C227" s="147" t="s">
        <v>53</v>
      </c>
      <c r="D227" s="148" t="s">
        <v>54</v>
      </c>
      <c r="E227" s="148" t="s">
        <v>30</v>
      </c>
      <c r="F227" s="149">
        <v>2024</v>
      </c>
      <c r="G227" s="148" t="s">
        <v>41</v>
      </c>
      <c r="H227" s="149">
        <v>92</v>
      </c>
      <c r="I227" s="150">
        <v>94576</v>
      </c>
      <c r="J227" s="149">
        <v>12</v>
      </c>
      <c r="K227" s="150">
        <v>21024</v>
      </c>
      <c r="L227" s="151">
        <v>0</v>
      </c>
      <c r="M227" s="152">
        <f t="shared" si="3"/>
        <v>0</v>
      </c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</row>
    <row r="228" spans="1:27">
      <c r="A228" s="147">
        <v>1259</v>
      </c>
      <c r="B228" s="147" t="s">
        <v>27</v>
      </c>
      <c r="C228" s="147" t="s">
        <v>53</v>
      </c>
      <c r="D228" s="148" t="s">
        <v>54</v>
      </c>
      <c r="E228" s="148" t="s">
        <v>30</v>
      </c>
      <c r="F228" s="149">
        <v>2024</v>
      </c>
      <c r="G228" s="148" t="s">
        <v>42</v>
      </c>
      <c r="H228" s="149">
        <v>75</v>
      </c>
      <c r="I228" s="150">
        <v>94585</v>
      </c>
      <c r="J228" s="149">
        <v>9</v>
      </c>
      <c r="K228" s="150">
        <v>17461</v>
      </c>
      <c r="L228" s="151">
        <v>0</v>
      </c>
      <c r="M228" s="152">
        <f t="shared" si="3"/>
        <v>0</v>
      </c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</row>
    <row r="229" spans="1:27">
      <c r="A229" s="147">
        <v>1260</v>
      </c>
      <c r="B229" s="147" t="s">
        <v>27</v>
      </c>
      <c r="C229" s="147" t="s">
        <v>53</v>
      </c>
      <c r="D229" s="148" t="s">
        <v>54</v>
      </c>
      <c r="E229" s="148" t="s">
        <v>30</v>
      </c>
      <c r="F229" s="149">
        <v>2024</v>
      </c>
      <c r="G229" s="148" t="s">
        <v>43</v>
      </c>
      <c r="H229" s="149">
        <v>80</v>
      </c>
      <c r="I229" s="150">
        <v>94596</v>
      </c>
      <c r="J229" s="149">
        <v>11</v>
      </c>
      <c r="K229" s="150">
        <v>17721</v>
      </c>
      <c r="L229" s="151">
        <v>0</v>
      </c>
      <c r="M229" s="152">
        <f t="shared" si="3"/>
        <v>0</v>
      </c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</row>
    <row r="230" spans="1:27">
      <c r="A230" s="147">
        <v>1261</v>
      </c>
      <c r="B230" s="147" t="s">
        <v>27</v>
      </c>
      <c r="C230" s="147" t="s">
        <v>53</v>
      </c>
      <c r="D230" s="148" t="s">
        <v>54</v>
      </c>
      <c r="E230" s="148" t="s">
        <v>30</v>
      </c>
      <c r="F230" s="149">
        <v>2025</v>
      </c>
      <c r="G230" s="148" t="s">
        <v>31</v>
      </c>
      <c r="H230" s="149">
        <v>88</v>
      </c>
      <c r="I230" s="150">
        <v>94609</v>
      </c>
      <c r="J230" s="149">
        <v>13</v>
      </c>
      <c r="K230" s="150">
        <v>17033</v>
      </c>
      <c r="L230" s="151">
        <v>0</v>
      </c>
      <c r="M230" s="152">
        <f t="shared" si="3"/>
        <v>0</v>
      </c>
      <c r="N230" s="148"/>
      <c r="O230" s="148" t="s">
        <v>48</v>
      </c>
      <c r="P230" s="149">
        <v>57</v>
      </c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</row>
    <row r="231" spans="1:27">
      <c r="A231" s="147">
        <v>1262</v>
      </c>
      <c r="B231" s="147" t="s">
        <v>27</v>
      </c>
      <c r="C231" s="147" t="s">
        <v>53</v>
      </c>
      <c r="D231" s="148" t="s">
        <v>54</v>
      </c>
      <c r="E231" s="148" t="s">
        <v>30</v>
      </c>
      <c r="F231" s="149">
        <v>2025</v>
      </c>
      <c r="G231" s="148" t="s">
        <v>33</v>
      </c>
      <c r="H231" s="149">
        <v>85</v>
      </c>
      <c r="I231" s="150">
        <v>94622</v>
      </c>
      <c r="J231" s="149">
        <v>13</v>
      </c>
      <c r="K231" s="150">
        <v>9380</v>
      </c>
      <c r="L231" s="151">
        <v>0</v>
      </c>
      <c r="M231" s="152">
        <f t="shared" si="3"/>
        <v>0</v>
      </c>
      <c r="N231" s="148"/>
      <c r="O231" s="148" t="s">
        <v>48</v>
      </c>
      <c r="P231" s="149">
        <v>38</v>
      </c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</row>
    <row r="232" spans="1:27">
      <c r="A232" s="147">
        <v>1263</v>
      </c>
      <c r="B232" s="147" t="s">
        <v>27</v>
      </c>
      <c r="C232" s="147" t="s">
        <v>53</v>
      </c>
      <c r="D232" s="148" t="s">
        <v>54</v>
      </c>
      <c r="E232" s="148" t="s">
        <v>30</v>
      </c>
      <c r="F232" s="149">
        <v>2025</v>
      </c>
      <c r="G232" s="148" t="s">
        <v>34</v>
      </c>
      <c r="H232" s="149">
        <v>101</v>
      </c>
      <c r="I232" s="150">
        <v>94645</v>
      </c>
      <c r="J232" s="149">
        <v>23</v>
      </c>
      <c r="K232" s="150">
        <v>9556</v>
      </c>
      <c r="L232" s="151">
        <v>0</v>
      </c>
      <c r="M232" s="152">
        <f t="shared" si="3"/>
        <v>0</v>
      </c>
      <c r="N232" s="148"/>
      <c r="O232" s="148" t="s">
        <v>48</v>
      </c>
      <c r="P232" s="149">
        <v>26</v>
      </c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</row>
    <row r="233" spans="1:27">
      <c r="A233" s="147">
        <v>1264</v>
      </c>
      <c r="B233" s="147" t="s">
        <v>27</v>
      </c>
      <c r="C233" s="147" t="s">
        <v>53</v>
      </c>
      <c r="D233" s="148" t="s">
        <v>54</v>
      </c>
      <c r="E233" s="148" t="s">
        <v>30</v>
      </c>
      <c r="F233" s="149">
        <v>2025</v>
      </c>
      <c r="G233" s="148" t="s">
        <v>35</v>
      </c>
      <c r="H233" s="149">
        <v>44</v>
      </c>
      <c r="I233" s="150">
        <v>94661</v>
      </c>
      <c r="J233" s="149">
        <v>16</v>
      </c>
      <c r="K233" s="150">
        <v>60177</v>
      </c>
      <c r="L233" s="151">
        <v>0</v>
      </c>
      <c r="M233" s="152">
        <f t="shared" si="3"/>
        <v>0</v>
      </c>
      <c r="N233" s="148"/>
      <c r="O233" s="148" t="s">
        <v>48</v>
      </c>
      <c r="P233" s="149">
        <v>695</v>
      </c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</row>
    <row r="234" spans="1:27">
      <c r="A234" s="147">
        <v>1265</v>
      </c>
      <c r="B234" s="147" t="s">
        <v>27</v>
      </c>
      <c r="C234" s="147" t="s">
        <v>53</v>
      </c>
      <c r="D234" s="148" t="s">
        <v>54</v>
      </c>
      <c r="E234" s="148" t="s">
        <v>30</v>
      </c>
      <c r="F234" s="149">
        <v>2025</v>
      </c>
      <c r="G234" s="148" t="s">
        <v>36</v>
      </c>
      <c r="H234" s="149">
        <v>45</v>
      </c>
      <c r="I234" s="150">
        <v>94678</v>
      </c>
      <c r="J234" s="149">
        <v>17</v>
      </c>
      <c r="K234" s="150">
        <v>11356</v>
      </c>
      <c r="L234" s="151">
        <v>0</v>
      </c>
      <c r="M234" s="152">
        <f t="shared" si="3"/>
        <v>0</v>
      </c>
      <c r="N234" s="148"/>
      <c r="O234" s="148" t="s">
        <v>48</v>
      </c>
      <c r="P234" s="149">
        <v>100</v>
      </c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</row>
    <row r="235" spans="1:27">
      <c r="A235" s="147">
        <v>1266</v>
      </c>
      <c r="B235" s="147" t="s">
        <v>27</v>
      </c>
      <c r="C235" s="147" t="s">
        <v>53</v>
      </c>
      <c r="D235" s="148" t="s">
        <v>54</v>
      </c>
      <c r="E235" s="148" t="s">
        <v>30</v>
      </c>
      <c r="F235" s="149">
        <v>2025</v>
      </c>
      <c r="G235" s="148" t="s">
        <v>37</v>
      </c>
      <c r="H235" s="149">
        <v>13</v>
      </c>
      <c r="I235" s="150">
        <v>94696</v>
      </c>
      <c r="J235" s="149">
        <v>18</v>
      </c>
      <c r="K235" s="150">
        <v>36780</v>
      </c>
      <c r="L235" s="151">
        <v>0</v>
      </c>
      <c r="M235" s="152">
        <f t="shared" si="3"/>
        <v>0</v>
      </c>
      <c r="N235" s="148"/>
      <c r="O235" s="148" t="s">
        <v>48</v>
      </c>
      <c r="P235" s="149">
        <v>134</v>
      </c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</row>
    <row r="236" spans="1:27">
      <c r="A236" s="147">
        <v>1267</v>
      </c>
      <c r="B236" s="147" t="s">
        <v>27</v>
      </c>
      <c r="C236" s="147" t="s">
        <v>53</v>
      </c>
      <c r="D236" s="148" t="s">
        <v>54</v>
      </c>
      <c r="E236" s="148" t="s">
        <v>30</v>
      </c>
      <c r="F236" s="149">
        <v>2025</v>
      </c>
      <c r="G236" s="148" t="s">
        <v>38</v>
      </c>
      <c r="H236" s="149">
        <v>2</v>
      </c>
      <c r="I236" s="150">
        <v>94677</v>
      </c>
      <c r="J236" s="149">
        <v>16</v>
      </c>
      <c r="K236" s="150">
        <v>2036</v>
      </c>
      <c r="L236" s="151">
        <v>0</v>
      </c>
      <c r="M236" s="152">
        <f t="shared" si="3"/>
        <v>0</v>
      </c>
      <c r="N236" s="148"/>
      <c r="O236" s="149">
        <v>907</v>
      </c>
      <c r="P236" s="149">
        <v>26</v>
      </c>
      <c r="Q236" s="154">
        <v>0.579</v>
      </c>
      <c r="R236" s="154">
        <v>0.421</v>
      </c>
      <c r="S236" s="148"/>
      <c r="T236" s="148" t="s">
        <v>44</v>
      </c>
      <c r="U236" s="154">
        <v>0.083</v>
      </c>
      <c r="V236" s="154">
        <v>0.523</v>
      </c>
      <c r="W236" s="154">
        <v>0.288</v>
      </c>
      <c r="X236" s="154">
        <v>0.067</v>
      </c>
      <c r="Y236" s="154">
        <v>0.017</v>
      </c>
      <c r="Z236" s="154">
        <v>0.022</v>
      </c>
      <c r="AA236" s="148" t="s">
        <v>45</v>
      </c>
    </row>
    <row r="237" spans="1:27">
      <c r="A237" s="147">
        <v>1268</v>
      </c>
      <c r="B237" s="147" t="s">
        <v>27</v>
      </c>
      <c r="C237" s="147" t="s">
        <v>53</v>
      </c>
      <c r="D237" s="148" t="s">
        <v>54</v>
      </c>
      <c r="E237" s="148" t="s">
        <v>30</v>
      </c>
      <c r="F237" s="149">
        <v>2025</v>
      </c>
      <c r="G237" s="148" t="s">
        <v>39</v>
      </c>
      <c r="H237" s="149">
        <v>4</v>
      </c>
      <c r="I237" s="150">
        <v>94623</v>
      </c>
      <c r="J237" s="149">
        <v>12</v>
      </c>
      <c r="K237" s="150">
        <v>1908</v>
      </c>
      <c r="L237" s="151">
        <v>0</v>
      </c>
      <c r="M237" s="152">
        <f t="shared" si="3"/>
        <v>0</v>
      </c>
      <c r="N237" s="148"/>
      <c r="O237" s="149">
        <v>959</v>
      </c>
      <c r="P237" s="149">
        <v>5</v>
      </c>
      <c r="Q237" s="154">
        <v>0.58</v>
      </c>
      <c r="R237" s="154">
        <v>0.42</v>
      </c>
      <c r="S237" s="148"/>
      <c r="T237" s="148"/>
      <c r="U237" s="154">
        <v>0.078</v>
      </c>
      <c r="V237" s="154">
        <v>0.523</v>
      </c>
      <c r="W237" s="154">
        <v>0.292</v>
      </c>
      <c r="X237" s="154">
        <v>0.068</v>
      </c>
      <c r="Y237" s="154">
        <v>0.017</v>
      </c>
      <c r="Z237" s="154">
        <v>0.022</v>
      </c>
      <c r="AA237" s="148" t="s">
        <v>45</v>
      </c>
    </row>
    <row r="238" spans="1:27">
      <c r="A238" s="147">
        <v>1269</v>
      </c>
      <c r="B238" s="147" t="s">
        <v>27</v>
      </c>
      <c r="C238" s="147" t="s">
        <v>53</v>
      </c>
      <c r="D238" s="148" t="s">
        <v>54</v>
      </c>
      <c r="E238" s="148" t="s">
        <v>30</v>
      </c>
      <c r="F238" s="149">
        <v>2025</v>
      </c>
      <c r="G238" s="148" t="s">
        <v>40</v>
      </c>
      <c r="H238" s="149">
        <v>7</v>
      </c>
      <c r="I238" s="150">
        <v>94533</v>
      </c>
      <c r="J238" s="149">
        <v>9</v>
      </c>
      <c r="K238" s="149">
        <v>985</v>
      </c>
      <c r="L238" s="151">
        <v>0</v>
      </c>
      <c r="M238" s="152">
        <f t="shared" si="3"/>
        <v>0</v>
      </c>
      <c r="N238" s="148"/>
      <c r="O238" s="149">
        <v>507</v>
      </c>
      <c r="P238" s="149">
        <v>3</v>
      </c>
      <c r="Q238" s="154">
        <v>0.579</v>
      </c>
      <c r="R238" s="154">
        <v>0.421</v>
      </c>
      <c r="S238" s="148"/>
      <c r="T238" s="148"/>
      <c r="U238" s="154">
        <v>0.075</v>
      </c>
      <c r="V238" s="154">
        <v>0.519</v>
      </c>
      <c r="W238" s="154">
        <v>0.296</v>
      </c>
      <c r="X238" s="154">
        <v>0.07</v>
      </c>
      <c r="Y238" s="154">
        <v>0.017</v>
      </c>
      <c r="Z238" s="154">
        <v>0.023</v>
      </c>
      <c r="AA238" s="148" t="s">
        <v>45</v>
      </c>
    </row>
    <row r="239" spans="1:27">
      <c r="A239" s="147">
        <v>1270</v>
      </c>
      <c r="B239" s="147" t="s">
        <v>27</v>
      </c>
      <c r="C239" s="147" t="s">
        <v>53</v>
      </c>
      <c r="D239" s="148" t="s">
        <v>54</v>
      </c>
      <c r="E239" s="148" t="s">
        <v>30</v>
      </c>
      <c r="F239" s="149">
        <v>2025</v>
      </c>
      <c r="G239" s="148" t="s">
        <v>41</v>
      </c>
      <c r="H239" s="149">
        <v>58</v>
      </c>
      <c r="I239" s="150">
        <v>94443</v>
      </c>
      <c r="J239" s="149">
        <v>8</v>
      </c>
      <c r="K239" s="150">
        <v>5837</v>
      </c>
      <c r="L239" s="151">
        <v>0</v>
      </c>
      <c r="M239" s="152">
        <f t="shared" si="3"/>
        <v>0</v>
      </c>
      <c r="N239" s="148"/>
      <c r="O239" s="150">
        <v>2616</v>
      </c>
      <c r="P239" s="149">
        <v>31</v>
      </c>
      <c r="Q239" s="154">
        <v>0.579</v>
      </c>
      <c r="R239" s="154">
        <v>0.421</v>
      </c>
      <c r="S239" s="148"/>
      <c r="T239" s="148"/>
      <c r="U239" s="154">
        <v>0.071</v>
      </c>
      <c r="V239" s="154">
        <v>0.519</v>
      </c>
      <c r="W239" s="154">
        <v>0.3</v>
      </c>
      <c r="X239" s="154">
        <v>0.07</v>
      </c>
      <c r="Y239" s="154">
        <v>0.017</v>
      </c>
      <c r="Z239" s="154">
        <v>0.023</v>
      </c>
      <c r="AA239" s="148" t="s">
        <v>45</v>
      </c>
    </row>
    <row r="240" spans="1:27">
      <c r="A240" s="147">
        <v>1271</v>
      </c>
      <c r="B240" s="147" t="s">
        <v>27</v>
      </c>
      <c r="C240" s="147" t="s">
        <v>53</v>
      </c>
      <c r="D240" s="148" t="s">
        <v>54</v>
      </c>
      <c r="E240" s="148" t="s">
        <v>30</v>
      </c>
      <c r="F240" s="149">
        <v>2025</v>
      </c>
      <c r="G240" s="148" t="s">
        <v>42</v>
      </c>
      <c r="H240" s="149">
        <v>114</v>
      </c>
      <c r="I240" s="150">
        <v>94368</v>
      </c>
      <c r="J240" s="149">
        <v>17</v>
      </c>
      <c r="K240" s="150">
        <v>8849</v>
      </c>
      <c r="L240" s="151">
        <v>0</v>
      </c>
      <c r="M240" s="152">
        <f t="shared" si="3"/>
        <v>0</v>
      </c>
      <c r="N240" s="148"/>
      <c r="O240" s="150">
        <v>4104</v>
      </c>
      <c r="P240" s="149">
        <v>75</v>
      </c>
      <c r="Q240" s="154">
        <v>0.579</v>
      </c>
      <c r="R240" s="154">
        <v>0.421</v>
      </c>
      <c r="S240" s="148"/>
      <c r="T240" s="148"/>
      <c r="U240" s="154">
        <v>0.068</v>
      </c>
      <c r="V240" s="154">
        <v>0.516</v>
      </c>
      <c r="W240" s="154">
        <v>0.304</v>
      </c>
      <c r="X240" s="154">
        <v>0.071</v>
      </c>
      <c r="Y240" s="154">
        <v>0.018</v>
      </c>
      <c r="Z240" s="154">
        <v>0.023</v>
      </c>
      <c r="AA240" s="148" t="s">
        <v>45</v>
      </c>
    </row>
    <row r="241" spans="1:27">
      <c r="A241" s="147">
        <v>1272</v>
      </c>
      <c r="B241" s="147" t="s">
        <v>27</v>
      </c>
      <c r="C241" s="147" t="s">
        <v>53</v>
      </c>
      <c r="D241" s="148" t="s">
        <v>54</v>
      </c>
      <c r="E241" s="148" t="s">
        <v>30</v>
      </c>
      <c r="F241" s="149">
        <v>2025</v>
      </c>
      <c r="G241" s="148" t="s">
        <v>43</v>
      </c>
      <c r="H241" s="149">
        <v>105</v>
      </c>
      <c r="I241" s="150">
        <v>94287</v>
      </c>
      <c r="J241" s="149">
        <v>7</v>
      </c>
      <c r="K241" s="150">
        <v>9342</v>
      </c>
      <c r="L241" s="151">
        <v>0</v>
      </c>
      <c r="M241" s="152">
        <f t="shared" si="3"/>
        <v>0</v>
      </c>
      <c r="N241" s="148"/>
      <c r="O241" s="150">
        <v>4407</v>
      </c>
      <c r="P241" s="149">
        <v>57</v>
      </c>
      <c r="Q241" s="154">
        <v>0.58</v>
      </c>
      <c r="R241" s="154">
        <v>0.42</v>
      </c>
      <c r="S241" s="148"/>
      <c r="T241" s="148"/>
      <c r="U241" s="154">
        <v>0.065</v>
      </c>
      <c r="V241" s="154">
        <v>0.513</v>
      </c>
      <c r="W241" s="154">
        <v>0.309</v>
      </c>
      <c r="X241" s="154">
        <v>0.072</v>
      </c>
      <c r="Y241" s="154">
        <v>0.018</v>
      </c>
      <c r="Z241" s="154">
        <v>0.023</v>
      </c>
      <c r="AA241" s="148" t="s">
        <v>45</v>
      </c>
    </row>
    <row r="242" spans="1:27">
      <c r="A242" s="147">
        <v>1273</v>
      </c>
      <c r="B242" s="147" t="s">
        <v>27</v>
      </c>
      <c r="C242" s="147" t="s">
        <v>53</v>
      </c>
      <c r="D242" s="148" t="s">
        <v>54</v>
      </c>
      <c r="E242" s="148" t="s">
        <v>30</v>
      </c>
      <c r="F242" s="149">
        <v>2026</v>
      </c>
      <c r="G242" s="148" t="s">
        <v>31</v>
      </c>
      <c r="H242" s="149">
        <v>118</v>
      </c>
      <c r="I242" s="150">
        <v>94196</v>
      </c>
      <c r="J242" s="149">
        <v>17</v>
      </c>
      <c r="K242" s="150">
        <v>21097</v>
      </c>
      <c r="L242" s="151">
        <v>0</v>
      </c>
      <c r="M242" s="152">
        <f t="shared" si="3"/>
        <v>0</v>
      </c>
      <c r="N242" s="148"/>
      <c r="O242" s="150">
        <v>11655</v>
      </c>
      <c r="P242" s="149">
        <v>94</v>
      </c>
      <c r="Q242" s="154">
        <v>0.578</v>
      </c>
      <c r="R242" s="154">
        <v>0.422</v>
      </c>
      <c r="S242" s="148"/>
      <c r="T242" s="148"/>
      <c r="U242" s="154">
        <v>0.062</v>
      </c>
      <c r="V242" s="154">
        <v>0.511</v>
      </c>
      <c r="W242" s="154">
        <v>0.313</v>
      </c>
      <c r="X242" s="154">
        <v>0.073</v>
      </c>
      <c r="Y242" s="154">
        <v>0.018</v>
      </c>
      <c r="Z242" s="154">
        <v>0.023</v>
      </c>
      <c r="AA242" s="148" t="s">
        <v>45</v>
      </c>
    </row>
    <row r="243" spans="1:27">
      <c r="A243" s="147">
        <v>1274</v>
      </c>
      <c r="B243" s="147" t="s">
        <v>27</v>
      </c>
      <c r="C243" s="147" t="s">
        <v>53</v>
      </c>
      <c r="D243" s="148" t="s">
        <v>54</v>
      </c>
      <c r="E243" s="148" t="s">
        <v>30</v>
      </c>
      <c r="F243" s="149">
        <v>2026</v>
      </c>
      <c r="G243" s="148" t="s">
        <v>33</v>
      </c>
      <c r="H243" s="149">
        <v>182</v>
      </c>
      <c r="I243" s="150">
        <v>94076</v>
      </c>
      <c r="J243" s="149">
        <v>12</v>
      </c>
      <c r="K243" s="150">
        <v>25796</v>
      </c>
      <c r="L243" s="151">
        <v>0</v>
      </c>
      <c r="M243" s="152">
        <f t="shared" si="3"/>
        <v>0</v>
      </c>
      <c r="N243" s="148"/>
      <c r="O243" s="150">
        <v>13837</v>
      </c>
      <c r="P243" s="149">
        <v>223</v>
      </c>
      <c r="Q243" s="154">
        <v>0.579</v>
      </c>
      <c r="R243" s="154">
        <v>0.421</v>
      </c>
      <c r="S243" s="148"/>
      <c r="T243" s="148"/>
      <c r="U243" s="154">
        <v>0.06</v>
      </c>
      <c r="V243" s="154">
        <v>0.509</v>
      </c>
      <c r="W243" s="154">
        <v>0.316</v>
      </c>
      <c r="X243" s="154">
        <v>0.074</v>
      </c>
      <c r="Y243" s="154">
        <v>0.018</v>
      </c>
      <c r="Z243" s="154">
        <v>0.023</v>
      </c>
      <c r="AA243" s="148" t="s">
        <v>45</v>
      </c>
    </row>
    <row r="244" spans="1:27">
      <c r="A244" s="147">
        <v>1275</v>
      </c>
      <c r="B244" s="147" t="s">
        <v>27</v>
      </c>
      <c r="C244" s="147" t="s">
        <v>53</v>
      </c>
      <c r="D244" s="148" t="s">
        <v>54</v>
      </c>
      <c r="E244" s="148" t="s">
        <v>30</v>
      </c>
      <c r="F244" s="149">
        <v>2026</v>
      </c>
      <c r="G244" s="148" t="s">
        <v>34</v>
      </c>
      <c r="H244" s="149">
        <v>213</v>
      </c>
      <c r="I244" s="150">
        <v>94011</v>
      </c>
      <c r="J244" s="149">
        <v>8</v>
      </c>
      <c r="K244" s="150">
        <v>28654</v>
      </c>
      <c r="L244" s="151">
        <v>0</v>
      </c>
      <c r="M244" s="152">
        <f t="shared" si="3"/>
        <v>0</v>
      </c>
      <c r="N244" s="148"/>
      <c r="O244" s="150">
        <v>13131</v>
      </c>
      <c r="P244" s="149">
        <v>260</v>
      </c>
      <c r="Q244" s="154">
        <v>0.579</v>
      </c>
      <c r="R244" s="154">
        <v>0.421</v>
      </c>
      <c r="S244" s="148"/>
      <c r="T244" s="148"/>
      <c r="U244" s="154">
        <v>0.058</v>
      </c>
      <c r="V244" s="154">
        <v>0.507</v>
      </c>
      <c r="W244" s="154">
        <v>0.32</v>
      </c>
      <c r="X244" s="154">
        <v>0.074</v>
      </c>
      <c r="Y244" s="154">
        <v>0.018</v>
      </c>
      <c r="Z244" s="154">
        <v>0.023</v>
      </c>
      <c r="AA244" s="148" t="s">
        <v>45</v>
      </c>
    </row>
    <row r="245" spans="1:27">
      <c r="A245" s="147">
        <v>1276</v>
      </c>
      <c r="B245" s="147" t="s">
        <v>27</v>
      </c>
      <c r="C245" s="147" t="s">
        <v>53</v>
      </c>
      <c r="D245" s="148" t="s">
        <v>54</v>
      </c>
      <c r="E245" s="148" t="s">
        <v>30</v>
      </c>
      <c r="F245" s="149">
        <v>2026</v>
      </c>
      <c r="G245" s="148" t="s">
        <v>35</v>
      </c>
      <c r="H245" s="149">
        <v>133</v>
      </c>
      <c r="I245" s="150">
        <v>93945</v>
      </c>
      <c r="J245" s="149">
        <v>14</v>
      </c>
      <c r="K245" s="150">
        <v>17727</v>
      </c>
      <c r="L245" s="151">
        <v>0</v>
      </c>
      <c r="M245" s="152">
        <f t="shared" si="3"/>
        <v>0</v>
      </c>
      <c r="N245" s="148"/>
      <c r="O245" s="150">
        <v>7005</v>
      </c>
      <c r="P245" s="149">
        <v>253</v>
      </c>
      <c r="Q245" s="154">
        <v>0.58</v>
      </c>
      <c r="R245" s="154">
        <v>0.42</v>
      </c>
      <c r="S245" s="148"/>
      <c r="T245" s="148"/>
      <c r="U245" s="154">
        <v>0.056</v>
      </c>
      <c r="V245" s="154">
        <v>0.506</v>
      </c>
      <c r="W245" s="154">
        <v>0.323</v>
      </c>
      <c r="X245" s="154">
        <v>0.074</v>
      </c>
      <c r="Y245" s="154">
        <v>0.018</v>
      </c>
      <c r="Z245" s="154">
        <v>0.023</v>
      </c>
      <c r="AA245" s="148" t="s">
        <v>45</v>
      </c>
    </row>
    <row r="246" spans="1:27">
      <c r="A246" s="147">
        <v>1277</v>
      </c>
      <c r="B246" s="147" t="s">
        <v>27</v>
      </c>
      <c r="C246" s="147" t="s">
        <v>53</v>
      </c>
      <c r="D246" s="148" t="s">
        <v>54</v>
      </c>
      <c r="E246" s="148" t="s">
        <v>30</v>
      </c>
      <c r="F246" s="149">
        <v>2026</v>
      </c>
      <c r="G246" s="148" t="s">
        <v>36</v>
      </c>
      <c r="H246" s="149">
        <v>77</v>
      </c>
      <c r="I246" s="150">
        <v>93837</v>
      </c>
      <c r="J246" s="149">
        <v>12</v>
      </c>
      <c r="K246" s="150">
        <v>16795</v>
      </c>
      <c r="L246" s="151">
        <v>0</v>
      </c>
      <c r="M246" s="152">
        <f t="shared" si="3"/>
        <v>0</v>
      </c>
      <c r="N246" s="148"/>
      <c r="O246" s="150">
        <v>7533</v>
      </c>
      <c r="P246" s="149">
        <v>101</v>
      </c>
      <c r="Q246" s="154">
        <v>0.579</v>
      </c>
      <c r="R246" s="154">
        <v>0.421</v>
      </c>
      <c r="S246" s="148"/>
      <c r="T246" s="148"/>
      <c r="U246" s="154">
        <v>0.053</v>
      </c>
      <c r="V246" s="154">
        <v>0.501</v>
      </c>
      <c r="W246" s="154">
        <v>0.328</v>
      </c>
      <c r="X246" s="154">
        <v>0.076</v>
      </c>
      <c r="Y246" s="154">
        <v>0.019</v>
      </c>
      <c r="Z246" s="154">
        <v>0.023</v>
      </c>
      <c r="AA246" s="148" t="s">
        <v>45</v>
      </c>
    </row>
    <row r="247" spans="1:27">
      <c r="A247" s="147">
        <v>1278</v>
      </c>
      <c r="B247" s="147" t="s">
        <v>27</v>
      </c>
      <c r="C247" s="147" t="s">
        <v>53</v>
      </c>
      <c r="D247" s="148" t="s">
        <v>54</v>
      </c>
      <c r="E247" s="148" t="s">
        <v>30</v>
      </c>
      <c r="F247" s="149">
        <v>2026</v>
      </c>
      <c r="G247" s="148" t="s">
        <v>37</v>
      </c>
      <c r="H247" s="149">
        <v>40</v>
      </c>
      <c r="I247" s="150">
        <v>94317</v>
      </c>
      <c r="J247" s="149">
        <v>645</v>
      </c>
      <c r="K247" s="150">
        <v>529485</v>
      </c>
      <c r="L247" s="151">
        <v>0</v>
      </c>
      <c r="M247" s="152">
        <f t="shared" si="3"/>
        <v>0</v>
      </c>
      <c r="N247" s="148"/>
      <c r="O247" s="150">
        <v>401396</v>
      </c>
      <c r="P247" s="150">
        <v>8567</v>
      </c>
      <c r="Q247" s="154">
        <v>0.579</v>
      </c>
      <c r="R247" s="154">
        <v>0.421</v>
      </c>
      <c r="S247" s="148"/>
      <c r="T247" s="148"/>
      <c r="U247" s="154">
        <v>0.053</v>
      </c>
      <c r="V247" s="154">
        <v>0.499</v>
      </c>
      <c r="W247" s="154">
        <v>0.33</v>
      </c>
      <c r="X247" s="154">
        <v>0.076</v>
      </c>
      <c r="Y247" s="154">
        <v>0.019</v>
      </c>
      <c r="Z247" s="154">
        <v>0.023</v>
      </c>
      <c r="AA247" s="148" t="s">
        <v>45</v>
      </c>
    </row>
    <row r="248" spans="1:27">
      <c r="A248" s="147">
        <v>1279</v>
      </c>
      <c r="B248" s="147" t="s">
        <v>27</v>
      </c>
      <c r="C248" s="147" t="s">
        <v>53</v>
      </c>
      <c r="D248" s="148" t="s">
        <v>54</v>
      </c>
      <c r="E248" s="148" t="s">
        <v>30</v>
      </c>
      <c r="F248" s="149">
        <v>2026</v>
      </c>
      <c r="G248" s="148" t="s">
        <v>38</v>
      </c>
      <c r="H248" s="149">
        <v>76</v>
      </c>
      <c r="I248" s="150">
        <v>94199</v>
      </c>
      <c r="J248" s="149">
        <v>27</v>
      </c>
      <c r="K248" s="150">
        <v>24117</v>
      </c>
      <c r="L248" s="151">
        <v>0</v>
      </c>
      <c r="M248" s="152">
        <f t="shared" si="3"/>
        <v>0</v>
      </c>
      <c r="N248" s="148"/>
      <c r="O248" s="150">
        <v>14189</v>
      </c>
      <c r="P248" s="149">
        <v>382</v>
      </c>
      <c r="Q248" s="154">
        <v>0.578</v>
      </c>
      <c r="R248" s="154">
        <v>0.422</v>
      </c>
      <c r="S248" s="148"/>
      <c r="T248" s="148"/>
      <c r="U248" s="154">
        <v>0.051</v>
      </c>
      <c r="V248" s="154">
        <v>0.498</v>
      </c>
      <c r="W248" s="154">
        <v>0.331</v>
      </c>
      <c r="X248" s="154">
        <v>0.077</v>
      </c>
      <c r="Y248" s="154">
        <v>0.02</v>
      </c>
      <c r="Z248" s="154">
        <v>0.023</v>
      </c>
      <c r="AA248" s="148" t="s">
        <v>45</v>
      </c>
    </row>
    <row r="249" spans="1:27">
      <c r="A249" s="147">
        <v>1280</v>
      </c>
      <c r="B249" s="147" t="s">
        <v>27</v>
      </c>
      <c r="C249" s="147" t="s">
        <v>53</v>
      </c>
      <c r="D249" s="148" t="s">
        <v>54</v>
      </c>
      <c r="E249" s="148" t="s">
        <v>30</v>
      </c>
      <c r="F249" s="149">
        <v>2026</v>
      </c>
      <c r="G249" s="148" t="s">
        <v>39</v>
      </c>
      <c r="H249" s="148"/>
      <c r="I249" s="148"/>
      <c r="J249" s="148"/>
      <c r="K249" s="148"/>
      <c r="L249" s="152"/>
      <c r="M249" s="152">
        <f t="shared" si="3"/>
        <v>0</v>
      </c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</row>
    <row r="250" spans="1:27">
      <c r="A250" s="147">
        <v>1281</v>
      </c>
      <c r="B250" s="147" t="s">
        <v>27</v>
      </c>
      <c r="C250" s="147" t="s">
        <v>53</v>
      </c>
      <c r="D250" s="148" t="s">
        <v>54</v>
      </c>
      <c r="E250" s="148" t="s">
        <v>30</v>
      </c>
      <c r="F250" s="149">
        <v>2026</v>
      </c>
      <c r="G250" s="148" t="s">
        <v>40</v>
      </c>
      <c r="H250" s="148"/>
      <c r="I250" s="148"/>
      <c r="J250" s="148"/>
      <c r="K250" s="148"/>
      <c r="L250" s="152"/>
      <c r="M250" s="152">
        <f t="shared" si="3"/>
        <v>0</v>
      </c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</row>
    <row r="251" spans="1:27">
      <c r="A251" s="147">
        <v>1282</v>
      </c>
      <c r="B251" s="147" t="s">
        <v>27</v>
      </c>
      <c r="C251" s="147" t="s">
        <v>53</v>
      </c>
      <c r="D251" s="148" t="s">
        <v>54</v>
      </c>
      <c r="E251" s="148" t="s">
        <v>30</v>
      </c>
      <c r="F251" s="149">
        <v>2026</v>
      </c>
      <c r="G251" s="148" t="s">
        <v>41</v>
      </c>
      <c r="H251" s="148"/>
      <c r="I251" s="148"/>
      <c r="J251" s="148"/>
      <c r="K251" s="148"/>
      <c r="L251" s="152"/>
      <c r="M251" s="152">
        <f t="shared" si="3"/>
        <v>0</v>
      </c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</row>
    <row r="252" spans="1:27">
      <c r="A252" s="147">
        <v>1283</v>
      </c>
      <c r="B252" s="147" t="s">
        <v>27</v>
      </c>
      <c r="C252" s="147" t="s">
        <v>53</v>
      </c>
      <c r="D252" s="148" t="s">
        <v>54</v>
      </c>
      <c r="E252" s="148" t="s">
        <v>30</v>
      </c>
      <c r="F252" s="149">
        <v>2026</v>
      </c>
      <c r="G252" s="148" t="s">
        <v>42</v>
      </c>
      <c r="H252" s="148"/>
      <c r="I252" s="148"/>
      <c r="J252" s="148"/>
      <c r="K252" s="148"/>
      <c r="L252" s="152"/>
      <c r="M252" s="152">
        <f t="shared" si="3"/>
        <v>0</v>
      </c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</row>
    <row r="253" spans="1:27">
      <c r="A253" s="147">
        <v>1284</v>
      </c>
      <c r="B253" s="147" t="s">
        <v>27</v>
      </c>
      <c r="C253" s="147" t="s">
        <v>53</v>
      </c>
      <c r="D253" s="148" t="s">
        <v>54</v>
      </c>
      <c r="E253" s="148" t="s">
        <v>30</v>
      </c>
      <c r="F253" s="149">
        <v>2026</v>
      </c>
      <c r="G253" s="148" t="s">
        <v>43</v>
      </c>
      <c r="H253" s="148"/>
      <c r="I253" s="148"/>
      <c r="J253" s="148"/>
      <c r="K253" s="148"/>
      <c r="L253" s="152"/>
      <c r="M253" s="152">
        <f t="shared" si="3"/>
        <v>0</v>
      </c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</row>
    <row r="254" spans="1:27">
      <c r="A254" s="147">
        <v>1297</v>
      </c>
      <c r="B254" s="147" t="s">
        <v>27</v>
      </c>
      <c r="C254" s="147" t="s">
        <v>53</v>
      </c>
      <c r="D254" s="148" t="s">
        <v>55</v>
      </c>
      <c r="E254" s="148" t="s">
        <v>30</v>
      </c>
      <c r="F254" s="149">
        <v>2024</v>
      </c>
      <c r="G254" s="148" t="s">
        <v>31</v>
      </c>
      <c r="H254" s="149">
        <v>533</v>
      </c>
      <c r="I254" s="150">
        <v>880859</v>
      </c>
      <c r="J254" s="149">
        <v>651</v>
      </c>
      <c r="K254" s="149" t="s">
        <v>32</v>
      </c>
      <c r="L254" s="151">
        <v>0</v>
      </c>
      <c r="M254" s="152">
        <f t="shared" si="3"/>
        <v>0</v>
      </c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</row>
    <row r="255" spans="1:27">
      <c r="A255" s="147">
        <v>1298</v>
      </c>
      <c r="B255" s="147" t="s">
        <v>27</v>
      </c>
      <c r="C255" s="147" t="s">
        <v>53</v>
      </c>
      <c r="D255" s="148" t="s">
        <v>55</v>
      </c>
      <c r="E255" s="148" t="s">
        <v>30</v>
      </c>
      <c r="F255" s="149">
        <v>2024</v>
      </c>
      <c r="G255" s="148" t="s">
        <v>33</v>
      </c>
      <c r="H255" s="149">
        <v>408</v>
      </c>
      <c r="I255" s="150">
        <v>881493</v>
      </c>
      <c r="J255" s="149">
        <v>634</v>
      </c>
      <c r="K255" s="149" t="s">
        <v>32</v>
      </c>
      <c r="L255" s="151">
        <v>0</v>
      </c>
      <c r="M255" s="152">
        <f t="shared" si="3"/>
        <v>0</v>
      </c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</row>
    <row r="256" spans="1:27">
      <c r="A256" s="147">
        <v>1299</v>
      </c>
      <c r="B256" s="147" t="s">
        <v>27</v>
      </c>
      <c r="C256" s="147" t="s">
        <v>53</v>
      </c>
      <c r="D256" s="148" t="s">
        <v>55</v>
      </c>
      <c r="E256" s="148" t="s">
        <v>30</v>
      </c>
      <c r="F256" s="149">
        <v>2024</v>
      </c>
      <c r="G256" s="148" t="s">
        <v>34</v>
      </c>
      <c r="H256" s="149">
        <v>247</v>
      </c>
      <c r="I256" s="150">
        <v>882113</v>
      </c>
      <c r="J256" s="149">
        <v>620</v>
      </c>
      <c r="K256" s="149" t="s">
        <v>32</v>
      </c>
      <c r="L256" s="151">
        <v>0</v>
      </c>
      <c r="M256" s="152">
        <f t="shared" si="3"/>
        <v>0</v>
      </c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</row>
    <row r="257" spans="1:27">
      <c r="A257" s="147">
        <v>1300</v>
      </c>
      <c r="B257" s="147" t="s">
        <v>27</v>
      </c>
      <c r="C257" s="147" t="s">
        <v>53</v>
      </c>
      <c r="D257" s="148" t="s">
        <v>55</v>
      </c>
      <c r="E257" s="148" t="s">
        <v>30</v>
      </c>
      <c r="F257" s="149">
        <v>2024</v>
      </c>
      <c r="G257" s="148" t="s">
        <v>35</v>
      </c>
      <c r="H257" s="149">
        <v>530</v>
      </c>
      <c r="I257" s="150">
        <v>883068</v>
      </c>
      <c r="J257" s="149">
        <v>955</v>
      </c>
      <c r="K257" s="149" t="s">
        <v>32</v>
      </c>
      <c r="L257" s="151">
        <v>0</v>
      </c>
      <c r="M257" s="152">
        <f t="shared" si="3"/>
        <v>0</v>
      </c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</row>
    <row r="258" spans="1:27">
      <c r="A258" s="147">
        <v>1301</v>
      </c>
      <c r="B258" s="147" t="s">
        <v>27</v>
      </c>
      <c r="C258" s="147" t="s">
        <v>53</v>
      </c>
      <c r="D258" s="148" t="s">
        <v>55</v>
      </c>
      <c r="E258" s="148" t="s">
        <v>30</v>
      </c>
      <c r="F258" s="149">
        <v>2024</v>
      </c>
      <c r="G258" s="148" t="s">
        <v>36</v>
      </c>
      <c r="H258" s="150">
        <v>2583</v>
      </c>
      <c r="I258" s="150">
        <v>883625</v>
      </c>
      <c r="J258" s="149">
        <v>557</v>
      </c>
      <c r="K258" s="149" t="s">
        <v>32</v>
      </c>
      <c r="L258" s="151">
        <v>0</v>
      </c>
      <c r="M258" s="152">
        <f t="shared" ref="M258:M321" si="4">L258*17000</f>
        <v>0</v>
      </c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</row>
    <row r="259" spans="1:27">
      <c r="A259" s="147">
        <v>1302</v>
      </c>
      <c r="B259" s="147" t="s">
        <v>27</v>
      </c>
      <c r="C259" s="147" t="s">
        <v>53</v>
      </c>
      <c r="D259" s="148" t="s">
        <v>55</v>
      </c>
      <c r="E259" s="148" t="s">
        <v>30</v>
      </c>
      <c r="F259" s="149">
        <v>2024</v>
      </c>
      <c r="G259" s="148" t="s">
        <v>37</v>
      </c>
      <c r="H259" s="150">
        <v>2277</v>
      </c>
      <c r="I259" s="150">
        <v>883933</v>
      </c>
      <c r="J259" s="149">
        <v>308</v>
      </c>
      <c r="K259" s="149" t="s">
        <v>32</v>
      </c>
      <c r="L259" s="151">
        <v>0</v>
      </c>
      <c r="M259" s="152">
        <f t="shared" si="4"/>
        <v>0</v>
      </c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</row>
    <row r="260" spans="1:27">
      <c r="A260" s="147">
        <v>1303</v>
      </c>
      <c r="B260" s="147" t="s">
        <v>27</v>
      </c>
      <c r="C260" s="147" t="s">
        <v>53</v>
      </c>
      <c r="D260" s="148" t="s">
        <v>55</v>
      </c>
      <c r="E260" s="148" t="s">
        <v>30</v>
      </c>
      <c r="F260" s="149">
        <v>2024</v>
      </c>
      <c r="G260" s="148" t="s">
        <v>38</v>
      </c>
      <c r="H260" s="150">
        <v>1589</v>
      </c>
      <c r="I260" s="150">
        <v>884533</v>
      </c>
      <c r="J260" s="149">
        <v>600</v>
      </c>
      <c r="K260" s="149" t="s">
        <v>32</v>
      </c>
      <c r="L260" s="151">
        <v>0</v>
      </c>
      <c r="M260" s="152">
        <f t="shared" si="4"/>
        <v>0</v>
      </c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</row>
    <row r="261" spans="1:27">
      <c r="A261" s="147">
        <v>1304</v>
      </c>
      <c r="B261" s="147" t="s">
        <v>27</v>
      </c>
      <c r="C261" s="147" t="s">
        <v>53</v>
      </c>
      <c r="D261" s="148" t="s">
        <v>55</v>
      </c>
      <c r="E261" s="148" t="s">
        <v>30</v>
      </c>
      <c r="F261" s="149">
        <v>2024</v>
      </c>
      <c r="G261" s="148" t="s">
        <v>39</v>
      </c>
      <c r="H261" s="150">
        <v>1983</v>
      </c>
      <c r="I261" s="150">
        <v>884875</v>
      </c>
      <c r="J261" s="149">
        <v>342</v>
      </c>
      <c r="K261" s="149" t="s">
        <v>32</v>
      </c>
      <c r="L261" s="151">
        <v>0</v>
      </c>
      <c r="M261" s="152">
        <f t="shared" si="4"/>
        <v>0</v>
      </c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</row>
    <row r="262" spans="1:27">
      <c r="A262" s="147">
        <v>1305</v>
      </c>
      <c r="B262" s="147" t="s">
        <v>27</v>
      </c>
      <c r="C262" s="147" t="s">
        <v>53</v>
      </c>
      <c r="D262" s="148" t="s">
        <v>55</v>
      </c>
      <c r="E262" s="148" t="s">
        <v>30</v>
      </c>
      <c r="F262" s="149">
        <v>2024</v>
      </c>
      <c r="G262" s="148" t="s">
        <v>40</v>
      </c>
      <c r="H262" s="150">
        <v>2531</v>
      </c>
      <c r="I262" s="150">
        <v>885073</v>
      </c>
      <c r="J262" s="149">
        <v>198</v>
      </c>
      <c r="K262" s="149" t="s">
        <v>32</v>
      </c>
      <c r="L262" s="151">
        <v>0</v>
      </c>
      <c r="M262" s="152">
        <f t="shared" si="4"/>
        <v>0</v>
      </c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</row>
    <row r="263" spans="1:27">
      <c r="A263" s="147">
        <v>1306</v>
      </c>
      <c r="B263" s="147" t="s">
        <v>27</v>
      </c>
      <c r="C263" s="147" t="s">
        <v>53</v>
      </c>
      <c r="D263" s="148" t="s">
        <v>55</v>
      </c>
      <c r="E263" s="148" t="s">
        <v>30</v>
      </c>
      <c r="F263" s="149">
        <v>2024</v>
      </c>
      <c r="G263" s="148" t="s">
        <v>41</v>
      </c>
      <c r="H263" s="150">
        <v>3589</v>
      </c>
      <c r="I263" s="150">
        <v>885595</v>
      </c>
      <c r="J263" s="149">
        <v>522</v>
      </c>
      <c r="K263" s="150">
        <v>2138245</v>
      </c>
      <c r="L263" s="151">
        <v>0</v>
      </c>
      <c r="M263" s="152">
        <f t="shared" si="4"/>
        <v>0</v>
      </c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</row>
    <row r="264" spans="1:27">
      <c r="A264" s="147">
        <v>1307</v>
      </c>
      <c r="B264" s="147" t="s">
        <v>27</v>
      </c>
      <c r="C264" s="147" t="s">
        <v>53</v>
      </c>
      <c r="D264" s="148" t="s">
        <v>55</v>
      </c>
      <c r="E264" s="148" t="s">
        <v>30</v>
      </c>
      <c r="F264" s="149">
        <v>2024</v>
      </c>
      <c r="G264" s="148" t="s">
        <v>42</v>
      </c>
      <c r="H264" s="150">
        <v>3695</v>
      </c>
      <c r="I264" s="150">
        <v>885863</v>
      </c>
      <c r="J264" s="149">
        <v>268</v>
      </c>
      <c r="K264" s="150">
        <v>2295207</v>
      </c>
      <c r="L264" s="151">
        <v>0</v>
      </c>
      <c r="M264" s="152">
        <f t="shared" si="4"/>
        <v>0</v>
      </c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</row>
    <row r="265" spans="1:27">
      <c r="A265" s="147">
        <v>1308</v>
      </c>
      <c r="B265" s="147" t="s">
        <v>27</v>
      </c>
      <c r="C265" s="147" t="s">
        <v>53</v>
      </c>
      <c r="D265" s="148" t="s">
        <v>55</v>
      </c>
      <c r="E265" s="148" t="s">
        <v>30</v>
      </c>
      <c r="F265" s="149">
        <v>2024</v>
      </c>
      <c r="G265" s="148" t="s">
        <v>43</v>
      </c>
      <c r="H265" s="150">
        <v>2950</v>
      </c>
      <c r="I265" s="150">
        <v>886556</v>
      </c>
      <c r="J265" s="149">
        <v>693</v>
      </c>
      <c r="K265" s="150">
        <v>3163129</v>
      </c>
      <c r="L265" s="151">
        <v>0</v>
      </c>
      <c r="M265" s="152">
        <f t="shared" si="4"/>
        <v>0</v>
      </c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</row>
    <row r="266" spans="1:27">
      <c r="A266" s="147">
        <v>1309</v>
      </c>
      <c r="B266" s="147" t="s">
        <v>27</v>
      </c>
      <c r="C266" s="147" t="s">
        <v>53</v>
      </c>
      <c r="D266" s="148" t="s">
        <v>55</v>
      </c>
      <c r="E266" s="148" t="s">
        <v>30</v>
      </c>
      <c r="F266" s="149">
        <v>2025</v>
      </c>
      <c r="G266" s="148" t="s">
        <v>31</v>
      </c>
      <c r="H266" s="150">
        <v>2757</v>
      </c>
      <c r="I266" s="150">
        <v>887085</v>
      </c>
      <c r="J266" s="149">
        <v>529</v>
      </c>
      <c r="K266" s="150">
        <v>3607520</v>
      </c>
      <c r="L266" s="151">
        <v>0</v>
      </c>
      <c r="M266" s="152">
        <f t="shared" si="4"/>
        <v>0</v>
      </c>
      <c r="N266" s="148"/>
      <c r="O266" s="149" t="s">
        <v>48</v>
      </c>
      <c r="P266" s="150">
        <v>6719</v>
      </c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</row>
    <row r="267" spans="1:27">
      <c r="A267" s="147">
        <v>1310</v>
      </c>
      <c r="B267" s="147" t="s">
        <v>27</v>
      </c>
      <c r="C267" s="147" t="s">
        <v>53</v>
      </c>
      <c r="D267" s="148" t="s">
        <v>55</v>
      </c>
      <c r="E267" s="148" t="s">
        <v>30</v>
      </c>
      <c r="F267" s="149">
        <v>2025</v>
      </c>
      <c r="G267" s="148" t="s">
        <v>33</v>
      </c>
      <c r="H267" s="150">
        <v>2136</v>
      </c>
      <c r="I267" s="150">
        <v>887281</v>
      </c>
      <c r="J267" s="149">
        <v>196</v>
      </c>
      <c r="K267" s="150">
        <v>2828627</v>
      </c>
      <c r="L267" s="151">
        <v>0</v>
      </c>
      <c r="M267" s="152">
        <f t="shared" si="4"/>
        <v>0</v>
      </c>
      <c r="N267" s="148"/>
      <c r="O267" s="149" t="s">
        <v>48</v>
      </c>
      <c r="P267" s="150">
        <v>2862</v>
      </c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</row>
    <row r="268" spans="1:27">
      <c r="A268" s="147">
        <v>1311</v>
      </c>
      <c r="B268" s="147" t="s">
        <v>27</v>
      </c>
      <c r="C268" s="147" t="s">
        <v>53</v>
      </c>
      <c r="D268" s="148" t="s">
        <v>55</v>
      </c>
      <c r="E268" s="148" t="s">
        <v>30</v>
      </c>
      <c r="F268" s="149">
        <v>2025</v>
      </c>
      <c r="G268" s="148" t="s">
        <v>34</v>
      </c>
      <c r="H268" s="150">
        <v>2292</v>
      </c>
      <c r="I268" s="150">
        <v>887504</v>
      </c>
      <c r="J268" s="149">
        <v>223</v>
      </c>
      <c r="K268" s="150">
        <v>3103208</v>
      </c>
      <c r="L268" s="151">
        <v>0</v>
      </c>
      <c r="M268" s="152">
        <f t="shared" si="4"/>
        <v>0</v>
      </c>
      <c r="N268" s="148"/>
      <c r="O268" s="149" t="s">
        <v>48</v>
      </c>
      <c r="P268" s="150">
        <v>4108</v>
      </c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</row>
    <row r="269" spans="1:27">
      <c r="A269" s="147">
        <v>1312</v>
      </c>
      <c r="B269" s="147" t="s">
        <v>27</v>
      </c>
      <c r="C269" s="147" t="s">
        <v>53</v>
      </c>
      <c r="D269" s="148" t="s">
        <v>55</v>
      </c>
      <c r="E269" s="148" t="s">
        <v>30</v>
      </c>
      <c r="F269" s="149">
        <v>2025</v>
      </c>
      <c r="G269" s="148" t="s">
        <v>35</v>
      </c>
      <c r="H269" s="149">
        <v>29</v>
      </c>
      <c r="I269" s="150">
        <v>887746</v>
      </c>
      <c r="J269" s="149">
        <v>242</v>
      </c>
      <c r="K269" s="150">
        <v>237088</v>
      </c>
      <c r="L269" s="151">
        <v>0</v>
      </c>
      <c r="M269" s="152">
        <f t="shared" si="4"/>
        <v>0</v>
      </c>
      <c r="N269" s="148"/>
      <c r="O269" s="149" t="s">
        <v>48</v>
      </c>
      <c r="P269" s="150">
        <v>2072</v>
      </c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</row>
    <row r="270" spans="1:27">
      <c r="A270" s="147">
        <v>1313</v>
      </c>
      <c r="B270" s="147" t="s">
        <v>27</v>
      </c>
      <c r="C270" s="147" t="s">
        <v>53</v>
      </c>
      <c r="D270" s="148" t="s">
        <v>55</v>
      </c>
      <c r="E270" s="148" t="s">
        <v>30</v>
      </c>
      <c r="F270" s="149">
        <v>2025</v>
      </c>
      <c r="G270" s="148" t="s">
        <v>36</v>
      </c>
      <c r="H270" s="149">
        <v>77</v>
      </c>
      <c r="I270" s="150">
        <v>887941</v>
      </c>
      <c r="J270" s="149">
        <v>195</v>
      </c>
      <c r="K270" s="150">
        <v>469452</v>
      </c>
      <c r="L270" s="151">
        <v>0</v>
      </c>
      <c r="M270" s="152">
        <f t="shared" si="4"/>
        <v>0</v>
      </c>
      <c r="N270" s="148"/>
      <c r="O270" s="149" t="s">
        <v>48</v>
      </c>
      <c r="P270" s="150">
        <v>2388</v>
      </c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</row>
    <row r="271" spans="1:27">
      <c r="A271" s="147">
        <v>1314</v>
      </c>
      <c r="B271" s="147" t="s">
        <v>27</v>
      </c>
      <c r="C271" s="147" t="s">
        <v>53</v>
      </c>
      <c r="D271" s="148" t="s">
        <v>55</v>
      </c>
      <c r="E271" s="148" t="s">
        <v>30</v>
      </c>
      <c r="F271" s="149">
        <v>2025</v>
      </c>
      <c r="G271" s="148" t="s">
        <v>37</v>
      </c>
      <c r="H271" s="149">
        <v>50</v>
      </c>
      <c r="I271" s="150">
        <v>888159</v>
      </c>
      <c r="J271" s="149">
        <v>218</v>
      </c>
      <c r="K271" s="150">
        <v>645127</v>
      </c>
      <c r="L271" s="151">
        <v>4</v>
      </c>
      <c r="M271" s="152">
        <f t="shared" si="4"/>
        <v>68000</v>
      </c>
      <c r="N271" s="148"/>
      <c r="O271" s="149" t="s">
        <v>48</v>
      </c>
      <c r="P271" s="150">
        <v>4756</v>
      </c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</row>
    <row r="272" spans="1:27">
      <c r="A272" s="147">
        <v>1315</v>
      </c>
      <c r="B272" s="147" t="s">
        <v>27</v>
      </c>
      <c r="C272" s="147" t="s">
        <v>53</v>
      </c>
      <c r="D272" s="148" t="s">
        <v>55</v>
      </c>
      <c r="E272" s="148" t="s">
        <v>30</v>
      </c>
      <c r="F272" s="149">
        <v>2025</v>
      </c>
      <c r="G272" s="148" t="s">
        <v>38</v>
      </c>
      <c r="H272" s="149">
        <v>17</v>
      </c>
      <c r="I272" s="150">
        <v>888351</v>
      </c>
      <c r="J272" s="149">
        <v>192</v>
      </c>
      <c r="K272" s="150">
        <v>112104</v>
      </c>
      <c r="L272" s="151">
        <v>1</v>
      </c>
      <c r="M272" s="152">
        <f t="shared" si="4"/>
        <v>17000</v>
      </c>
      <c r="N272" s="148"/>
      <c r="O272" s="150">
        <v>63446</v>
      </c>
      <c r="P272" s="149">
        <v>804</v>
      </c>
      <c r="Q272" s="154">
        <v>0.445</v>
      </c>
      <c r="R272" s="154">
        <v>0.555</v>
      </c>
      <c r="S272" s="148"/>
      <c r="T272" s="148" t="s">
        <v>44</v>
      </c>
      <c r="U272" s="154">
        <v>0.16</v>
      </c>
      <c r="V272" s="154">
        <v>0.426</v>
      </c>
      <c r="W272" s="154">
        <v>0.257</v>
      </c>
      <c r="X272" s="154">
        <v>0.097</v>
      </c>
      <c r="Y272" s="154">
        <v>0.035</v>
      </c>
      <c r="Z272" s="154">
        <v>0.025</v>
      </c>
      <c r="AA272" s="148" t="s">
        <v>45</v>
      </c>
    </row>
    <row r="273" spans="1:27">
      <c r="A273" s="147">
        <v>1316</v>
      </c>
      <c r="B273" s="147" t="s">
        <v>27</v>
      </c>
      <c r="C273" s="147" t="s">
        <v>53</v>
      </c>
      <c r="D273" s="148" t="s">
        <v>55</v>
      </c>
      <c r="E273" s="148" t="s">
        <v>30</v>
      </c>
      <c r="F273" s="149">
        <v>2025</v>
      </c>
      <c r="G273" s="148" t="s">
        <v>39</v>
      </c>
      <c r="H273" s="149">
        <v>50</v>
      </c>
      <c r="I273" s="150">
        <v>887647</v>
      </c>
      <c r="J273" s="149">
        <v>176</v>
      </c>
      <c r="K273" s="150">
        <v>307291</v>
      </c>
      <c r="L273" s="151">
        <v>2</v>
      </c>
      <c r="M273" s="152">
        <f t="shared" si="4"/>
        <v>34000</v>
      </c>
      <c r="N273" s="148"/>
      <c r="O273" s="150">
        <v>89963</v>
      </c>
      <c r="P273" s="150">
        <v>1095</v>
      </c>
      <c r="Q273" s="154">
        <v>0.555</v>
      </c>
      <c r="R273" s="154">
        <v>0.445</v>
      </c>
      <c r="S273" s="148"/>
      <c r="T273" s="148"/>
      <c r="U273" s="154">
        <v>0.156</v>
      </c>
      <c r="V273" s="154">
        <v>0.428</v>
      </c>
      <c r="W273" s="154">
        <v>0.258</v>
      </c>
      <c r="X273" s="154">
        <v>0.098</v>
      </c>
      <c r="Y273" s="154">
        <v>0.035</v>
      </c>
      <c r="Z273" s="154">
        <v>0.025</v>
      </c>
      <c r="AA273" s="148" t="s">
        <v>45</v>
      </c>
    </row>
    <row r="274" spans="1:27">
      <c r="A274" s="147">
        <v>1317</v>
      </c>
      <c r="B274" s="147" t="s">
        <v>27</v>
      </c>
      <c r="C274" s="147" t="s">
        <v>53</v>
      </c>
      <c r="D274" s="148" t="s">
        <v>55</v>
      </c>
      <c r="E274" s="148" t="s">
        <v>30</v>
      </c>
      <c r="F274" s="149">
        <v>2025</v>
      </c>
      <c r="G274" s="148" t="s">
        <v>40</v>
      </c>
      <c r="H274" s="149">
        <v>54</v>
      </c>
      <c r="I274" s="150">
        <v>886761</v>
      </c>
      <c r="J274" s="149">
        <v>179</v>
      </c>
      <c r="K274" s="150">
        <v>228521</v>
      </c>
      <c r="L274" s="151">
        <v>1</v>
      </c>
      <c r="M274" s="152">
        <f t="shared" si="4"/>
        <v>17000</v>
      </c>
      <c r="N274" s="148"/>
      <c r="O274" s="150">
        <v>70587</v>
      </c>
      <c r="P274" s="149">
        <v>899</v>
      </c>
      <c r="Q274" s="154">
        <v>0.556</v>
      </c>
      <c r="R274" s="154">
        <v>0.444</v>
      </c>
      <c r="S274" s="148"/>
      <c r="T274" s="148"/>
      <c r="U274" s="154">
        <v>0.153</v>
      </c>
      <c r="V274" s="154">
        <v>0.43</v>
      </c>
      <c r="W274" s="154">
        <v>0.259</v>
      </c>
      <c r="X274" s="154">
        <v>0.098</v>
      </c>
      <c r="Y274" s="154">
        <v>0.035</v>
      </c>
      <c r="Z274" s="154">
        <v>0.025</v>
      </c>
      <c r="AA274" s="148" t="s">
        <v>45</v>
      </c>
    </row>
    <row r="275" spans="1:27">
      <c r="A275" s="147">
        <v>1318</v>
      </c>
      <c r="B275" s="147" t="s">
        <v>27</v>
      </c>
      <c r="C275" s="147" t="s">
        <v>53</v>
      </c>
      <c r="D275" s="148" t="s">
        <v>55</v>
      </c>
      <c r="E275" s="148" t="s">
        <v>30</v>
      </c>
      <c r="F275" s="149">
        <v>2025</v>
      </c>
      <c r="G275" s="148" t="s">
        <v>41</v>
      </c>
      <c r="H275" s="149">
        <v>21</v>
      </c>
      <c r="I275" s="150">
        <v>885735</v>
      </c>
      <c r="J275" s="149">
        <v>192</v>
      </c>
      <c r="K275" s="150">
        <v>153980</v>
      </c>
      <c r="L275" s="151">
        <v>0</v>
      </c>
      <c r="M275" s="152">
        <f t="shared" si="4"/>
        <v>0</v>
      </c>
      <c r="N275" s="148"/>
      <c r="O275" s="150">
        <v>73642</v>
      </c>
      <c r="P275" s="149">
        <v>749</v>
      </c>
      <c r="Q275" s="154">
        <v>0.555</v>
      </c>
      <c r="R275" s="154">
        <v>0.445</v>
      </c>
      <c r="S275" s="148"/>
      <c r="T275" s="148"/>
      <c r="U275" s="154">
        <v>0.15</v>
      </c>
      <c r="V275" s="154">
        <v>0.43</v>
      </c>
      <c r="W275" s="154">
        <v>0.261</v>
      </c>
      <c r="X275" s="154">
        <v>0.099</v>
      </c>
      <c r="Y275" s="154">
        <v>0.035</v>
      </c>
      <c r="Z275" s="154">
        <v>0.025</v>
      </c>
      <c r="AA275" s="148" t="s">
        <v>45</v>
      </c>
    </row>
    <row r="276" spans="1:27">
      <c r="A276" s="147">
        <v>1319</v>
      </c>
      <c r="B276" s="147" t="s">
        <v>27</v>
      </c>
      <c r="C276" s="147" t="s">
        <v>53</v>
      </c>
      <c r="D276" s="148" t="s">
        <v>55</v>
      </c>
      <c r="E276" s="148" t="s">
        <v>30</v>
      </c>
      <c r="F276" s="149">
        <v>2025</v>
      </c>
      <c r="G276" s="148" t="s">
        <v>42</v>
      </c>
      <c r="H276" s="149">
        <v>3</v>
      </c>
      <c r="I276" s="150">
        <v>884795</v>
      </c>
      <c r="J276" s="149">
        <v>193</v>
      </c>
      <c r="K276" s="150">
        <v>53328</v>
      </c>
      <c r="L276" s="151">
        <v>0</v>
      </c>
      <c r="M276" s="152">
        <f t="shared" si="4"/>
        <v>0</v>
      </c>
      <c r="N276" s="148"/>
      <c r="O276" s="150">
        <v>25447</v>
      </c>
      <c r="P276" s="149">
        <v>520</v>
      </c>
      <c r="Q276" s="154">
        <v>0.555</v>
      </c>
      <c r="R276" s="154">
        <v>0.445</v>
      </c>
      <c r="S276" s="148"/>
      <c r="T276" s="148"/>
      <c r="U276" s="154">
        <v>0.147</v>
      </c>
      <c r="V276" s="154">
        <v>0.43</v>
      </c>
      <c r="W276" s="154">
        <v>0.262</v>
      </c>
      <c r="X276" s="154">
        <v>0.1</v>
      </c>
      <c r="Y276" s="154">
        <v>0.036</v>
      </c>
      <c r="Z276" s="154">
        <v>0.025</v>
      </c>
      <c r="AA276" s="148" t="s">
        <v>45</v>
      </c>
    </row>
    <row r="277" spans="1:27">
      <c r="A277" s="147">
        <v>1320</v>
      </c>
      <c r="B277" s="147" t="s">
        <v>27</v>
      </c>
      <c r="C277" s="147" t="s">
        <v>53</v>
      </c>
      <c r="D277" s="148" t="s">
        <v>55</v>
      </c>
      <c r="E277" s="148" t="s">
        <v>30</v>
      </c>
      <c r="F277" s="149">
        <v>2025</v>
      </c>
      <c r="G277" s="148" t="s">
        <v>43</v>
      </c>
      <c r="H277" s="149">
        <v>48</v>
      </c>
      <c r="I277" s="150">
        <v>883991</v>
      </c>
      <c r="J277" s="149">
        <v>175</v>
      </c>
      <c r="K277" s="150">
        <v>135721</v>
      </c>
      <c r="L277" s="151">
        <v>1</v>
      </c>
      <c r="M277" s="152">
        <f t="shared" si="4"/>
        <v>17000</v>
      </c>
      <c r="N277" s="148"/>
      <c r="O277" s="150">
        <v>56914</v>
      </c>
      <c r="P277" s="149">
        <v>617</v>
      </c>
      <c r="Q277" s="154">
        <v>0.556</v>
      </c>
      <c r="R277" s="154">
        <v>0.444</v>
      </c>
      <c r="S277" s="148"/>
      <c r="T277" s="148"/>
      <c r="U277" s="154">
        <v>0.144</v>
      </c>
      <c r="V277" s="154">
        <v>0.429</v>
      </c>
      <c r="W277" s="154">
        <v>0.264</v>
      </c>
      <c r="X277" s="154">
        <v>0.101</v>
      </c>
      <c r="Y277" s="154">
        <v>0.037</v>
      </c>
      <c r="Z277" s="154">
        <v>0.025</v>
      </c>
      <c r="AA277" s="148" t="s">
        <v>45</v>
      </c>
    </row>
    <row r="278" spans="1:27">
      <c r="A278" s="147">
        <v>1321</v>
      </c>
      <c r="B278" s="147" t="s">
        <v>27</v>
      </c>
      <c r="C278" s="147" t="s">
        <v>53</v>
      </c>
      <c r="D278" s="148" t="s">
        <v>55</v>
      </c>
      <c r="E278" s="148" t="s">
        <v>30</v>
      </c>
      <c r="F278" s="149">
        <v>2026</v>
      </c>
      <c r="G278" s="148" t="s">
        <v>31</v>
      </c>
      <c r="H278" s="149">
        <v>128</v>
      </c>
      <c r="I278" s="150">
        <v>883135</v>
      </c>
      <c r="J278" s="149">
        <v>181</v>
      </c>
      <c r="K278" s="150">
        <v>509705</v>
      </c>
      <c r="L278" s="151">
        <v>2</v>
      </c>
      <c r="M278" s="152">
        <f t="shared" si="4"/>
        <v>34000</v>
      </c>
      <c r="N278" s="148"/>
      <c r="O278" s="150">
        <v>205322</v>
      </c>
      <c r="P278" s="150">
        <v>1310</v>
      </c>
      <c r="Q278" s="154">
        <v>0.442</v>
      </c>
      <c r="R278" s="154">
        <v>0.558</v>
      </c>
      <c r="S278" s="148"/>
      <c r="T278" s="148"/>
      <c r="U278" s="154">
        <v>0.141</v>
      </c>
      <c r="V278" s="154">
        <v>0.43</v>
      </c>
      <c r="W278" s="154">
        <v>0.265</v>
      </c>
      <c r="X278" s="154">
        <v>0.102</v>
      </c>
      <c r="Y278" s="154">
        <v>0.037</v>
      </c>
      <c r="Z278" s="154">
        <v>0.025</v>
      </c>
      <c r="AA278" s="148" t="s">
        <v>45</v>
      </c>
    </row>
    <row r="279" spans="1:27">
      <c r="A279" s="147">
        <v>1322</v>
      </c>
      <c r="B279" s="147" t="s">
        <v>27</v>
      </c>
      <c r="C279" s="147" t="s">
        <v>53</v>
      </c>
      <c r="D279" s="148" t="s">
        <v>55</v>
      </c>
      <c r="E279" s="148" t="s">
        <v>30</v>
      </c>
      <c r="F279" s="149">
        <v>2026</v>
      </c>
      <c r="G279" s="148" t="s">
        <v>33</v>
      </c>
      <c r="H279" s="149">
        <v>111</v>
      </c>
      <c r="I279" s="150">
        <v>882380</v>
      </c>
      <c r="J279" s="149">
        <v>121</v>
      </c>
      <c r="K279" s="150">
        <v>267946</v>
      </c>
      <c r="L279" s="151">
        <v>2</v>
      </c>
      <c r="M279" s="152">
        <f t="shared" si="4"/>
        <v>34000</v>
      </c>
      <c r="N279" s="148"/>
      <c r="O279" s="150">
        <v>80088</v>
      </c>
      <c r="P279" s="149">
        <v>872</v>
      </c>
      <c r="Q279" s="154">
        <v>0.442</v>
      </c>
      <c r="R279" s="154">
        <v>0.558</v>
      </c>
      <c r="S279" s="148"/>
      <c r="T279" s="148"/>
      <c r="U279" s="154">
        <v>0.139</v>
      </c>
      <c r="V279" s="154">
        <v>0.43</v>
      </c>
      <c r="W279" s="154">
        <v>0.266</v>
      </c>
      <c r="X279" s="154">
        <v>0.103</v>
      </c>
      <c r="Y279" s="154">
        <v>0.037</v>
      </c>
      <c r="Z279" s="154">
        <v>0.025</v>
      </c>
      <c r="AA279" s="148" t="s">
        <v>45</v>
      </c>
    </row>
    <row r="280" spans="1:27">
      <c r="A280" s="147">
        <v>1323</v>
      </c>
      <c r="B280" s="147" t="s">
        <v>27</v>
      </c>
      <c r="C280" s="147" t="s">
        <v>53</v>
      </c>
      <c r="D280" s="148" t="s">
        <v>55</v>
      </c>
      <c r="E280" s="148" t="s">
        <v>30</v>
      </c>
      <c r="F280" s="149">
        <v>2026</v>
      </c>
      <c r="G280" s="148" t="s">
        <v>34</v>
      </c>
      <c r="H280" s="149">
        <v>23</v>
      </c>
      <c r="I280" s="150">
        <v>881717</v>
      </c>
      <c r="J280" s="149">
        <v>159</v>
      </c>
      <c r="K280" s="150">
        <v>104817</v>
      </c>
      <c r="L280" s="151">
        <v>0</v>
      </c>
      <c r="M280" s="152">
        <f t="shared" si="4"/>
        <v>0</v>
      </c>
      <c r="N280" s="148"/>
      <c r="O280" s="150">
        <v>43133</v>
      </c>
      <c r="P280" s="149">
        <v>527</v>
      </c>
      <c r="Q280" s="154">
        <v>0.443</v>
      </c>
      <c r="R280" s="154">
        <v>0.557</v>
      </c>
      <c r="S280" s="148"/>
      <c r="T280" s="148"/>
      <c r="U280" s="154">
        <v>0.138</v>
      </c>
      <c r="V280" s="154">
        <v>0.43</v>
      </c>
      <c r="W280" s="154">
        <v>0.267</v>
      </c>
      <c r="X280" s="154">
        <v>0.103</v>
      </c>
      <c r="Y280" s="154">
        <v>0.037</v>
      </c>
      <c r="Z280" s="154">
        <v>0.025</v>
      </c>
      <c r="AA280" s="148" t="s">
        <v>45</v>
      </c>
    </row>
    <row r="281" spans="1:27">
      <c r="A281" s="147">
        <v>1324</v>
      </c>
      <c r="B281" s="147" t="s">
        <v>27</v>
      </c>
      <c r="C281" s="147" t="s">
        <v>53</v>
      </c>
      <c r="D281" s="148" t="s">
        <v>55</v>
      </c>
      <c r="E281" s="148" t="s">
        <v>30</v>
      </c>
      <c r="F281" s="149">
        <v>2026</v>
      </c>
      <c r="G281" s="148" t="s">
        <v>35</v>
      </c>
      <c r="H281" s="149">
        <v>10</v>
      </c>
      <c r="I281" s="150">
        <v>880854</v>
      </c>
      <c r="J281" s="149">
        <v>131</v>
      </c>
      <c r="K281" s="150">
        <v>78833</v>
      </c>
      <c r="L281" s="151">
        <v>0</v>
      </c>
      <c r="M281" s="152">
        <f t="shared" si="4"/>
        <v>0</v>
      </c>
      <c r="N281" s="148"/>
      <c r="O281" s="150">
        <v>40435</v>
      </c>
      <c r="P281" s="149">
        <v>437</v>
      </c>
      <c r="Q281" s="154">
        <v>0.442</v>
      </c>
      <c r="R281" s="154">
        <v>0.558</v>
      </c>
      <c r="S281" s="148"/>
      <c r="T281" s="148"/>
      <c r="U281" s="154">
        <v>0.136</v>
      </c>
      <c r="V281" s="154">
        <v>0.43</v>
      </c>
      <c r="W281" s="154">
        <v>0.268</v>
      </c>
      <c r="X281" s="154">
        <v>0.104</v>
      </c>
      <c r="Y281" s="154">
        <v>0.037</v>
      </c>
      <c r="Z281" s="154">
        <v>0.025</v>
      </c>
      <c r="AA281" s="148" t="s">
        <v>45</v>
      </c>
    </row>
    <row r="282" spans="1:27">
      <c r="A282" s="147">
        <v>1325</v>
      </c>
      <c r="B282" s="147" t="s">
        <v>27</v>
      </c>
      <c r="C282" s="147" t="s">
        <v>53</v>
      </c>
      <c r="D282" s="148" t="s">
        <v>55</v>
      </c>
      <c r="E282" s="148" t="s">
        <v>30</v>
      </c>
      <c r="F282" s="149">
        <v>2026</v>
      </c>
      <c r="G282" s="148" t="s">
        <v>36</v>
      </c>
      <c r="H282" s="149">
        <v>27</v>
      </c>
      <c r="I282" s="150">
        <v>879742</v>
      </c>
      <c r="J282" s="149">
        <v>174</v>
      </c>
      <c r="K282" s="150">
        <v>170506</v>
      </c>
      <c r="L282" s="151">
        <v>1</v>
      </c>
      <c r="M282" s="152">
        <f t="shared" si="4"/>
        <v>17000</v>
      </c>
      <c r="N282" s="148"/>
      <c r="O282" s="150">
        <v>86314</v>
      </c>
      <c r="P282" s="149">
        <v>868</v>
      </c>
      <c r="Q282" s="154">
        <v>0.443</v>
      </c>
      <c r="R282" s="154">
        <v>0.557</v>
      </c>
      <c r="S282" s="148"/>
      <c r="T282" s="148"/>
      <c r="U282" s="154">
        <v>0.133</v>
      </c>
      <c r="V282" s="154">
        <v>0.428</v>
      </c>
      <c r="W282" s="154">
        <v>0.27</v>
      </c>
      <c r="X282" s="154">
        <v>0.105</v>
      </c>
      <c r="Y282" s="154">
        <v>0.038</v>
      </c>
      <c r="Z282" s="154">
        <v>0.026</v>
      </c>
      <c r="AA282" s="148" t="s">
        <v>45</v>
      </c>
    </row>
    <row r="283" spans="1:27">
      <c r="A283" s="147">
        <v>1326</v>
      </c>
      <c r="B283" s="147" t="s">
        <v>27</v>
      </c>
      <c r="C283" s="147" t="s">
        <v>53</v>
      </c>
      <c r="D283" s="148" t="s">
        <v>55</v>
      </c>
      <c r="E283" s="148" t="s">
        <v>30</v>
      </c>
      <c r="F283" s="149">
        <v>2026</v>
      </c>
      <c r="G283" s="148" t="s">
        <v>37</v>
      </c>
      <c r="H283" s="149">
        <v>103</v>
      </c>
      <c r="I283" s="150">
        <v>878864</v>
      </c>
      <c r="J283" s="149">
        <v>753</v>
      </c>
      <c r="K283" s="150">
        <v>795353</v>
      </c>
      <c r="L283" s="151">
        <v>4</v>
      </c>
      <c r="M283" s="152">
        <f t="shared" si="4"/>
        <v>68000</v>
      </c>
      <c r="N283" s="148"/>
      <c r="O283" s="150">
        <v>375931</v>
      </c>
      <c r="P283" s="150">
        <v>17925</v>
      </c>
      <c r="Q283" s="154">
        <v>0.442</v>
      </c>
      <c r="R283" s="154">
        <v>0.558</v>
      </c>
      <c r="S283" s="148"/>
      <c r="T283" s="148"/>
      <c r="U283" s="154">
        <v>0.132</v>
      </c>
      <c r="V283" s="154">
        <v>0.43</v>
      </c>
      <c r="W283" s="154">
        <v>0.27</v>
      </c>
      <c r="X283" s="154">
        <v>0.104</v>
      </c>
      <c r="Y283" s="154">
        <v>0.038</v>
      </c>
      <c r="Z283" s="154">
        <v>0.026</v>
      </c>
      <c r="AA283" s="148" t="s">
        <v>45</v>
      </c>
    </row>
    <row r="284" spans="1:27">
      <c r="A284" s="147">
        <v>1327</v>
      </c>
      <c r="B284" s="147" t="s">
        <v>27</v>
      </c>
      <c r="C284" s="147" t="s">
        <v>53</v>
      </c>
      <c r="D284" s="148" t="s">
        <v>55</v>
      </c>
      <c r="E284" s="148" t="s">
        <v>30</v>
      </c>
      <c r="F284" s="149">
        <v>2026</v>
      </c>
      <c r="G284" s="148" t="s">
        <v>38</v>
      </c>
      <c r="H284" s="149">
        <v>110</v>
      </c>
      <c r="I284" s="150">
        <v>878251</v>
      </c>
      <c r="J284" s="149">
        <v>810</v>
      </c>
      <c r="K284" s="150">
        <v>4636853</v>
      </c>
      <c r="L284" s="151">
        <v>40</v>
      </c>
      <c r="M284" s="152">
        <f t="shared" si="4"/>
        <v>680000</v>
      </c>
      <c r="N284" s="148"/>
      <c r="O284" s="150">
        <v>1833734</v>
      </c>
      <c r="P284" s="150">
        <v>30574</v>
      </c>
      <c r="Q284" s="154">
        <v>0.443</v>
      </c>
      <c r="R284" s="154">
        <v>0.557</v>
      </c>
      <c r="S284" s="148"/>
      <c r="T284" s="148"/>
      <c r="U284" s="154">
        <v>0.127</v>
      </c>
      <c r="V284" s="154">
        <v>0.427</v>
      </c>
      <c r="W284" s="154">
        <v>0.273</v>
      </c>
      <c r="X284" s="154">
        <v>0.107</v>
      </c>
      <c r="Y284" s="154">
        <v>0.04</v>
      </c>
      <c r="Z284" s="154">
        <v>0.026</v>
      </c>
      <c r="AA284" s="148" t="s">
        <v>45</v>
      </c>
    </row>
    <row r="285" spans="1:27">
      <c r="A285" s="147">
        <v>1328</v>
      </c>
      <c r="B285" s="147" t="s">
        <v>27</v>
      </c>
      <c r="C285" s="147" t="s">
        <v>53</v>
      </c>
      <c r="D285" s="148" t="s">
        <v>55</v>
      </c>
      <c r="E285" s="148" t="s">
        <v>30</v>
      </c>
      <c r="F285" s="149">
        <v>2026</v>
      </c>
      <c r="G285" s="148" t="s">
        <v>39</v>
      </c>
      <c r="H285" s="148"/>
      <c r="I285" s="148"/>
      <c r="J285" s="148"/>
      <c r="K285" s="148"/>
      <c r="L285" s="152"/>
      <c r="M285" s="152">
        <f t="shared" si="4"/>
        <v>0</v>
      </c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>
      <c r="A286" s="147">
        <v>1329</v>
      </c>
      <c r="B286" s="147" t="s">
        <v>27</v>
      </c>
      <c r="C286" s="147" t="s">
        <v>53</v>
      </c>
      <c r="D286" s="148" t="s">
        <v>55</v>
      </c>
      <c r="E286" s="148" t="s">
        <v>30</v>
      </c>
      <c r="F286" s="149">
        <v>2026</v>
      </c>
      <c r="G286" s="148" t="s">
        <v>40</v>
      </c>
      <c r="H286" s="148"/>
      <c r="I286" s="148"/>
      <c r="J286" s="148"/>
      <c r="K286" s="148"/>
      <c r="L286" s="152"/>
      <c r="M286" s="152">
        <f t="shared" si="4"/>
        <v>0</v>
      </c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>
      <c r="A287" s="147">
        <v>1330</v>
      </c>
      <c r="B287" s="147" t="s">
        <v>27</v>
      </c>
      <c r="C287" s="147" t="s">
        <v>53</v>
      </c>
      <c r="D287" s="148" t="s">
        <v>55</v>
      </c>
      <c r="E287" s="148" t="s">
        <v>30</v>
      </c>
      <c r="F287" s="149">
        <v>2026</v>
      </c>
      <c r="G287" s="148" t="s">
        <v>41</v>
      </c>
      <c r="H287" s="148"/>
      <c r="I287" s="148"/>
      <c r="J287" s="148"/>
      <c r="K287" s="148"/>
      <c r="L287" s="152"/>
      <c r="M287" s="152">
        <f t="shared" si="4"/>
        <v>0</v>
      </c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>
      <c r="A288" s="147">
        <v>1331</v>
      </c>
      <c r="B288" s="147" t="s">
        <v>27</v>
      </c>
      <c r="C288" s="147" t="s">
        <v>53</v>
      </c>
      <c r="D288" s="148" t="s">
        <v>55</v>
      </c>
      <c r="E288" s="148" t="s">
        <v>30</v>
      </c>
      <c r="F288" s="149">
        <v>2026</v>
      </c>
      <c r="G288" s="148" t="s">
        <v>42</v>
      </c>
      <c r="H288" s="148"/>
      <c r="I288" s="148"/>
      <c r="J288" s="148"/>
      <c r="K288" s="148"/>
      <c r="L288" s="152"/>
      <c r="M288" s="152">
        <f t="shared" si="4"/>
        <v>0</v>
      </c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>
      <c r="A289" s="147">
        <v>1332</v>
      </c>
      <c r="B289" s="147" t="s">
        <v>27</v>
      </c>
      <c r="C289" s="147" t="s">
        <v>53</v>
      </c>
      <c r="D289" s="148" t="s">
        <v>55</v>
      </c>
      <c r="E289" s="148" t="s">
        <v>30</v>
      </c>
      <c r="F289" s="149">
        <v>2026</v>
      </c>
      <c r="G289" s="148" t="s">
        <v>43</v>
      </c>
      <c r="H289" s="148"/>
      <c r="I289" s="148"/>
      <c r="J289" s="148"/>
      <c r="K289" s="148"/>
      <c r="L289" s="152"/>
      <c r="M289" s="152">
        <f t="shared" si="4"/>
        <v>0</v>
      </c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</row>
    <row r="290" spans="1:27">
      <c r="A290" s="147">
        <v>1345</v>
      </c>
      <c r="B290" s="147" t="s">
        <v>27</v>
      </c>
      <c r="C290" s="147" t="s">
        <v>53</v>
      </c>
      <c r="D290" s="148" t="s">
        <v>53</v>
      </c>
      <c r="E290" s="148" t="s">
        <v>30</v>
      </c>
      <c r="F290" s="149">
        <v>2024</v>
      </c>
      <c r="G290" s="148" t="s">
        <v>31</v>
      </c>
      <c r="H290" s="150">
        <v>4914</v>
      </c>
      <c r="I290" s="150">
        <v>2702128</v>
      </c>
      <c r="J290" s="150">
        <v>5541</v>
      </c>
      <c r="K290" s="149" t="s">
        <v>32</v>
      </c>
      <c r="L290" s="151">
        <v>41</v>
      </c>
      <c r="M290" s="152">
        <f t="shared" si="4"/>
        <v>697000</v>
      </c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</row>
    <row r="291" spans="1:27">
      <c r="A291" s="147">
        <v>1346</v>
      </c>
      <c r="B291" s="147" t="s">
        <v>27</v>
      </c>
      <c r="C291" s="147" t="s">
        <v>53</v>
      </c>
      <c r="D291" s="148" t="s">
        <v>53</v>
      </c>
      <c r="E291" s="148" t="s">
        <v>30</v>
      </c>
      <c r="F291" s="149">
        <v>2024</v>
      </c>
      <c r="G291" s="148" t="s">
        <v>33</v>
      </c>
      <c r="H291" s="150">
        <v>5142</v>
      </c>
      <c r="I291" s="150">
        <v>2707883</v>
      </c>
      <c r="J291" s="150">
        <v>5755</v>
      </c>
      <c r="K291" s="149" t="s">
        <v>32</v>
      </c>
      <c r="L291" s="151">
        <v>52</v>
      </c>
      <c r="M291" s="152">
        <f t="shared" si="4"/>
        <v>884000</v>
      </c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>
      <c r="A292" s="147">
        <v>1347</v>
      </c>
      <c r="B292" s="147" t="s">
        <v>27</v>
      </c>
      <c r="C292" s="147" t="s">
        <v>53</v>
      </c>
      <c r="D292" s="148" t="s">
        <v>53</v>
      </c>
      <c r="E292" s="148" t="s">
        <v>30</v>
      </c>
      <c r="F292" s="149">
        <v>2024</v>
      </c>
      <c r="G292" s="148" t="s">
        <v>34</v>
      </c>
      <c r="H292" s="150">
        <v>5641</v>
      </c>
      <c r="I292" s="150">
        <v>2715316</v>
      </c>
      <c r="J292" s="150">
        <v>7433</v>
      </c>
      <c r="K292" s="149" t="s">
        <v>32</v>
      </c>
      <c r="L292" s="151">
        <v>311</v>
      </c>
      <c r="M292" s="152">
        <f t="shared" si="4"/>
        <v>5287000</v>
      </c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</row>
    <row r="293" spans="1:27">
      <c r="A293" s="147">
        <v>1348</v>
      </c>
      <c r="B293" s="147" t="s">
        <v>27</v>
      </c>
      <c r="C293" s="147" t="s">
        <v>53</v>
      </c>
      <c r="D293" s="148" t="s">
        <v>53</v>
      </c>
      <c r="E293" s="148" t="s">
        <v>30</v>
      </c>
      <c r="F293" s="149">
        <v>2024</v>
      </c>
      <c r="G293" s="148" t="s">
        <v>35</v>
      </c>
      <c r="H293" s="150">
        <v>4912</v>
      </c>
      <c r="I293" s="150">
        <v>2719812</v>
      </c>
      <c r="J293" s="150">
        <v>4496</v>
      </c>
      <c r="K293" s="149" t="s">
        <v>32</v>
      </c>
      <c r="L293" s="151">
        <v>137</v>
      </c>
      <c r="M293" s="152">
        <f t="shared" si="4"/>
        <v>2329000</v>
      </c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</row>
    <row r="294" spans="1:27">
      <c r="A294" s="147">
        <v>1349</v>
      </c>
      <c r="B294" s="147" t="s">
        <v>27</v>
      </c>
      <c r="C294" s="147" t="s">
        <v>53</v>
      </c>
      <c r="D294" s="148" t="s">
        <v>53</v>
      </c>
      <c r="E294" s="148" t="s">
        <v>30</v>
      </c>
      <c r="F294" s="149">
        <v>2024</v>
      </c>
      <c r="G294" s="148" t="s">
        <v>36</v>
      </c>
      <c r="H294" s="150">
        <v>6088</v>
      </c>
      <c r="I294" s="150">
        <v>2722893</v>
      </c>
      <c r="J294" s="150">
        <v>3081</v>
      </c>
      <c r="K294" s="149" t="s">
        <v>32</v>
      </c>
      <c r="L294" s="151">
        <v>89</v>
      </c>
      <c r="M294" s="152">
        <f t="shared" si="4"/>
        <v>1513000</v>
      </c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</row>
    <row r="295" spans="1:27">
      <c r="A295" s="147">
        <v>1350</v>
      </c>
      <c r="B295" s="147" t="s">
        <v>27</v>
      </c>
      <c r="C295" s="147" t="s">
        <v>53</v>
      </c>
      <c r="D295" s="148" t="s">
        <v>53</v>
      </c>
      <c r="E295" s="148" t="s">
        <v>30</v>
      </c>
      <c r="F295" s="149">
        <v>2024</v>
      </c>
      <c r="G295" s="148" t="s">
        <v>37</v>
      </c>
      <c r="H295" s="150">
        <v>6380</v>
      </c>
      <c r="I295" s="150">
        <v>2725881</v>
      </c>
      <c r="J295" s="150">
        <v>2988</v>
      </c>
      <c r="K295" s="149" t="s">
        <v>32</v>
      </c>
      <c r="L295" s="151">
        <v>57</v>
      </c>
      <c r="M295" s="152">
        <f t="shared" si="4"/>
        <v>969000</v>
      </c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</row>
    <row r="296" spans="1:27">
      <c r="A296" s="147">
        <v>1351</v>
      </c>
      <c r="B296" s="147" t="s">
        <v>27</v>
      </c>
      <c r="C296" s="147" t="s">
        <v>53</v>
      </c>
      <c r="D296" s="148" t="s">
        <v>53</v>
      </c>
      <c r="E296" s="148" t="s">
        <v>30</v>
      </c>
      <c r="F296" s="149">
        <v>2024</v>
      </c>
      <c r="G296" s="148" t="s">
        <v>38</v>
      </c>
      <c r="H296" s="150">
        <v>6538</v>
      </c>
      <c r="I296" s="150">
        <v>2729021</v>
      </c>
      <c r="J296" s="150">
        <v>3140</v>
      </c>
      <c r="K296" s="149" t="s">
        <v>32</v>
      </c>
      <c r="L296" s="151">
        <v>30</v>
      </c>
      <c r="M296" s="152">
        <f t="shared" si="4"/>
        <v>510000</v>
      </c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>
      <c r="A297" s="147">
        <v>1352</v>
      </c>
      <c r="B297" s="147" t="s">
        <v>27</v>
      </c>
      <c r="C297" s="147" t="s">
        <v>53</v>
      </c>
      <c r="D297" s="148" t="s">
        <v>53</v>
      </c>
      <c r="E297" s="148" t="s">
        <v>30</v>
      </c>
      <c r="F297" s="149">
        <v>2024</v>
      </c>
      <c r="G297" s="148" t="s">
        <v>39</v>
      </c>
      <c r="H297" s="150">
        <v>6748</v>
      </c>
      <c r="I297" s="150">
        <v>2731725</v>
      </c>
      <c r="J297" s="150">
        <v>2704</v>
      </c>
      <c r="K297" s="149" t="s">
        <v>32</v>
      </c>
      <c r="L297" s="151">
        <v>30</v>
      </c>
      <c r="M297" s="152">
        <f t="shared" si="4"/>
        <v>510000</v>
      </c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>
      <c r="A298" s="147">
        <v>1353</v>
      </c>
      <c r="B298" s="147" t="s">
        <v>27</v>
      </c>
      <c r="C298" s="147" t="s">
        <v>53</v>
      </c>
      <c r="D298" s="148" t="s">
        <v>53</v>
      </c>
      <c r="E298" s="148" t="s">
        <v>30</v>
      </c>
      <c r="F298" s="149">
        <v>2024</v>
      </c>
      <c r="G298" s="148" t="s">
        <v>40</v>
      </c>
      <c r="H298" s="150">
        <v>5489</v>
      </c>
      <c r="I298" s="150">
        <v>2735882</v>
      </c>
      <c r="J298" s="150">
        <v>4157</v>
      </c>
      <c r="K298" s="149" t="s">
        <v>32</v>
      </c>
      <c r="L298" s="151">
        <v>38</v>
      </c>
      <c r="M298" s="152">
        <f t="shared" si="4"/>
        <v>646000</v>
      </c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>
      <c r="A299" s="147">
        <v>1354</v>
      </c>
      <c r="B299" s="147" t="s">
        <v>27</v>
      </c>
      <c r="C299" s="147" t="s">
        <v>53</v>
      </c>
      <c r="D299" s="148" t="s">
        <v>53</v>
      </c>
      <c r="E299" s="148" t="s">
        <v>30</v>
      </c>
      <c r="F299" s="149">
        <v>2024</v>
      </c>
      <c r="G299" s="148" t="s">
        <v>41</v>
      </c>
      <c r="H299" s="150">
        <v>5760</v>
      </c>
      <c r="I299" s="150">
        <v>2736612</v>
      </c>
      <c r="J299" s="149">
        <v>730</v>
      </c>
      <c r="K299" s="150">
        <v>26954672</v>
      </c>
      <c r="L299" s="151">
        <v>4</v>
      </c>
      <c r="M299" s="152">
        <f t="shared" si="4"/>
        <v>68000</v>
      </c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</row>
    <row r="300" spans="1:27">
      <c r="A300" s="147">
        <v>1355</v>
      </c>
      <c r="B300" s="147" t="s">
        <v>27</v>
      </c>
      <c r="C300" s="147" t="s">
        <v>53</v>
      </c>
      <c r="D300" s="148" t="s">
        <v>53</v>
      </c>
      <c r="E300" s="148" t="s">
        <v>30</v>
      </c>
      <c r="F300" s="149">
        <v>2024</v>
      </c>
      <c r="G300" s="148" t="s">
        <v>42</v>
      </c>
      <c r="H300" s="150">
        <v>6321</v>
      </c>
      <c r="I300" s="150">
        <v>2737088</v>
      </c>
      <c r="J300" s="149">
        <v>476</v>
      </c>
      <c r="K300" s="150">
        <v>28224721</v>
      </c>
      <c r="L300" s="151">
        <v>4</v>
      </c>
      <c r="M300" s="152">
        <f t="shared" si="4"/>
        <v>68000</v>
      </c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</row>
    <row r="301" spans="1:27">
      <c r="A301" s="147">
        <v>1356</v>
      </c>
      <c r="B301" s="147" t="s">
        <v>27</v>
      </c>
      <c r="C301" s="147" t="s">
        <v>53</v>
      </c>
      <c r="D301" s="148" t="s">
        <v>53</v>
      </c>
      <c r="E301" s="148" t="s">
        <v>30</v>
      </c>
      <c r="F301" s="149">
        <v>2024</v>
      </c>
      <c r="G301" s="148" t="s">
        <v>43</v>
      </c>
      <c r="H301" s="150">
        <v>6218</v>
      </c>
      <c r="I301" s="150">
        <v>2739984</v>
      </c>
      <c r="J301" s="150">
        <v>2896</v>
      </c>
      <c r="K301" s="150">
        <v>38202755</v>
      </c>
      <c r="L301" s="151">
        <v>19</v>
      </c>
      <c r="M301" s="152">
        <f t="shared" si="4"/>
        <v>323000</v>
      </c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</row>
    <row r="302" spans="1:27">
      <c r="A302" s="147">
        <v>1357</v>
      </c>
      <c r="B302" s="147" t="s">
        <v>27</v>
      </c>
      <c r="C302" s="147" t="s">
        <v>53</v>
      </c>
      <c r="D302" s="148" t="s">
        <v>53</v>
      </c>
      <c r="E302" s="148" t="s">
        <v>30</v>
      </c>
      <c r="F302" s="149">
        <v>2025</v>
      </c>
      <c r="G302" s="148" t="s">
        <v>31</v>
      </c>
      <c r="H302" s="150">
        <v>7003</v>
      </c>
      <c r="I302" s="150">
        <v>2741733</v>
      </c>
      <c r="J302" s="150">
        <v>1749</v>
      </c>
      <c r="K302" s="150">
        <v>35794366</v>
      </c>
      <c r="L302" s="151">
        <v>11</v>
      </c>
      <c r="M302" s="152">
        <f t="shared" si="4"/>
        <v>187000</v>
      </c>
      <c r="N302" s="148"/>
      <c r="O302" s="148" t="s">
        <v>48</v>
      </c>
      <c r="P302" s="150">
        <v>187455</v>
      </c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</row>
    <row r="303" spans="1:27">
      <c r="A303" s="147">
        <v>1358</v>
      </c>
      <c r="B303" s="147" t="s">
        <v>27</v>
      </c>
      <c r="C303" s="147" t="s">
        <v>53</v>
      </c>
      <c r="D303" s="148" t="s">
        <v>53</v>
      </c>
      <c r="E303" s="148" t="s">
        <v>30</v>
      </c>
      <c r="F303" s="149">
        <v>2025</v>
      </c>
      <c r="G303" s="148" t="s">
        <v>33</v>
      </c>
      <c r="H303" s="150">
        <v>7359</v>
      </c>
      <c r="I303" s="150">
        <v>2744778</v>
      </c>
      <c r="J303" s="150">
        <v>3045</v>
      </c>
      <c r="K303" s="150">
        <v>45483956</v>
      </c>
      <c r="L303" s="151">
        <v>34</v>
      </c>
      <c r="M303" s="152">
        <f t="shared" si="4"/>
        <v>578000</v>
      </c>
      <c r="N303" s="148"/>
      <c r="O303" s="148" t="s">
        <v>48</v>
      </c>
      <c r="P303" s="150">
        <v>256487</v>
      </c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</row>
    <row r="304" spans="1:27">
      <c r="A304" s="147">
        <v>1359</v>
      </c>
      <c r="B304" s="147" t="s">
        <v>27</v>
      </c>
      <c r="C304" s="147" t="s">
        <v>53</v>
      </c>
      <c r="D304" s="148" t="s">
        <v>53</v>
      </c>
      <c r="E304" s="148" t="s">
        <v>30</v>
      </c>
      <c r="F304" s="149">
        <v>2025</v>
      </c>
      <c r="G304" s="148" t="s">
        <v>34</v>
      </c>
      <c r="H304" s="150">
        <v>9224</v>
      </c>
      <c r="I304" s="150">
        <v>2747154</v>
      </c>
      <c r="J304" s="150">
        <v>2376</v>
      </c>
      <c r="K304" s="150">
        <v>37802585</v>
      </c>
      <c r="L304" s="151">
        <v>38</v>
      </c>
      <c r="M304" s="152">
        <f t="shared" si="4"/>
        <v>646000</v>
      </c>
      <c r="N304" s="148"/>
      <c r="O304" s="148" t="s">
        <v>48</v>
      </c>
      <c r="P304" s="150">
        <v>191527</v>
      </c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</row>
    <row r="305" spans="1:27">
      <c r="A305" s="147">
        <v>1360</v>
      </c>
      <c r="B305" s="147" t="s">
        <v>27</v>
      </c>
      <c r="C305" s="147" t="s">
        <v>53</v>
      </c>
      <c r="D305" s="148" t="s">
        <v>53</v>
      </c>
      <c r="E305" s="148" t="s">
        <v>30</v>
      </c>
      <c r="F305" s="149">
        <v>2025</v>
      </c>
      <c r="G305" s="148" t="s">
        <v>35</v>
      </c>
      <c r="H305" s="150">
        <v>4396</v>
      </c>
      <c r="I305" s="150">
        <v>2749192</v>
      </c>
      <c r="J305" s="150">
        <v>2038</v>
      </c>
      <c r="K305" s="150">
        <v>23959918</v>
      </c>
      <c r="L305" s="151">
        <v>34</v>
      </c>
      <c r="M305" s="152">
        <f t="shared" si="4"/>
        <v>578000</v>
      </c>
      <c r="N305" s="148"/>
      <c r="O305" s="148" t="s">
        <v>48</v>
      </c>
      <c r="P305" s="150">
        <v>161762</v>
      </c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</row>
    <row r="306" spans="1:27">
      <c r="A306" s="147">
        <v>1361</v>
      </c>
      <c r="B306" s="147" t="s">
        <v>27</v>
      </c>
      <c r="C306" s="147" t="s">
        <v>53</v>
      </c>
      <c r="D306" s="148" t="s">
        <v>53</v>
      </c>
      <c r="E306" s="148" t="s">
        <v>30</v>
      </c>
      <c r="F306" s="149">
        <v>2025</v>
      </c>
      <c r="G306" s="148" t="s">
        <v>36</v>
      </c>
      <c r="H306" s="150">
        <v>3584</v>
      </c>
      <c r="I306" s="150">
        <v>2753365</v>
      </c>
      <c r="J306" s="150">
        <v>4173</v>
      </c>
      <c r="K306" s="150">
        <v>27639819</v>
      </c>
      <c r="L306" s="151">
        <v>39</v>
      </c>
      <c r="M306" s="152">
        <f t="shared" si="4"/>
        <v>663000</v>
      </c>
      <c r="N306" s="148"/>
      <c r="O306" s="149" t="s">
        <v>48</v>
      </c>
      <c r="P306" s="150">
        <v>291963</v>
      </c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</row>
    <row r="307" spans="1:27">
      <c r="A307" s="147">
        <v>1362</v>
      </c>
      <c r="B307" s="147" t="s">
        <v>27</v>
      </c>
      <c r="C307" s="147" t="s">
        <v>53</v>
      </c>
      <c r="D307" s="148" t="s">
        <v>53</v>
      </c>
      <c r="E307" s="148" t="s">
        <v>30</v>
      </c>
      <c r="F307" s="149">
        <v>2025</v>
      </c>
      <c r="G307" s="148" t="s">
        <v>37</v>
      </c>
      <c r="H307" s="150">
        <v>2541</v>
      </c>
      <c r="I307" s="150">
        <v>2756084</v>
      </c>
      <c r="J307" s="150">
        <v>2719</v>
      </c>
      <c r="K307" s="150">
        <v>29891752</v>
      </c>
      <c r="L307" s="151">
        <v>119</v>
      </c>
      <c r="M307" s="152">
        <f t="shared" si="4"/>
        <v>2023000</v>
      </c>
      <c r="N307" s="148"/>
      <c r="O307" s="148" t="s">
        <v>48</v>
      </c>
      <c r="P307" s="150">
        <v>219645</v>
      </c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</row>
    <row r="308" spans="1:27">
      <c r="A308" s="147">
        <v>1363</v>
      </c>
      <c r="B308" s="147" t="s">
        <v>27</v>
      </c>
      <c r="C308" s="147" t="s">
        <v>53</v>
      </c>
      <c r="D308" s="148" t="s">
        <v>53</v>
      </c>
      <c r="E308" s="148" t="s">
        <v>30</v>
      </c>
      <c r="F308" s="149">
        <v>2025</v>
      </c>
      <c r="G308" s="148" t="s">
        <v>38</v>
      </c>
      <c r="H308" s="150">
        <v>1115</v>
      </c>
      <c r="I308" s="150">
        <v>2764752</v>
      </c>
      <c r="J308" s="150">
        <v>8668</v>
      </c>
      <c r="K308" s="150">
        <v>40439589</v>
      </c>
      <c r="L308" s="151">
        <v>393</v>
      </c>
      <c r="M308" s="152">
        <f t="shared" si="4"/>
        <v>6681000</v>
      </c>
      <c r="N308" s="148"/>
      <c r="O308" s="150">
        <v>11652177</v>
      </c>
      <c r="P308" s="150">
        <v>334813</v>
      </c>
      <c r="Q308" s="154">
        <v>0.614</v>
      </c>
      <c r="R308" s="154">
        <v>0.386</v>
      </c>
      <c r="S308" s="148"/>
      <c r="T308" s="148" t="s">
        <v>44</v>
      </c>
      <c r="U308" s="154">
        <v>0.131</v>
      </c>
      <c r="V308" s="154">
        <v>0.399</v>
      </c>
      <c r="W308" s="154">
        <v>0.282</v>
      </c>
      <c r="X308" s="154">
        <v>0.122</v>
      </c>
      <c r="Y308" s="154">
        <v>0.036</v>
      </c>
      <c r="Z308" s="154">
        <v>0.03</v>
      </c>
      <c r="AA308" s="148" t="s">
        <v>45</v>
      </c>
    </row>
    <row r="309" spans="1:27">
      <c r="A309" s="147">
        <v>1364</v>
      </c>
      <c r="B309" s="147" t="s">
        <v>27</v>
      </c>
      <c r="C309" s="147" t="s">
        <v>53</v>
      </c>
      <c r="D309" s="148" t="s">
        <v>53</v>
      </c>
      <c r="E309" s="148" t="s">
        <v>30</v>
      </c>
      <c r="F309" s="149">
        <v>2025</v>
      </c>
      <c r="G309" s="148" t="s">
        <v>39</v>
      </c>
      <c r="H309" s="149">
        <v>564</v>
      </c>
      <c r="I309" s="150">
        <v>2769423</v>
      </c>
      <c r="J309" s="150">
        <v>7116</v>
      </c>
      <c r="K309" s="150">
        <v>31025420</v>
      </c>
      <c r="L309" s="151">
        <v>0</v>
      </c>
      <c r="M309" s="152">
        <f t="shared" si="4"/>
        <v>0</v>
      </c>
      <c r="N309" s="148"/>
      <c r="O309" s="150">
        <v>9927727</v>
      </c>
      <c r="P309" s="150">
        <v>256969</v>
      </c>
      <c r="Q309" s="154">
        <v>0.613</v>
      </c>
      <c r="R309" s="154">
        <v>0.387</v>
      </c>
      <c r="S309" s="148"/>
      <c r="T309" s="148"/>
      <c r="U309" s="154">
        <v>0.126</v>
      </c>
      <c r="V309" s="154">
        <v>0.402</v>
      </c>
      <c r="W309" s="154">
        <v>0.283</v>
      </c>
      <c r="X309" s="154">
        <v>0.124</v>
      </c>
      <c r="Y309" s="154">
        <v>0.036</v>
      </c>
      <c r="Z309" s="154">
        <v>0.029</v>
      </c>
      <c r="AA309" s="148" t="s">
        <v>45</v>
      </c>
    </row>
    <row r="310" spans="1:27">
      <c r="A310" s="147">
        <v>1365</v>
      </c>
      <c r="B310" s="147" t="s">
        <v>27</v>
      </c>
      <c r="C310" s="147" t="s">
        <v>53</v>
      </c>
      <c r="D310" s="148" t="s">
        <v>53</v>
      </c>
      <c r="E310" s="148" t="s">
        <v>30</v>
      </c>
      <c r="F310" s="149">
        <v>2025</v>
      </c>
      <c r="G310" s="148" t="s">
        <v>40</v>
      </c>
      <c r="H310" s="149">
        <v>962</v>
      </c>
      <c r="I310" s="150">
        <v>2775846</v>
      </c>
      <c r="J310" s="150">
        <v>9708</v>
      </c>
      <c r="K310" s="150">
        <v>27753745</v>
      </c>
      <c r="L310" s="151">
        <v>0</v>
      </c>
      <c r="M310" s="152">
        <f t="shared" si="4"/>
        <v>0</v>
      </c>
      <c r="N310" s="148"/>
      <c r="O310" s="150">
        <v>8193258</v>
      </c>
      <c r="P310" s="150">
        <v>230070</v>
      </c>
      <c r="Q310" s="154">
        <v>0.614</v>
      </c>
      <c r="R310" s="154">
        <v>0.386</v>
      </c>
      <c r="S310" s="148"/>
      <c r="T310" s="148"/>
      <c r="U310" s="154">
        <v>0.122</v>
      </c>
      <c r="V310" s="154">
        <v>0.402</v>
      </c>
      <c r="W310" s="154">
        <v>0.284</v>
      </c>
      <c r="X310" s="154">
        <v>0.125</v>
      </c>
      <c r="Y310" s="154">
        <v>0.037</v>
      </c>
      <c r="Z310" s="154">
        <v>0.03</v>
      </c>
      <c r="AA310" s="148" t="s">
        <v>45</v>
      </c>
    </row>
    <row r="311" spans="1:27">
      <c r="A311" s="147">
        <v>1366</v>
      </c>
      <c r="B311" s="147" t="s">
        <v>27</v>
      </c>
      <c r="C311" s="147" t="s">
        <v>53</v>
      </c>
      <c r="D311" s="148" t="s">
        <v>53</v>
      </c>
      <c r="E311" s="148" t="s">
        <v>30</v>
      </c>
      <c r="F311" s="149">
        <v>2025</v>
      </c>
      <c r="G311" s="148" t="s">
        <v>41</v>
      </c>
      <c r="H311" s="149">
        <v>906</v>
      </c>
      <c r="I311" s="150">
        <v>2781817</v>
      </c>
      <c r="J311" s="150">
        <v>9945</v>
      </c>
      <c r="K311" s="150">
        <v>20971071</v>
      </c>
      <c r="L311" s="151">
        <v>0</v>
      </c>
      <c r="M311" s="152">
        <f t="shared" si="4"/>
        <v>0</v>
      </c>
      <c r="N311" s="148"/>
      <c r="O311" s="150">
        <v>7463062</v>
      </c>
      <c r="P311" s="150">
        <v>265293</v>
      </c>
      <c r="Q311" s="154">
        <v>0.613</v>
      </c>
      <c r="R311" s="154">
        <v>0.387</v>
      </c>
      <c r="S311" s="148"/>
      <c r="T311" s="148"/>
      <c r="U311" s="154">
        <v>0.117</v>
      </c>
      <c r="V311" s="154">
        <v>0.402</v>
      </c>
      <c r="W311" s="154">
        <v>0.285</v>
      </c>
      <c r="X311" s="154">
        <v>0.127</v>
      </c>
      <c r="Y311" s="154">
        <v>0.038</v>
      </c>
      <c r="Z311" s="154">
        <v>0.031</v>
      </c>
      <c r="AA311" s="148" t="s">
        <v>45</v>
      </c>
    </row>
    <row r="312" spans="1:27">
      <c r="A312" s="147">
        <v>1367</v>
      </c>
      <c r="B312" s="147" t="s">
        <v>27</v>
      </c>
      <c r="C312" s="147" t="s">
        <v>53</v>
      </c>
      <c r="D312" s="148" t="s">
        <v>53</v>
      </c>
      <c r="E312" s="148" t="s">
        <v>30</v>
      </c>
      <c r="F312" s="149">
        <v>2025</v>
      </c>
      <c r="G312" s="148" t="s">
        <v>42</v>
      </c>
      <c r="H312" s="150">
        <v>1215</v>
      </c>
      <c r="I312" s="150">
        <v>2789405</v>
      </c>
      <c r="J312" s="150">
        <v>11368</v>
      </c>
      <c r="K312" s="150">
        <v>33708814</v>
      </c>
      <c r="L312" s="151">
        <v>35</v>
      </c>
      <c r="M312" s="152">
        <f t="shared" si="4"/>
        <v>595000</v>
      </c>
      <c r="N312" s="148"/>
      <c r="O312" s="150">
        <v>11555202</v>
      </c>
      <c r="P312" s="150">
        <v>446683</v>
      </c>
      <c r="Q312" s="154">
        <v>0.614</v>
      </c>
      <c r="R312" s="154">
        <v>0.386</v>
      </c>
      <c r="S312" s="148"/>
      <c r="T312" s="148"/>
      <c r="U312" s="154">
        <v>0.113</v>
      </c>
      <c r="V312" s="154">
        <v>0.403</v>
      </c>
      <c r="W312" s="154">
        <v>0.287</v>
      </c>
      <c r="X312" s="154">
        <v>0.128</v>
      </c>
      <c r="Y312" s="154">
        <v>0.038</v>
      </c>
      <c r="Z312" s="154">
        <v>0.031</v>
      </c>
      <c r="AA312" s="148" t="s">
        <v>45</v>
      </c>
    </row>
    <row r="313" spans="1:27">
      <c r="A313" s="147">
        <v>1368</v>
      </c>
      <c r="B313" s="147" t="s">
        <v>27</v>
      </c>
      <c r="C313" s="147" t="s">
        <v>53</v>
      </c>
      <c r="D313" s="148" t="s">
        <v>53</v>
      </c>
      <c r="E313" s="148" t="s">
        <v>30</v>
      </c>
      <c r="F313" s="149">
        <v>2025</v>
      </c>
      <c r="G313" s="148" t="s">
        <v>43</v>
      </c>
      <c r="H313" s="150">
        <v>1188</v>
      </c>
      <c r="I313" s="150">
        <v>2809231</v>
      </c>
      <c r="J313" s="150">
        <v>24546</v>
      </c>
      <c r="K313" s="150">
        <v>61901566</v>
      </c>
      <c r="L313" s="151">
        <v>353</v>
      </c>
      <c r="M313" s="152">
        <f t="shared" si="4"/>
        <v>6001000</v>
      </c>
      <c r="N313" s="148"/>
      <c r="O313" s="150">
        <v>20321598</v>
      </c>
      <c r="P313" s="150">
        <v>718667</v>
      </c>
      <c r="Q313" s="154">
        <v>0.614</v>
      </c>
      <c r="R313" s="154">
        <v>0.386</v>
      </c>
      <c r="S313" s="148"/>
      <c r="T313" s="148"/>
      <c r="U313" s="154">
        <v>0.108</v>
      </c>
      <c r="V313" s="154">
        <v>0.404</v>
      </c>
      <c r="W313" s="154">
        <v>0.287</v>
      </c>
      <c r="X313" s="154">
        <v>0.131</v>
      </c>
      <c r="Y313" s="154">
        <v>0.039</v>
      </c>
      <c r="Z313" s="154">
        <v>0.031</v>
      </c>
      <c r="AA313" s="148" t="s">
        <v>45</v>
      </c>
    </row>
    <row r="314" spans="1:27">
      <c r="A314" s="147">
        <v>1369</v>
      </c>
      <c r="B314" s="147" t="s">
        <v>27</v>
      </c>
      <c r="C314" s="147" t="s">
        <v>53</v>
      </c>
      <c r="D314" s="148" t="s">
        <v>53</v>
      </c>
      <c r="E314" s="148" t="s">
        <v>30</v>
      </c>
      <c r="F314" s="149">
        <v>2026</v>
      </c>
      <c r="G314" s="148" t="s">
        <v>31</v>
      </c>
      <c r="H314" s="150">
        <v>1090</v>
      </c>
      <c r="I314" s="150">
        <v>2840039</v>
      </c>
      <c r="J314" s="150">
        <v>31978</v>
      </c>
      <c r="K314" s="150">
        <v>88828943</v>
      </c>
      <c r="L314" s="151">
        <v>662</v>
      </c>
      <c r="M314" s="152">
        <f t="shared" si="4"/>
        <v>11254000</v>
      </c>
      <c r="N314" s="148"/>
      <c r="O314" s="150">
        <v>23462692</v>
      </c>
      <c r="P314" s="150">
        <v>947166</v>
      </c>
      <c r="Q314" s="154">
        <v>0.616</v>
      </c>
      <c r="R314" s="154">
        <v>0.384</v>
      </c>
      <c r="S314" s="148"/>
      <c r="T314" s="148"/>
      <c r="U314" s="154">
        <v>0.105</v>
      </c>
      <c r="V314" s="154">
        <v>0.404</v>
      </c>
      <c r="W314" s="154">
        <v>0.289</v>
      </c>
      <c r="X314" s="154">
        <v>0.132</v>
      </c>
      <c r="Y314" s="154">
        <v>0.039</v>
      </c>
      <c r="Z314" s="154">
        <v>0.031</v>
      </c>
      <c r="AA314" s="148" t="s">
        <v>45</v>
      </c>
    </row>
    <row r="315" spans="1:27">
      <c r="A315" s="147">
        <v>1370</v>
      </c>
      <c r="B315" s="147" t="s">
        <v>27</v>
      </c>
      <c r="C315" s="147" t="s">
        <v>53</v>
      </c>
      <c r="D315" s="148" t="s">
        <v>53</v>
      </c>
      <c r="E315" s="148" t="s">
        <v>30</v>
      </c>
      <c r="F315" s="149">
        <v>2026</v>
      </c>
      <c r="G315" s="148" t="s">
        <v>33</v>
      </c>
      <c r="H315" s="150">
        <v>1114</v>
      </c>
      <c r="I315" s="150">
        <v>2894904</v>
      </c>
      <c r="J315" s="150">
        <v>58470</v>
      </c>
      <c r="K315" s="150">
        <v>100069613</v>
      </c>
      <c r="L315" s="151">
        <v>1049</v>
      </c>
      <c r="M315" s="152">
        <f t="shared" si="4"/>
        <v>17833000</v>
      </c>
      <c r="N315" s="148"/>
      <c r="O315" s="150">
        <v>26147279</v>
      </c>
      <c r="P315" s="150">
        <v>1095117</v>
      </c>
      <c r="Q315" s="154">
        <v>0.619</v>
      </c>
      <c r="R315" s="154">
        <v>0.381</v>
      </c>
      <c r="S315" s="148"/>
      <c r="T315" s="148"/>
      <c r="U315" s="154">
        <v>0.103</v>
      </c>
      <c r="V315" s="154">
        <v>0.404</v>
      </c>
      <c r="W315" s="154">
        <v>0.292</v>
      </c>
      <c r="X315" s="154">
        <v>0.132</v>
      </c>
      <c r="Y315" s="154">
        <v>0.039</v>
      </c>
      <c r="Z315" s="154">
        <v>0.03</v>
      </c>
      <c r="AA315" s="148" t="s">
        <v>45</v>
      </c>
    </row>
    <row r="316" spans="1:27">
      <c r="A316" s="147">
        <v>1371</v>
      </c>
      <c r="B316" s="147" t="s">
        <v>27</v>
      </c>
      <c r="C316" s="147" t="s">
        <v>53</v>
      </c>
      <c r="D316" s="148" t="s">
        <v>53</v>
      </c>
      <c r="E316" s="148" t="s">
        <v>30</v>
      </c>
      <c r="F316" s="149">
        <v>2026</v>
      </c>
      <c r="G316" s="148" t="s">
        <v>34</v>
      </c>
      <c r="H316" s="149">
        <v>687</v>
      </c>
      <c r="I316" s="150">
        <v>2924572</v>
      </c>
      <c r="J316" s="150">
        <v>35639</v>
      </c>
      <c r="K316" s="150">
        <v>83073492</v>
      </c>
      <c r="L316" s="151">
        <v>763</v>
      </c>
      <c r="M316" s="152">
        <f t="shared" si="4"/>
        <v>12971000</v>
      </c>
      <c r="N316" s="148"/>
      <c r="O316" s="150">
        <v>25560637</v>
      </c>
      <c r="P316" s="150">
        <v>918540</v>
      </c>
      <c r="Q316" s="154">
        <v>0.621</v>
      </c>
      <c r="R316" s="154">
        <v>0.379</v>
      </c>
      <c r="S316" s="148"/>
      <c r="T316" s="148"/>
      <c r="U316" s="154">
        <v>0.1</v>
      </c>
      <c r="V316" s="154">
        <v>0.406</v>
      </c>
      <c r="W316" s="154">
        <v>0.293</v>
      </c>
      <c r="X316" s="154">
        <v>0.133</v>
      </c>
      <c r="Y316" s="154">
        <v>0.039</v>
      </c>
      <c r="Z316" s="154">
        <v>0.029</v>
      </c>
      <c r="AA316" s="148" t="s">
        <v>45</v>
      </c>
    </row>
    <row r="317" spans="1:27">
      <c r="A317" s="147">
        <v>1372</v>
      </c>
      <c r="B317" s="147" t="s">
        <v>27</v>
      </c>
      <c r="C317" s="147" t="s">
        <v>53</v>
      </c>
      <c r="D317" s="148" t="s">
        <v>53</v>
      </c>
      <c r="E317" s="148" t="s">
        <v>30</v>
      </c>
      <c r="F317" s="149">
        <v>2026</v>
      </c>
      <c r="G317" s="148" t="s">
        <v>35</v>
      </c>
      <c r="H317" s="150">
        <v>1353</v>
      </c>
      <c r="I317" s="150">
        <v>2930789</v>
      </c>
      <c r="J317" s="150">
        <v>10944</v>
      </c>
      <c r="K317" s="150">
        <v>43651412</v>
      </c>
      <c r="L317" s="151">
        <v>384</v>
      </c>
      <c r="M317" s="152">
        <f t="shared" si="4"/>
        <v>6528000</v>
      </c>
      <c r="N317" s="148"/>
      <c r="O317" s="150">
        <v>11466305</v>
      </c>
      <c r="P317" s="150">
        <v>369610</v>
      </c>
      <c r="Q317" s="154">
        <v>0.622</v>
      </c>
      <c r="R317" s="154">
        <v>0.378</v>
      </c>
      <c r="S317" s="148"/>
      <c r="T317" s="148"/>
      <c r="U317" s="154">
        <v>0.098</v>
      </c>
      <c r="V317" s="154">
        <v>0.407</v>
      </c>
      <c r="W317" s="154">
        <v>0.293</v>
      </c>
      <c r="X317" s="154">
        <v>0.133</v>
      </c>
      <c r="Y317" s="154">
        <v>0.04</v>
      </c>
      <c r="Z317" s="154">
        <v>0.029</v>
      </c>
      <c r="AA317" s="148" t="s">
        <v>45</v>
      </c>
    </row>
    <row r="318" spans="1:27">
      <c r="A318" s="147">
        <v>1373</v>
      </c>
      <c r="B318" s="147" t="s">
        <v>27</v>
      </c>
      <c r="C318" s="147" t="s">
        <v>53</v>
      </c>
      <c r="D318" s="148" t="s">
        <v>53</v>
      </c>
      <c r="E318" s="148" t="s">
        <v>30</v>
      </c>
      <c r="F318" s="149">
        <v>2026</v>
      </c>
      <c r="G318" s="148" t="s">
        <v>36</v>
      </c>
      <c r="H318" s="150">
        <v>1210</v>
      </c>
      <c r="I318" s="150">
        <v>2935011</v>
      </c>
      <c r="J318" s="150">
        <v>9779</v>
      </c>
      <c r="K318" s="150">
        <v>29512864</v>
      </c>
      <c r="L318" s="151">
        <v>211</v>
      </c>
      <c r="M318" s="152">
        <f t="shared" si="4"/>
        <v>3587000</v>
      </c>
      <c r="N318" s="148"/>
      <c r="O318" s="150">
        <v>8265618</v>
      </c>
      <c r="P318" s="150">
        <v>325292</v>
      </c>
      <c r="Q318" s="154">
        <v>0.623</v>
      </c>
      <c r="R318" s="154">
        <v>0.377</v>
      </c>
      <c r="S318" s="148"/>
      <c r="T318" s="148"/>
      <c r="U318" s="154">
        <v>0.094</v>
      </c>
      <c r="V318" s="154">
        <v>0.407</v>
      </c>
      <c r="W318" s="154">
        <v>0.294</v>
      </c>
      <c r="X318" s="154">
        <v>0.135</v>
      </c>
      <c r="Y318" s="154">
        <v>0.04</v>
      </c>
      <c r="Z318" s="154">
        <v>0.03</v>
      </c>
      <c r="AA318" s="148" t="s">
        <v>45</v>
      </c>
    </row>
    <row r="319" spans="1:27">
      <c r="A319" s="147">
        <v>1374</v>
      </c>
      <c r="B319" s="147" t="s">
        <v>27</v>
      </c>
      <c r="C319" s="147" t="s">
        <v>53</v>
      </c>
      <c r="D319" s="148" t="s">
        <v>53</v>
      </c>
      <c r="E319" s="148" t="s">
        <v>30</v>
      </c>
      <c r="F319" s="149">
        <v>2026</v>
      </c>
      <c r="G319" s="148" t="s">
        <v>37</v>
      </c>
      <c r="H319" s="150">
        <v>1001</v>
      </c>
      <c r="I319" s="150">
        <v>2933187</v>
      </c>
      <c r="J319" s="150">
        <v>5451</v>
      </c>
      <c r="K319" s="150">
        <v>20233770</v>
      </c>
      <c r="L319" s="151">
        <v>140</v>
      </c>
      <c r="M319" s="152">
        <f t="shared" si="4"/>
        <v>2380000</v>
      </c>
      <c r="N319" s="148"/>
      <c r="O319" s="150">
        <v>5478703</v>
      </c>
      <c r="P319" s="150">
        <v>227365</v>
      </c>
      <c r="Q319" s="154">
        <v>0.622</v>
      </c>
      <c r="R319" s="154">
        <v>0.378</v>
      </c>
      <c r="S319" s="148"/>
      <c r="T319" s="148"/>
      <c r="U319" s="154">
        <v>0.093</v>
      </c>
      <c r="V319" s="154">
        <v>0.407</v>
      </c>
      <c r="W319" s="154">
        <v>0.294</v>
      </c>
      <c r="X319" s="154">
        <v>0.136</v>
      </c>
      <c r="Y319" s="154">
        <v>0.04</v>
      </c>
      <c r="Z319" s="154">
        <v>0.03</v>
      </c>
      <c r="AA319" s="148" t="s">
        <v>45</v>
      </c>
    </row>
    <row r="320" spans="1:27">
      <c r="A320" s="147">
        <v>1375</v>
      </c>
      <c r="B320" s="147" t="s">
        <v>27</v>
      </c>
      <c r="C320" s="147" t="s">
        <v>53</v>
      </c>
      <c r="D320" s="148" t="s">
        <v>53</v>
      </c>
      <c r="E320" s="148" t="s">
        <v>30</v>
      </c>
      <c r="F320" s="149">
        <v>2026</v>
      </c>
      <c r="G320" s="148" t="s">
        <v>38</v>
      </c>
      <c r="H320" s="150">
        <v>1160</v>
      </c>
      <c r="I320" s="150">
        <v>2953394</v>
      </c>
      <c r="J320" s="150">
        <v>27038</v>
      </c>
      <c r="K320" s="150">
        <v>51096636</v>
      </c>
      <c r="L320" s="151">
        <v>342</v>
      </c>
      <c r="M320" s="152">
        <f t="shared" si="4"/>
        <v>5814000</v>
      </c>
      <c r="N320" s="148"/>
      <c r="O320" s="150">
        <v>14633593</v>
      </c>
      <c r="P320" s="150">
        <v>588755</v>
      </c>
      <c r="Q320" s="154">
        <v>0.621</v>
      </c>
      <c r="R320" s="154">
        <v>0.379</v>
      </c>
      <c r="S320" s="148"/>
      <c r="T320" s="148"/>
      <c r="U320" s="154">
        <v>0.085</v>
      </c>
      <c r="V320" s="154">
        <v>0.4</v>
      </c>
      <c r="W320" s="154">
        <v>0.3</v>
      </c>
      <c r="X320" s="154">
        <v>0.14</v>
      </c>
      <c r="Y320" s="154">
        <v>0.044</v>
      </c>
      <c r="Z320" s="154">
        <v>0.031</v>
      </c>
      <c r="AA320" s="148" t="s">
        <v>45</v>
      </c>
    </row>
    <row r="321" spans="1:27">
      <c r="A321" s="147">
        <v>1376</v>
      </c>
      <c r="B321" s="147" t="s">
        <v>27</v>
      </c>
      <c r="C321" s="147" t="s">
        <v>53</v>
      </c>
      <c r="D321" s="148" t="s">
        <v>53</v>
      </c>
      <c r="E321" s="148" t="s">
        <v>30</v>
      </c>
      <c r="F321" s="149">
        <v>2026</v>
      </c>
      <c r="G321" s="148" t="s">
        <v>39</v>
      </c>
      <c r="H321" s="148"/>
      <c r="I321" s="148"/>
      <c r="J321" s="148"/>
      <c r="K321" s="148"/>
      <c r="L321" s="152"/>
      <c r="M321" s="152">
        <f t="shared" si="4"/>
        <v>0</v>
      </c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</row>
    <row r="322" spans="1:27">
      <c r="A322" s="147">
        <v>1377</v>
      </c>
      <c r="B322" s="147" t="s">
        <v>27</v>
      </c>
      <c r="C322" s="147" t="s">
        <v>53</v>
      </c>
      <c r="D322" s="148" t="s">
        <v>53</v>
      </c>
      <c r="E322" s="148" t="s">
        <v>30</v>
      </c>
      <c r="F322" s="149">
        <v>2026</v>
      </c>
      <c r="G322" s="148" t="s">
        <v>40</v>
      </c>
      <c r="H322" s="148"/>
      <c r="I322" s="148"/>
      <c r="J322" s="148"/>
      <c r="K322" s="148"/>
      <c r="L322" s="152"/>
      <c r="M322" s="152">
        <f t="shared" ref="M322:M385" si="5">L322*17000</f>
        <v>0</v>
      </c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</row>
    <row r="323" spans="1:27">
      <c r="A323" s="147">
        <v>1378</v>
      </c>
      <c r="B323" s="147" t="s">
        <v>27</v>
      </c>
      <c r="C323" s="147" t="s">
        <v>53</v>
      </c>
      <c r="D323" s="148" t="s">
        <v>53</v>
      </c>
      <c r="E323" s="148" t="s">
        <v>30</v>
      </c>
      <c r="F323" s="149">
        <v>2026</v>
      </c>
      <c r="G323" s="148" t="s">
        <v>41</v>
      </c>
      <c r="H323" s="148"/>
      <c r="I323" s="148"/>
      <c r="J323" s="148"/>
      <c r="K323" s="148"/>
      <c r="L323" s="152"/>
      <c r="M323" s="152">
        <f t="shared" si="5"/>
        <v>0</v>
      </c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</row>
    <row r="324" spans="1:27">
      <c r="A324" s="147">
        <v>1379</v>
      </c>
      <c r="B324" s="147" t="s">
        <v>27</v>
      </c>
      <c r="C324" s="147" t="s">
        <v>53</v>
      </c>
      <c r="D324" s="148" t="s">
        <v>53</v>
      </c>
      <c r="E324" s="148" t="s">
        <v>30</v>
      </c>
      <c r="F324" s="149">
        <v>2026</v>
      </c>
      <c r="G324" s="148" t="s">
        <v>42</v>
      </c>
      <c r="H324" s="148"/>
      <c r="I324" s="148"/>
      <c r="J324" s="148"/>
      <c r="K324" s="148"/>
      <c r="L324" s="152"/>
      <c r="M324" s="152">
        <f t="shared" si="5"/>
        <v>0</v>
      </c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</row>
    <row r="325" spans="1:27">
      <c r="A325" s="147">
        <v>1380</v>
      </c>
      <c r="B325" s="147" t="s">
        <v>27</v>
      </c>
      <c r="C325" s="147" t="s">
        <v>53</v>
      </c>
      <c r="D325" s="148" t="s">
        <v>53</v>
      </c>
      <c r="E325" s="148" t="s">
        <v>30</v>
      </c>
      <c r="F325" s="149">
        <v>2026</v>
      </c>
      <c r="G325" s="148" t="s">
        <v>43</v>
      </c>
      <c r="H325" s="148"/>
      <c r="I325" s="148"/>
      <c r="J325" s="148"/>
      <c r="K325" s="148"/>
      <c r="L325" s="152"/>
      <c r="M325" s="152">
        <f t="shared" si="5"/>
        <v>0</v>
      </c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</row>
    <row r="326" spans="1:27">
      <c r="A326" s="147">
        <v>1393</v>
      </c>
      <c r="B326" s="147" t="s">
        <v>27</v>
      </c>
      <c r="C326" s="147" t="s">
        <v>53</v>
      </c>
      <c r="D326" s="148" t="s">
        <v>56</v>
      </c>
      <c r="E326" s="148" t="s">
        <v>30</v>
      </c>
      <c r="F326" s="149">
        <v>2024</v>
      </c>
      <c r="G326" s="148" t="s">
        <v>31</v>
      </c>
      <c r="H326" s="149">
        <v>237</v>
      </c>
      <c r="I326" s="150">
        <v>79307</v>
      </c>
      <c r="J326" s="150">
        <v>2243</v>
      </c>
      <c r="K326" s="148" t="s">
        <v>32</v>
      </c>
      <c r="L326" s="151">
        <v>0</v>
      </c>
      <c r="M326" s="152">
        <f t="shared" si="5"/>
        <v>0</v>
      </c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</row>
    <row r="327" spans="1:27">
      <c r="A327" s="147">
        <v>1394</v>
      </c>
      <c r="B327" s="147" t="s">
        <v>27</v>
      </c>
      <c r="C327" s="147" t="s">
        <v>53</v>
      </c>
      <c r="D327" s="148" t="s">
        <v>56</v>
      </c>
      <c r="E327" s="148" t="s">
        <v>30</v>
      </c>
      <c r="F327" s="149">
        <v>2024</v>
      </c>
      <c r="G327" s="148" t="s">
        <v>33</v>
      </c>
      <c r="H327" s="149">
        <v>213</v>
      </c>
      <c r="I327" s="150">
        <v>80665</v>
      </c>
      <c r="J327" s="150">
        <v>1358</v>
      </c>
      <c r="K327" s="148" t="s">
        <v>32</v>
      </c>
      <c r="L327" s="151">
        <v>0</v>
      </c>
      <c r="M327" s="152">
        <f t="shared" si="5"/>
        <v>0</v>
      </c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</row>
    <row r="328" spans="1:27">
      <c r="A328" s="147">
        <v>1395</v>
      </c>
      <c r="B328" s="147" t="s">
        <v>27</v>
      </c>
      <c r="C328" s="147" t="s">
        <v>53</v>
      </c>
      <c r="D328" s="148" t="s">
        <v>56</v>
      </c>
      <c r="E328" s="148" t="s">
        <v>30</v>
      </c>
      <c r="F328" s="149">
        <v>2024</v>
      </c>
      <c r="G328" s="148" t="s">
        <v>34</v>
      </c>
      <c r="H328" s="149">
        <v>235</v>
      </c>
      <c r="I328" s="150">
        <v>82430</v>
      </c>
      <c r="J328" s="150">
        <v>1765</v>
      </c>
      <c r="K328" s="148" t="s">
        <v>32</v>
      </c>
      <c r="L328" s="151">
        <v>0</v>
      </c>
      <c r="M328" s="152">
        <f t="shared" si="5"/>
        <v>0</v>
      </c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</row>
    <row r="329" spans="1:27">
      <c r="A329" s="147">
        <v>1396</v>
      </c>
      <c r="B329" s="147" t="s">
        <v>27</v>
      </c>
      <c r="C329" s="147" t="s">
        <v>53</v>
      </c>
      <c r="D329" s="148" t="s">
        <v>56</v>
      </c>
      <c r="E329" s="148" t="s">
        <v>30</v>
      </c>
      <c r="F329" s="149">
        <v>2024</v>
      </c>
      <c r="G329" s="148" t="s">
        <v>35</v>
      </c>
      <c r="H329" s="149">
        <v>213</v>
      </c>
      <c r="I329" s="150">
        <v>84132</v>
      </c>
      <c r="J329" s="150">
        <v>1702</v>
      </c>
      <c r="K329" s="148" t="s">
        <v>32</v>
      </c>
      <c r="L329" s="151">
        <v>0</v>
      </c>
      <c r="M329" s="152">
        <f t="shared" si="5"/>
        <v>0</v>
      </c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</row>
    <row r="330" spans="1:27">
      <c r="A330" s="147">
        <v>1397</v>
      </c>
      <c r="B330" s="147" t="s">
        <v>27</v>
      </c>
      <c r="C330" s="147" t="s">
        <v>53</v>
      </c>
      <c r="D330" s="148" t="s">
        <v>56</v>
      </c>
      <c r="E330" s="148" t="s">
        <v>30</v>
      </c>
      <c r="F330" s="149">
        <v>2024</v>
      </c>
      <c r="G330" s="148" t="s">
        <v>36</v>
      </c>
      <c r="H330" s="149">
        <v>201</v>
      </c>
      <c r="I330" s="150">
        <v>84505</v>
      </c>
      <c r="J330" s="149">
        <v>373</v>
      </c>
      <c r="K330" s="148" t="s">
        <v>32</v>
      </c>
      <c r="L330" s="151">
        <v>0</v>
      </c>
      <c r="M330" s="152">
        <f t="shared" si="5"/>
        <v>0</v>
      </c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</row>
    <row r="331" spans="1:27">
      <c r="A331" s="147">
        <v>1398</v>
      </c>
      <c r="B331" s="147" t="s">
        <v>27</v>
      </c>
      <c r="C331" s="147" t="s">
        <v>53</v>
      </c>
      <c r="D331" s="148" t="s">
        <v>56</v>
      </c>
      <c r="E331" s="148" t="s">
        <v>30</v>
      </c>
      <c r="F331" s="149">
        <v>2024</v>
      </c>
      <c r="G331" s="148" t="s">
        <v>37</v>
      </c>
      <c r="H331" s="149">
        <v>216</v>
      </c>
      <c r="I331" s="150">
        <v>84648</v>
      </c>
      <c r="J331" s="149">
        <v>143</v>
      </c>
      <c r="K331" s="148" t="s">
        <v>32</v>
      </c>
      <c r="L331" s="151">
        <v>0</v>
      </c>
      <c r="M331" s="152">
        <f t="shared" si="5"/>
        <v>0</v>
      </c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</row>
    <row r="332" spans="1:27">
      <c r="A332" s="147">
        <v>1399</v>
      </c>
      <c r="B332" s="147" t="s">
        <v>27</v>
      </c>
      <c r="C332" s="147" t="s">
        <v>53</v>
      </c>
      <c r="D332" s="148" t="s">
        <v>56</v>
      </c>
      <c r="E332" s="148" t="s">
        <v>30</v>
      </c>
      <c r="F332" s="149">
        <v>2024</v>
      </c>
      <c r="G332" s="148" t="s">
        <v>38</v>
      </c>
      <c r="H332" s="149">
        <v>221</v>
      </c>
      <c r="I332" s="150">
        <v>84749</v>
      </c>
      <c r="J332" s="149">
        <v>101</v>
      </c>
      <c r="K332" s="148" t="s">
        <v>32</v>
      </c>
      <c r="L332" s="151">
        <v>0</v>
      </c>
      <c r="M332" s="152">
        <f t="shared" si="5"/>
        <v>0</v>
      </c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</row>
    <row r="333" spans="1:27">
      <c r="A333" s="147">
        <v>1400</v>
      </c>
      <c r="B333" s="147" t="s">
        <v>27</v>
      </c>
      <c r="C333" s="147" t="s">
        <v>53</v>
      </c>
      <c r="D333" s="148" t="s">
        <v>56</v>
      </c>
      <c r="E333" s="148" t="s">
        <v>30</v>
      </c>
      <c r="F333" s="149">
        <v>2024</v>
      </c>
      <c r="G333" s="148" t="s">
        <v>39</v>
      </c>
      <c r="H333" s="149">
        <v>214</v>
      </c>
      <c r="I333" s="150">
        <v>84836</v>
      </c>
      <c r="J333" s="149">
        <v>87</v>
      </c>
      <c r="K333" s="148" t="s">
        <v>32</v>
      </c>
      <c r="L333" s="151">
        <v>0</v>
      </c>
      <c r="M333" s="152">
        <f t="shared" si="5"/>
        <v>0</v>
      </c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</row>
    <row r="334" spans="1:27">
      <c r="A334" s="147">
        <v>1401</v>
      </c>
      <c r="B334" s="147" t="s">
        <v>27</v>
      </c>
      <c r="C334" s="147" t="s">
        <v>53</v>
      </c>
      <c r="D334" s="148" t="s">
        <v>56</v>
      </c>
      <c r="E334" s="148" t="s">
        <v>30</v>
      </c>
      <c r="F334" s="149">
        <v>2024</v>
      </c>
      <c r="G334" s="148" t="s">
        <v>40</v>
      </c>
      <c r="H334" s="149">
        <v>232</v>
      </c>
      <c r="I334" s="150">
        <v>85048</v>
      </c>
      <c r="J334" s="149">
        <v>212</v>
      </c>
      <c r="K334" s="148" t="s">
        <v>32</v>
      </c>
      <c r="L334" s="151">
        <v>0</v>
      </c>
      <c r="M334" s="152">
        <f t="shared" si="5"/>
        <v>0</v>
      </c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</row>
    <row r="335" spans="1:27">
      <c r="A335" s="147">
        <v>1402</v>
      </c>
      <c r="B335" s="147" t="s">
        <v>27</v>
      </c>
      <c r="C335" s="147" t="s">
        <v>53</v>
      </c>
      <c r="D335" s="148" t="s">
        <v>56</v>
      </c>
      <c r="E335" s="148" t="s">
        <v>30</v>
      </c>
      <c r="F335" s="149">
        <v>2024</v>
      </c>
      <c r="G335" s="148" t="s">
        <v>41</v>
      </c>
      <c r="H335" s="149">
        <v>282</v>
      </c>
      <c r="I335" s="150">
        <v>85360</v>
      </c>
      <c r="J335" s="149">
        <v>312</v>
      </c>
      <c r="K335" s="150">
        <v>886683</v>
      </c>
      <c r="L335" s="151">
        <v>0</v>
      </c>
      <c r="M335" s="152">
        <f t="shared" si="5"/>
        <v>0</v>
      </c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</row>
    <row r="336" spans="1:27">
      <c r="A336" s="147">
        <v>1403</v>
      </c>
      <c r="B336" s="147" t="s">
        <v>27</v>
      </c>
      <c r="C336" s="147" t="s">
        <v>53</v>
      </c>
      <c r="D336" s="148" t="s">
        <v>56</v>
      </c>
      <c r="E336" s="148" t="s">
        <v>30</v>
      </c>
      <c r="F336" s="149">
        <v>2024</v>
      </c>
      <c r="G336" s="148" t="s">
        <v>42</v>
      </c>
      <c r="H336" s="149">
        <v>193</v>
      </c>
      <c r="I336" s="150">
        <v>85479</v>
      </c>
      <c r="J336" s="149">
        <v>119</v>
      </c>
      <c r="K336" s="150">
        <v>283440</v>
      </c>
      <c r="L336" s="151">
        <v>0</v>
      </c>
      <c r="M336" s="152">
        <f t="shared" si="5"/>
        <v>0</v>
      </c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</row>
    <row r="337" spans="1:27">
      <c r="A337" s="147">
        <v>1404</v>
      </c>
      <c r="B337" s="147" t="s">
        <v>27</v>
      </c>
      <c r="C337" s="147" t="s">
        <v>53</v>
      </c>
      <c r="D337" s="148" t="s">
        <v>56</v>
      </c>
      <c r="E337" s="148" t="s">
        <v>30</v>
      </c>
      <c r="F337" s="149">
        <v>2024</v>
      </c>
      <c r="G337" s="148" t="s">
        <v>43</v>
      </c>
      <c r="H337" s="149">
        <v>184</v>
      </c>
      <c r="I337" s="150">
        <v>85684</v>
      </c>
      <c r="J337" s="149">
        <v>205</v>
      </c>
      <c r="K337" s="150">
        <v>276087</v>
      </c>
      <c r="L337" s="151">
        <v>0</v>
      </c>
      <c r="M337" s="152">
        <f t="shared" si="5"/>
        <v>0</v>
      </c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</row>
    <row r="338" spans="1:27">
      <c r="A338" s="147">
        <v>1405</v>
      </c>
      <c r="B338" s="147" t="s">
        <v>27</v>
      </c>
      <c r="C338" s="147" t="s">
        <v>53</v>
      </c>
      <c r="D338" s="148" t="s">
        <v>56</v>
      </c>
      <c r="E338" s="148" t="s">
        <v>30</v>
      </c>
      <c r="F338" s="149">
        <v>2025</v>
      </c>
      <c r="G338" s="148" t="s">
        <v>31</v>
      </c>
      <c r="H338" s="149">
        <v>219</v>
      </c>
      <c r="I338" s="150">
        <v>85881</v>
      </c>
      <c r="J338" s="149">
        <v>197</v>
      </c>
      <c r="K338" s="150">
        <v>298467</v>
      </c>
      <c r="L338" s="151">
        <v>0</v>
      </c>
      <c r="M338" s="152">
        <f t="shared" si="5"/>
        <v>0</v>
      </c>
      <c r="N338" s="148"/>
      <c r="O338" s="148" t="s">
        <v>48</v>
      </c>
      <c r="P338" s="150">
        <v>26491</v>
      </c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</row>
    <row r="339" spans="1:27">
      <c r="A339" s="147">
        <v>1406</v>
      </c>
      <c r="B339" s="147" t="s">
        <v>27</v>
      </c>
      <c r="C339" s="147" t="s">
        <v>53</v>
      </c>
      <c r="D339" s="148" t="s">
        <v>56</v>
      </c>
      <c r="E339" s="148" t="s">
        <v>30</v>
      </c>
      <c r="F339" s="149">
        <v>2025</v>
      </c>
      <c r="G339" s="148" t="s">
        <v>33</v>
      </c>
      <c r="H339" s="149">
        <v>214</v>
      </c>
      <c r="I339" s="150">
        <v>86069</v>
      </c>
      <c r="J339" s="149">
        <v>188</v>
      </c>
      <c r="K339" s="150">
        <v>222210</v>
      </c>
      <c r="L339" s="151">
        <v>0</v>
      </c>
      <c r="M339" s="152">
        <f t="shared" si="5"/>
        <v>0</v>
      </c>
      <c r="N339" s="148"/>
      <c r="O339" s="148" t="s">
        <v>48</v>
      </c>
      <c r="P339" s="150">
        <v>27339</v>
      </c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</row>
    <row r="340" spans="1:27">
      <c r="A340" s="147">
        <v>1407</v>
      </c>
      <c r="B340" s="147" t="s">
        <v>27</v>
      </c>
      <c r="C340" s="147" t="s">
        <v>53</v>
      </c>
      <c r="D340" s="148" t="s">
        <v>56</v>
      </c>
      <c r="E340" s="148" t="s">
        <v>30</v>
      </c>
      <c r="F340" s="149">
        <v>2025</v>
      </c>
      <c r="G340" s="148" t="s">
        <v>34</v>
      </c>
      <c r="H340" s="149">
        <v>245</v>
      </c>
      <c r="I340" s="150">
        <v>86193</v>
      </c>
      <c r="J340" s="149">
        <v>124</v>
      </c>
      <c r="K340" s="150">
        <v>223976</v>
      </c>
      <c r="L340" s="151">
        <v>0</v>
      </c>
      <c r="M340" s="152">
        <f t="shared" si="5"/>
        <v>0</v>
      </c>
      <c r="N340" s="148"/>
      <c r="O340" s="148" t="s">
        <v>48</v>
      </c>
      <c r="P340" s="150">
        <v>25896</v>
      </c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</row>
    <row r="341" spans="1:27">
      <c r="A341" s="147">
        <v>1408</v>
      </c>
      <c r="B341" s="147" t="s">
        <v>27</v>
      </c>
      <c r="C341" s="147" t="s">
        <v>53</v>
      </c>
      <c r="D341" s="148" t="s">
        <v>56</v>
      </c>
      <c r="E341" s="148" t="s">
        <v>30</v>
      </c>
      <c r="F341" s="149">
        <v>2025</v>
      </c>
      <c r="G341" s="148" t="s">
        <v>35</v>
      </c>
      <c r="H341" s="149">
        <v>170</v>
      </c>
      <c r="I341" s="150">
        <v>86338</v>
      </c>
      <c r="J341" s="149">
        <v>145</v>
      </c>
      <c r="K341" s="150">
        <v>192867</v>
      </c>
      <c r="L341" s="151">
        <v>0</v>
      </c>
      <c r="M341" s="152">
        <f t="shared" si="5"/>
        <v>0</v>
      </c>
      <c r="N341" s="148"/>
      <c r="O341" s="148" t="s">
        <v>48</v>
      </c>
      <c r="P341" s="150">
        <v>19363</v>
      </c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</row>
    <row r="342" spans="1:27">
      <c r="A342" s="147">
        <v>1409</v>
      </c>
      <c r="B342" s="147" t="s">
        <v>27</v>
      </c>
      <c r="C342" s="147" t="s">
        <v>53</v>
      </c>
      <c r="D342" s="148" t="s">
        <v>56</v>
      </c>
      <c r="E342" s="148" t="s">
        <v>30</v>
      </c>
      <c r="F342" s="149">
        <v>2025</v>
      </c>
      <c r="G342" s="148" t="s">
        <v>36</v>
      </c>
      <c r="H342" s="149">
        <v>185</v>
      </c>
      <c r="I342" s="150">
        <v>86555</v>
      </c>
      <c r="J342" s="149">
        <v>217</v>
      </c>
      <c r="K342" s="150">
        <v>184288</v>
      </c>
      <c r="L342" s="151">
        <v>0</v>
      </c>
      <c r="M342" s="152">
        <f t="shared" si="5"/>
        <v>0</v>
      </c>
      <c r="N342" s="148"/>
      <c r="O342" s="148" t="s">
        <v>48</v>
      </c>
      <c r="P342" s="150">
        <v>21737</v>
      </c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</row>
    <row r="343" spans="1:27">
      <c r="A343" s="147">
        <v>1410</v>
      </c>
      <c r="B343" s="147" t="s">
        <v>27</v>
      </c>
      <c r="C343" s="147" t="s">
        <v>53</v>
      </c>
      <c r="D343" s="148" t="s">
        <v>56</v>
      </c>
      <c r="E343" s="148" t="s">
        <v>30</v>
      </c>
      <c r="F343" s="149">
        <v>2025</v>
      </c>
      <c r="G343" s="148" t="s">
        <v>37</v>
      </c>
      <c r="H343" s="149">
        <v>242</v>
      </c>
      <c r="I343" s="150">
        <v>86758</v>
      </c>
      <c r="J343" s="149">
        <v>203</v>
      </c>
      <c r="K343" s="150">
        <v>239193</v>
      </c>
      <c r="L343" s="151">
        <v>0</v>
      </c>
      <c r="M343" s="152">
        <f t="shared" si="5"/>
        <v>0</v>
      </c>
      <c r="N343" s="148"/>
      <c r="O343" s="148" t="s">
        <v>48</v>
      </c>
      <c r="P343" s="150">
        <v>25099</v>
      </c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</row>
    <row r="344" spans="1:27">
      <c r="A344" s="147">
        <v>1411</v>
      </c>
      <c r="B344" s="147" t="s">
        <v>27</v>
      </c>
      <c r="C344" s="147" t="s">
        <v>53</v>
      </c>
      <c r="D344" s="148" t="s">
        <v>56</v>
      </c>
      <c r="E344" s="148" t="s">
        <v>30</v>
      </c>
      <c r="F344" s="149">
        <v>2025</v>
      </c>
      <c r="G344" s="148" t="s">
        <v>38</v>
      </c>
      <c r="H344" s="149">
        <v>270</v>
      </c>
      <c r="I344" s="150">
        <v>87056</v>
      </c>
      <c r="J344" s="149">
        <v>298</v>
      </c>
      <c r="K344" s="150">
        <v>346188</v>
      </c>
      <c r="L344" s="151">
        <v>0</v>
      </c>
      <c r="M344" s="152">
        <f t="shared" si="5"/>
        <v>0</v>
      </c>
      <c r="N344" s="148"/>
      <c r="O344" s="150">
        <v>68480</v>
      </c>
      <c r="P344" s="150">
        <v>30793</v>
      </c>
      <c r="Q344" s="154">
        <v>0.525</v>
      </c>
      <c r="R344" s="154">
        <v>0.475</v>
      </c>
      <c r="S344" s="148"/>
      <c r="T344" s="148" t="s">
        <v>44</v>
      </c>
      <c r="U344" s="154">
        <v>0.133</v>
      </c>
      <c r="V344" s="154">
        <v>0.45</v>
      </c>
      <c r="W344" s="154">
        <v>0.27</v>
      </c>
      <c r="X344" s="154">
        <v>0.095</v>
      </c>
      <c r="Y344" s="154">
        <v>0.027</v>
      </c>
      <c r="Z344" s="154">
        <v>0.025</v>
      </c>
      <c r="AA344" s="148" t="s">
        <v>45</v>
      </c>
    </row>
    <row r="345" spans="1:27">
      <c r="A345" s="147">
        <v>1412</v>
      </c>
      <c r="B345" s="147" t="s">
        <v>27</v>
      </c>
      <c r="C345" s="147" t="s">
        <v>53</v>
      </c>
      <c r="D345" s="148" t="s">
        <v>56</v>
      </c>
      <c r="E345" s="148" t="s">
        <v>30</v>
      </c>
      <c r="F345" s="149">
        <v>2025</v>
      </c>
      <c r="G345" s="148" t="s">
        <v>39</v>
      </c>
      <c r="H345" s="149">
        <v>280</v>
      </c>
      <c r="I345" s="150">
        <v>87211</v>
      </c>
      <c r="J345" s="149">
        <v>315</v>
      </c>
      <c r="K345" s="150">
        <v>421274</v>
      </c>
      <c r="L345" s="151">
        <v>0</v>
      </c>
      <c r="M345" s="152">
        <f t="shared" si="5"/>
        <v>0</v>
      </c>
      <c r="N345" s="148"/>
      <c r="O345" s="150">
        <v>98183</v>
      </c>
      <c r="P345" s="150">
        <v>29743</v>
      </c>
      <c r="Q345" s="154">
        <v>0.526</v>
      </c>
      <c r="R345" s="154">
        <v>0.474</v>
      </c>
      <c r="S345" s="148"/>
      <c r="T345" s="148"/>
      <c r="U345" s="154">
        <v>0.129</v>
      </c>
      <c r="V345" s="154">
        <v>0.452</v>
      </c>
      <c r="W345" s="154">
        <v>0.272</v>
      </c>
      <c r="X345" s="154">
        <v>0.096</v>
      </c>
      <c r="Y345" s="154">
        <v>0.027</v>
      </c>
      <c r="Z345" s="154">
        <v>0.024</v>
      </c>
      <c r="AA345" s="148" t="s">
        <v>45</v>
      </c>
    </row>
    <row r="346" spans="1:27">
      <c r="A346" s="147">
        <v>1413</v>
      </c>
      <c r="B346" s="147" t="s">
        <v>27</v>
      </c>
      <c r="C346" s="147" t="s">
        <v>53</v>
      </c>
      <c r="D346" s="148" t="s">
        <v>56</v>
      </c>
      <c r="E346" s="148" t="s">
        <v>30</v>
      </c>
      <c r="F346" s="149">
        <v>2025</v>
      </c>
      <c r="G346" s="148" t="s">
        <v>40</v>
      </c>
      <c r="H346" s="149">
        <v>302</v>
      </c>
      <c r="I346" s="150">
        <v>88051</v>
      </c>
      <c r="J346" s="150">
        <v>1083</v>
      </c>
      <c r="K346" s="150">
        <v>459699</v>
      </c>
      <c r="L346" s="151">
        <v>0</v>
      </c>
      <c r="M346" s="152">
        <f t="shared" si="5"/>
        <v>0</v>
      </c>
      <c r="N346" s="148"/>
      <c r="O346" s="150">
        <v>170578</v>
      </c>
      <c r="P346" s="150">
        <v>28171</v>
      </c>
      <c r="Q346" s="154">
        <v>0.524</v>
      </c>
      <c r="R346" s="154">
        <v>0.476</v>
      </c>
      <c r="S346" s="148"/>
      <c r="T346" s="148"/>
      <c r="U346" s="154">
        <v>0.126</v>
      </c>
      <c r="V346" s="154">
        <v>0.449</v>
      </c>
      <c r="W346" s="154">
        <v>0.275</v>
      </c>
      <c r="X346" s="154">
        <v>0.098</v>
      </c>
      <c r="Y346" s="154">
        <v>0.028</v>
      </c>
      <c r="Z346" s="154">
        <v>0.024</v>
      </c>
      <c r="AA346" s="148" t="s">
        <v>45</v>
      </c>
    </row>
    <row r="347" spans="1:27">
      <c r="A347" s="147">
        <v>1414</v>
      </c>
      <c r="B347" s="147" t="s">
        <v>27</v>
      </c>
      <c r="C347" s="147" t="s">
        <v>53</v>
      </c>
      <c r="D347" s="148" t="s">
        <v>56</v>
      </c>
      <c r="E347" s="148" t="s">
        <v>30</v>
      </c>
      <c r="F347" s="149">
        <v>2025</v>
      </c>
      <c r="G347" s="148" t="s">
        <v>41</v>
      </c>
      <c r="H347" s="149">
        <v>431</v>
      </c>
      <c r="I347" s="150">
        <v>88237</v>
      </c>
      <c r="J347" s="149">
        <v>409</v>
      </c>
      <c r="K347" s="150">
        <v>470334</v>
      </c>
      <c r="L347" s="151">
        <v>0</v>
      </c>
      <c r="M347" s="152">
        <f t="shared" si="5"/>
        <v>0</v>
      </c>
      <c r="N347" s="148"/>
      <c r="O347" s="150">
        <v>145106</v>
      </c>
      <c r="P347" s="150">
        <v>24961</v>
      </c>
      <c r="Q347" s="154">
        <v>0.525</v>
      </c>
      <c r="R347" s="154">
        <v>0.475</v>
      </c>
      <c r="S347" s="148"/>
      <c r="T347" s="148"/>
      <c r="U347" s="154">
        <v>0.123</v>
      </c>
      <c r="V347" s="154">
        <v>0.448</v>
      </c>
      <c r="W347" s="154">
        <v>0.276</v>
      </c>
      <c r="X347" s="154">
        <v>0.1</v>
      </c>
      <c r="Y347" s="154">
        <v>0.029</v>
      </c>
      <c r="Z347" s="154">
        <v>0.024</v>
      </c>
      <c r="AA347" s="148" t="s">
        <v>45</v>
      </c>
    </row>
    <row r="348" spans="1:27">
      <c r="A348" s="147">
        <v>1415</v>
      </c>
      <c r="B348" s="147" t="s">
        <v>27</v>
      </c>
      <c r="C348" s="147" t="s">
        <v>53</v>
      </c>
      <c r="D348" s="148" t="s">
        <v>56</v>
      </c>
      <c r="E348" s="148" t="s">
        <v>30</v>
      </c>
      <c r="F348" s="149">
        <v>2025</v>
      </c>
      <c r="G348" s="148" t="s">
        <v>42</v>
      </c>
      <c r="H348" s="149">
        <v>281</v>
      </c>
      <c r="I348" s="150">
        <v>88381</v>
      </c>
      <c r="J348" s="149">
        <v>363</v>
      </c>
      <c r="K348" s="150">
        <v>460818</v>
      </c>
      <c r="L348" s="151">
        <v>0</v>
      </c>
      <c r="M348" s="152">
        <f t="shared" si="5"/>
        <v>0</v>
      </c>
      <c r="N348" s="148"/>
      <c r="O348" s="150">
        <v>155894</v>
      </c>
      <c r="P348" s="150">
        <v>20054</v>
      </c>
      <c r="Q348" s="154">
        <v>0.527</v>
      </c>
      <c r="R348" s="154">
        <v>0.473</v>
      </c>
      <c r="S348" s="148"/>
      <c r="T348" s="148"/>
      <c r="U348" s="154">
        <v>0.12</v>
      </c>
      <c r="V348" s="154">
        <v>0.447</v>
      </c>
      <c r="W348" s="154">
        <v>0.279</v>
      </c>
      <c r="X348" s="154">
        <v>0.101</v>
      </c>
      <c r="Y348" s="154">
        <v>0.029</v>
      </c>
      <c r="Z348" s="154">
        <v>0.024</v>
      </c>
      <c r="AA348" s="148" t="s">
        <v>45</v>
      </c>
    </row>
    <row r="349" spans="1:27">
      <c r="A349" s="147">
        <v>1416</v>
      </c>
      <c r="B349" s="147" t="s">
        <v>27</v>
      </c>
      <c r="C349" s="147" t="s">
        <v>53</v>
      </c>
      <c r="D349" s="148" t="s">
        <v>56</v>
      </c>
      <c r="E349" s="148" t="s">
        <v>30</v>
      </c>
      <c r="F349" s="149">
        <v>2025</v>
      </c>
      <c r="G349" s="148" t="s">
        <v>43</v>
      </c>
      <c r="H349" s="149">
        <v>245</v>
      </c>
      <c r="I349" s="150">
        <v>88506</v>
      </c>
      <c r="J349" s="149">
        <v>479</v>
      </c>
      <c r="K349" s="150">
        <v>671289</v>
      </c>
      <c r="L349" s="151">
        <v>0</v>
      </c>
      <c r="M349" s="152">
        <f t="shared" si="5"/>
        <v>0</v>
      </c>
      <c r="N349" s="148"/>
      <c r="O349" s="150">
        <v>261130</v>
      </c>
      <c r="P349" s="150">
        <v>21838</v>
      </c>
      <c r="Q349" s="154">
        <v>0.525</v>
      </c>
      <c r="R349" s="154">
        <v>0.475</v>
      </c>
      <c r="S349" s="148"/>
      <c r="T349" s="148"/>
      <c r="U349" s="154">
        <v>0.115</v>
      </c>
      <c r="V349" s="154">
        <v>0.449</v>
      </c>
      <c r="W349" s="154">
        <v>0.28</v>
      </c>
      <c r="X349" s="154">
        <v>0.102</v>
      </c>
      <c r="Y349" s="154">
        <v>0.03</v>
      </c>
      <c r="Z349" s="154">
        <v>0.024</v>
      </c>
      <c r="AA349" s="148" t="s">
        <v>45</v>
      </c>
    </row>
    <row r="350" spans="1:27">
      <c r="A350" s="147">
        <v>1417</v>
      </c>
      <c r="B350" s="147" t="s">
        <v>27</v>
      </c>
      <c r="C350" s="147" t="s">
        <v>53</v>
      </c>
      <c r="D350" s="148" t="s">
        <v>56</v>
      </c>
      <c r="E350" s="148" t="s">
        <v>30</v>
      </c>
      <c r="F350" s="149">
        <v>2026</v>
      </c>
      <c r="G350" s="148" t="s">
        <v>31</v>
      </c>
      <c r="H350" s="149">
        <v>227</v>
      </c>
      <c r="I350" s="150">
        <v>93598</v>
      </c>
      <c r="J350" s="150">
        <v>5174</v>
      </c>
      <c r="K350" s="150">
        <v>3325910</v>
      </c>
      <c r="L350" s="151">
        <v>0</v>
      </c>
      <c r="M350" s="152">
        <f t="shared" si="5"/>
        <v>0</v>
      </c>
      <c r="N350" s="148"/>
      <c r="O350" s="150">
        <v>1765652</v>
      </c>
      <c r="P350" s="150">
        <v>63263</v>
      </c>
      <c r="Q350" s="154">
        <v>0.531</v>
      </c>
      <c r="R350" s="154">
        <v>0.469</v>
      </c>
      <c r="S350" s="148"/>
      <c r="T350" s="148"/>
      <c r="U350" s="154">
        <v>0.115</v>
      </c>
      <c r="V350" s="154">
        <v>0.441</v>
      </c>
      <c r="W350" s="154">
        <v>0.284</v>
      </c>
      <c r="X350" s="154">
        <v>0.105</v>
      </c>
      <c r="Y350" s="154">
        <v>0.031</v>
      </c>
      <c r="Z350" s="154">
        <v>0.024</v>
      </c>
      <c r="AA350" s="148" t="s">
        <v>45</v>
      </c>
    </row>
    <row r="351" spans="1:27">
      <c r="A351" s="147">
        <v>1418</v>
      </c>
      <c r="B351" s="147" t="s">
        <v>27</v>
      </c>
      <c r="C351" s="147" t="s">
        <v>53</v>
      </c>
      <c r="D351" s="148" t="s">
        <v>56</v>
      </c>
      <c r="E351" s="148" t="s">
        <v>30</v>
      </c>
      <c r="F351" s="149">
        <v>2026</v>
      </c>
      <c r="G351" s="148" t="s">
        <v>33</v>
      </c>
      <c r="H351" s="149">
        <v>246</v>
      </c>
      <c r="I351" s="150">
        <v>93774</v>
      </c>
      <c r="J351" s="149">
        <v>393</v>
      </c>
      <c r="K351" s="150">
        <v>570334</v>
      </c>
      <c r="L351" s="151">
        <v>3</v>
      </c>
      <c r="M351" s="152">
        <f t="shared" si="5"/>
        <v>51000</v>
      </c>
      <c r="N351" s="148"/>
      <c r="O351" s="150">
        <v>178051</v>
      </c>
      <c r="P351" s="150">
        <v>19810</v>
      </c>
      <c r="Q351" s="154">
        <v>0.532</v>
      </c>
      <c r="R351" s="154">
        <v>0.468</v>
      </c>
      <c r="S351" s="148"/>
      <c r="T351" s="148"/>
      <c r="U351" s="154">
        <v>0.114</v>
      </c>
      <c r="V351" s="154">
        <v>0.441</v>
      </c>
      <c r="W351" s="154">
        <v>0.285</v>
      </c>
      <c r="X351" s="154">
        <v>0.105</v>
      </c>
      <c r="Y351" s="154">
        <v>0.031</v>
      </c>
      <c r="Z351" s="154">
        <v>0.024</v>
      </c>
      <c r="AA351" s="148" t="s">
        <v>45</v>
      </c>
    </row>
    <row r="352" spans="1:27">
      <c r="A352" s="147">
        <v>1419</v>
      </c>
      <c r="B352" s="147" t="s">
        <v>27</v>
      </c>
      <c r="C352" s="147" t="s">
        <v>53</v>
      </c>
      <c r="D352" s="148" t="s">
        <v>56</v>
      </c>
      <c r="E352" s="148" t="s">
        <v>30</v>
      </c>
      <c r="F352" s="149">
        <v>2026</v>
      </c>
      <c r="G352" s="148" t="s">
        <v>34</v>
      </c>
      <c r="H352" s="149">
        <v>231</v>
      </c>
      <c r="I352" s="150">
        <v>94098</v>
      </c>
      <c r="J352" s="149">
        <v>534</v>
      </c>
      <c r="K352" s="150">
        <v>524681</v>
      </c>
      <c r="L352" s="151">
        <v>2</v>
      </c>
      <c r="M352" s="152">
        <f t="shared" si="5"/>
        <v>34000</v>
      </c>
      <c r="N352" s="148"/>
      <c r="O352" s="150">
        <v>223380</v>
      </c>
      <c r="P352" s="150">
        <v>17916</v>
      </c>
      <c r="Q352" s="154">
        <v>0.532</v>
      </c>
      <c r="R352" s="154">
        <v>0.468</v>
      </c>
      <c r="S352" s="148"/>
      <c r="T352" s="148"/>
      <c r="U352" s="154">
        <v>0.113</v>
      </c>
      <c r="V352" s="154">
        <v>0.439</v>
      </c>
      <c r="W352" s="154">
        <v>0.287</v>
      </c>
      <c r="X352" s="154">
        <v>0.106</v>
      </c>
      <c r="Y352" s="154">
        <v>0.031</v>
      </c>
      <c r="Z352" s="154">
        <v>0.024</v>
      </c>
      <c r="AA352" s="148" t="s">
        <v>45</v>
      </c>
    </row>
    <row r="353" spans="1:27">
      <c r="A353" s="147">
        <v>1420</v>
      </c>
      <c r="B353" s="147" t="s">
        <v>27</v>
      </c>
      <c r="C353" s="147" t="s">
        <v>53</v>
      </c>
      <c r="D353" s="148" t="s">
        <v>56</v>
      </c>
      <c r="E353" s="148" t="s">
        <v>30</v>
      </c>
      <c r="F353" s="149">
        <v>2026</v>
      </c>
      <c r="G353" s="148" t="s">
        <v>35</v>
      </c>
      <c r="H353" s="149">
        <v>185</v>
      </c>
      <c r="I353" s="150">
        <v>94188</v>
      </c>
      <c r="J353" s="149">
        <v>302</v>
      </c>
      <c r="K353" s="150">
        <v>496726</v>
      </c>
      <c r="L353" s="151">
        <v>1</v>
      </c>
      <c r="M353" s="152">
        <f t="shared" si="5"/>
        <v>17000</v>
      </c>
      <c r="N353" s="148"/>
      <c r="O353" s="150">
        <v>176483</v>
      </c>
      <c r="P353" s="150">
        <v>16029</v>
      </c>
      <c r="Q353" s="154">
        <v>0.531</v>
      </c>
      <c r="R353" s="154">
        <v>0.469</v>
      </c>
      <c r="S353" s="148"/>
      <c r="T353" s="148"/>
      <c r="U353" s="154">
        <v>0.112</v>
      </c>
      <c r="V353" s="154">
        <v>0.437</v>
      </c>
      <c r="W353" s="154">
        <v>0.289</v>
      </c>
      <c r="X353" s="154">
        <v>0.107</v>
      </c>
      <c r="Y353" s="154">
        <v>0.031</v>
      </c>
      <c r="Z353" s="154">
        <v>0.024</v>
      </c>
      <c r="AA353" s="148" t="s">
        <v>45</v>
      </c>
    </row>
    <row r="354" spans="1:27">
      <c r="A354" s="147">
        <v>1421</v>
      </c>
      <c r="B354" s="147" t="s">
        <v>27</v>
      </c>
      <c r="C354" s="147" t="s">
        <v>53</v>
      </c>
      <c r="D354" s="148" t="s">
        <v>56</v>
      </c>
      <c r="E354" s="148" t="s">
        <v>30</v>
      </c>
      <c r="F354" s="149">
        <v>2026</v>
      </c>
      <c r="G354" s="148" t="s">
        <v>36</v>
      </c>
      <c r="H354" s="149">
        <v>188</v>
      </c>
      <c r="I354" s="150">
        <v>94110</v>
      </c>
      <c r="J354" s="149">
        <v>161</v>
      </c>
      <c r="K354" s="150">
        <v>745849</v>
      </c>
      <c r="L354" s="151">
        <v>4</v>
      </c>
      <c r="M354" s="152">
        <f t="shared" si="5"/>
        <v>68000</v>
      </c>
      <c r="N354" s="148"/>
      <c r="O354" s="150">
        <v>270308</v>
      </c>
      <c r="P354" s="150">
        <v>16722</v>
      </c>
      <c r="Q354" s="154">
        <v>0.533</v>
      </c>
      <c r="R354" s="154">
        <v>0.467</v>
      </c>
      <c r="S354" s="148"/>
      <c r="T354" s="148"/>
      <c r="U354" s="154">
        <v>0.11</v>
      </c>
      <c r="V354" s="154">
        <v>0.437</v>
      </c>
      <c r="W354" s="154">
        <v>0.289</v>
      </c>
      <c r="X354" s="154">
        <v>0.108</v>
      </c>
      <c r="Y354" s="154">
        <v>0.032</v>
      </c>
      <c r="Z354" s="154">
        <v>0.024</v>
      </c>
      <c r="AA354" s="148" t="s">
        <v>45</v>
      </c>
    </row>
    <row r="355" spans="1:27">
      <c r="A355" s="147">
        <v>1422</v>
      </c>
      <c r="B355" s="147" t="s">
        <v>27</v>
      </c>
      <c r="C355" s="147" t="s">
        <v>53</v>
      </c>
      <c r="D355" s="148" t="s">
        <v>56</v>
      </c>
      <c r="E355" s="148" t="s">
        <v>30</v>
      </c>
      <c r="F355" s="149">
        <v>2026</v>
      </c>
      <c r="G355" s="148" t="s">
        <v>37</v>
      </c>
      <c r="H355" s="149">
        <v>227</v>
      </c>
      <c r="I355" s="150">
        <v>94395</v>
      </c>
      <c r="J355" s="149">
        <v>661</v>
      </c>
      <c r="K355" s="150">
        <v>2446271</v>
      </c>
      <c r="L355" s="151">
        <v>20</v>
      </c>
      <c r="M355" s="152">
        <f t="shared" si="5"/>
        <v>340000</v>
      </c>
      <c r="N355" s="148"/>
      <c r="O355" s="150">
        <v>1085095</v>
      </c>
      <c r="P355" s="150">
        <v>23923</v>
      </c>
      <c r="Q355" s="154">
        <v>0.532</v>
      </c>
      <c r="R355" s="154">
        <v>0.468</v>
      </c>
      <c r="S355" s="148"/>
      <c r="T355" s="148"/>
      <c r="U355" s="154">
        <v>0.108</v>
      </c>
      <c r="V355" s="154">
        <v>0.437</v>
      </c>
      <c r="W355" s="154">
        <v>0.291</v>
      </c>
      <c r="X355" s="154">
        <v>0.108</v>
      </c>
      <c r="Y355" s="154">
        <v>0.032</v>
      </c>
      <c r="Z355" s="154">
        <v>0.024</v>
      </c>
      <c r="AA355" s="148" t="s">
        <v>45</v>
      </c>
    </row>
    <row r="356" spans="1:27">
      <c r="A356" s="147">
        <v>1423</v>
      </c>
      <c r="B356" s="147" t="s">
        <v>27</v>
      </c>
      <c r="C356" s="147" t="s">
        <v>53</v>
      </c>
      <c r="D356" s="148" t="s">
        <v>56</v>
      </c>
      <c r="E356" s="148" t="s">
        <v>30</v>
      </c>
      <c r="F356" s="149">
        <v>2026</v>
      </c>
      <c r="G356" s="148" t="s">
        <v>38</v>
      </c>
      <c r="H356" s="149">
        <v>247</v>
      </c>
      <c r="I356" s="150">
        <v>94358</v>
      </c>
      <c r="J356" s="149">
        <v>312</v>
      </c>
      <c r="K356" s="150">
        <v>1809775</v>
      </c>
      <c r="L356" s="151">
        <v>20</v>
      </c>
      <c r="M356" s="152">
        <f t="shared" si="5"/>
        <v>340000</v>
      </c>
      <c r="N356" s="148"/>
      <c r="O356" s="150">
        <v>747637</v>
      </c>
      <c r="P356" s="150">
        <v>24380</v>
      </c>
      <c r="Q356" s="154">
        <v>0.501</v>
      </c>
      <c r="R356" s="154">
        <v>0.499</v>
      </c>
      <c r="S356" s="148"/>
      <c r="T356" s="148"/>
      <c r="U356" s="154">
        <v>0.107</v>
      </c>
      <c r="V356" s="154">
        <v>0.422</v>
      </c>
      <c r="W356" s="154">
        <v>0.294</v>
      </c>
      <c r="X356" s="154">
        <v>0.116</v>
      </c>
      <c r="Y356" s="154">
        <v>0.037</v>
      </c>
      <c r="Z356" s="154">
        <v>0.024</v>
      </c>
      <c r="AA356" s="148" t="s">
        <v>45</v>
      </c>
    </row>
    <row r="357" spans="1:27">
      <c r="A357" s="147">
        <v>1424</v>
      </c>
      <c r="B357" s="147" t="s">
        <v>27</v>
      </c>
      <c r="C357" s="147" t="s">
        <v>53</v>
      </c>
      <c r="D357" s="148" t="s">
        <v>56</v>
      </c>
      <c r="E357" s="148" t="s">
        <v>30</v>
      </c>
      <c r="F357" s="149">
        <v>2026</v>
      </c>
      <c r="G357" s="148" t="s">
        <v>39</v>
      </c>
      <c r="H357" s="148"/>
      <c r="I357" s="148"/>
      <c r="J357" s="148"/>
      <c r="K357" s="148"/>
      <c r="L357" s="152"/>
      <c r="M357" s="152">
        <f t="shared" si="5"/>
        <v>0</v>
      </c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</row>
    <row r="358" spans="1:27">
      <c r="A358" s="147">
        <v>1425</v>
      </c>
      <c r="B358" s="147" t="s">
        <v>27</v>
      </c>
      <c r="C358" s="147" t="s">
        <v>53</v>
      </c>
      <c r="D358" s="148" t="s">
        <v>56</v>
      </c>
      <c r="E358" s="148" t="s">
        <v>30</v>
      </c>
      <c r="F358" s="149">
        <v>2026</v>
      </c>
      <c r="G358" s="148" t="s">
        <v>40</v>
      </c>
      <c r="H358" s="148"/>
      <c r="I358" s="148"/>
      <c r="J358" s="148"/>
      <c r="K358" s="148"/>
      <c r="L358" s="152"/>
      <c r="M358" s="152">
        <f t="shared" si="5"/>
        <v>0</v>
      </c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</row>
    <row r="359" spans="1:27">
      <c r="A359" s="147">
        <v>1426</v>
      </c>
      <c r="B359" s="147" t="s">
        <v>27</v>
      </c>
      <c r="C359" s="147" t="s">
        <v>53</v>
      </c>
      <c r="D359" s="148" t="s">
        <v>56</v>
      </c>
      <c r="E359" s="148" t="s">
        <v>30</v>
      </c>
      <c r="F359" s="149">
        <v>2026</v>
      </c>
      <c r="G359" s="148" t="s">
        <v>41</v>
      </c>
      <c r="H359" s="148"/>
      <c r="I359" s="148"/>
      <c r="J359" s="148"/>
      <c r="K359" s="148"/>
      <c r="L359" s="152"/>
      <c r="M359" s="152">
        <f t="shared" si="5"/>
        <v>0</v>
      </c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</row>
    <row r="360" spans="1:27">
      <c r="A360" s="147">
        <v>1427</v>
      </c>
      <c r="B360" s="147" t="s">
        <v>27</v>
      </c>
      <c r="C360" s="147" t="s">
        <v>53</v>
      </c>
      <c r="D360" s="148" t="s">
        <v>56</v>
      </c>
      <c r="E360" s="148" t="s">
        <v>30</v>
      </c>
      <c r="F360" s="149">
        <v>2026</v>
      </c>
      <c r="G360" s="148" t="s">
        <v>42</v>
      </c>
      <c r="H360" s="148"/>
      <c r="I360" s="148"/>
      <c r="J360" s="148"/>
      <c r="K360" s="148"/>
      <c r="L360" s="152"/>
      <c r="M360" s="152">
        <f t="shared" si="5"/>
        <v>0</v>
      </c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</row>
    <row r="361" spans="1:27">
      <c r="A361" s="147">
        <v>1428</v>
      </c>
      <c r="B361" s="147" t="s">
        <v>27</v>
      </c>
      <c r="C361" s="147" t="s">
        <v>53</v>
      </c>
      <c r="D361" s="148" t="s">
        <v>56</v>
      </c>
      <c r="E361" s="148" t="s">
        <v>30</v>
      </c>
      <c r="F361" s="149">
        <v>2026</v>
      </c>
      <c r="G361" s="148" t="s">
        <v>43</v>
      </c>
      <c r="H361" s="148"/>
      <c r="I361" s="148"/>
      <c r="J361" s="148"/>
      <c r="K361" s="148"/>
      <c r="L361" s="152"/>
      <c r="M361" s="152">
        <f t="shared" si="5"/>
        <v>0</v>
      </c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</row>
    <row r="362" spans="1:27">
      <c r="A362" s="147">
        <v>1441</v>
      </c>
      <c r="B362" s="147" t="s">
        <v>27</v>
      </c>
      <c r="C362" s="147" t="s">
        <v>53</v>
      </c>
      <c r="D362" s="148" t="s">
        <v>57</v>
      </c>
      <c r="E362" s="148" t="s">
        <v>30</v>
      </c>
      <c r="F362" s="149">
        <v>2024</v>
      </c>
      <c r="G362" s="148" t="s">
        <v>31</v>
      </c>
      <c r="H362" s="149">
        <v>99</v>
      </c>
      <c r="I362" s="150">
        <v>10461</v>
      </c>
      <c r="J362" s="149">
        <v>275</v>
      </c>
      <c r="K362" s="149" t="s">
        <v>32</v>
      </c>
      <c r="L362" s="151">
        <v>0</v>
      </c>
      <c r="M362" s="152">
        <f t="shared" si="5"/>
        <v>0</v>
      </c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</row>
    <row r="363" spans="1:27">
      <c r="A363" s="147">
        <v>1442</v>
      </c>
      <c r="B363" s="147" t="s">
        <v>27</v>
      </c>
      <c r="C363" s="147" t="s">
        <v>53</v>
      </c>
      <c r="D363" s="148" t="s">
        <v>57</v>
      </c>
      <c r="E363" s="148" t="s">
        <v>30</v>
      </c>
      <c r="F363" s="149">
        <v>2024</v>
      </c>
      <c r="G363" s="148" t="s">
        <v>33</v>
      </c>
      <c r="H363" s="149">
        <v>116</v>
      </c>
      <c r="I363" s="150">
        <v>10553</v>
      </c>
      <c r="J363" s="149">
        <v>92</v>
      </c>
      <c r="K363" s="149" t="s">
        <v>32</v>
      </c>
      <c r="L363" s="151">
        <v>0</v>
      </c>
      <c r="M363" s="152">
        <f t="shared" si="5"/>
        <v>0</v>
      </c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</row>
    <row r="364" spans="1:27">
      <c r="A364" s="147">
        <v>1443</v>
      </c>
      <c r="B364" s="147" t="s">
        <v>27</v>
      </c>
      <c r="C364" s="147" t="s">
        <v>53</v>
      </c>
      <c r="D364" s="148" t="s">
        <v>57</v>
      </c>
      <c r="E364" s="148" t="s">
        <v>30</v>
      </c>
      <c r="F364" s="149">
        <v>2024</v>
      </c>
      <c r="G364" s="148" t="s">
        <v>34</v>
      </c>
      <c r="H364" s="149">
        <v>108</v>
      </c>
      <c r="I364" s="150">
        <v>11388</v>
      </c>
      <c r="J364" s="149">
        <v>835</v>
      </c>
      <c r="K364" s="149" t="s">
        <v>32</v>
      </c>
      <c r="L364" s="151">
        <v>0</v>
      </c>
      <c r="M364" s="152">
        <f t="shared" si="5"/>
        <v>0</v>
      </c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</row>
    <row r="365" spans="1:27">
      <c r="A365" s="147">
        <v>1444</v>
      </c>
      <c r="B365" s="147" t="s">
        <v>27</v>
      </c>
      <c r="C365" s="147" t="s">
        <v>53</v>
      </c>
      <c r="D365" s="148" t="s">
        <v>57</v>
      </c>
      <c r="E365" s="148" t="s">
        <v>30</v>
      </c>
      <c r="F365" s="149">
        <v>2024</v>
      </c>
      <c r="G365" s="148" t="s">
        <v>35</v>
      </c>
      <c r="H365" s="149">
        <v>82</v>
      </c>
      <c r="I365" s="150">
        <v>11732</v>
      </c>
      <c r="J365" s="149">
        <v>344</v>
      </c>
      <c r="K365" s="149" t="s">
        <v>32</v>
      </c>
      <c r="L365" s="151">
        <v>0</v>
      </c>
      <c r="M365" s="152">
        <f t="shared" si="5"/>
        <v>0</v>
      </c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</row>
    <row r="366" spans="1:27">
      <c r="A366" s="147">
        <v>1445</v>
      </c>
      <c r="B366" s="147" t="s">
        <v>27</v>
      </c>
      <c r="C366" s="147" t="s">
        <v>53</v>
      </c>
      <c r="D366" s="148" t="s">
        <v>57</v>
      </c>
      <c r="E366" s="148" t="s">
        <v>30</v>
      </c>
      <c r="F366" s="149">
        <v>2024</v>
      </c>
      <c r="G366" s="148" t="s">
        <v>36</v>
      </c>
      <c r="H366" s="149">
        <v>102</v>
      </c>
      <c r="I366" s="150">
        <v>12133</v>
      </c>
      <c r="J366" s="149">
        <v>401</v>
      </c>
      <c r="K366" s="149" t="s">
        <v>32</v>
      </c>
      <c r="L366" s="151">
        <v>0</v>
      </c>
      <c r="M366" s="152">
        <f t="shared" si="5"/>
        <v>0</v>
      </c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</row>
    <row r="367" spans="1:27">
      <c r="A367" s="147">
        <v>1446</v>
      </c>
      <c r="B367" s="147" t="s">
        <v>27</v>
      </c>
      <c r="C367" s="147" t="s">
        <v>53</v>
      </c>
      <c r="D367" s="148" t="s">
        <v>57</v>
      </c>
      <c r="E367" s="148" t="s">
        <v>30</v>
      </c>
      <c r="F367" s="149">
        <v>2024</v>
      </c>
      <c r="G367" s="148" t="s">
        <v>37</v>
      </c>
      <c r="H367" s="149">
        <v>113</v>
      </c>
      <c r="I367" s="150">
        <v>12210</v>
      </c>
      <c r="J367" s="149">
        <v>77</v>
      </c>
      <c r="K367" s="149" t="s">
        <v>32</v>
      </c>
      <c r="L367" s="151">
        <v>0</v>
      </c>
      <c r="M367" s="152">
        <f t="shared" si="5"/>
        <v>0</v>
      </c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</row>
    <row r="368" spans="1:27">
      <c r="A368" s="147">
        <v>1447</v>
      </c>
      <c r="B368" s="147" t="s">
        <v>27</v>
      </c>
      <c r="C368" s="147" t="s">
        <v>53</v>
      </c>
      <c r="D368" s="148" t="s">
        <v>57</v>
      </c>
      <c r="E368" s="148" t="s">
        <v>30</v>
      </c>
      <c r="F368" s="149">
        <v>2024</v>
      </c>
      <c r="G368" s="148" t="s">
        <v>38</v>
      </c>
      <c r="H368" s="149">
        <v>84</v>
      </c>
      <c r="I368" s="150">
        <v>12234</v>
      </c>
      <c r="J368" s="149">
        <v>24</v>
      </c>
      <c r="K368" s="149" t="s">
        <v>32</v>
      </c>
      <c r="L368" s="151">
        <v>0</v>
      </c>
      <c r="M368" s="152">
        <f t="shared" si="5"/>
        <v>0</v>
      </c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</row>
    <row r="369" spans="1:27">
      <c r="A369" s="147">
        <v>1448</v>
      </c>
      <c r="B369" s="147" t="s">
        <v>27</v>
      </c>
      <c r="C369" s="147" t="s">
        <v>53</v>
      </c>
      <c r="D369" s="148" t="s">
        <v>57</v>
      </c>
      <c r="E369" s="148" t="s">
        <v>30</v>
      </c>
      <c r="F369" s="149">
        <v>2024</v>
      </c>
      <c r="G369" s="148" t="s">
        <v>39</v>
      </c>
      <c r="H369" s="149">
        <v>82</v>
      </c>
      <c r="I369" s="150">
        <v>12242</v>
      </c>
      <c r="J369" s="149">
        <v>8</v>
      </c>
      <c r="K369" s="148" t="s">
        <v>32</v>
      </c>
      <c r="L369" s="151">
        <v>0</v>
      </c>
      <c r="M369" s="152">
        <f t="shared" si="5"/>
        <v>0</v>
      </c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</row>
    <row r="370" spans="1:27">
      <c r="A370" s="147">
        <v>1449</v>
      </c>
      <c r="B370" s="147" t="s">
        <v>27</v>
      </c>
      <c r="C370" s="147" t="s">
        <v>53</v>
      </c>
      <c r="D370" s="148" t="s">
        <v>57</v>
      </c>
      <c r="E370" s="148" t="s">
        <v>30</v>
      </c>
      <c r="F370" s="149">
        <v>2024</v>
      </c>
      <c r="G370" s="148" t="s">
        <v>40</v>
      </c>
      <c r="H370" s="149">
        <v>90</v>
      </c>
      <c r="I370" s="150">
        <v>12255</v>
      </c>
      <c r="J370" s="149">
        <v>13</v>
      </c>
      <c r="K370" s="148" t="s">
        <v>32</v>
      </c>
      <c r="L370" s="151">
        <v>0</v>
      </c>
      <c r="M370" s="152">
        <f t="shared" si="5"/>
        <v>0</v>
      </c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</row>
    <row r="371" spans="1:27">
      <c r="A371" s="147">
        <v>1450</v>
      </c>
      <c r="B371" s="147" t="s">
        <v>27</v>
      </c>
      <c r="C371" s="147" t="s">
        <v>53</v>
      </c>
      <c r="D371" s="148" t="s">
        <v>57</v>
      </c>
      <c r="E371" s="148" t="s">
        <v>30</v>
      </c>
      <c r="F371" s="149">
        <v>2024</v>
      </c>
      <c r="G371" s="148" t="s">
        <v>41</v>
      </c>
      <c r="H371" s="149">
        <v>95</v>
      </c>
      <c r="I371" s="150">
        <v>12260</v>
      </c>
      <c r="J371" s="149">
        <v>5</v>
      </c>
      <c r="K371" s="150">
        <v>21894</v>
      </c>
      <c r="L371" s="151">
        <v>0</v>
      </c>
      <c r="M371" s="152">
        <f t="shared" si="5"/>
        <v>0</v>
      </c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</row>
    <row r="372" spans="1:27">
      <c r="A372" s="147">
        <v>1451</v>
      </c>
      <c r="B372" s="147" t="s">
        <v>27</v>
      </c>
      <c r="C372" s="147" t="s">
        <v>53</v>
      </c>
      <c r="D372" s="148" t="s">
        <v>57</v>
      </c>
      <c r="E372" s="148" t="s">
        <v>30</v>
      </c>
      <c r="F372" s="149">
        <v>2024</v>
      </c>
      <c r="G372" s="148" t="s">
        <v>42</v>
      </c>
      <c r="H372" s="149">
        <v>87</v>
      </c>
      <c r="I372" s="150">
        <v>12264</v>
      </c>
      <c r="J372" s="149">
        <v>4</v>
      </c>
      <c r="K372" s="150">
        <v>12989</v>
      </c>
      <c r="L372" s="151">
        <v>0</v>
      </c>
      <c r="M372" s="152">
        <f t="shared" si="5"/>
        <v>0</v>
      </c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</row>
    <row r="373" spans="1:27">
      <c r="A373" s="147">
        <v>1452</v>
      </c>
      <c r="B373" s="147" t="s">
        <v>27</v>
      </c>
      <c r="C373" s="147" t="s">
        <v>53</v>
      </c>
      <c r="D373" s="148" t="s">
        <v>57</v>
      </c>
      <c r="E373" s="148" t="s">
        <v>30</v>
      </c>
      <c r="F373" s="149">
        <v>2024</v>
      </c>
      <c r="G373" s="148" t="s">
        <v>43</v>
      </c>
      <c r="H373" s="149">
        <v>90</v>
      </c>
      <c r="I373" s="150">
        <v>12277</v>
      </c>
      <c r="J373" s="149">
        <v>13</v>
      </c>
      <c r="K373" s="150">
        <v>19443</v>
      </c>
      <c r="L373" s="151">
        <v>0</v>
      </c>
      <c r="M373" s="152">
        <f t="shared" si="5"/>
        <v>0</v>
      </c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</row>
    <row r="374" spans="1:27">
      <c r="A374" s="147">
        <v>1453</v>
      </c>
      <c r="B374" s="147" t="s">
        <v>27</v>
      </c>
      <c r="C374" s="147" t="s">
        <v>53</v>
      </c>
      <c r="D374" s="148" t="s">
        <v>57</v>
      </c>
      <c r="E374" s="148" t="s">
        <v>30</v>
      </c>
      <c r="F374" s="149">
        <v>2025</v>
      </c>
      <c r="G374" s="148" t="s">
        <v>31</v>
      </c>
      <c r="H374" s="149">
        <v>72</v>
      </c>
      <c r="I374" s="150">
        <v>12307</v>
      </c>
      <c r="J374" s="149">
        <v>30</v>
      </c>
      <c r="K374" s="150">
        <v>27760</v>
      </c>
      <c r="L374" s="151">
        <v>0</v>
      </c>
      <c r="M374" s="152">
        <f t="shared" si="5"/>
        <v>0</v>
      </c>
      <c r="N374" s="148"/>
      <c r="O374" s="148" t="s">
        <v>48</v>
      </c>
      <c r="P374" s="149">
        <v>274</v>
      </c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</row>
    <row r="375" spans="1:27">
      <c r="A375" s="147">
        <v>1454</v>
      </c>
      <c r="B375" s="147" t="s">
        <v>27</v>
      </c>
      <c r="C375" s="147" t="s">
        <v>53</v>
      </c>
      <c r="D375" s="148" t="s">
        <v>57</v>
      </c>
      <c r="E375" s="148" t="s">
        <v>30</v>
      </c>
      <c r="F375" s="149">
        <v>2025</v>
      </c>
      <c r="G375" s="148" t="s">
        <v>33</v>
      </c>
      <c r="H375" s="149">
        <v>55</v>
      </c>
      <c r="I375" s="150">
        <v>12332</v>
      </c>
      <c r="J375" s="149">
        <v>25</v>
      </c>
      <c r="K375" s="150">
        <v>113666</v>
      </c>
      <c r="L375" s="151">
        <v>0</v>
      </c>
      <c r="M375" s="152">
        <f t="shared" si="5"/>
        <v>0</v>
      </c>
      <c r="N375" s="148"/>
      <c r="O375" s="148" t="s">
        <v>48</v>
      </c>
      <c r="P375" s="150">
        <v>1649</v>
      </c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</row>
    <row r="376" spans="1:27">
      <c r="A376" s="147">
        <v>1455</v>
      </c>
      <c r="B376" s="147" t="s">
        <v>27</v>
      </c>
      <c r="C376" s="147" t="s">
        <v>53</v>
      </c>
      <c r="D376" s="148" t="s">
        <v>57</v>
      </c>
      <c r="E376" s="148" t="s">
        <v>30</v>
      </c>
      <c r="F376" s="149">
        <v>2025</v>
      </c>
      <c r="G376" s="148" t="s">
        <v>34</v>
      </c>
      <c r="H376" s="149">
        <v>62</v>
      </c>
      <c r="I376" s="150">
        <v>12396</v>
      </c>
      <c r="J376" s="149">
        <v>64</v>
      </c>
      <c r="K376" s="150">
        <v>85706</v>
      </c>
      <c r="L376" s="151">
        <v>0</v>
      </c>
      <c r="M376" s="152">
        <f t="shared" si="5"/>
        <v>0</v>
      </c>
      <c r="N376" s="148"/>
      <c r="O376" s="148" t="s">
        <v>48</v>
      </c>
      <c r="P376" s="150">
        <v>1319</v>
      </c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</row>
    <row r="377" spans="1:27">
      <c r="A377" s="147">
        <v>1456</v>
      </c>
      <c r="B377" s="147" t="s">
        <v>27</v>
      </c>
      <c r="C377" s="147" t="s">
        <v>53</v>
      </c>
      <c r="D377" s="148" t="s">
        <v>57</v>
      </c>
      <c r="E377" s="148" t="s">
        <v>30</v>
      </c>
      <c r="F377" s="149">
        <v>2025</v>
      </c>
      <c r="G377" s="148" t="s">
        <v>35</v>
      </c>
      <c r="H377" s="149">
        <v>63</v>
      </c>
      <c r="I377" s="150">
        <v>12601</v>
      </c>
      <c r="J377" s="149">
        <v>205</v>
      </c>
      <c r="K377" s="150">
        <v>1296506</v>
      </c>
      <c r="L377" s="151">
        <v>0</v>
      </c>
      <c r="M377" s="152">
        <f t="shared" si="5"/>
        <v>0</v>
      </c>
      <c r="N377" s="148"/>
      <c r="O377" s="148" t="s">
        <v>48</v>
      </c>
      <c r="P377" s="150">
        <v>14879</v>
      </c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</row>
    <row r="378" spans="1:27">
      <c r="A378" s="147">
        <v>1457</v>
      </c>
      <c r="B378" s="147" t="s">
        <v>27</v>
      </c>
      <c r="C378" s="147" t="s">
        <v>53</v>
      </c>
      <c r="D378" s="148" t="s">
        <v>57</v>
      </c>
      <c r="E378" s="148" t="s">
        <v>30</v>
      </c>
      <c r="F378" s="149">
        <v>2025</v>
      </c>
      <c r="G378" s="148" t="s">
        <v>36</v>
      </c>
      <c r="H378" s="149">
        <v>70</v>
      </c>
      <c r="I378" s="150">
        <v>12678</v>
      </c>
      <c r="J378" s="149">
        <v>77</v>
      </c>
      <c r="K378" s="150">
        <v>435406</v>
      </c>
      <c r="L378" s="151">
        <v>0</v>
      </c>
      <c r="M378" s="152">
        <f t="shared" si="5"/>
        <v>0</v>
      </c>
      <c r="N378" s="148"/>
      <c r="O378" s="148" t="s">
        <v>48</v>
      </c>
      <c r="P378" s="150">
        <v>3475</v>
      </c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</row>
    <row r="379" spans="1:27">
      <c r="A379" s="147">
        <v>1458</v>
      </c>
      <c r="B379" s="147" t="s">
        <v>27</v>
      </c>
      <c r="C379" s="147" t="s">
        <v>53</v>
      </c>
      <c r="D379" s="148" t="s">
        <v>57</v>
      </c>
      <c r="E379" s="148" t="s">
        <v>30</v>
      </c>
      <c r="F379" s="149">
        <v>2025</v>
      </c>
      <c r="G379" s="148" t="s">
        <v>37</v>
      </c>
      <c r="H379" s="149">
        <v>77</v>
      </c>
      <c r="I379" s="150">
        <v>12692</v>
      </c>
      <c r="J379" s="149">
        <v>14</v>
      </c>
      <c r="K379" s="150">
        <v>42853</v>
      </c>
      <c r="L379" s="151">
        <v>0</v>
      </c>
      <c r="M379" s="152">
        <f t="shared" si="5"/>
        <v>0</v>
      </c>
      <c r="N379" s="148"/>
      <c r="O379" s="148" t="s">
        <v>48</v>
      </c>
      <c r="P379" s="149">
        <v>230</v>
      </c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</row>
    <row r="380" spans="1:27">
      <c r="A380" s="147">
        <v>1459</v>
      </c>
      <c r="B380" s="147" t="s">
        <v>27</v>
      </c>
      <c r="C380" s="147" t="s">
        <v>53</v>
      </c>
      <c r="D380" s="148" t="s">
        <v>57</v>
      </c>
      <c r="E380" s="148" t="s">
        <v>30</v>
      </c>
      <c r="F380" s="149">
        <v>2025</v>
      </c>
      <c r="G380" s="148" t="s">
        <v>38</v>
      </c>
      <c r="H380" s="149">
        <v>84</v>
      </c>
      <c r="I380" s="150">
        <v>12728</v>
      </c>
      <c r="J380" s="149">
        <v>36</v>
      </c>
      <c r="K380" s="150">
        <v>49701</v>
      </c>
      <c r="L380" s="151">
        <v>0</v>
      </c>
      <c r="M380" s="152">
        <f t="shared" si="5"/>
        <v>0</v>
      </c>
      <c r="N380" s="148"/>
      <c r="O380" s="150">
        <v>22966</v>
      </c>
      <c r="P380" s="149">
        <v>278</v>
      </c>
      <c r="Q380" s="154">
        <v>0.476</v>
      </c>
      <c r="R380" s="154">
        <v>0.524</v>
      </c>
      <c r="S380" s="148"/>
      <c r="T380" s="148" t="s">
        <v>44</v>
      </c>
      <c r="U380" s="154">
        <v>0.099</v>
      </c>
      <c r="V380" s="154">
        <v>0.304</v>
      </c>
      <c r="W380" s="154">
        <v>0.304</v>
      </c>
      <c r="X380" s="154">
        <v>0.186</v>
      </c>
      <c r="Y380" s="154">
        <v>0.07</v>
      </c>
      <c r="Z380" s="154">
        <v>0.037</v>
      </c>
      <c r="AA380" s="148" t="s">
        <v>45</v>
      </c>
    </row>
    <row r="381" spans="1:27">
      <c r="A381" s="147">
        <v>1460</v>
      </c>
      <c r="B381" s="147" t="s">
        <v>27</v>
      </c>
      <c r="C381" s="147" t="s">
        <v>53</v>
      </c>
      <c r="D381" s="148" t="s">
        <v>57</v>
      </c>
      <c r="E381" s="148" t="s">
        <v>30</v>
      </c>
      <c r="F381" s="149">
        <v>2025</v>
      </c>
      <c r="G381" s="148" t="s">
        <v>39</v>
      </c>
      <c r="H381" s="149">
        <v>100</v>
      </c>
      <c r="I381" s="150">
        <v>12734</v>
      </c>
      <c r="J381" s="149">
        <v>22</v>
      </c>
      <c r="K381" s="150">
        <v>54514</v>
      </c>
      <c r="L381" s="151">
        <v>0</v>
      </c>
      <c r="M381" s="152">
        <f t="shared" si="5"/>
        <v>0</v>
      </c>
      <c r="N381" s="148"/>
      <c r="O381" s="150">
        <v>20842</v>
      </c>
      <c r="P381" s="149">
        <v>424</v>
      </c>
      <c r="Q381" s="154">
        <v>0.523</v>
      </c>
      <c r="R381" s="154">
        <v>0.477</v>
      </c>
      <c r="S381" s="148"/>
      <c r="T381" s="148"/>
      <c r="U381" s="154">
        <v>0.097</v>
      </c>
      <c r="V381" s="154">
        <v>0.303</v>
      </c>
      <c r="W381" s="154">
        <v>0.304</v>
      </c>
      <c r="X381" s="154">
        <v>0.188</v>
      </c>
      <c r="Y381" s="154">
        <v>0.071</v>
      </c>
      <c r="Z381" s="154">
        <v>0.037</v>
      </c>
      <c r="AA381" s="148" t="s">
        <v>45</v>
      </c>
    </row>
    <row r="382" spans="1:27">
      <c r="A382" s="147">
        <v>1461</v>
      </c>
      <c r="B382" s="147" t="s">
        <v>27</v>
      </c>
      <c r="C382" s="147" t="s">
        <v>53</v>
      </c>
      <c r="D382" s="148" t="s">
        <v>57</v>
      </c>
      <c r="E382" s="148" t="s">
        <v>30</v>
      </c>
      <c r="F382" s="149">
        <v>2025</v>
      </c>
      <c r="G382" s="148" t="s">
        <v>40</v>
      </c>
      <c r="H382" s="149">
        <v>102</v>
      </c>
      <c r="I382" s="150">
        <v>12742</v>
      </c>
      <c r="J382" s="149">
        <v>37</v>
      </c>
      <c r="K382" s="150">
        <v>114298</v>
      </c>
      <c r="L382" s="151">
        <v>0</v>
      </c>
      <c r="M382" s="152">
        <f t="shared" si="5"/>
        <v>0</v>
      </c>
      <c r="N382" s="148"/>
      <c r="O382" s="150">
        <v>51951</v>
      </c>
      <c r="P382" s="149">
        <v>871</v>
      </c>
      <c r="Q382" s="154">
        <v>0.523</v>
      </c>
      <c r="R382" s="154">
        <v>0.477</v>
      </c>
      <c r="S382" s="148"/>
      <c r="T382" s="148"/>
      <c r="U382" s="154">
        <v>0.095</v>
      </c>
      <c r="V382" s="154">
        <v>0.304</v>
      </c>
      <c r="W382" s="154">
        <v>0.304</v>
      </c>
      <c r="X382" s="154">
        <v>0.187</v>
      </c>
      <c r="Y382" s="154">
        <v>0.073</v>
      </c>
      <c r="Z382" s="154">
        <v>0.037</v>
      </c>
      <c r="AA382" s="148" t="s">
        <v>45</v>
      </c>
    </row>
    <row r="383" spans="1:27">
      <c r="A383" s="147">
        <v>1462</v>
      </c>
      <c r="B383" s="147" t="s">
        <v>27</v>
      </c>
      <c r="C383" s="147" t="s">
        <v>53</v>
      </c>
      <c r="D383" s="148" t="s">
        <v>57</v>
      </c>
      <c r="E383" s="148" t="s">
        <v>30</v>
      </c>
      <c r="F383" s="149">
        <v>2025</v>
      </c>
      <c r="G383" s="148" t="s">
        <v>41</v>
      </c>
      <c r="H383" s="149">
        <v>133</v>
      </c>
      <c r="I383" s="150">
        <v>12758</v>
      </c>
      <c r="J383" s="149">
        <v>49</v>
      </c>
      <c r="K383" s="150">
        <v>223181</v>
      </c>
      <c r="L383" s="151">
        <v>0</v>
      </c>
      <c r="M383" s="152">
        <f t="shared" si="5"/>
        <v>0</v>
      </c>
      <c r="N383" s="148"/>
      <c r="O383" s="150">
        <v>80757</v>
      </c>
      <c r="P383" s="150">
        <v>2437</v>
      </c>
      <c r="Q383" s="154">
        <v>0.523</v>
      </c>
      <c r="R383" s="154">
        <v>0.477</v>
      </c>
      <c r="S383" s="148"/>
      <c r="T383" s="148"/>
      <c r="U383" s="154">
        <v>0.094</v>
      </c>
      <c r="V383" s="154">
        <v>0.303</v>
      </c>
      <c r="W383" s="154">
        <v>0.304</v>
      </c>
      <c r="X383" s="154">
        <v>0.19</v>
      </c>
      <c r="Y383" s="154">
        <v>0.071</v>
      </c>
      <c r="Z383" s="154">
        <v>0.038</v>
      </c>
      <c r="AA383" s="148" t="s">
        <v>45</v>
      </c>
    </row>
    <row r="384" spans="1:27">
      <c r="A384" s="147">
        <v>1463</v>
      </c>
      <c r="B384" s="147" t="s">
        <v>27</v>
      </c>
      <c r="C384" s="147" t="s">
        <v>53</v>
      </c>
      <c r="D384" s="148" t="s">
        <v>57</v>
      </c>
      <c r="E384" s="148" t="s">
        <v>30</v>
      </c>
      <c r="F384" s="149">
        <v>2025</v>
      </c>
      <c r="G384" s="148" t="s">
        <v>42</v>
      </c>
      <c r="H384" s="149">
        <v>199</v>
      </c>
      <c r="I384" s="150">
        <v>12769</v>
      </c>
      <c r="J384" s="149">
        <v>41</v>
      </c>
      <c r="K384" s="150">
        <v>139654</v>
      </c>
      <c r="L384" s="151">
        <v>0</v>
      </c>
      <c r="M384" s="152">
        <f t="shared" si="5"/>
        <v>0</v>
      </c>
      <c r="N384" s="148"/>
      <c r="O384" s="150">
        <v>60729</v>
      </c>
      <c r="P384" s="150">
        <v>1149</v>
      </c>
      <c r="Q384" s="154">
        <v>0.524</v>
      </c>
      <c r="R384" s="154">
        <v>0.476</v>
      </c>
      <c r="S384" s="148"/>
      <c r="T384" s="148"/>
      <c r="U384" s="154">
        <v>0.091</v>
      </c>
      <c r="V384" s="154">
        <v>0.303</v>
      </c>
      <c r="W384" s="154">
        <v>0.305</v>
      </c>
      <c r="X384" s="154">
        <v>0.19</v>
      </c>
      <c r="Y384" s="154">
        <v>0.073</v>
      </c>
      <c r="Z384" s="154">
        <v>0.038</v>
      </c>
      <c r="AA384" s="148" t="s">
        <v>45</v>
      </c>
    </row>
    <row r="385" spans="1:27">
      <c r="A385" s="147">
        <v>1464</v>
      </c>
      <c r="B385" s="147" t="s">
        <v>27</v>
      </c>
      <c r="C385" s="147" t="s">
        <v>53</v>
      </c>
      <c r="D385" s="148" t="s">
        <v>57</v>
      </c>
      <c r="E385" s="148" t="s">
        <v>30</v>
      </c>
      <c r="F385" s="149">
        <v>2025</v>
      </c>
      <c r="G385" s="148" t="s">
        <v>43</v>
      </c>
      <c r="H385" s="149">
        <v>127</v>
      </c>
      <c r="I385" s="150">
        <v>12768</v>
      </c>
      <c r="J385" s="149">
        <v>28</v>
      </c>
      <c r="K385" s="150">
        <v>213196</v>
      </c>
      <c r="L385" s="151">
        <v>0</v>
      </c>
      <c r="M385" s="152">
        <f t="shared" si="5"/>
        <v>0</v>
      </c>
      <c r="N385" s="148"/>
      <c r="O385" s="150">
        <v>115842</v>
      </c>
      <c r="P385" s="149">
        <v>988</v>
      </c>
      <c r="Q385" s="154">
        <v>0.524</v>
      </c>
      <c r="R385" s="154">
        <v>0.476</v>
      </c>
      <c r="S385" s="148"/>
      <c r="T385" s="148"/>
      <c r="U385" s="154">
        <v>0.089</v>
      </c>
      <c r="V385" s="154">
        <v>0.304</v>
      </c>
      <c r="W385" s="154">
        <v>0.305</v>
      </c>
      <c r="X385" s="154">
        <v>0.191</v>
      </c>
      <c r="Y385" s="154">
        <v>0.073</v>
      </c>
      <c r="Z385" s="154">
        <v>0.038</v>
      </c>
      <c r="AA385" s="148" t="s">
        <v>45</v>
      </c>
    </row>
    <row r="386" spans="1:27">
      <c r="A386" s="147">
        <v>1465</v>
      </c>
      <c r="B386" s="147" t="s">
        <v>27</v>
      </c>
      <c r="C386" s="147" t="s">
        <v>53</v>
      </c>
      <c r="D386" s="148" t="s">
        <v>57</v>
      </c>
      <c r="E386" s="148" t="s">
        <v>30</v>
      </c>
      <c r="F386" s="149">
        <v>2026</v>
      </c>
      <c r="G386" s="148" t="s">
        <v>31</v>
      </c>
      <c r="H386" s="149">
        <v>118</v>
      </c>
      <c r="I386" s="150">
        <v>12777</v>
      </c>
      <c r="J386" s="149">
        <v>41</v>
      </c>
      <c r="K386" s="150">
        <v>178988</v>
      </c>
      <c r="L386" s="151">
        <v>0</v>
      </c>
      <c r="M386" s="152">
        <f t="shared" ref="M386:M449" si="6">L386*17000</f>
        <v>0</v>
      </c>
      <c r="N386" s="148"/>
      <c r="O386" s="150">
        <v>85659</v>
      </c>
      <c r="P386" s="150">
        <v>1061</v>
      </c>
      <c r="Q386" s="154">
        <v>0.475</v>
      </c>
      <c r="R386" s="154">
        <v>0.525</v>
      </c>
      <c r="S386" s="148"/>
      <c r="T386" s="148"/>
      <c r="U386" s="154">
        <v>0.088</v>
      </c>
      <c r="V386" s="154">
        <v>0.301</v>
      </c>
      <c r="W386" s="154">
        <v>0.305</v>
      </c>
      <c r="X386" s="154">
        <v>0.193</v>
      </c>
      <c r="Y386" s="154">
        <v>0.076</v>
      </c>
      <c r="Z386" s="154">
        <v>0.038</v>
      </c>
      <c r="AA386" s="148" t="s">
        <v>45</v>
      </c>
    </row>
    <row r="387" spans="1:27">
      <c r="A387" s="147">
        <v>1466</v>
      </c>
      <c r="B387" s="147" t="s">
        <v>27</v>
      </c>
      <c r="C387" s="147" t="s">
        <v>53</v>
      </c>
      <c r="D387" s="148" t="s">
        <v>57</v>
      </c>
      <c r="E387" s="148" t="s">
        <v>30</v>
      </c>
      <c r="F387" s="149">
        <v>2026</v>
      </c>
      <c r="G387" s="148" t="s">
        <v>33</v>
      </c>
      <c r="H387" s="149">
        <v>138</v>
      </c>
      <c r="I387" s="150">
        <v>12787</v>
      </c>
      <c r="J387" s="149">
        <v>45</v>
      </c>
      <c r="K387" s="150">
        <v>254329</v>
      </c>
      <c r="L387" s="151">
        <v>0</v>
      </c>
      <c r="M387" s="152">
        <f t="shared" si="6"/>
        <v>0</v>
      </c>
      <c r="N387" s="148"/>
      <c r="O387" s="150">
        <v>150037</v>
      </c>
      <c r="P387" s="149">
        <v>746</v>
      </c>
      <c r="Q387" s="154">
        <v>0.474</v>
      </c>
      <c r="R387" s="154">
        <v>0.526</v>
      </c>
      <c r="S387" s="148"/>
      <c r="T387" s="148"/>
      <c r="U387" s="154">
        <v>0.086</v>
      </c>
      <c r="V387" s="154">
        <v>0.301</v>
      </c>
      <c r="W387" s="154">
        <v>0.308</v>
      </c>
      <c r="X387" s="154">
        <v>0.192</v>
      </c>
      <c r="Y387" s="154">
        <v>0.076</v>
      </c>
      <c r="Z387" s="154">
        <v>0.037</v>
      </c>
      <c r="AA387" s="148" t="s">
        <v>45</v>
      </c>
    </row>
    <row r="388" spans="1:27">
      <c r="A388" s="147">
        <v>1467</v>
      </c>
      <c r="B388" s="147" t="s">
        <v>27</v>
      </c>
      <c r="C388" s="147" t="s">
        <v>53</v>
      </c>
      <c r="D388" s="148" t="s">
        <v>57</v>
      </c>
      <c r="E388" s="148" t="s">
        <v>30</v>
      </c>
      <c r="F388" s="149">
        <v>2026</v>
      </c>
      <c r="G388" s="148" t="s">
        <v>34</v>
      </c>
      <c r="H388" s="149">
        <v>131</v>
      </c>
      <c r="I388" s="150">
        <v>13286</v>
      </c>
      <c r="J388" s="149">
        <v>531</v>
      </c>
      <c r="K388" s="150">
        <v>383040</v>
      </c>
      <c r="L388" s="151">
        <v>0</v>
      </c>
      <c r="M388" s="152">
        <f t="shared" si="6"/>
        <v>0</v>
      </c>
      <c r="N388" s="148"/>
      <c r="O388" s="150">
        <v>272994</v>
      </c>
      <c r="P388" s="150">
        <v>6976</v>
      </c>
      <c r="Q388" s="154">
        <v>0.461</v>
      </c>
      <c r="R388" s="154">
        <v>0.539</v>
      </c>
      <c r="S388" s="148"/>
      <c r="T388" s="148"/>
      <c r="U388" s="154">
        <v>0.086</v>
      </c>
      <c r="V388" s="154">
        <v>0.306</v>
      </c>
      <c r="W388" s="154">
        <v>0.307</v>
      </c>
      <c r="X388" s="154">
        <v>0.189</v>
      </c>
      <c r="Y388" s="154">
        <v>0.075</v>
      </c>
      <c r="Z388" s="154">
        <v>0.037</v>
      </c>
      <c r="AA388" s="148" t="s">
        <v>45</v>
      </c>
    </row>
    <row r="389" spans="1:27">
      <c r="A389" s="147">
        <v>1468</v>
      </c>
      <c r="B389" s="147" t="s">
        <v>27</v>
      </c>
      <c r="C389" s="147" t="s">
        <v>53</v>
      </c>
      <c r="D389" s="148" t="s">
        <v>57</v>
      </c>
      <c r="E389" s="148" t="s">
        <v>30</v>
      </c>
      <c r="F389" s="149">
        <v>2026</v>
      </c>
      <c r="G389" s="148" t="s">
        <v>35</v>
      </c>
      <c r="H389" s="149">
        <v>161</v>
      </c>
      <c r="I389" s="150">
        <v>13273</v>
      </c>
      <c r="J389" s="149">
        <v>26</v>
      </c>
      <c r="K389" s="150">
        <v>272365</v>
      </c>
      <c r="L389" s="151">
        <v>0</v>
      </c>
      <c r="M389" s="152">
        <f t="shared" si="6"/>
        <v>0</v>
      </c>
      <c r="N389" s="148"/>
      <c r="O389" s="150">
        <v>114721</v>
      </c>
      <c r="P389" s="149">
        <v>501</v>
      </c>
      <c r="Q389" s="154">
        <v>0.464</v>
      </c>
      <c r="R389" s="154">
        <v>0.536</v>
      </c>
      <c r="S389" s="148"/>
      <c r="T389" s="148"/>
      <c r="U389" s="154">
        <v>0.085</v>
      </c>
      <c r="V389" s="154">
        <v>0.302</v>
      </c>
      <c r="W389" s="154">
        <v>0.307</v>
      </c>
      <c r="X389" s="154">
        <v>0.191</v>
      </c>
      <c r="Y389" s="154">
        <v>0.077</v>
      </c>
      <c r="Z389" s="154">
        <v>0.038</v>
      </c>
      <c r="AA389" s="148" t="s">
        <v>45</v>
      </c>
    </row>
    <row r="390" spans="1:27">
      <c r="A390" s="147">
        <v>1469</v>
      </c>
      <c r="B390" s="147" t="s">
        <v>27</v>
      </c>
      <c r="C390" s="147" t="s">
        <v>53</v>
      </c>
      <c r="D390" s="148" t="s">
        <v>57</v>
      </c>
      <c r="E390" s="148" t="s">
        <v>30</v>
      </c>
      <c r="F390" s="149">
        <v>2026</v>
      </c>
      <c r="G390" s="148" t="s">
        <v>36</v>
      </c>
      <c r="H390" s="149">
        <v>163</v>
      </c>
      <c r="I390" s="150">
        <v>13263</v>
      </c>
      <c r="J390" s="149">
        <v>27</v>
      </c>
      <c r="K390" s="150">
        <v>30335</v>
      </c>
      <c r="L390" s="151">
        <v>0</v>
      </c>
      <c r="M390" s="152">
        <f t="shared" si="6"/>
        <v>0</v>
      </c>
      <c r="N390" s="148"/>
      <c r="O390" s="150">
        <v>16167</v>
      </c>
      <c r="P390" s="149">
        <v>223</v>
      </c>
      <c r="Q390" s="154">
        <v>0.462</v>
      </c>
      <c r="R390" s="154">
        <v>0.538</v>
      </c>
      <c r="S390" s="148"/>
      <c r="T390" s="148"/>
      <c r="U390" s="154">
        <v>0.084</v>
      </c>
      <c r="V390" s="154">
        <v>0.301</v>
      </c>
      <c r="W390" s="154">
        <v>0.31</v>
      </c>
      <c r="X390" s="154">
        <v>0.191</v>
      </c>
      <c r="Y390" s="154">
        <v>0.076</v>
      </c>
      <c r="Z390" s="154">
        <v>0.038</v>
      </c>
      <c r="AA390" s="148" t="s">
        <v>45</v>
      </c>
    </row>
    <row r="391" spans="1:27">
      <c r="A391" s="147">
        <v>1470</v>
      </c>
      <c r="B391" s="147" t="s">
        <v>27</v>
      </c>
      <c r="C391" s="147" t="s">
        <v>53</v>
      </c>
      <c r="D391" s="148" t="s">
        <v>57</v>
      </c>
      <c r="E391" s="148" t="s">
        <v>30</v>
      </c>
      <c r="F391" s="149">
        <v>2026</v>
      </c>
      <c r="G391" s="148" t="s">
        <v>37</v>
      </c>
      <c r="H391" s="149">
        <v>186</v>
      </c>
      <c r="I391" s="150">
        <v>13432</v>
      </c>
      <c r="J391" s="149">
        <v>225</v>
      </c>
      <c r="K391" s="150">
        <v>218563</v>
      </c>
      <c r="L391" s="151">
        <v>2</v>
      </c>
      <c r="M391" s="152">
        <f t="shared" si="6"/>
        <v>34000</v>
      </c>
      <c r="N391" s="148"/>
      <c r="O391" s="150">
        <v>119441</v>
      </c>
      <c r="P391" s="150">
        <v>5270</v>
      </c>
      <c r="Q391" s="154">
        <v>0.463</v>
      </c>
      <c r="R391" s="154">
        <v>0.537</v>
      </c>
      <c r="S391" s="148"/>
      <c r="T391" s="148"/>
      <c r="U391" s="154">
        <v>0.083</v>
      </c>
      <c r="V391" s="154">
        <v>0.302</v>
      </c>
      <c r="W391" s="154">
        <v>0.31</v>
      </c>
      <c r="X391" s="154">
        <v>0.191</v>
      </c>
      <c r="Y391" s="154">
        <v>0.076</v>
      </c>
      <c r="Z391" s="154">
        <v>0.038</v>
      </c>
      <c r="AA391" s="148" t="s">
        <v>45</v>
      </c>
    </row>
    <row r="392" spans="1:27">
      <c r="A392" s="147">
        <v>1471</v>
      </c>
      <c r="B392" s="147" t="s">
        <v>27</v>
      </c>
      <c r="C392" s="147" t="s">
        <v>53</v>
      </c>
      <c r="D392" s="148" t="s">
        <v>57</v>
      </c>
      <c r="E392" s="148" t="s">
        <v>30</v>
      </c>
      <c r="F392" s="149">
        <v>2026</v>
      </c>
      <c r="G392" s="148" t="s">
        <v>38</v>
      </c>
      <c r="H392" s="149">
        <v>152</v>
      </c>
      <c r="I392" s="150">
        <v>13440</v>
      </c>
      <c r="J392" s="149">
        <v>47</v>
      </c>
      <c r="K392" s="150">
        <v>67004</v>
      </c>
      <c r="L392" s="151">
        <v>0</v>
      </c>
      <c r="M392" s="152">
        <f t="shared" si="6"/>
        <v>0</v>
      </c>
      <c r="N392" s="148"/>
      <c r="O392" s="150">
        <v>34366</v>
      </c>
      <c r="P392" s="149">
        <v>510</v>
      </c>
      <c r="Q392" s="154">
        <v>0.459</v>
      </c>
      <c r="R392" s="154">
        <v>0.541</v>
      </c>
      <c r="S392" s="148"/>
      <c r="T392" s="148"/>
      <c r="U392" s="154">
        <v>0.096</v>
      </c>
      <c r="V392" s="154">
        <v>0.304</v>
      </c>
      <c r="W392" s="154">
        <v>0.286</v>
      </c>
      <c r="X392" s="154">
        <v>0.189</v>
      </c>
      <c r="Y392" s="154">
        <v>0.085</v>
      </c>
      <c r="Z392" s="154">
        <v>0.04</v>
      </c>
      <c r="AA392" s="148" t="s">
        <v>45</v>
      </c>
    </row>
    <row r="393" spans="1:27">
      <c r="A393" s="147">
        <v>1472</v>
      </c>
      <c r="B393" s="147" t="s">
        <v>27</v>
      </c>
      <c r="C393" s="147" t="s">
        <v>53</v>
      </c>
      <c r="D393" s="148" t="s">
        <v>57</v>
      </c>
      <c r="E393" s="148" t="s">
        <v>30</v>
      </c>
      <c r="F393" s="149">
        <v>2026</v>
      </c>
      <c r="G393" s="148" t="s">
        <v>39</v>
      </c>
      <c r="H393" s="148"/>
      <c r="I393" s="148"/>
      <c r="J393" s="148"/>
      <c r="K393" s="148"/>
      <c r="L393" s="152"/>
      <c r="M393" s="152">
        <f t="shared" si="6"/>
        <v>0</v>
      </c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</row>
    <row r="394" spans="1:27">
      <c r="A394" s="147">
        <v>1473</v>
      </c>
      <c r="B394" s="147" t="s">
        <v>27</v>
      </c>
      <c r="C394" s="147" t="s">
        <v>53</v>
      </c>
      <c r="D394" s="148" t="s">
        <v>57</v>
      </c>
      <c r="E394" s="148" t="s">
        <v>30</v>
      </c>
      <c r="F394" s="149">
        <v>2026</v>
      </c>
      <c r="G394" s="148" t="s">
        <v>40</v>
      </c>
      <c r="H394" s="148"/>
      <c r="I394" s="148"/>
      <c r="J394" s="148"/>
      <c r="K394" s="148"/>
      <c r="L394" s="152"/>
      <c r="M394" s="152">
        <f t="shared" si="6"/>
        <v>0</v>
      </c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</row>
    <row r="395" spans="1:27">
      <c r="A395" s="147">
        <v>1474</v>
      </c>
      <c r="B395" s="147" t="s">
        <v>27</v>
      </c>
      <c r="C395" s="147" t="s">
        <v>53</v>
      </c>
      <c r="D395" s="148" t="s">
        <v>57</v>
      </c>
      <c r="E395" s="148" t="s">
        <v>30</v>
      </c>
      <c r="F395" s="149">
        <v>2026</v>
      </c>
      <c r="G395" s="148" t="s">
        <v>41</v>
      </c>
      <c r="H395" s="148"/>
      <c r="I395" s="148"/>
      <c r="J395" s="148"/>
      <c r="K395" s="148"/>
      <c r="L395" s="152"/>
      <c r="M395" s="152">
        <f t="shared" si="6"/>
        <v>0</v>
      </c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</row>
    <row r="396" spans="1:27">
      <c r="A396" s="147">
        <v>1475</v>
      </c>
      <c r="B396" s="147" t="s">
        <v>27</v>
      </c>
      <c r="C396" s="147" t="s">
        <v>53</v>
      </c>
      <c r="D396" s="148" t="s">
        <v>57</v>
      </c>
      <c r="E396" s="148" t="s">
        <v>30</v>
      </c>
      <c r="F396" s="149">
        <v>2026</v>
      </c>
      <c r="G396" s="148" t="s">
        <v>42</v>
      </c>
      <c r="H396" s="148"/>
      <c r="I396" s="148"/>
      <c r="J396" s="148"/>
      <c r="K396" s="148"/>
      <c r="L396" s="152"/>
      <c r="M396" s="152">
        <f t="shared" si="6"/>
        <v>0</v>
      </c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</row>
    <row r="397" spans="1:27">
      <c r="A397" s="147">
        <v>1476</v>
      </c>
      <c r="B397" s="147" t="s">
        <v>27</v>
      </c>
      <c r="C397" s="147" t="s">
        <v>53</v>
      </c>
      <c r="D397" s="148" t="s">
        <v>57</v>
      </c>
      <c r="E397" s="148" t="s">
        <v>30</v>
      </c>
      <c r="F397" s="149">
        <v>2026</v>
      </c>
      <c r="G397" s="148" t="s">
        <v>43</v>
      </c>
      <c r="H397" s="148"/>
      <c r="I397" s="148"/>
      <c r="J397" s="148"/>
      <c r="K397" s="148"/>
      <c r="L397" s="152"/>
      <c r="M397" s="152">
        <f t="shared" si="6"/>
        <v>0</v>
      </c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</row>
    <row r="398" spans="1:27">
      <c r="A398" s="147">
        <v>1489</v>
      </c>
      <c r="B398" s="147" t="s">
        <v>27</v>
      </c>
      <c r="C398" s="147" t="s">
        <v>58</v>
      </c>
      <c r="D398" s="148" t="s">
        <v>59</v>
      </c>
      <c r="E398" s="148" t="s">
        <v>30</v>
      </c>
      <c r="F398" s="149">
        <v>2024</v>
      </c>
      <c r="G398" s="148" t="s">
        <v>31</v>
      </c>
      <c r="H398" s="150">
        <v>4068</v>
      </c>
      <c r="I398" s="150">
        <v>1091024</v>
      </c>
      <c r="J398" s="150">
        <v>3968</v>
      </c>
      <c r="K398" s="149" t="s">
        <v>32</v>
      </c>
      <c r="L398" s="151">
        <v>20</v>
      </c>
      <c r="M398" s="152">
        <f t="shared" si="6"/>
        <v>340000</v>
      </c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</row>
    <row r="399" spans="1:27">
      <c r="A399" s="147">
        <v>1490</v>
      </c>
      <c r="B399" s="147" t="s">
        <v>27</v>
      </c>
      <c r="C399" s="147" t="s">
        <v>58</v>
      </c>
      <c r="D399" s="148" t="s">
        <v>59</v>
      </c>
      <c r="E399" s="148" t="s">
        <v>30</v>
      </c>
      <c r="F399" s="149">
        <v>2024</v>
      </c>
      <c r="G399" s="148" t="s">
        <v>33</v>
      </c>
      <c r="H399" s="150">
        <v>3226</v>
      </c>
      <c r="I399" s="150">
        <v>1096695</v>
      </c>
      <c r="J399" s="150">
        <v>5671</v>
      </c>
      <c r="K399" s="149" t="s">
        <v>32</v>
      </c>
      <c r="L399" s="151">
        <v>38</v>
      </c>
      <c r="M399" s="152">
        <f t="shared" si="6"/>
        <v>646000</v>
      </c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</row>
    <row r="400" spans="1:27">
      <c r="A400" s="147">
        <v>1491</v>
      </c>
      <c r="B400" s="147" t="s">
        <v>27</v>
      </c>
      <c r="C400" s="147" t="s">
        <v>58</v>
      </c>
      <c r="D400" s="148" t="s">
        <v>59</v>
      </c>
      <c r="E400" s="148" t="s">
        <v>30</v>
      </c>
      <c r="F400" s="149">
        <v>2024</v>
      </c>
      <c r="G400" s="148" t="s">
        <v>34</v>
      </c>
      <c r="H400" s="150">
        <v>3496</v>
      </c>
      <c r="I400" s="150">
        <v>1101010</v>
      </c>
      <c r="J400" s="150">
        <v>4315</v>
      </c>
      <c r="K400" s="149" t="s">
        <v>32</v>
      </c>
      <c r="L400" s="151">
        <v>240</v>
      </c>
      <c r="M400" s="152">
        <f t="shared" si="6"/>
        <v>4080000</v>
      </c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</row>
    <row r="401" spans="1:27">
      <c r="A401" s="147">
        <v>1492</v>
      </c>
      <c r="B401" s="147" t="s">
        <v>27</v>
      </c>
      <c r="C401" s="147" t="s">
        <v>58</v>
      </c>
      <c r="D401" s="148" t="s">
        <v>59</v>
      </c>
      <c r="E401" s="148" t="s">
        <v>30</v>
      </c>
      <c r="F401" s="149">
        <v>2024</v>
      </c>
      <c r="G401" s="148" t="s">
        <v>35</v>
      </c>
      <c r="H401" s="150">
        <v>3525</v>
      </c>
      <c r="I401" s="150">
        <v>1110125</v>
      </c>
      <c r="J401" s="150">
        <v>9115</v>
      </c>
      <c r="K401" s="149" t="s">
        <v>32</v>
      </c>
      <c r="L401" s="151">
        <v>348</v>
      </c>
      <c r="M401" s="152">
        <f t="shared" si="6"/>
        <v>5916000</v>
      </c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</row>
    <row r="402" spans="1:27">
      <c r="A402" s="147">
        <v>1493</v>
      </c>
      <c r="B402" s="147" t="s">
        <v>27</v>
      </c>
      <c r="C402" s="147" t="s">
        <v>58</v>
      </c>
      <c r="D402" s="148" t="s">
        <v>59</v>
      </c>
      <c r="E402" s="148" t="s">
        <v>30</v>
      </c>
      <c r="F402" s="149">
        <v>2024</v>
      </c>
      <c r="G402" s="148" t="s">
        <v>36</v>
      </c>
      <c r="H402" s="150">
        <v>5313</v>
      </c>
      <c r="I402" s="150">
        <v>1110675</v>
      </c>
      <c r="J402" s="149">
        <v>550</v>
      </c>
      <c r="K402" s="149" t="s">
        <v>32</v>
      </c>
      <c r="L402" s="151">
        <v>5</v>
      </c>
      <c r="M402" s="152">
        <f t="shared" si="6"/>
        <v>85000</v>
      </c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</row>
    <row r="403" spans="1:27">
      <c r="A403" s="147">
        <v>1494</v>
      </c>
      <c r="B403" s="147" t="s">
        <v>27</v>
      </c>
      <c r="C403" s="147" t="s">
        <v>58</v>
      </c>
      <c r="D403" s="148" t="s">
        <v>59</v>
      </c>
      <c r="E403" s="148" t="s">
        <v>30</v>
      </c>
      <c r="F403" s="149">
        <v>2024</v>
      </c>
      <c r="G403" s="148" t="s">
        <v>37</v>
      </c>
      <c r="H403" s="150">
        <v>4426</v>
      </c>
      <c r="I403" s="150">
        <v>1110944</v>
      </c>
      <c r="J403" s="149">
        <v>269</v>
      </c>
      <c r="K403" s="149" t="s">
        <v>32</v>
      </c>
      <c r="L403" s="151">
        <v>0</v>
      </c>
      <c r="M403" s="152">
        <f t="shared" si="6"/>
        <v>0</v>
      </c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</row>
    <row r="404" spans="1:27">
      <c r="A404" s="147">
        <v>1495</v>
      </c>
      <c r="B404" s="147" t="s">
        <v>27</v>
      </c>
      <c r="C404" s="147" t="s">
        <v>58</v>
      </c>
      <c r="D404" s="148" t="s">
        <v>59</v>
      </c>
      <c r="E404" s="148" t="s">
        <v>30</v>
      </c>
      <c r="F404" s="149">
        <v>2024</v>
      </c>
      <c r="G404" s="148" t="s">
        <v>38</v>
      </c>
      <c r="H404" s="150">
        <v>4077</v>
      </c>
      <c r="I404" s="150">
        <v>1111223</v>
      </c>
      <c r="J404" s="149">
        <v>279</v>
      </c>
      <c r="K404" s="149" t="s">
        <v>32</v>
      </c>
      <c r="L404" s="151">
        <v>1</v>
      </c>
      <c r="M404" s="152">
        <f t="shared" si="6"/>
        <v>17000</v>
      </c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</row>
    <row r="405" spans="1:27">
      <c r="A405" s="147">
        <v>1496</v>
      </c>
      <c r="B405" s="147" t="s">
        <v>27</v>
      </c>
      <c r="C405" s="147" t="s">
        <v>58</v>
      </c>
      <c r="D405" s="148" t="s">
        <v>59</v>
      </c>
      <c r="E405" s="148" t="s">
        <v>30</v>
      </c>
      <c r="F405" s="149">
        <v>2024</v>
      </c>
      <c r="G405" s="148" t="s">
        <v>39</v>
      </c>
      <c r="H405" s="150">
        <v>4573</v>
      </c>
      <c r="I405" s="150">
        <v>1111697</v>
      </c>
      <c r="J405" s="149">
        <v>474</v>
      </c>
      <c r="K405" s="149" t="s">
        <v>32</v>
      </c>
      <c r="L405" s="151">
        <v>13</v>
      </c>
      <c r="M405" s="152">
        <f t="shared" si="6"/>
        <v>221000</v>
      </c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</row>
    <row r="406" spans="1:27">
      <c r="A406" s="147">
        <v>1497</v>
      </c>
      <c r="B406" s="147" t="s">
        <v>27</v>
      </c>
      <c r="C406" s="147" t="s">
        <v>58</v>
      </c>
      <c r="D406" s="148" t="s">
        <v>59</v>
      </c>
      <c r="E406" s="148" t="s">
        <v>30</v>
      </c>
      <c r="F406" s="149">
        <v>2024</v>
      </c>
      <c r="G406" s="148" t="s">
        <v>40</v>
      </c>
      <c r="H406" s="150">
        <v>3643</v>
      </c>
      <c r="I406" s="150">
        <v>1112210</v>
      </c>
      <c r="J406" s="149">
        <v>513</v>
      </c>
      <c r="K406" s="149" t="s">
        <v>32</v>
      </c>
      <c r="L406" s="151">
        <v>19</v>
      </c>
      <c r="M406" s="152">
        <f t="shared" si="6"/>
        <v>323000</v>
      </c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</row>
    <row r="407" spans="1:27">
      <c r="A407" s="147">
        <v>1498</v>
      </c>
      <c r="B407" s="147" t="s">
        <v>27</v>
      </c>
      <c r="C407" s="147" t="s">
        <v>58</v>
      </c>
      <c r="D407" s="148" t="s">
        <v>59</v>
      </c>
      <c r="E407" s="148" t="s">
        <v>30</v>
      </c>
      <c r="F407" s="149">
        <v>2024</v>
      </c>
      <c r="G407" s="148" t="s">
        <v>41</v>
      </c>
      <c r="H407" s="150">
        <v>3817</v>
      </c>
      <c r="I407" s="150">
        <v>1112749</v>
      </c>
      <c r="J407" s="149">
        <v>539</v>
      </c>
      <c r="K407" s="150">
        <v>5828743</v>
      </c>
      <c r="L407" s="151">
        <v>15</v>
      </c>
      <c r="M407" s="152">
        <f t="shared" si="6"/>
        <v>255000</v>
      </c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</row>
    <row r="408" spans="1:27">
      <c r="A408" s="147">
        <v>1499</v>
      </c>
      <c r="B408" s="147" t="s">
        <v>27</v>
      </c>
      <c r="C408" s="147" t="s">
        <v>58</v>
      </c>
      <c r="D408" s="148" t="s">
        <v>59</v>
      </c>
      <c r="E408" s="148" t="s">
        <v>30</v>
      </c>
      <c r="F408" s="149">
        <v>2024</v>
      </c>
      <c r="G408" s="148" t="s">
        <v>42</v>
      </c>
      <c r="H408" s="150">
        <v>4199</v>
      </c>
      <c r="I408" s="150">
        <v>1113487</v>
      </c>
      <c r="J408" s="149">
        <v>738</v>
      </c>
      <c r="K408" s="150">
        <v>6625785</v>
      </c>
      <c r="L408" s="151">
        <v>19</v>
      </c>
      <c r="M408" s="152">
        <f t="shared" si="6"/>
        <v>323000</v>
      </c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</row>
    <row r="409" spans="1:27">
      <c r="A409" s="147">
        <v>1500</v>
      </c>
      <c r="B409" s="147" t="s">
        <v>27</v>
      </c>
      <c r="C409" s="147" t="s">
        <v>58</v>
      </c>
      <c r="D409" s="148" t="s">
        <v>59</v>
      </c>
      <c r="E409" s="148" t="s">
        <v>30</v>
      </c>
      <c r="F409" s="149">
        <v>2024</v>
      </c>
      <c r="G409" s="148" t="s">
        <v>43</v>
      </c>
      <c r="H409" s="150">
        <v>5149</v>
      </c>
      <c r="I409" s="150">
        <v>1114064</v>
      </c>
      <c r="J409" s="149">
        <v>577</v>
      </c>
      <c r="K409" s="150">
        <v>13720157</v>
      </c>
      <c r="L409" s="151">
        <v>13</v>
      </c>
      <c r="M409" s="152">
        <f t="shared" si="6"/>
        <v>221000</v>
      </c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</row>
    <row r="410" spans="1:27">
      <c r="A410" s="147">
        <v>1501</v>
      </c>
      <c r="B410" s="147" t="s">
        <v>27</v>
      </c>
      <c r="C410" s="147" t="s">
        <v>58</v>
      </c>
      <c r="D410" s="148" t="s">
        <v>59</v>
      </c>
      <c r="E410" s="148" t="s">
        <v>30</v>
      </c>
      <c r="F410" s="149">
        <v>2025</v>
      </c>
      <c r="G410" s="148" t="s">
        <v>31</v>
      </c>
      <c r="H410" s="150">
        <v>7281</v>
      </c>
      <c r="I410" s="150">
        <v>1116073</v>
      </c>
      <c r="J410" s="150">
        <v>2009</v>
      </c>
      <c r="K410" s="150">
        <v>22080024</v>
      </c>
      <c r="L410" s="151">
        <v>46</v>
      </c>
      <c r="M410" s="152">
        <f t="shared" si="6"/>
        <v>782000</v>
      </c>
      <c r="N410" s="148"/>
      <c r="O410" s="149" t="s">
        <v>48</v>
      </c>
      <c r="P410" s="150">
        <v>216989</v>
      </c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</row>
    <row r="411" spans="1:27">
      <c r="A411" s="147">
        <v>1502</v>
      </c>
      <c r="B411" s="147" t="s">
        <v>27</v>
      </c>
      <c r="C411" s="147" t="s">
        <v>58</v>
      </c>
      <c r="D411" s="148" t="s">
        <v>59</v>
      </c>
      <c r="E411" s="148" t="s">
        <v>30</v>
      </c>
      <c r="F411" s="149">
        <v>2025</v>
      </c>
      <c r="G411" s="148" t="s">
        <v>33</v>
      </c>
      <c r="H411" s="150">
        <v>7043</v>
      </c>
      <c r="I411" s="150">
        <v>1118029</v>
      </c>
      <c r="J411" s="150">
        <v>1956</v>
      </c>
      <c r="K411" s="150">
        <v>21485015</v>
      </c>
      <c r="L411" s="151">
        <v>35</v>
      </c>
      <c r="M411" s="152">
        <f t="shared" si="6"/>
        <v>595000</v>
      </c>
      <c r="N411" s="148"/>
      <c r="O411" s="149" t="s">
        <v>48</v>
      </c>
      <c r="P411" s="150">
        <v>223805</v>
      </c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</row>
    <row r="412" spans="1:27">
      <c r="A412" s="147">
        <v>1503</v>
      </c>
      <c r="B412" s="147" t="s">
        <v>27</v>
      </c>
      <c r="C412" s="147" t="s">
        <v>58</v>
      </c>
      <c r="D412" s="148" t="s">
        <v>59</v>
      </c>
      <c r="E412" s="148" t="s">
        <v>30</v>
      </c>
      <c r="F412" s="149">
        <v>2025</v>
      </c>
      <c r="G412" s="148" t="s">
        <v>34</v>
      </c>
      <c r="H412" s="150">
        <v>6224</v>
      </c>
      <c r="I412" s="150">
        <v>1132857</v>
      </c>
      <c r="J412" s="150">
        <v>14828</v>
      </c>
      <c r="K412" s="150">
        <v>24264881</v>
      </c>
      <c r="L412" s="151">
        <v>147</v>
      </c>
      <c r="M412" s="152">
        <f t="shared" si="6"/>
        <v>2499000</v>
      </c>
      <c r="N412" s="148"/>
      <c r="O412" s="149" t="s">
        <v>48</v>
      </c>
      <c r="P412" s="150">
        <v>371163</v>
      </c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</row>
    <row r="413" spans="1:27">
      <c r="A413" s="147">
        <v>1504</v>
      </c>
      <c r="B413" s="147" t="s">
        <v>27</v>
      </c>
      <c r="C413" s="147" t="s">
        <v>58</v>
      </c>
      <c r="D413" s="148" t="s">
        <v>59</v>
      </c>
      <c r="E413" s="148" t="s">
        <v>30</v>
      </c>
      <c r="F413" s="149">
        <v>2025</v>
      </c>
      <c r="G413" s="148" t="s">
        <v>35</v>
      </c>
      <c r="H413" s="150">
        <v>2625</v>
      </c>
      <c r="I413" s="150">
        <v>1139202</v>
      </c>
      <c r="J413" s="150">
        <v>6345</v>
      </c>
      <c r="K413" s="150">
        <v>14136347</v>
      </c>
      <c r="L413" s="151">
        <v>55</v>
      </c>
      <c r="M413" s="152">
        <f t="shared" si="6"/>
        <v>935000</v>
      </c>
      <c r="N413" s="148"/>
      <c r="O413" s="149" t="s">
        <v>48</v>
      </c>
      <c r="P413" s="150">
        <v>178649</v>
      </c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</row>
    <row r="414" spans="1:27">
      <c r="A414" s="147">
        <v>1505</v>
      </c>
      <c r="B414" s="147" t="s">
        <v>27</v>
      </c>
      <c r="C414" s="147" t="s">
        <v>58</v>
      </c>
      <c r="D414" s="148" t="s">
        <v>59</v>
      </c>
      <c r="E414" s="148" t="s">
        <v>30</v>
      </c>
      <c r="F414" s="149">
        <v>2025</v>
      </c>
      <c r="G414" s="148" t="s">
        <v>36</v>
      </c>
      <c r="H414" s="150">
        <v>2029</v>
      </c>
      <c r="I414" s="150">
        <v>1145706</v>
      </c>
      <c r="J414" s="150">
        <v>6504</v>
      </c>
      <c r="K414" s="150">
        <v>11733105</v>
      </c>
      <c r="L414" s="151">
        <v>78</v>
      </c>
      <c r="M414" s="152">
        <f t="shared" si="6"/>
        <v>1326000</v>
      </c>
      <c r="N414" s="148"/>
      <c r="O414" s="149" t="s">
        <v>48</v>
      </c>
      <c r="P414" s="150">
        <v>216209</v>
      </c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</row>
    <row r="415" spans="1:27">
      <c r="A415" s="147">
        <v>1506</v>
      </c>
      <c r="B415" s="147" t="s">
        <v>27</v>
      </c>
      <c r="C415" s="147" t="s">
        <v>58</v>
      </c>
      <c r="D415" s="148" t="s">
        <v>59</v>
      </c>
      <c r="E415" s="148" t="s">
        <v>30</v>
      </c>
      <c r="F415" s="149">
        <v>2025</v>
      </c>
      <c r="G415" s="148" t="s">
        <v>37</v>
      </c>
      <c r="H415" s="149">
        <v>978</v>
      </c>
      <c r="I415" s="150">
        <v>1158234</v>
      </c>
      <c r="J415" s="150">
        <v>12528</v>
      </c>
      <c r="K415" s="150">
        <v>20366829</v>
      </c>
      <c r="L415" s="151">
        <v>166</v>
      </c>
      <c r="M415" s="152">
        <f t="shared" si="6"/>
        <v>2822000</v>
      </c>
      <c r="N415" s="148"/>
      <c r="O415" s="149" t="s">
        <v>48</v>
      </c>
      <c r="P415" s="150">
        <v>417127</v>
      </c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</row>
    <row r="416" spans="1:27">
      <c r="A416" s="147">
        <v>1507</v>
      </c>
      <c r="B416" s="147" t="s">
        <v>27</v>
      </c>
      <c r="C416" s="147" t="s">
        <v>58</v>
      </c>
      <c r="D416" s="148" t="s">
        <v>59</v>
      </c>
      <c r="E416" s="148" t="s">
        <v>30</v>
      </c>
      <c r="F416" s="149">
        <v>2025</v>
      </c>
      <c r="G416" s="148" t="s">
        <v>38</v>
      </c>
      <c r="H416" s="149">
        <v>743</v>
      </c>
      <c r="I416" s="150">
        <v>1165447</v>
      </c>
      <c r="J416" s="150">
        <v>13760</v>
      </c>
      <c r="K416" s="150">
        <v>29792602</v>
      </c>
      <c r="L416" s="151">
        <v>133</v>
      </c>
      <c r="M416" s="152">
        <f t="shared" si="6"/>
        <v>2261000</v>
      </c>
      <c r="N416" s="148"/>
      <c r="O416" s="150">
        <v>8589093</v>
      </c>
      <c r="P416" s="150">
        <v>465126</v>
      </c>
      <c r="Q416" s="154">
        <v>0.724</v>
      </c>
      <c r="R416" s="154">
        <v>0.276</v>
      </c>
      <c r="S416" s="148"/>
      <c r="T416" s="148" t="s">
        <v>44</v>
      </c>
      <c r="U416" s="154">
        <v>0.074</v>
      </c>
      <c r="V416" s="154">
        <v>0.365</v>
      </c>
      <c r="W416" s="154">
        <v>0.318</v>
      </c>
      <c r="X416" s="154">
        <v>0.162</v>
      </c>
      <c r="Y416" s="154">
        <v>0.051</v>
      </c>
      <c r="Z416" s="154">
        <v>0.03</v>
      </c>
      <c r="AA416" s="148" t="s">
        <v>45</v>
      </c>
    </row>
    <row r="417" spans="1:27">
      <c r="A417" s="147">
        <v>1508</v>
      </c>
      <c r="B417" s="147" t="s">
        <v>27</v>
      </c>
      <c r="C417" s="147" t="s">
        <v>58</v>
      </c>
      <c r="D417" s="148" t="s">
        <v>59</v>
      </c>
      <c r="E417" s="148" t="s">
        <v>30</v>
      </c>
      <c r="F417" s="149">
        <v>2025</v>
      </c>
      <c r="G417" s="148" t="s">
        <v>39</v>
      </c>
      <c r="H417" s="149">
        <v>733</v>
      </c>
      <c r="I417" s="150">
        <v>1191142</v>
      </c>
      <c r="J417" s="150">
        <v>26595</v>
      </c>
      <c r="K417" s="150">
        <v>29913171</v>
      </c>
      <c r="L417" s="151">
        <v>319</v>
      </c>
      <c r="M417" s="152">
        <f t="shared" si="6"/>
        <v>5423000</v>
      </c>
      <c r="N417" s="148"/>
      <c r="O417" s="150">
        <v>11348300</v>
      </c>
      <c r="P417" s="150">
        <v>476609</v>
      </c>
      <c r="Q417" s="154">
        <v>0.725</v>
      </c>
      <c r="R417" s="154">
        <v>0.276</v>
      </c>
      <c r="S417" s="148"/>
      <c r="T417" s="148"/>
      <c r="U417" s="154">
        <v>0.071</v>
      </c>
      <c r="V417" s="154">
        <v>0.366</v>
      </c>
      <c r="W417" s="154">
        <v>0.319</v>
      </c>
      <c r="X417" s="154">
        <v>0.164</v>
      </c>
      <c r="Y417" s="154">
        <v>0.051</v>
      </c>
      <c r="Z417" s="154">
        <v>0.029</v>
      </c>
      <c r="AA417" s="148" t="s">
        <v>45</v>
      </c>
    </row>
    <row r="418" spans="1:27">
      <c r="A418" s="147">
        <v>1509</v>
      </c>
      <c r="B418" s="147" t="s">
        <v>27</v>
      </c>
      <c r="C418" s="147" t="s">
        <v>58</v>
      </c>
      <c r="D418" s="148" t="s">
        <v>59</v>
      </c>
      <c r="E418" s="148" t="s">
        <v>30</v>
      </c>
      <c r="F418" s="149">
        <v>2025</v>
      </c>
      <c r="G418" s="148" t="s">
        <v>40</v>
      </c>
      <c r="H418" s="149">
        <v>694</v>
      </c>
      <c r="I418" s="150">
        <v>1208661</v>
      </c>
      <c r="J418" s="150">
        <v>20412</v>
      </c>
      <c r="K418" s="150">
        <v>34366289</v>
      </c>
      <c r="L418" s="151">
        <v>323</v>
      </c>
      <c r="M418" s="152">
        <f t="shared" si="6"/>
        <v>5491000</v>
      </c>
      <c r="N418" s="148"/>
      <c r="O418" s="150">
        <v>10329333</v>
      </c>
      <c r="P418" s="150">
        <v>486980</v>
      </c>
      <c r="Q418" s="154">
        <v>0.726</v>
      </c>
      <c r="R418" s="154">
        <v>0.274</v>
      </c>
      <c r="S418" s="148"/>
      <c r="T418" s="148"/>
      <c r="U418" s="154">
        <v>0.069</v>
      </c>
      <c r="V418" s="154">
        <v>0.366</v>
      </c>
      <c r="W418" s="154">
        <v>0.319</v>
      </c>
      <c r="X418" s="154">
        <v>0.165</v>
      </c>
      <c r="Y418" s="154">
        <v>0.052</v>
      </c>
      <c r="Z418" s="154">
        <v>0.029</v>
      </c>
      <c r="AA418" s="148" t="s">
        <v>45</v>
      </c>
    </row>
    <row r="419" spans="1:27">
      <c r="A419" s="147">
        <v>1510</v>
      </c>
      <c r="B419" s="147" t="s">
        <v>27</v>
      </c>
      <c r="C419" s="147" t="s">
        <v>58</v>
      </c>
      <c r="D419" s="148" t="s">
        <v>59</v>
      </c>
      <c r="E419" s="148" t="s">
        <v>30</v>
      </c>
      <c r="F419" s="149">
        <v>2025</v>
      </c>
      <c r="G419" s="148" t="s">
        <v>41</v>
      </c>
      <c r="H419" s="149">
        <v>761</v>
      </c>
      <c r="I419" s="150">
        <v>1216300</v>
      </c>
      <c r="J419" s="150">
        <v>10327</v>
      </c>
      <c r="K419" s="150">
        <v>15110501</v>
      </c>
      <c r="L419" s="151">
        <v>182</v>
      </c>
      <c r="M419" s="152">
        <f t="shared" si="6"/>
        <v>3094000</v>
      </c>
      <c r="N419" s="148"/>
      <c r="O419" s="150">
        <v>5962067</v>
      </c>
      <c r="P419" s="150">
        <v>211284</v>
      </c>
      <c r="Q419" s="154">
        <v>0.725</v>
      </c>
      <c r="R419" s="154">
        <v>0.275</v>
      </c>
      <c r="S419" s="148"/>
      <c r="T419" s="148"/>
      <c r="U419" s="154">
        <v>0.066</v>
      </c>
      <c r="V419" s="154">
        <v>0.365</v>
      </c>
      <c r="W419" s="154">
        <v>0.32</v>
      </c>
      <c r="X419" s="154">
        <v>0.166</v>
      </c>
      <c r="Y419" s="154">
        <v>0.054</v>
      </c>
      <c r="Z419" s="154">
        <v>0.029</v>
      </c>
      <c r="AA419" s="148" t="s">
        <v>45</v>
      </c>
    </row>
    <row r="420" spans="1:27">
      <c r="A420" s="147">
        <v>1511</v>
      </c>
      <c r="B420" s="147" t="s">
        <v>27</v>
      </c>
      <c r="C420" s="147" t="s">
        <v>58</v>
      </c>
      <c r="D420" s="148" t="s">
        <v>59</v>
      </c>
      <c r="E420" s="148" t="s">
        <v>30</v>
      </c>
      <c r="F420" s="149">
        <v>2025</v>
      </c>
      <c r="G420" s="148" t="s">
        <v>42</v>
      </c>
      <c r="H420" s="149">
        <v>838</v>
      </c>
      <c r="I420" s="150">
        <v>1235198</v>
      </c>
      <c r="J420" s="150">
        <v>21547</v>
      </c>
      <c r="K420" s="150">
        <v>21246988</v>
      </c>
      <c r="L420" s="151">
        <v>307</v>
      </c>
      <c r="M420" s="152">
        <f t="shared" si="6"/>
        <v>5219000</v>
      </c>
      <c r="N420" s="148"/>
      <c r="O420" s="150">
        <v>8336205</v>
      </c>
      <c r="P420" s="150">
        <v>446099</v>
      </c>
      <c r="Q420" s="154">
        <v>0.727</v>
      </c>
      <c r="R420" s="154">
        <v>0.273</v>
      </c>
      <c r="S420" s="148"/>
      <c r="T420" s="148"/>
      <c r="U420" s="154">
        <v>0.064</v>
      </c>
      <c r="V420" s="154">
        <v>0.363</v>
      </c>
      <c r="W420" s="154">
        <v>0.321</v>
      </c>
      <c r="X420" s="154">
        <v>0.168</v>
      </c>
      <c r="Y420" s="154">
        <v>0.054</v>
      </c>
      <c r="Z420" s="154">
        <v>0.03</v>
      </c>
      <c r="AA420" s="148" t="s">
        <v>45</v>
      </c>
    </row>
    <row r="421" spans="1:27">
      <c r="A421" s="147">
        <v>1512</v>
      </c>
      <c r="B421" s="147" t="s">
        <v>27</v>
      </c>
      <c r="C421" s="147" t="s">
        <v>58</v>
      </c>
      <c r="D421" s="148" t="s">
        <v>59</v>
      </c>
      <c r="E421" s="148" t="s">
        <v>30</v>
      </c>
      <c r="F421" s="149">
        <v>2025</v>
      </c>
      <c r="G421" s="148" t="s">
        <v>43</v>
      </c>
      <c r="H421" s="150">
        <v>1143</v>
      </c>
      <c r="I421" s="150">
        <v>1265093</v>
      </c>
      <c r="J421" s="150">
        <v>40888</v>
      </c>
      <c r="K421" s="150">
        <v>35408835</v>
      </c>
      <c r="L421" s="151">
        <v>557</v>
      </c>
      <c r="M421" s="152">
        <f t="shared" si="6"/>
        <v>9469000</v>
      </c>
      <c r="N421" s="148"/>
      <c r="O421" s="150">
        <v>13729658</v>
      </c>
      <c r="P421" s="150">
        <v>716566</v>
      </c>
      <c r="Q421" s="154">
        <v>0.73</v>
      </c>
      <c r="R421" s="154">
        <v>0.27</v>
      </c>
      <c r="S421" s="148"/>
      <c r="T421" s="148"/>
      <c r="U421" s="154">
        <v>0.062</v>
      </c>
      <c r="V421" s="154">
        <v>0.363</v>
      </c>
      <c r="W421" s="154">
        <v>0.321</v>
      </c>
      <c r="X421" s="154">
        <v>0.169</v>
      </c>
      <c r="Y421" s="154">
        <v>0.055</v>
      </c>
      <c r="Z421" s="154">
        <v>0.03</v>
      </c>
      <c r="AA421" s="148" t="s">
        <v>45</v>
      </c>
    </row>
    <row r="422" spans="1:27">
      <c r="A422" s="147">
        <v>1513</v>
      </c>
      <c r="B422" s="147" t="s">
        <v>27</v>
      </c>
      <c r="C422" s="147" t="s">
        <v>58</v>
      </c>
      <c r="D422" s="148" t="s">
        <v>59</v>
      </c>
      <c r="E422" s="148" t="s">
        <v>30</v>
      </c>
      <c r="F422" s="149">
        <v>2026</v>
      </c>
      <c r="G422" s="148" t="s">
        <v>31</v>
      </c>
      <c r="H422" s="150">
        <v>1467</v>
      </c>
      <c r="I422" s="150">
        <v>1305294</v>
      </c>
      <c r="J422" s="150">
        <v>37260</v>
      </c>
      <c r="K422" s="150">
        <v>40290788</v>
      </c>
      <c r="L422" s="151">
        <v>539</v>
      </c>
      <c r="M422" s="152">
        <f t="shared" si="6"/>
        <v>9163000</v>
      </c>
      <c r="N422" s="148"/>
      <c r="O422" s="150">
        <v>12315803</v>
      </c>
      <c r="P422" s="150">
        <v>786018</v>
      </c>
      <c r="Q422" s="154">
        <v>0.733</v>
      </c>
      <c r="R422" s="154">
        <v>0.267</v>
      </c>
      <c r="S422" s="148"/>
      <c r="T422" s="148"/>
      <c r="U422" s="154">
        <v>0.06</v>
      </c>
      <c r="V422" s="154">
        <v>0.361</v>
      </c>
      <c r="W422" s="154">
        <v>0.322</v>
      </c>
      <c r="X422" s="154">
        <v>0.171</v>
      </c>
      <c r="Y422" s="154">
        <v>0.056</v>
      </c>
      <c r="Z422" s="154">
        <v>0.03</v>
      </c>
      <c r="AA422" s="148" t="s">
        <v>45</v>
      </c>
    </row>
    <row r="423" spans="1:27">
      <c r="A423" s="147">
        <v>1514</v>
      </c>
      <c r="B423" s="147" t="s">
        <v>27</v>
      </c>
      <c r="C423" s="147" t="s">
        <v>58</v>
      </c>
      <c r="D423" s="148" t="s">
        <v>59</v>
      </c>
      <c r="E423" s="148" t="s">
        <v>30</v>
      </c>
      <c r="F423" s="149">
        <v>2026</v>
      </c>
      <c r="G423" s="148" t="s">
        <v>33</v>
      </c>
      <c r="H423" s="150">
        <v>1320</v>
      </c>
      <c r="I423" s="150">
        <v>1341610</v>
      </c>
      <c r="J423" s="150">
        <v>40566</v>
      </c>
      <c r="K423" s="150">
        <v>58905603</v>
      </c>
      <c r="L423" s="151">
        <v>729</v>
      </c>
      <c r="M423" s="152">
        <f t="shared" si="6"/>
        <v>12393000</v>
      </c>
      <c r="N423" s="148"/>
      <c r="O423" s="150">
        <v>17325975</v>
      </c>
      <c r="P423" s="150">
        <v>1035134</v>
      </c>
      <c r="Q423" s="154">
        <v>0.735</v>
      </c>
      <c r="R423" s="154">
        <v>0.265</v>
      </c>
      <c r="S423" s="148"/>
      <c r="T423" s="148"/>
      <c r="U423" s="154">
        <v>0.06</v>
      </c>
      <c r="V423" s="154">
        <v>0.363</v>
      </c>
      <c r="W423" s="154">
        <v>0.323</v>
      </c>
      <c r="X423" s="154">
        <v>0.17</v>
      </c>
      <c r="Y423" s="154">
        <v>0.055</v>
      </c>
      <c r="Z423" s="154">
        <v>0.029</v>
      </c>
      <c r="AA423" s="148" t="s">
        <v>45</v>
      </c>
    </row>
    <row r="424" spans="1:27">
      <c r="A424" s="147">
        <v>1515</v>
      </c>
      <c r="B424" s="147" t="s">
        <v>27</v>
      </c>
      <c r="C424" s="147" t="s">
        <v>58</v>
      </c>
      <c r="D424" s="148" t="s">
        <v>59</v>
      </c>
      <c r="E424" s="148" t="s">
        <v>30</v>
      </c>
      <c r="F424" s="149">
        <v>2026</v>
      </c>
      <c r="G424" s="148" t="s">
        <v>34</v>
      </c>
      <c r="H424" s="150">
        <v>1450</v>
      </c>
      <c r="I424" s="150">
        <v>1391633</v>
      </c>
      <c r="J424" s="150">
        <v>55901</v>
      </c>
      <c r="K424" s="150">
        <v>94489263</v>
      </c>
      <c r="L424" s="151">
        <v>997</v>
      </c>
      <c r="M424" s="152">
        <f t="shared" si="6"/>
        <v>16949000</v>
      </c>
      <c r="N424" s="148"/>
      <c r="O424" s="150">
        <v>22687398</v>
      </c>
      <c r="P424" s="150">
        <v>1546079</v>
      </c>
      <c r="Q424" s="154">
        <v>0.736</v>
      </c>
      <c r="R424" s="154">
        <v>0.264</v>
      </c>
      <c r="S424" s="148"/>
      <c r="T424" s="148"/>
      <c r="U424" s="154">
        <v>0.059</v>
      </c>
      <c r="V424" s="154">
        <v>0.361</v>
      </c>
      <c r="W424" s="154">
        <v>0.325</v>
      </c>
      <c r="X424" s="154">
        <v>0.171</v>
      </c>
      <c r="Y424" s="154">
        <v>0.055</v>
      </c>
      <c r="Z424" s="154">
        <v>0.029</v>
      </c>
      <c r="AA424" s="148" t="s">
        <v>45</v>
      </c>
    </row>
    <row r="425" spans="1:27">
      <c r="A425" s="147">
        <v>1516</v>
      </c>
      <c r="B425" s="147" t="s">
        <v>27</v>
      </c>
      <c r="C425" s="147" t="s">
        <v>58</v>
      </c>
      <c r="D425" s="148" t="s">
        <v>59</v>
      </c>
      <c r="E425" s="148" t="s">
        <v>30</v>
      </c>
      <c r="F425" s="149">
        <v>2026</v>
      </c>
      <c r="G425" s="148" t="s">
        <v>35</v>
      </c>
      <c r="H425" s="150">
        <v>1833</v>
      </c>
      <c r="I425" s="150">
        <v>1449568</v>
      </c>
      <c r="J425" s="150">
        <v>61149</v>
      </c>
      <c r="K425" s="150">
        <v>66558737</v>
      </c>
      <c r="L425" s="151">
        <v>907</v>
      </c>
      <c r="M425" s="152">
        <f t="shared" si="6"/>
        <v>15419000</v>
      </c>
      <c r="N425" s="148"/>
      <c r="O425" s="150">
        <v>16223291</v>
      </c>
      <c r="P425" s="150">
        <v>1310726</v>
      </c>
      <c r="Q425" s="154">
        <v>0.739</v>
      </c>
      <c r="R425" s="154">
        <v>0.261</v>
      </c>
      <c r="S425" s="148"/>
      <c r="T425" s="148"/>
      <c r="U425" s="154">
        <v>0.059</v>
      </c>
      <c r="V425" s="154">
        <v>0.359</v>
      </c>
      <c r="W425" s="154">
        <v>0.325</v>
      </c>
      <c r="X425" s="154">
        <v>0.172</v>
      </c>
      <c r="Y425" s="154">
        <v>0.056</v>
      </c>
      <c r="Z425" s="154">
        <v>0.029</v>
      </c>
      <c r="AA425" s="148" t="s">
        <v>45</v>
      </c>
    </row>
    <row r="426" spans="1:27">
      <c r="A426" s="147">
        <v>1517</v>
      </c>
      <c r="B426" s="147" t="s">
        <v>27</v>
      </c>
      <c r="C426" s="147" t="s">
        <v>58</v>
      </c>
      <c r="D426" s="148" t="s">
        <v>59</v>
      </c>
      <c r="E426" s="148" t="s">
        <v>30</v>
      </c>
      <c r="F426" s="149">
        <v>2026</v>
      </c>
      <c r="G426" s="148" t="s">
        <v>36</v>
      </c>
      <c r="H426" s="150">
        <v>1613</v>
      </c>
      <c r="I426" s="150">
        <v>1491841</v>
      </c>
      <c r="J426" s="150">
        <v>48044</v>
      </c>
      <c r="K426" s="150">
        <v>52969492</v>
      </c>
      <c r="L426" s="151">
        <v>811</v>
      </c>
      <c r="M426" s="152">
        <f t="shared" si="6"/>
        <v>13787000</v>
      </c>
      <c r="N426" s="148"/>
      <c r="O426" s="150">
        <v>15492011</v>
      </c>
      <c r="P426" s="150">
        <v>1132892</v>
      </c>
      <c r="Q426" s="154">
        <v>0.743</v>
      </c>
      <c r="R426" s="154">
        <v>0.257</v>
      </c>
      <c r="S426" s="148"/>
      <c r="T426" s="148"/>
      <c r="U426" s="154">
        <v>0.057</v>
      </c>
      <c r="V426" s="154">
        <v>0.357</v>
      </c>
      <c r="W426" s="154">
        <v>0.327</v>
      </c>
      <c r="X426" s="154">
        <v>0.173</v>
      </c>
      <c r="Y426" s="154">
        <v>0.057</v>
      </c>
      <c r="Z426" s="154">
        <v>0.029</v>
      </c>
      <c r="AA426" s="148" t="s">
        <v>45</v>
      </c>
    </row>
    <row r="427" spans="1:27">
      <c r="A427" s="147">
        <v>1518</v>
      </c>
      <c r="B427" s="147" t="s">
        <v>27</v>
      </c>
      <c r="C427" s="147" t="s">
        <v>58</v>
      </c>
      <c r="D427" s="148" t="s">
        <v>59</v>
      </c>
      <c r="E427" s="148" t="s">
        <v>30</v>
      </c>
      <c r="F427" s="149">
        <v>2026</v>
      </c>
      <c r="G427" s="148" t="s">
        <v>37</v>
      </c>
      <c r="H427" s="150">
        <v>1187</v>
      </c>
      <c r="I427" s="150">
        <v>1506793</v>
      </c>
      <c r="J427" s="150">
        <v>22562</v>
      </c>
      <c r="K427" s="150">
        <v>31948023</v>
      </c>
      <c r="L427" s="151">
        <v>447</v>
      </c>
      <c r="M427" s="152">
        <f t="shared" si="6"/>
        <v>7599000</v>
      </c>
      <c r="N427" s="148"/>
      <c r="O427" s="150">
        <v>12074904</v>
      </c>
      <c r="P427" s="150">
        <v>583514</v>
      </c>
      <c r="Q427" s="154">
        <v>0.743</v>
      </c>
      <c r="R427" s="154">
        <v>0.257</v>
      </c>
      <c r="S427" s="148"/>
      <c r="T427" s="148"/>
      <c r="U427" s="154">
        <v>0.057</v>
      </c>
      <c r="V427" s="154">
        <v>0.357</v>
      </c>
      <c r="W427" s="154">
        <v>0.327</v>
      </c>
      <c r="X427" s="154">
        <v>0.173</v>
      </c>
      <c r="Y427" s="154">
        <v>0.057</v>
      </c>
      <c r="Z427" s="154">
        <v>0.029</v>
      </c>
      <c r="AA427" s="148" t="s">
        <v>45</v>
      </c>
    </row>
    <row r="428" spans="1:27">
      <c r="A428" s="147">
        <v>1519</v>
      </c>
      <c r="B428" s="147" t="s">
        <v>27</v>
      </c>
      <c r="C428" s="147" t="s">
        <v>58</v>
      </c>
      <c r="D428" s="148" t="s">
        <v>59</v>
      </c>
      <c r="E428" s="148" t="s">
        <v>30</v>
      </c>
      <c r="F428" s="149">
        <v>2026</v>
      </c>
      <c r="G428" s="148" t="s">
        <v>38</v>
      </c>
      <c r="H428" s="150">
        <v>1341</v>
      </c>
      <c r="I428" s="150">
        <v>1536260</v>
      </c>
      <c r="J428" s="150">
        <v>34763</v>
      </c>
      <c r="K428" s="150">
        <v>46803990</v>
      </c>
      <c r="L428" s="151">
        <v>665</v>
      </c>
      <c r="M428" s="152">
        <f t="shared" si="6"/>
        <v>11305000</v>
      </c>
      <c r="N428" s="148"/>
      <c r="O428" s="150">
        <v>16661318</v>
      </c>
      <c r="P428" s="150">
        <v>842388</v>
      </c>
      <c r="Q428" s="154">
        <v>0.748</v>
      </c>
      <c r="R428" s="154">
        <v>0.252</v>
      </c>
      <c r="S428" s="148"/>
      <c r="T428" s="148"/>
      <c r="U428" s="154">
        <v>0.059</v>
      </c>
      <c r="V428" s="154">
        <v>0.351</v>
      </c>
      <c r="W428" s="154">
        <v>0.326</v>
      </c>
      <c r="X428" s="154">
        <v>0.175</v>
      </c>
      <c r="Y428" s="154">
        <v>0.059</v>
      </c>
      <c r="Z428" s="154">
        <v>0.03</v>
      </c>
      <c r="AA428" s="148" t="s">
        <v>45</v>
      </c>
    </row>
    <row r="429" spans="1:27">
      <c r="A429" s="147">
        <v>1520</v>
      </c>
      <c r="B429" s="147" t="s">
        <v>27</v>
      </c>
      <c r="C429" s="147" t="s">
        <v>58</v>
      </c>
      <c r="D429" s="148" t="s">
        <v>59</v>
      </c>
      <c r="E429" s="148" t="s">
        <v>30</v>
      </c>
      <c r="F429" s="149">
        <v>2026</v>
      </c>
      <c r="G429" s="148" t="s">
        <v>39</v>
      </c>
      <c r="H429" s="148"/>
      <c r="I429" s="148"/>
      <c r="J429" s="148"/>
      <c r="K429" s="148"/>
      <c r="L429" s="152"/>
      <c r="M429" s="152">
        <f t="shared" si="6"/>
        <v>0</v>
      </c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</row>
    <row r="430" spans="1:27">
      <c r="A430" s="147">
        <v>1521</v>
      </c>
      <c r="B430" s="147" t="s">
        <v>27</v>
      </c>
      <c r="C430" s="147" t="s">
        <v>58</v>
      </c>
      <c r="D430" s="148" t="s">
        <v>59</v>
      </c>
      <c r="E430" s="148" t="s">
        <v>30</v>
      </c>
      <c r="F430" s="149">
        <v>2026</v>
      </c>
      <c r="G430" s="148" t="s">
        <v>40</v>
      </c>
      <c r="H430" s="148"/>
      <c r="I430" s="148"/>
      <c r="J430" s="148"/>
      <c r="K430" s="148"/>
      <c r="L430" s="152"/>
      <c r="M430" s="152">
        <f t="shared" si="6"/>
        <v>0</v>
      </c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</row>
    <row r="431" spans="1:27">
      <c r="A431" s="147">
        <v>1522</v>
      </c>
      <c r="B431" s="147" t="s">
        <v>27</v>
      </c>
      <c r="C431" s="147" t="s">
        <v>58</v>
      </c>
      <c r="D431" s="148" t="s">
        <v>59</v>
      </c>
      <c r="E431" s="148" t="s">
        <v>30</v>
      </c>
      <c r="F431" s="149">
        <v>2026</v>
      </c>
      <c r="G431" s="148" t="s">
        <v>41</v>
      </c>
      <c r="H431" s="148"/>
      <c r="I431" s="148"/>
      <c r="J431" s="148"/>
      <c r="K431" s="148"/>
      <c r="L431" s="152"/>
      <c r="M431" s="152">
        <f t="shared" si="6"/>
        <v>0</v>
      </c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</row>
    <row r="432" spans="1:27">
      <c r="A432" s="147">
        <v>1523</v>
      </c>
      <c r="B432" s="147" t="s">
        <v>27</v>
      </c>
      <c r="C432" s="147" t="s">
        <v>58</v>
      </c>
      <c r="D432" s="148" t="s">
        <v>59</v>
      </c>
      <c r="E432" s="148" t="s">
        <v>30</v>
      </c>
      <c r="F432" s="149">
        <v>2026</v>
      </c>
      <c r="G432" s="148" t="s">
        <v>42</v>
      </c>
      <c r="H432" s="148"/>
      <c r="I432" s="148"/>
      <c r="J432" s="148"/>
      <c r="K432" s="148"/>
      <c r="L432" s="152"/>
      <c r="M432" s="152">
        <f t="shared" si="6"/>
        <v>0</v>
      </c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</row>
    <row r="433" spans="1:27">
      <c r="A433" s="147">
        <v>1524</v>
      </c>
      <c r="B433" s="147" t="s">
        <v>27</v>
      </c>
      <c r="C433" s="147" t="s">
        <v>58</v>
      </c>
      <c r="D433" s="148" t="s">
        <v>59</v>
      </c>
      <c r="E433" s="148" t="s">
        <v>30</v>
      </c>
      <c r="F433" s="149">
        <v>2026</v>
      </c>
      <c r="G433" s="148" t="s">
        <v>43</v>
      </c>
      <c r="H433" s="148"/>
      <c r="I433" s="148"/>
      <c r="J433" s="148"/>
      <c r="K433" s="148"/>
      <c r="L433" s="152"/>
      <c r="M433" s="152">
        <f t="shared" si="6"/>
        <v>0</v>
      </c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</row>
    <row r="434" spans="1:27">
      <c r="A434" s="147">
        <v>1537</v>
      </c>
      <c r="B434" s="147" t="s">
        <v>60</v>
      </c>
      <c r="C434" s="147" t="s">
        <v>28</v>
      </c>
      <c r="D434" s="148" t="s">
        <v>29</v>
      </c>
      <c r="E434" s="148" t="s">
        <v>30</v>
      </c>
      <c r="F434" s="149">
        <v>2024</v>
      </c>
      <c r="G434" s="148" t="s">
        <v>31</v>
      </c>
      <c r="H434" s="149">
        <v>449</v>
      </c>
      <c r="I434" s="149" t="s">
        <v>44</v>
      </c>
      <c r="J434" s="149" t="s">
        <v>61</v>
      </c>
      <c r="K434" s="149" t="s">
        <v>61</v>
      </c>
      <c r="L434" s="152"/>
      <c r="M434" s="152">
        <f t="shared" si="6"/>
        <v>0</v>
      </c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</row>
    <row r="435" spans="1:27">
      <c r="A435" s="147">
        <v>1538</v>
      </c>
      <c r="B435" s="147" t="s">
        <v>60</v>
      </c>
      <c r="C435" s="147" t="s">
        <v>28</v>
      </c>
      <c r="D435" s="148" t="s">
        <v>29</v>
      </c>
      <c r="E435" s="148" t="s">
        <v>30</v>
      </c>
      <c r="F435" s="149">
        <v>2024</v>
      </c>
      <c r="G435" s="148" t="s">
        <v>33</v>
      </c>
      <c r="H435" s="149">
        <v>346</v>
      </c>
      <c r="I435" s="149" t="s">
        <v>44</v>
      </c>
      <c r="J435" s="149" t="s">
        <v>61</v>
      </c>
      <c r="K435" s="149" t="s">
        <v>61</v>
      </c>
      <c r="L435" s="152"/>
      <c r="M435" s="152">
        <f t="shared" si="6"/>
        <v>0</v>
      </c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</row>
    <row r="436" spans="1:27">
      <c r="A436" s="147">
        <v>1539</v>
      </c>
      <c r="B436" s="147" t="s">
        <v>60</v>
      </c>
      <c r="C436" s="147" t="s">
        <v>28</v>
      </c>
      <c r="D436" s="148" t="s">
        <v>29</v>
      </c>
      <c r="E436" s="148" t="s">
        <v>30</v>
      </c>
      <c r="F436" s="149">
        <v>2024</v>
      </c>
      <c r="G436" s="148" t="s">
        <v>34</v>
      </c>
      <c r="H436" s="149">
        <v>364</v>
      </c>
      <c r="I436" s="149" t="s">
        <v>44</v>
      </c>
      <c r="J436" s="149" t="s">
        <v>61</v>
      </c>
      <c r="K436" s="149" t="s">
        <v>61</v>
      </c>
      <c r="L436" s="152"/>
      <c r="M436" s="152">
        <f t="shared" si="6"/>
        <v>0</v>
      </c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</row>
    <row r="437" spans="1:27">
      <c r="A437" s="147">
        <v>1540</v>
      </c>
      <c r="B437" s="147" t="s">
        <v>60</v>
      </c>
      <c r="C437" s="147" t="s">
        <v>28</v>
      </c>
      <c r="D437" s="148" t="s">
        <v>29</v>
      </c>
      <c r="E437" s="148" t="s">
        <v>30</v>
      </c>
      <c r="F437" s="149">
        <v>2024</v>
      </c>
      <c r="G437" s="148" t="s">
        <v>35</v>
      </c>
      <c r="H437" s="149">
        <v>337</v>
      </c>
      <c r="I437" s="149" t="s">
        <v>44</v>
      </c>
      <c r="J437" s="149" t="s">
        <v>61</v>
      </c>
      <c r="K437" s="149" t="s">
        <v>61</v>
      </c>
      <c r="L437" s="152"/>
      <c r="M437" s="152">
        <f t="shared" si="6"/>
        <v>0</v>
      </c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</row>
    <row r="438" spans="1:27">
      <c r="A438" s="147">
        <v>1541</v>
      </c>
      <c r="B438" s="147" t="s">
        <v>60</v>
      </c>
      <c r="C438" s="147" t="s">
        <v>28</v>
      </c>
      <c r="D438" s="148" t="s">
        <v>29</v>
      </c>
      <c r="E438" s="148" t="s">
        <v>30</v>
      </c>
      <c r="F438" s="149">
        <v>2024</v>
      </c>
      <c r="G438" s="148" t="s">
        <v>36</v>
      </c>
      <c r="H438" s="149">
        <v>382</v>
      </c>
      <c r="I438" s="149" t="s">
        <v>44</v>
      </c>
      <c r="J438" s="149" t="s">
        <v>61</v>
      </c>
      <c r="K438" s="149" t="s">
        <v>61</v>
      </c>
      <c r="L438" s="152"/>
      <c r="M438" s="152">
        <f t="shared" si="6"/>
        <v>0</v>
      </c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</row>
    <row r="439" spans="1:27">
      <c r="A439" s="147">
        <v>1542</v>
      </c>
      <c r="B439" s="147" t="s">
        <v>60</v>
      </c>
      <c r="C439" s="147" t="s">
        <v>28</v>
      </c>
      <c r="D439" s="148" t="s">
        <v>29</v>
      </c>
      <c r="E439" s="148" t="s">
        <v>30</v>
      </c>
      <c r="F439" s="149">
        <v>2024</v>
      </c>
      <c r="G439" s="148" t="s">
        <v>37</v>
      </c>
      <c r="H439" s="149">
        <v>437</v>
      </c>
      <c r="I439" s="149" t="s">
        <v>44</v>
      </c>
      <c r="J439" s="149" t="s">
        <v>61</v>
      </c>
      <c r="K439" s="149" t="s">
        <v>61</v>
      </c>
      <c r="L439" s="152"/>
      <c r="M439" s="152">
        <f t="shared" si="6"/>
        <v>0</v>
      </c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</row>
    <row r="440" spans="1:27">
      <c r="A440" s="147">
        <v>1543</v>
      </c>
      <c r="B440" s="147" t="s">
        <v>60</v>
      </c>
      <c r="C440" s="147" t="s">
        <v>28</v>
      </c>
      <c r="D440" s="148" t="s">
        <v>29</v>
      </c>
      <c r="E440" s="148" t="s">
        <v>30</v>
      </c>
      <c r="F440" s="149">
        <v>2024</v>
      </c>
      <c r="G440" s="148" t="s">
        <v>38</v>
      </c>
      <c r="H440" s="149">
        <v>519</v>
      </c>
      <c r="I440" s="149" t="s">
        <v>44</v>
      </c>
      <c r="J440" s="149" t="s">
        <v>61</v>
      </c>
      <c r="K440" s="149" t="s">
        <v>61</v>
      </c>
      <c r="L440" s="152"/>
      <c r="M440" s="152">
        <f t="shared" si="6"/>
        <v>0</v>
      </c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</row>
    <row r="441" spans="1:27">
      <c r="A441" s="147">
        <v>1544</v>
      </c>
      <c r="B441" s="147" t="s">
        <v>60</v>
      </c>
      <c r="C441" s="147" t="s">
        <v>28</v>
      </c>
      <c r="D441" s="148" t="s">
        <v>29</v>
      </c>
      <c r="E441" s="148" t="s">
        <v>30</v>
      </c>
      <c r="F441" s="149">
        <v>2024</v>
      </c>
      <c r="G441" s="148" t="s">
        <v>39</v>
      </c>
      <c r="H441" s="149">
        <v>493</v>
      </c>
      <c r="I441" s="149" t="s">
        <v>44</v>
      </c>
      <c r="J441" s="149" t="s">
        <v>61</v>
      </c>
      <c r="K441" s="149" t="s">
        <v>61</v>
      </c>
      <c r="L441" s="152"/>
      <c r="M441" s="152">
        <f t="shared" si="6"/>
        <v>0</v>
      </c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</row>
    <row r="442" spans="1:27">
      <c r="A442" s="147">
        <v>1545</v>
      </c>
      <c r="B442" s="147" t="s">
        <v>60</v>
      </c>
      <c r="C442" s="147" t="s">
        <v>28</v>
      </c>
      <c r="D442" s="148" t="s">
        <v>29</v>
      </c>
      <c r="E442" s="148" t="s">
        <v>30</v>
      </c>
      <c r="F442" s="149">
        <v>2024</v>
      </c>
      <c r="G442" s="148" t="s">
        <v>40</v>
      </c>
      <c r="H442" s="149">
        <v>473</v>
      </c>
      <c r="I442" s="150">
        <v>798514</v>
      </c>
      <c r="J442" s="149" t="s">
        <v>61</v>
      </c>
      <c r="K442" s="149" t="s">
        <v>61</v>
      </c>
      <c r="L442" s="152"/>
      <c r="M442" s="152">
        <f t="shared" si="6"/>
        <v>0</v>
      </c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</row>
    <row r="443" spans="1:27">
      <c r="A443" s="147">
        <v>1546</v>
      </c>
      <c r="B443" s="147" t="s">
        <v>60</v>
      </c>
      <c r="C443" s="147" t="s">
        <v>28</v>
      </c>
      <c r="D443" s="148" t="s">
        <v>29</v>
      </c>
      <c r="E443" s="148" t="s">
        <v>30</v>
      </c>
      <c r="F443" s="149">
        <v>2024</v>
      </c>
      <c r="G443" s="148" t="s">
        <v>41</v>
      </c>
      <c r="H443" s="149">
        <v>516</v>
      </c>
      <c r="I443" s="150">
        <v>809966</v>
      </c>
      <c r="J443" s="150">
        <v>11452</v>
      </c>
      <c r="K443" s="149" t="s">
        <v>61</v>
      </c>
      <c r="L443" s="152"/>
      <c r="M443" s="152">
        <f t="shared" si="6"/>
        <v>0</v>
      </c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</row>
    <row r="444" spans="1:27">
      <c r="A444" s="147">
        <v>1547</v>
      </c>
      <c r="B444" s="147" t="s">
        <v>60</v>
      </c>
      <c r="C444" s="147" t="s">
        <v>28</v>
      </c>
      <c r="D444" s="148" t="s">
        <v>29</v>
      </c>
      <c r="E444" s="148" t="s">
        <v>30</v>
      </c>
      <c r="F444" s="149">
        <v>2024</v>
      </c>
      <c r="G444" s="148" t="s">
        <v>42</v>
      </c>
      <c r="H444" s="149">
        <v>526</v>
      </c>
      <c r="I444" s="150">
        <v>824170</v>
      </c>
      <c r="J444" s="150">
        <v>14204</v>
      </c>
      <c r="K444" s="149" t="s">
        <v>61</v>
      </c>
      <c r="L444" s="152"/>
      <c r="M444" s="152">
        <f t="shared" si="6"/>
        <v>0</v>
      </c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</row>
    <row r="445" spans="1:27">
      <c r="A445" s="147">
        <v>1548</v>
      </c>
      <c r="B445" s="147" t="s">
        <v>60</v>
      </c>
      <c r="C445" s="147" t="s">
        <v>28</v>
      </c>
      <c r="D445" s="148" t="s">
        <v>29</v>
      </c>
      <c r="E445" s="148" t="s">
        <v>30</v>
      </c>
      <c r="F445" s="149">
        <v>2024</v>
      </c>
      <c r="G445" s="148" t="s">
        <v>43</v>
      </c>
      <c r="H445" s="149">
        <v>467</v>
      </c>
      <c r="I445" s="150">
        <v>838033</v>
      </c>
      <c r="J445" s="150">
        <v>13863</v>
      </c>
      <c r="K445" s="150">
        <v>3031440</v>
      </c>
      <c r="L445" s="152"/>
      <c r="M445" s="152">
        <f t="shared" si="6"/>
        <v>0</v>
      </c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</row>
    <row r="446" spans="1:27">
      <c r="A446" s="147">
        <v>1549</v>
      </c>
      <c r="B446" s="147" t="s">
        <v>60</v>
      </c>
      <c r="C446" s="147" t="s">
        <v>28</v>
      </c>
      <c r="D446" s="148" t="s">
        <v>29</v>
      </c>
      <c r="E446" s="148" t="s">
        <v>30</v>
      </c>
      <c r="F446" s="149">
        <v>2025</v>
      </c>
      <c r="G446" s="148" t="s">
        <v>31</v>
      </c>
      <c r="H446" s="149">
        <v>391</v>
      </c>
      <c r="I446" s="150">
        <v>853269</v>
      </c>
      <c r="J446" s="150">
        <v>15236</v>
      </c>
      <c r="K446" s="150">
        <v>42962430</v>
      </c>
      <c r="L446" s="152"/>
      <c r="M446" s="152">
        <f t="shared" si="6"/>
        <v>0</v>
      </c>
      <c r="N446" s="148"/>
      <c r="O446" s="150">
        <v>3079324</v>
      </c>
      <c r="P446" s="149" t="s">
        <v>48</v>
      </c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</row>
    <row r="447" spans="1:27">
      <c r="A447" s="147">
        <v>1550</v>
      </c>
      <c r="B447" s="147" t="s">
        <v>60</v>
      </c>
      <c r="C447" s="147" t="s">
        <v>28</v>
      </c>
      <c r="D447" s="148" t="s">
        <v>29</v>
      </c>
      <c r="E447" s="148" t="s">
        <v>30</v>
      </c>
      <c r="F447" s="149">
        <v>2025</v>
      </c>
      <c r="G447" s="148" t="s">
        <v>33</v>
      </c>
      <c r="H447" s="149">
        <v>338</v>
      </c>
      <c r="I447" s="150">
        <v>872133</v>
      </c>
      <c r="J447" s="150">
        <v>18864</v>
      </c>
      <c r="K447" s="150">
        <v>35386414</v>
      </c>
      <c r="L447" s="152"/>
      <c r="M447" s="152">
        <f t="shared" si="6"/>
        <v>0</v>
      </c>
      <c r="N447" s="148"/>
      <c r="O447" s="150">
        <v>4297051</v>
      </c>
      <c r="P447" s="149" t="s">
        <v>48</v>
      </c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</row>
    <row r="448" spans="1:27">
      <c r="A448" s="147">
        <v>1551</v>
      </c>
      <c r="B448" s="147" t="s">
        <v>60</v>
      </c>
      <c r="C448" s="147" t="s">
        <v>28</v>
      </c>
      <c r="D448" s="148" t="s">
        <v>29</v>
      </c>
      <c r="E448" s="148" t="s">
        <v>30</v>
      </c>
      <c r="F448" s="149">
        <v>2025</v>
      </c>
      <c r="G448" s="148" t="s">
        <v>34</v>
      </c>
      <c r="H448" s="149">
        <v>408</v>
      </c>
      <c r="I448" s="150">
        <v>892745</v>
      </c>
      <c r="J448" s="150">
        <v>20612</v>
      </c>
      <c r="K448" s="150">
        <v>40071975</v>
      </c>
      <c r="L448" s="152"/>
      <c r="M448" s="152">
        <f t="shared" si="6"/>
        <v>0</v>
      </c>
      <c r="N448" s="148"/>
      <c r="O448" s="150">
        <v>4036183</v>
      </c>
      <c r="P448" s="149" t="s">
        <v>48</v>
      </c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</row>
    <row r="449" spans="1:27">
      <c r="A449" s="147">
        <v>1552</v>
      </c>
      <c r="B449" s="147" t="s">
        <v>60</v>
      </c>
      <c r="C449" s="147" t="s">
        <v>28</v>
      </c>
      <c r="D449" s="148" t="s">
        <v>29</v>
      </c>
      <c r="E449" s="148" t="s">
        <v>30</v>
      </c>
      <c r="F449" s="149">
        <v>2025</v>
      </c>
      <c r="G449" s="148" t="s">
        <v>35</v>
      </c>
      <c r="H449" s="149">
        <v>345</v>
      </c>
      <c r="I449" s="150">
        <v>916683</v>
      </c>
      <c r="J449" s="150">
        <v>23938</v>
      </c>
      <c r="K449" s="150">
        <v>39458567</v>
      </c>
      <c r="L449" s="152"/>
      <c r="M449" s="152">
        <f t="shared" si="6"/>
        <v>0</v>
      </c>
      <c r="N449" s="148"/>
      <c r="O449" s="150">
        <v>4455461</v>
      </c>
      <c r="P449" s="149" t="s">
        <v>48</v>
      </c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</row>
    <row r="450" spans="1:27">
      <c r="A450" s="147">
        <v>1553</v>
      </c>
      <c r="B450" s="147" t="s">
        <v>60</v>
      </c>
      <c r="C450" s="147" t="s">
        <v>28</v>
      </c>
      <c r="D450" s="148" t="s">
        <v>29</v>
      </c>
      <c r="E450" s="148" t="s">
        <v>30</v>
      </c>
      <c r="F450" s="149">
        <v>2025</v>
      </c>
      <c r="G450" s="148" t="s">
        <v>36</v>
      </c>
      <c r="H450" s="149">
        <v>501</v>
      </c>
      <c r="I450" s="150">
        <v>933284</v>
      </c>
      <c r="J450" s="150">
        <v>16601</v>
      </c>
      <c r="K450" s="150">
        <v>33467546</v>
      </c>
      <c r="L450" s="152"/>
      <c r="M450" s="152">
        <f t="shared" ref="M450:M513" si="7">L450*17000</f>
        <v>0</v>
      </c>
      <c r="N450" s="148"/>
      <c r="O450" s="150">
        <v>2504052</v>
      </c>
      <c r="P450" s="149" t="s">
        <v>48</v>
      </c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</row>
    <row r="451" spans="1:27">
      <c r="A451" s="147">
        <v>1554</v>
      </c>
      <c r="B451" s="147" t="s">
        <v>60</v>
      </c>
      <c r="C451" s="147" t="s">
        <v>28</v>
      </c>
      <c r="D451" s="148" t="s">
        <v>29</v>
      </c>
      <c r="E451" s="148" t="s">
        <v>30</v>
      </c>
      <c r="F451" s="149">
        <v>2025</v>
      </c>
      <c r="G451" s="148" t="s">
        <v>37</v>
      </c>
      <c r="H451" s="149">
        <v>499</v>
      </c>
      <c r="I451" s="150">
        <v>949796</v>
      </c>
      <c r="J451" s="150">
        <v>16512</v>
      </c>
      <c r="K451" s="150">
        <v>43440961</v>
      </c>
      <c r="L451" s="152"/>
      <c r="M451" s="152">
        <f t="shared" si="7"/>
        <v>0</v>
      </c>
      <c r="N451" s="148"/>
      <c r="O451" s="150">
        <v>3818451</v>
      </c>
      <c r="P451" s="149" t="s">
        <v>48</v>
      </c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</row>
    <row r="452" spans="1:27">
      <c r="A452" s="147">
        <v>1555</v>
      </c>
      <c r="B452" s="147" t="s">
        <v>60</v>
      </c>
      <c r="C452" s="147" t="s">
        <v>28</v>
      </c>
      <c r="D452" s="148" t="s">
        <v>29</v>
      </c>
      <c r="E452" s="148" t="s">
        <v>30</v>
      </c>
      <c r="F452" s="149">
        <v>2025</v>
      </c>
      <c r="G452" s="148" t="s">
        <v>38</v>
      </c>
      <c r="H452" s="149">
        <v>561</v>
      </c>
      <c r="I452" s="150">
        <v>963156</v>
      </c>
      <c r="J452" s="150">
        <v>24803</v>
      </c>
      <c r="K452" s="150">
        <v>43452877</v>
      </c>
      <c r="L452" s="152"/>
      <c r="M452" s="152">
        <f t="shared" si="7"/>
        <v>0</v>
      </c>
      <c r="N452" s="148"/>
      <c r="O452" s="150">
        <v>3388041</v>
      </c>
      <c r="P452" s="150">
        <v>829251</v>
      </c>
      <c r="Q452" s="154">
        <v>0.7</v>
      </c>
      <c r="R452" s="154">
        <v>0.3</v>
      </c>
      <c r="S452" s="148"/>
      <c r="T452" s="148" t="s">
        <v>44</v>
      </c>
      <c r="U452" s="154">
        <v>0.131</v>
      </c>
      <c r="V452" s="154">
        <v>0.538</v>
      </c>
      <c r="W452" s="154">
        <v>0.23</v>
      </c>
      <c r="X452" s="154">
        <v>0.07</v>
      </c>
      <c r="Y452" s="154">
        <v>0.019</v>
      </c>
      <c r="Z452" s="154">
        <v>0.012</v>
      </c>
      <c r="AA452" s="148" t="s">
        <v>45</v>
      </c>
    </row>
    <row r="453" spans="1:27">
      <c r="A453" s="147">
        <v>1556</v>
      </c>
      <c r="B453" s="147" t="s">
        <v>60</v>
      </c>
      <c r="C453" s="147" t="s">
        <v>28</v>
      </c>
      <c r="D453" s="148" t="s">
        <v>29</v>
      </c>
      <c r="E453" s="148" t="s">
        <v>30</v>
      </c>
      <c r="F453" s="149">
        <v>2025</v>
      </c>
      <c r="G453" s="148" t="s">
        <v>39</v>
      </c>
      <c r="H453" s="149">
        <v>522</v>
      </c>
      <c r="I453" s="150">
        <v>976240</v>
      </c>
      <c r="J453" s="150">
        <v>22801</v>
      </c>
      <c r="K453" s="150">
        <v>44356237</v>
      </c>
      <c r="L453" s="152"/>
      <c r="M453" s="152">
        <f t="shared" si="7"/>
        <v>0</v>
      </c>
      <c r="N453" s="148"/>
      <c r="O453" s="150">
        <v>3367464</v>
      </c>
      <c r="P453" s="150">
        <v>708523</v>
      </c>
      <c r="Q453" s="154">
        <v>0.701</v>
      </c>
      <c r="R453" s="154">
        <v>0.299</v>
      </c>
      <c r="S453" s="148"/>
      <c r="T453" s="148"/>
      <c r="U453" s="154">
        <v>0.129</v>
      </c>
      <c r="V453" s="154">
        <v>0.537</v>
      </c>
      <c r="W453" s="154">
        <v>0.231</v>
      </c>
      <c r="X453" s="154">
        <v>0.071</v>
      </c>
      <c r="Y453" s="154">
        <v>0.02</v>
      </c>
      <c r="Z453" s="154">
        <v>0.012</v>
      </c>
      <c r="AA453" s="148" t="s">
        <v>45</v>
      </c>
    </row>
    <row r="454" spans="1:27">
      <c r="A454" s="147">
        <v>1557</v>
      </c>
      <c r="B454" s="147" t="s">
        <v>60</v>
      </c>
      <c r="C454" s="147" t="s">
        <v>28</v>
      </c>
      <c r="D454" s="148" t="s">
        <v>29</v>
      </c>
      <c r="E454" s="148" t="s">
        <v>30</v>
      </c>
      <c r="F454" s="149">
        <v>2025</v>
      </c>
      <c r="G454" s="148" t="s">
        <v>40</v>
      </c>
      <c r="H454" s="149">
        <v>570</v>
      </c>
      <c r="I454" s="150">
        <v>1001800</v>
      </c>
      <c r="J454" s="150">
        <v>35499</v>
      </c>
      <c r="K454" s="150">
        <v>61711463</v>
      </c>
      <c r="L454" s="152"/>
      <c r="M454" s="152">
        <f t="shared" si="7"/>
        <v>0</v>
      </c>
      <c r="N454" s="148"/>
      <c r="O454" s="150">
        <v>5439564</v>
      </c>
      <c r="P454" s="150">
        <v>970181</v>
      </c>
      <c r="Q454" s="154">
        <v>0.704</v>
      </c>
      <c r="R454" s="154">
        <v>0.296</v>
      </c>
      <c r="S454" s="148"/>
      <c r="T454" s="148"/>
      <c r="U454" s="154">
        <v>0.129</v>
      </c>
      <c r="V454" s="154">
        <v>0.533</v>
      </c>
      <c r="W454" s="154">
        <v>0.233</v>
      </c>
      <c r="X454" s="154">
        <v>0.073</v>
      </c>
      <c r="Y454" s="154">
        <v>0.02</v>
      </c>
      <c r="Z454" s="154">
        <v>0.012</v>
      </c>
      <c r="AA454" s="148" t="s">
        <v>45</v>
      </c>
    </row>
    <row r="455" spans="1:27">
      <c r="A455" s="147">
        <v>1558</v>
      </c>
      <c r="B455" s="147" t="s">
        <v>60</v>
      </c>
      <c r="C455" s="147" t="s">
        <v>28</v>
      </c>
      <c r="D455" s="148" t="s">
        <v>29</v>
      </c>
      <c r="E455" s="148" t="s">
        <v>30</v>
      </c>
      <c r="F455" s="149">
        <v>2025</v>
      </c>
      <c r="G455" s="148" t="s">
        <v>41</v>
      </c>
      <c r="H455" s="149">
        <v>704</v>
      </c>
      <c r="I455" s="150">
        <v>1032255</v>
      </c>
      <c r="J455" s="150">
        <v>41232</v>
      </c>
      <c r="K455" s="150">
        <v>68481755</v>
      </c>
      <c r="L455" s="152"/>
      <c r="M455" s="152">
        <f t="shared" si="7"/>
        <v>0</v>
      </c>
      <c r="N455" s="148"/>
      <c r="O455" s="150">
        <v>4794503</v>
      </c>
      <c r="P455" s="150">
        <v>1168938</v>
      </c>
      <c r="Q455" s="154">
        <v>0.707</v>
      </c>
      <c r="R455" s="154">
        <v>0.293</v>
      </c>
      <c r="S455" s="148"/>
      <c r="T455" s="148"/>
      <c r="U455" s="154">
        <v>0.13</v>
      </c>
      <c r="V455" s="154">
        <v>0.531</v>
      </c>
      <c r="W455" s="154">
        <v>0.234</v>
      </c>
      <c r="X455" s="154">
        <v>0.073</v>
      </c>
      <c r="Y455" s="154">
        <v>0.02</v>
      </c>
      <c r="Z455" s="154">
        <v>0.012</v>
      </c>
      <c r="AA455" s="148" t="s">
        <v>45</v>
      </c>
    </row>
    <row r="456" spans="1:27">
      <c r="A456" s="147">
        <v>1559</v>
      </c>
      <c r="B456" s="147" t="s">
        <v>60</v>
      </c>
      <c r="C456" s="147" t="s">
        <v>28</v>
      </c>
      <c r="D456" s="148" t="s">
        <v>29</v>
      </c>
      <c r="E456" s="148" t="s">
        <v>30</v>
      </c>
      <c r="F456" s="149">
        <v>2025</v>
      </c>
      <c r="G456" s="148" t="s">
        <v>42</v>
      </c>
      <c r="H456" s="149">
        <v>517</v>
      </c>
      <c r="I456" s="150">
        <v>1045889</v>
      </c>
      <c r="J456" s="150">
        <v>23819</v>
      </c>
      <c r="K456" s="150">
        <v>49811348</v>
      </c>
      <c r="L456" s="152"/>
      <c r="M456" s="152">
        <f t="shared" si="7"/>
        <v>0</v>
      </c>
      <c r="N456" s="148"/>
      <c r="O456" s="150">
        <v>3262924</v>
      </c>
      <c r="P456" s="150">
        <v>761763</v>
      </c>
      <c r="Q456" s="154">
        <v>0.709</v>
      </c>
      <c r="R456" s="154">
        <v>0.291</v>
      </c>
      <c r="S456" s="148"/>
      <c r="T456" s="148"/>
      <c r="U456" s="154">
        <v>0.128</v>
      </c>
      <c r="V456" s="154">
        <v>0.531</v>
      </c>
      <c r="W456" s="154">
        <v>0.235</v>
      </c>
      <c r="X456" s="154">
        <v>0.074</v>
      </c>
      <c r="Y456" s="154">
        <v>0.02</v>
      </c>
      <c r="Z456" s="154">
        <v>0.012</v>
      </c>
      <c r="AA456" s="148" t="s">
        <v>45</v>
      </c>
    </row>
    <row r="457" spans="1:27">
      <c r="A457" s="147">
        <v>1560</v>
      </c>
      <c r="B457" s="147" t="s">
        <v>60</v>
      </c>
      <c r="C457" s="147" t="s">
        <v>28</v>
      </c>
      <c r="D457" s="148" t="s">
        <v>29</v>
      </c>
      <c r="E457" s="148" t="s">
        <v>30</v>
      </c>
      <c r="F457" s="149">
        <v>2025</v>
      </c>
      <c r="G457" s="148" t="s">
        <v>43</v>
      </c>
      <c r="H457" s="149">
        <v>657</v>
      </c>
      <c r="I457" s="150">
        <v>1070822</v>
      </c>
      <c r="J457" s="150">
        <v>37455</v>
      </c>
      <c r="K457" s="150">
        <v>53287624</v>
      </c>
      <c r="L457" s="152"/>
      <c r="M457" s="152">
        <f t="shared" si="7"/>
        <v>0</v>
      </c>
      <c r="N457" s="148"/>
      <c r="O457" s="150">
        <v>4083490</v>
      </c>
      <c r="P457" s="150">
        <v>936180</v>
      </c>
      <c r="Q457" s="154">
        <v>0.712</v>
      </c>
      <c r="R457" s="154">
        <v>0.288</v>
      </c>
      <c r="S457" s="148"/>
      <c r="T457" s="148"/>
      <c r="U457" s="154">
        <v>0.129</v>
      </c>
      <c r="V457" s="154">
        <v>0.53</v>
      </c>
      <c r="W457" s="154">
        <v>0.235</v>
      </c>
      <c r="X457" s="154">
        <v>0.074</v>
      </c>
      <c r="Y457" s="155">
        <v>0.02</v>
      </c>
      <c r="Z457" s="154">
        <v>0.012</v>
      </c>
      <c r="AA457" s="148" t="s">
        <v>45</v>
      </c>
    </row>
    <row r="458" spans="1:27">
      <c r="A458" s="147">
        <v>1561</v>
      </c>
      <c r="B458" s="147" t="s">
        <v>60</v>
      </c>
      <c r="C458" s="147" t="s">
        <v>28</v>
      </c>
      <c r="D458" s="148" t="s">
        <v>29</v>
      </c>
      <c r="E458" s="148" t="s">
        <v>30</v>
      </c>
      <c r="F458" s="149">
        <v>2026</v>
      </c>
      <c r="G458" s="148" t="s">
        <v>31</v>
      </c>
      <c r="H458" s="149">
        <v>697</v>
      </c>
      <c r="I458" s="150">
        <v>1122300</v>
      </c>
      <c r="J458" s="150">
        <v>61386</v>
      </c>
      <c r="K458" s="150">
        <v>62107610</v>
      </c>
      <c r="L458" s="152"/>
      <c r="M458" s="152">
        <f t="shared" si="7"/>
        <v>0</v>
      </c>
      <c r="N458" s="148"/>
      <c r="O458" s="150">
        <v>3645161</v>
      </c>
      <c r="P458" s="150">
        <v>1289710</v>
      </c>
      <c r="Q458" s="154">
        <v>0.718</v>
      </c>
      <c r="R458" s="154">
        <v>0.282</v>
      </c>
      <c r="S458" s="148"/>
      <c r="T458" s="148"/>
      <c r="U458" s="154">
        <v>0.135</v>
      </c>
      <c r="V458" s="154">
        <v>0.528</v>
      </c>
      <c r="W458" s="154">
        <v>0.233</v>
      </c>
      <c r="X458" s="154">
        <v>0.073</v>
      </c>
      <c r="Y458" s="155">
        <v>0.02</v>
      </c>
      <c r="Z458" s="154">
        <v>0.011</v>
      </c>
      <c r="AA458" s="148" t="s">
        <v>45</v>
      </c>
    </row>
    <row r="459" spans="1:27">
      <c r="A459" s="147">
        <v>1562</v>
      </c>
      <c r="B459" s="147" t="s">
        <v>60</v>
      </c>
      <c r="C459" s="147" t="s">
        <v>28</v>
      </c>
      <c r="D459" s="148" t="s">
        <v>29</v>
      </c>
      <c r="E459" s="148" t="s">
        <v>30</v>
      </c>
      <c r="F459" s="149">
        <v>2026</v>
      </c>
      <c r="G459" s="148" t="s">
        <v>33</v>
      </c>
      <c r="H459" s="149">
        <v>673</v>
      </c>
      <c r="I459" s="150">
        <v>1138922</v>
      </c>
      <c r="J459" s="150">
        <v>29363</v>
      </c>
      <c r="K459" s="150">
        <v>49144105</v>
      </c>
      <c r="L459" s="152"/>
      <c r="M459" s="152">
        <f t="shared" si="7"/>
        <v>0</v>
      </c>
      <c r="N459" s="148"/>
      <c r="O459" s="150">
        <v>3480085</v>
      </c>
      <c r="P459" s="150">
        <v>795742</v>
      </c>
      <c r="Q459" s="154">
        <v>0.721</v>
      </c>
      <c r="R459" s="154">
        <v>0.279</v>
      </c>
      <c r="S459" s="148"/>
      <c r="T459" s="148"/>
      <c r="U459" s="154">
        <v>0.137</v>
      </c>
      <c r="V459" s="154">
        <v>0.527</v>
      </c>
      <c r="W459" s="154">
        <v>0.232</v>
      </c>
      <c r="X459" s="154">
        <v>0.073</v>
      </c>
      <c r="Y459" s="154">
        <v>0.02</v>
      </c>
      <c r="Z459" s="154">
        <v>0.011</v>
      </c>
      <c r="AA459" s="148" t="s">
        <v>45</v>
      </c>
    </row>
    <row r="460" spans="1:27">
      <c r="A460" s="147">
        <v>1563</v>
      </c>
      <c r="B460" s="147" t="s">
        <v>60</v>
      </c>
      <c r="C460" s="147" t="s">
        <v>28</v>
      </c>
      <c r="D460" s="148" t="s">
        <v>29</v>
      </c>
      <c r="E460" s="148" t="s">
        <v>30</v>
      </c>
      <c r="F460" s="149">
        <v>2026</v>
      </c>
      <c r="G460" s="148" t="s">
        <v>34</v>
      </c>
      <c r="H460" s="149">
        <v>853</v>
      </c>
      <c r="I460" s="150">
        <v>1147015</v>
      </c>
      <c r="J460" s="150">
        <v>19662</v>
      </c>
      <c r="K460" s="150">
        <v>74339803</v>
      </c>
      <c r="L460" s="152"/>
      <c r="M460" s="152">
        <f t="shared" si="7"/>
        <v>0</v>
      </c>
      <c r="N460" s="148"/>
      <c r="O460" s="150">
        <v>5637297</v>
      </c>
      <c r="P460" s="150">
        <v>1125005</v>
      </c>
      <c r="Q460" s="154">
        <v>0.721</v>
      </c>
      <c r="R460" s="154">
        <v>0.279</v>
      </c>
      <c r="S460" s="148"/>
      <c r="T460" s="148"/>
      <c r="U460" s="154">
        <v>0.134</v>
      </c>
      <c r="V460" s="154">
        <v>0.526</v>
      </c>
      <c r="W460" s="154">
        <v>0.234</v>
      </c>
      <c r="X460" s="154">
        <v>0.074</v>
      </c>
      <c r="Y460" s="154">
        <v>0.02</v>
      </c>
      <c r="Z460" s="154">
        <v>0.012</v>
      </c>
      <c r="AA460" s="148" t="s">
        <v>45</v>
      </c>
    </row>
    <row r="461" spans="1:27">
      <c r="A461" s="147">
        <v>1564</v>
      </c>
      <c r="B461" s="147" t="s">
        <v>60</v>
      </c>
      <c r="C461" s="147" t="s">
        <v>28</v>
      </c>
      <c r="D461" s="148" t="s">
        <v>29</v>
      </c>
      <c r="E461" s="148" t="s">
        <v>30</v>
      </c>
      <c r="F461" s="149">
        <v>2026</v>
      </c>
      <c r="G461" s="148" t="s">
        <v>35</v>
      </c>
      <c r="H461" s="150">
        <v>1161</v>
      </c>
      <c r="I461" s="150">
        <v>1156760</v>
      </c>
      <c r="J461" s="150">
        <v>23164</v>
      </c>
      <c r="K461" s="150">
        <v>66607431</v>
      </c>
      <c r="L461" s="152"/>
      <c r="M461" s="152">
        <f t="shared" si="7"/>
        <v>0</v>
      </c>
      <c r="N461" s="148"/>
      <c r="O461" s="150">
        <v>4608142</v>
      </c>
      <c r="P461" s="150">
        <v>1092190</v>
      </c>
      <c r="Q461" s="154">
        <v>0.723</v>
      </c>
      <c r="R461" s="154">
        <v>0.277</v>
      </c>
      <c r="S461" s="148"/>
      <c r="T461" s="148"/>
      <c r="U461" s="154">
        <v>0.132</v>
      </c>
      <c r="V461" s="154">
        <v>0.524</v>
      </c>
      <c r="W461" s="154">
        <v>0.236</v>
      </c>
      <c r="X461" s="154">
        <v>0.075</v>
      </c>
      <c r="Y461" s="154">
        <v>0.021</v>
      </c>
      <c r="Z461" s="154">
        <v>0.012</v>
      </c>
      <c r="AA461" s="148" t="s">
        <v>45</v>
      </c>
    </row>
    <row r="462" spans="1:27">
      <c r="A462" s="147">
        <v>1565</v>
      </c>
      <c r="B462" s="147" t="s">
        <v>60</v>
      </c>
      <c r="C462" s="147" t="s">
        <v>28</v>
      </c>
      <c r="D462" s="148" t="s">
        <v>29</v>
      </c>
      <c r="E462" s="148" t="s">
        <v>30</v>
      </c>
      <c r="F462" s="149">
        <v>2026</v>
      </c>
      <c r="G462" s="148" t="s">
        <v>36</v>
      </c>
      <c r="H462" s="150">
        <v>1104</v>
      </c>
      <c r="I462" s="150">
        <v>1155969</v>
      </c>
      <c r="J462" s="150">
        <v>18116</v>
      </c>
      <c r="K462" s="150">
        <v>52980240</v>
      </c>
      <c r="L462" s="152"/>
      <c r="M462" s="152">
        <f t="shared" si="7"/>
        <v>0</v>
      </c>
      <c r="N462" s="148"/>
      <c r="O462" s="150">
        <v>2538526</v>
      </c>
      <c r="P462" s="150">
        <v>804693</v>
      </c>
      <c r="Q462" s="154">
        <v>0.723</v>
      </c>
      <c r="R462" s="154">
        <v>0.277</v>
      </c>
      <c r="S462" s="148"/>
      <c r="T462" s="148"/>
      <c r="U462" s="154">
        <v>0.131</v>
      </c>
      <c r="V462" s="154">
        <v>0.523</v>
      </c>
      <c r="W462" s="154">
        <v>0.238</v>
      </c>
      <c r="X462" s="154">
        <v>0.075</v>
      </c>
      <c r="Y462" s="154">
        <v>0.021</v>
      </c>
      <c r="Z462" s="154">
        <v>0.012</v>
      </c>
      <c r="AA462" s="148" t="s">
        <v>45</v>
      </c>
    </row>
    <row r="463" spans="1:27">
      <c r="A463" s="147">
        <v>1566</v>
      </c>
      <c r="B463" s="147" t="s">
        <v>60</v>
      </c>
      <c r="C463" s="147" t="s">
        <v>28</v>
      </c>
      <c r="D463" s="148" t="s">
        <v>29</v>
      </c>
      <c r="E463" s="148" t="s">
        <v>30</v>
      </c>
      <c r="F463" s="149">
        <v>2026</v>
      </c>
      <c r="G463" s="148" t="s">
        <v>37</v>
      </c>
      <c r="H463" s="150">
        <v>1006</v>
      </c>
      <c r="I463" s="150">
        <v>1162881</v>
      </c>
      <c r="J463" s="150">
        <v>21498</v>
      </c>
      <c r="K463" s="150">
        <v>49313158</v>
      </c>
      <c r="L463" s="152"/>
      <c r="M463" s="152">
        <f t="shared" si="7"/>
        <v>0</v>
      </c>
      <c r="N463" s="148"/>
      <c r="O463" s="150">
        <v>3171997</v>
      </c>
      <c r="P463" s="150">
        <v>787044</v>
      </c>
      <c r="Q463" s="154">
        <v>0.724</v>
      </c>
      <c r="R463" s="154">
        <v>0.276</v>
      </c>
      <c r="S463" s="148"/>
      <c r="T463" s="148"/>
      <c r="U463" s="154">
        <v>0.129</v>
      </c>
      <c r="V463" s="154">
        <v>0.522</v>
      </c>
      <c r="W463" s="154">
        <v>0.239</v>
      </c>
      <c r="X463" s="154">
        <v>0.076</v>
      </c>
      <c r="Y463" s="154">
        <v>0.022</v>
      </c>
      <c r="Z463" s="154">
        <v>0.012</v>
      </c>
      <c r="AA463" s="148" t="s">
        <v>45</v>
      </c>
    </row>
    <row r="464" spans="1:27">
      <c r="A464" s="147">
        <v>1567</v>
      </c>
      <c r="B464" s="147" t="s">
        <v>60</v>
      </c>
      <c r="C464" s="147" t="s">
        <v>28</v>
      </c>
      <c r="D464" s="148" t="s">
        <v>29</v>
      </c>
      <c r="E464" s="148" t="s">
        <v>30</v>
      </c>
      <c r="F464" s="149">
        <v>2026</v>
      </c>
      <c r="G464" s="148" t="s">
        <v>38</v>
      </c>
      <c r="H464" s="150">
        <v>1047</v>
      </c>
      <c r="I464" s="150">
        <v>1175299</v>
      </c>
      <c r="J464" s="150">
        <v>26544</v>
      </c>
      <c r="K464" s="150">
        <v>45414215</v>
      </c>
      <c r="L464" s="152"/>
      <c r="M464" s="152">
        <f t="shared" si="7"/>
        <v>0</v>
      </c>
      <c r="N464" s="148"/>
      <c r="O464" s="150">
        <v>4502138</v>
      </c>
      <c r="P464" s="150">
        <v>699263</v>
      </c>
      <c r="Q464" s="154">
        <v>0.722</v>
      </c>
      <c r="R464" s="154">
        <v>0.278</v>
      </c>
      <c r="S464" s="148"/>
      <c r="T464" s="148"/>
      <c r="U464" s="154">
        <v>0.127</v>
      </c>
      <c r="V464" s="154">
        <v>0.52</v>
      </c>
      <c r="W464" s="154">
        <v>0.241</v>
      </c>
      <c r="X464" s="154">
        <v>0.078</v>
      </c>
      <c r="Y464" s="154">
        <v>0.022</v>
      </c>
      <c r="Z464" s="154">
        <v>0.012</v>
      </c>
      <c r="AA464" s="148" t="s">
        <v>45</v>
      </c>
    </row>
    <row r="465" spans="1:27">
      <c r="A465" s="147">
        <v>1568</v>
      </c>
      <c r="B465" s="147" t="s">
        <v>60</v>
      </c>
      <c r="C465" s="147" t="s">
        <v>28</v>
      </c>
      <c r="D465" s="148" t="s">
        <v>29</v>
      </c>
      <c r="E465" s="148" t="s">
        <v>30</v>
      </c>
      <c r="F465" s="149">
        <v>2026</v>
      </c>
      <c r="G465" s="148" t="s">
        <v>39</v>
      </c>
      <c r="H465" s="148"/>
      <c r="I465" s="148"/>
      <c r="J465" s="148"/>
      <c r="K465" s="148"/>
      <c r="L465" s="152"/>
      <c r="M465" s="152">
        <f t="shared" si="7"/>
        <v>0</v>
      </c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</row>
    <row r="466" spans="1:27">
      <c r="A466" s="147">
        <v>1569</v>
      </c>
      <c r="B466" s="147" t="s">
        <v>60</v>
      </c>
      <c r="C466" s="147" t="s">
        <v>28</v>
      </c>
      <c r="D466" s="148" t="s">
        <v>29</v>
      </c>
      <c r="E466" s="148" t="s">
        <v>30</v>
      </c>
      <c r="F466" s="149">
        <v>2026</v>
      </c>
      <c r="G466" s="148" t="s">
        <v>40</v>
      </c>
      <c r="H466" s="148"/>
      <c r="I466" s="148"/>
      <c r="J466" s="148"/>
      <c r="K466" s="148"/>
      <c r="L466" s="152"/>
      <c r="M466" s="152">
        <f t="shared" si="7"/>
        <v>0</v>
      </c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</row>
    <row r="467" spans="1:27">
      <c r="A467" s="147">
        <v>1570</v>
      </c>
      <c r="B467" s="147" t="s">
        <v>60</v>
      </c>
      <c r="C467" s="147" t="s">
        <v>28</v>
      </c>
      <c r="D467" s="148" t="s">
        <v>29</v>
      </c>
      <c r="E467" s="148" t="s">
        <v>30</v>
      </c>
      <c r="F467" s="149">
        <v>2026</v>
      </c>
      <c r="G467" s="148" t="s">
        <v>41</v>
      </c>
      <c r="H467" s="148"/>
      <c r="I467" s="148"/>
      <c r="J467" s="148"/>
      <c r="K467" s="148"/>
      <c r="L467" s="152"/>
      <c r="M467" s="152">
        <f t="shared" si="7"/>
        <v>0</v>
      </c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</row>
    <row r="468" spans="1:27">
      <c r="A468" s="147">
        <v>1571</v>
      </c>
      <c r="B468" s="147" t="s">
        <v>60</v>
      </c>
      <c r="C468" s="147" t="s">
        <v>28</v>
      </c>
      <c r="D468" s="148" t="s">
        <v>29</v>
      </c>
      <c r="E468" s="148" t="s">
        <v>30</v>
      </c>
      <c r="F468" s="149">
        <v>2026</v>
      </c>
      <c r="G468" s="148" t="s">
        <v>42</v>
      </c>
      <c r="H468" s="148"/>
      <c r="I468" s="148"/>
      <c r="J468" s="148"/>
      <c r="K468" s="148"/>
      <c r="L468" s="152"/>
      <c r="M468" s="152">
        <f t="shared" si="7"/>
        <v>0</v>
      </c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>
      <c r="A469" s="147">
        <v>1572</v>
      </c>
      <c r="B469" s="147" t="s">
        <v>60</v>
      </c>
      <c r="C469" s="147" t="s">
        <v>28</v>
      </c>
      <c r="D469" s="148" t="s">
        <v>29</v>
      </c>
      <c r="E469" s="148" t="s">
        <v>30</v>
      </c>
      <c r="F469" s="149">
        <v>2026</v>
      </c>
      <c r="G469" s="148" t="s">
        <v>43</v>
      </c>
      <c r="H469" s="148"/>
      <c r="I469" s="148"/>
      <c r="J469" s="148"/>
      <c r="K469" s="148"/>
      <c r="L469" s="152"/>
      <c r="M469" s="152">
        <f t="shared" si="7"/>
        <v>0</v>
      </c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>
      <c r="A470" s="147">
        <v>1585</v>
      </c>
      <c r="B470" s="147" t="s">
        <v>60</v>
      </c>
      <c r="C470" s="147" t="s">
        <v>46</v>
      </c>
      <c r="D470" s="148" t="s">
        <v>47</v>
      </c>
      <c r="E470" s="148" t="s">
        <v>30</v>
      </c>
      <c r="F470" s="149">
        <v>2024</v>
      </c>
      <c r="G470" s="148" t="s">
        <v>31</v>
      </c>
      <c r="H470" s="149">
        <v>498</v>
      </c>
      <c r="I470" s="148" t="s">
        <v>44</v>
      </c>
      <c r="J470" s="148" t="s">
        <v>61</v>
      </c>
      <c r="K470" s="148" t="s">
        <v>61</v>
      </c>
      <c r="L470" s="152"/>
      <c r="M470" s="152">
        <f t="shared" si="7"/>
        <v>0</v>
      </c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</row>
    <row r="471" spans="1:27">
      <c r="A471" s="147">
        <v>1586</v>
      </c>
      <c r="B471" s="147" t="s">
        <v>60</v>
      </c>
      <c r="C471" s="147" t="s">
        <v>46</v>
      </c>
      <c r="D471" s="148" t="s">
        <v>47</v>
      </c>
      <c r="E471" s="148" t="s">
        <v>30</v>
      </c>
      <c r="F471" s="149">
        <v>2024</v>
      </c>
      <c r="G471" s="148" t="s">
        <v>33</v>
      </c>
      <c r="H471" s="149">
        <v>334</v>
      </c>
      <c r="I471" s="148" t="s">
        <v>44</v>
      </c>
      <c r="J471" s="148" t="s">
        <v>61</v>
      </c>
      <c r="K471" s="148" t="s">
        <v>61</v>
      </c>
      <c r="L471" s="152"/>
      <c r="M471" s="152">
        <f t="shared" si="7"/>
        <v>0</v>
      </c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>
      <c r="A472" s="147">
        <v>1587</v>
      </c>
      <c r="B472" s="147" t="s">
        <v>60</v>
      </c>
      <c r="C472" s="147" t="s">
        <v>46</v>
      </c>
      <c r="D472" s="148" t="s">
        <v>47</v>
      </c>
      <c r="E472" s="148" t="s">
        <v>30</v>
      </c>
      <c r="F472" s="149">
        <v>2024</v>
      </c>
      <c r="G472" s="148" t="s">
        <v>34</v>
      </c>
      <c r="H472" s="149">
        <v>287</v>
      </c>
      <c r="I472" s="148" t="s">
        <v>44</v>
      </c>
      <c r="J472" s="148" t="s">
        <v>61</v>
      </c>
      <c r="K472" s="148" t="s">
        <v>61</v>
      </c>
      <c r="L472" s="152"/>
      <c r="M472" s="152">
        <f t="shared" si="7"/>
        <v>0</v>
      </c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</row>
    <row r="473" spans="1:27">
      <c r="A473" s="147">
        <v>1588</v>
      </c>
      <c r="B473" s="147" t="s">
        <v>60</v>
      </c>
      <c r="C473" s="147" t="s">
        <v>46</v>
      </c>
      <c r="D473" s="148" t="s">
        <v>47</v>
      </c>
      <c r="E473" s="148" t="s">
        <v>30</v>
      </c>
      <c r="F473" s="149">
        <v>2024</v>
      </c>
      <c r="G473" s="148" t="s">
        <v>35</v>
      </c>
      <c r="H473" s="149">
        <v>180</v>
      </c>
      <c r="I473" s="148" t="s">
        <v>44</v>
      </c>
      <c r="J473" s="148" t="s">
        <v>61</v>
      </c>
      <c r="K473" s="148" t="s">
        <v>61</v>
      </c>
      <c r="L473" s="152"/>
      <c r="M473" s="152">
        <f t="shared" si="7"/>
        <v>0</v>
      </c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</row>
    <row r="474" spans="1:27">
      <c r="A474" s="147">
        <v>1589</v>
      </c>
      <c r="B474" s="147" t="s">
        <v>60</v>
      </c>
      <c r="C474" s="147" t="s">
        <v>46</v>
      </c>
      <c r="D474" s="148" t="s">
        <v>47</v>
      </c>
      <c r="E474" s="148" t="s">
        <v>30</v>
      </c>
      <c r="F474" s="149">
        <v>2024</v>
      </c>
      <c r="G474" s="148" t="s">
        <v>36</v>
      </c>
      <c r="H474" s="149">
        <v>232</v>
      </c>
      <c r="I474" s="148" t="s">
        <v>44</v>
      </c>
      <c r="J474" s="148" t="s">
        <v>61</v>
      </c>
      <c r="K474" s="148" t="s">
        <v>61</v>
      </c>
      <c r="L474" s="152"/>
      <c r="M474" s="152">
        <f t="shared" si="7"/>
        <v>0</v>
      </c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</row>
    <row r="475" spans="1:27">
      <c r="A475" s="147">
        <v>1590</v>
      </c>
      <c r="B475" s="147" t="s">
        <v>60</v>
      </c>
      <c r="C475" s="147" t="s">
        <v>46</v>
      </c>
      <c r="D475" s="148" t="s">
        <v>47</v>
      </c>
      <c r="E475" s="148" t="s">
        <v>30</v>
      </c>
      <c r="F475" s="149">
        <v>2024</v>
      </c>
      <c r="G475" s="148" t="s">
        <v>37</v>
      </c>
      <c r="H475" s="149">
        <v>189</v>
      </c>
      <c r="I475" s="148" t="s">
        <v>44</v>
      </c>
      <c r="J475" s="148" t="s">
        <v>61</v>
      </c>
      <c r="K475" s="148" t="s">
        <v>61</v>
      </c>
      <c r="L475" s="152"/>
      <c r="M475" s="152">
        <f t="shared" si="7"/>
        <v>0</v>
      </c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</row>
    <row r="476" spans="1:27">
      <c r="A476" s="147">
        <v>1591</v>
      </c>
      <c r="B476" s="147" t="s">
        <v>60</v>
      </c>
      <c r="C476" s="147" t="s">
        <v>46</v>
      </c>
      <c r="D476" s="148" t="s">
        <v>47</v>
      </c>
      <c r="E476" s="148" t="s">
        <v>30</v>
      </c>
      <c r="F476" s="149">
        <v>2024</v>
      </c>
      <c r="G476" s="148" t="s">
        <v>38</v>
      </c>
      <c r="H476" s="149">
        <v>164</v>
      </c>
      <c r="I476" s="148" t="s">
        <v>44</v>
      </c>
      <c r="J476" s="148" t="s">
        <v>61</v>
      </c>
      <c r="K476" s="148" t="s">
        <v>61</v>
      </c>
      <c r="L476" s="152"/>
      <c r="M476" s="152">
        <f t="shared" si="7"/>
        <v>0</v>
      </c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</row>
    <row r="477" spans="1:27">
      <c r="A477" s="147">
        <v>1592</v>
      </c>
      <c r="B477" s="147" t="s">
        <v>60</v>
      </c>
      <c r="C477" s="147" t="s">
        <v>46</v>
      </c>
      <c r="D477" s="148" t="s">
        <v>47</v>
      </c>
      <c r="E477" s="148" t="s">
        <v>30</v>
      </c>
      <c r="F477" s="149">
        <v>2024</v>
      </c>
      <c r="G477" s="148" t="s">
        <v>39</v>
      </c>
      <c r="H477" s="149">
        <v>133</v>
      </c>
      <c r="I477" s="148" t="s">
        <v>44</v>
      </c>
      <c r="J477" s="148" t="s">
        <v>61</v>
      </c>
      <c r="K477" s="148" t="s">
        <v>61</v>
      </c>
      <c r="L477" s="152"/>
      <c r="M477" s="152">
        <f t="shared" si="7"/>
        <v>0</v>
      </c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</row>
    <row r="478" spans="1:27">
      <c r="A478" s="147">
        <v>1593</v>
      </c>
      <c r="B478" s="147" t="s">
        <v>60</v>
      </c>
      <c r="C478" s="147" t="s">
        <v>46</v>
      </c>
      <c r="D478" s="148" t="s">
        <v>47</v>
      </c>
      <c r="E478" s="148" t="s">
        <v>30</v>
      </c>
      <c r="F478" s="149">
        <v>2024</v>
      </c>
      <c r="G478" s="148" t="s">
        <v>40</v>
      </c>
      <c r="H478" s="149">
        <v>101</v>
      </c>
      <c r="I478" s="150">
        <v>175990</v>
      </c>
      <c r="J478" s="148" t="s">
        <v>61</v>
      </c>
      <c r="K478" s="148" t="s">
        <v>61</v>
      </c>
      <c r="L478" s="152"/>
      <c r="M478" s="152">
        <f t="shared" si="7"/>
        <v>0</v>
      </c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</row>
    <row r="479" spans="1:27">
      <c r="A479" s="147">
        <v>1594</v>
      </c>
      <c r="B479" s="147" t="s">
        <v>60</v>
      </c>
      <c r="C479" s="147" t="s">
        <v>46</v>
      </c>
      <c r="D479" s="148" t="s">
        <v>47</v>
      </c>
      <c r="E479" s="148" t="s">
        <v>30</v>
      </c>
      <c r="F479" s="149">
        <v>2024</v>
      </c>
      <c r="G479" s="148" t="s">
        <v>41</v>
      </c>
      <c r="H479" s="149">
        <v>65</v>
      </c>
      <c r="I479" s="150">
        <v>176438</v>
      </c>
      <c r="J479" s="149">
        <v>448</v>
      </c>
      <c r="K479" s="148" t="s">
        <v>61</v>
      </c>
      <c r="L479" s="152"/>
      <c r="M479" s="152">
        <f t="shared" si="7"/>
        <v>0</v>
      </c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</row>
    <row r="480" spans="1:27">
      <c r="A480" s="147">
        <v>1595</v>
      </c>
      <c r="B480" s="147" t="s">
        <v>60</v>
      </c>
      <c r="C480" s="147" t="s">
        <v>46</v>
      </c>
      <c r="D480" s="148" t="s">
        <v>47</v>
      </c>
      <c r="E480" s="148" t="s">
        <v>30</v>
      </c>
      <c r="F480" s="149">
        <v>2024</v>
      </c>
      <c r="G480" s="148" t="s">
        <v>42</v>
      </c>
      <c r="H480" s="149">
        <v>59</v>
      </c>
      <c r="I480" s="150">
        <v>176875</v>
      </c>
      <c r="J480" s="149">
        <v>437</v>
      </c>
      <c r="K480" s="148" t="s">
        <v>61</v>
      </c>
      <c r="L480" s="152"/>
      <c r="M480" s="152">
        <f t="shared" si="7"/>
        <v>0</v>
      </c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</row>
    <row r="481" spans="1:27">
      <c r="A481" s="147">
        <v>1596</v>
      </c>
      <c r="B481" s="147" t="s">
        <v>60</v>
      </c>
      <c r="C481" s="147" t="s">
        <v>46</v>
      </c>
      <c r="D481" s="148" t="s">
        <v>47</v>
      </c>
      <c r="E481" s="148" t="s">
        <v>30</v>
      </c>
      <c r="F481" s="149">
        <v>2024</v>
      </c>
      <c r="G481" s="148" t="s">
        <v>43</v>
      </c>
      <c r="H481" s="149">
        <v>50</v>
      </c>
      <c r="I481" s="150">
        <v>177417</v>
      </c>
      <c r="J481" s="149">
        <v>542</v>
      </c>
      <c r="K481" s="150">
        <v>20326</v>
      </c>
      <c r="L481" s="152"/>
      <c r="M481" s="152">
        <f t="shared" si="7"/>
        <v>0</v>
      </c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</row>
    <row r="482" spans="1:27">
      <c r="A482" s="147">
        <v>1597</v>
      </c>
      <c r="B482" s="147" t="s">
        <v>60</v>
      </c>
      <c r="C482" s="147" t="s">
        <v>46</v>
      </c>
      <c r="D482" s="148" t="s">
        <v>47</v>
      </c>
      <c r="E482" s="148" t="s">
        <v>30</v>
      </c>
      <c r="F482" s="149">
        <v>2025</v>
      </c>
      <c r="G482" s="148" t="s">
        <v>31</v>
      </c>
      <c r="H482" s="149">
        <v>31</v>
      </c>
      <c r="I482" s="150">
        <v>178015</v>
      </c>
      <c r="J482" s="149">
        <v>598</v>
      </c>
      <c r="K482" s="150">
        <v>1087752</v>
      </c>
      <c r="L482" s="152"/>
      <c r="M482" s="152">
        <f t="shared" si="7"/>
        <v>0</v>
      </c>
      <c r="N482" s="148"/>
      <c r="O482" s="150">
        <v>623028</v>
      </c>
      <c r="P482" s="148" t="s">
        <v>48</v>
      </c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</row>
    <row r="483" spans="1:27">
      <c r="A483" s="147">
        <v>1598</v>
      </c>
      <c r="B483" s="147" t="s">
        <v>60</v>
      </c>
      <c r="C483" s="147" t="s">
        <v>46</v>
      </c>
      <c r="D483" s="148" t="s">
        <v>47</v>
      </c>
      <c r="E483" s="148" t="s">
        <v>30</v>
      </c>
      <c r="F483" s="149">
        <v>2025</v>
      </c>
      <c r="G483" s="148" t="s">
        <v>33</v>
      </c>
      <c r="H483" s="149">
        <v>13</v>
      </c>
      <c r="I483" s="150">
        <v>178427</v>
      </c>
      <c r="J483" s="149">
        <v>412</v>
      </c>
      <c r="K483" s="150">
        <v>179947</v>
      </c>
      <c r="L483" s="152"/>
      <c r="M483" s="152">
        <f t="shared" si="7"/>
        <v>0</v>
      </c>
      <c r="N483" s="148"/>
      <c r="O483" s="150">
        <v>99409</v>
      </c>
      <c r="P483" s="148" t="s">
        <v>48</v>
      </c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</row>
    <row r="484" spans="1:27">
      <c r="A484" s="147">
        <v>1599</v>
      </c>
      <c r="B484" s="147" t="s">
        <v>60</v>
      </c>
      <c r="C484" s="147" t="s">
        <v>46</v>
      </c>
      <c r="D484" s="148" t="s">
        <v>47</v>
      </c>
      <c r="E484" s="148" t="s">
        <v>30</v>
      </c>
      <c r="F484" s="149">
        <v>2025</v>
      </c>
      <c r="G484" s="148" t="s">
        <v>34</v>
      </c>
      <c r="H484" s="149">
        <v>32</v>
      </c>
      <c r="I484" s="150">
        <v>178735</v>
      </c>
      <c r="J484" s="149">
        <v>308</v>
      </c>
      <c r="K484" s="150">
        <v>115969</v>
      </c>
      <c r="L484" s="152"/>
      <c r="M484" s="152">
        <f t="shared" si="7"/>
        <v>0</v>
      </c>
      <c r="N484" s="148"/>
      <c r="O484" s="150">
        <v>46066</v>
      </c>
      <c r="P484" s="148" t="s">
        <v>48</v>
      </c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</row>
    <row r="485" spans="1:27">
      <c r="A485" s="147">
        <v>1600</v>
      </c>
      <c r="B485" s="147" t="s">
        <v>60</v>
      </c>
      <c r="C485" s="147" t="s">
        <v>46</v>
      </c>
      <c r="D485" s="148" t="s">
        <v>47</v>
      </c>
      <c r="E485" s="148" t="s">
        <v>30</v>
      </c>
      <c r="F485" s="149">
        <v>2025</v>
      </c>
      <c r="G485" s="148" t="s">
        <v>35</v>
      </c>
      <c r="H485" s="149">
        <v>4</v>
      </c>
      <c r="I485" s="150">
        <v>179072</v>
      </c>
      <c r="J485" s="149">
        <v>337</v>
      </c>
      <c r="K485" s="150">
        <v>58179</v>
      </c>
      <c r="L485" s="152"/>
      <c r="M485" s="152">
        <f t="shared" si="7"/>
        <v>0</v>
      </c>
      <c r="N485" s="148"/>
      <c r="O485" s="150">
        <v>38986</v>
      </c>
      <c r="P485" s="148" t="s">
        <v>48</v>
      </c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</row>
    <row r="486" spans="1:27">
      <c r="A486" s="147">
        <v>1601</v>
      </c>
      <c r="B486" s="147" t="s">
        <v>60</v>
      </c>
      <c r="C486" s="147" t="s">
        <v>46</v>
      </c>
      <c r="D486" s="148" t="s">
        <v>47</v>
      </c>
      <c r="E486" s="148" t="s">
        <v>30</v>
      </c>
      <c r="F486" s="149">
        <v>2025</v>
      </c>
      <c r="G486" s="148" t="s">
        <v>36</v>
      </c>
      <c r="H486" s="149">
        <v>9</v>
      </c>
      <c r="I486" s="150">
        <v>179393</v>
      </c>
      <c r="J486" s="149">
        <v>321</v>
      </c>
      <c r="K486" s="150">
        <v>24946</v>
      </c>
      <c r="L486" s="152"/>
      <c r="M486" s="152">
        <f t="shared" si="7"/>
        <v>0</v>
      </c>
      <c r="N486" s="148"/>
      <c r="O486" s="150">
        <v>18608</v>
      </c>
      <c r="P486" s="148" t="s">
        <v>48</v>
      </c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</row>
    <row r="487" spans="1:27">
      <c r="A487" s="147">
        <v>1602</v>
      </c>
      <c r="B487" s="147" t="s">
        <v>60</v>
      </c>
      <c r="C487" s="147" t="s">
        <v>46</v>
      </c>
      <c r="D487" s="148" t="s">
        <v>47</v>
      </c>
      <c r="E487" s="148" t="s">
        <v>30</v>
      </c>
      <c r="F487" s="149">
        <v>2025</v>
      </c>
      <c r="G487" s="148" t="s">
        <v>37</v>
      </c>
      <c r="H487" s="149">
        <v>3</v>
      </c>
      <c r="I487" s="150">
        <v>179668</v>
      </c>
      <c r="J487" s="149">
        <v>275</v>
      </c>
      <c r="K487" s="150">
        <v>33327</v>
      </c>
      <c r="L487" s="152"/>
      <c r="M487" s="152">
        <f t="shared" si="7"/>
        <v>0</v>
      </c>
      <c r="N487" s="148"/>
      <c r="O487" s="150">
        <v>18608</v>
      </c>
      <c r="P487" s="148" t="s">
        <v>48</v>
      </c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</row>
    <row r="488" spans="1:27">
      <c r="A488" s="147">
        <v>1603</v>
      </c>
      <c r="B488" s="147" t="s">
        <v>60</v>
      </c>
      <c r="C488" s="147" t="s">
        <v>46</v>
      </c>
      <c r="D488" s="148" t="s">
        <v>47</v>
      </c>
      <c r="E488" s="148" t="s">
        <v>30</v>
      </c>
      <c r="F488" s="149">
        <v>2025</v>
      </c>
      <c r="G488" s="148" t="s">
        <v>38</v>
      </c>
      <c r="H488" s="149">
        <v>4</v>
      </c>
      <c r="I488" s="150">
        <v>179623</v>
      </c>
      <c r="J488" s="149">
        <v>279</v>
      </c>
      <c r="K488" s="150">
        <v>30197</v>
      </c>
      <c r="L488" s="152"/>
      <c r="M488" s="152">
        <f t="shared" si="7"/>
        <v>0</v>
      </c>
      <c r="N488" s="148"/>
      <c r="O488" s="150">
        <v>20307</v>
      </c>
      <c r="P488" s="149">
        <v>331</v>
      </c>
      <c r="Q488" s="154">
        <v>0.665</v>
      </c>
      <c r="R488" s="154">
        <v>0.335</v>
      </c>
      <c r="S488" s="148"/>
      <c r="T488" s="148" t="s">
        <v>44</v>
      </c>
      <c r="U488" s="154">
        <v>0.08</v>
      </c>
      <c r="V488" s="154">
        <v>0.391</v>
      </c>
      <c r="W488" s="154">
        <v>0.339</v>
      </c>
      <c r="X488" s="154">
        <v>0.13</v>
      </c>
      <c r="Y488" s="154">
        <v>0.037</v>
      </c>
      <c r="Z488" s="154">
        <v>0.023</v>
      </c>
      <c r="AA488" s="148" t="s">
        <v>45</v>
      </c>
    </row>
    <row r="489" spans="1:27">
      <c r="A489" s="147">
        <v>1604</v>
      </c>
      <c r="B489" s="147" t="s">
        <v>60</v>
      </c>
      <c r="C489" s="147" t="s">
        <v>46</v>
      </c>
      <c r="D489" s="148" t="s">
        <v>47</v>
      </c>
      <c r="E489" s="148" t="s">
        <v>30</v>
      </c>
      <c r="F489" s="149">
        <v>2025</v>
      </c>
      <c r="G489" s="148" t="s">
        <v>39</v>
      </c>
      <c r="H489" s="149">
        <v>12</v>
      </c>
      <c r="I489" s="150">
        <v>179453</v>
      </c>
      <c r="J489" s="149">
        <v>320</v>
      </c>
      <c r="K489" s="150">
        <v>32250</v>
      </c>
      <c r="L489" s="152"/>
      <c r="M489" s="152">
        <f t="shared" si="7"/>
        <v>0</v>
      </c>
      <c r="N489" s="148"/>
      <c r="O489" s="150">
        <v>23705</v>
      </c>
      <c r="P489" s="149">
        <v>495</v>
      </c>
      <c r="Q489" s="154">
        <v>0.666</v>
      </c>
      <c r="R489" s="154">
        <v>0.334</v>
      </c>
      <c r="S489" s="148"/>
      <c r="T489" s="148"/>
      <c r="U489" s="154">
        <v>0.077</v>
      </c>
      <c r="V489" s="154">
        <v>0.391</v>
      </c>
      <c r="W489" s="154">
        <v>0.342</v>
      </c>
      <c r="X489" s="154">
        <v>0.131</v>
      </c>
      <c r="Y489" s="154">
        <v>0.037</v>
      </c>
      <c r="Z489" s="154">
        <v>0.022</v>
      </c>
      <c r="AA489" s="148" t="s">
        <v>45</v>
      </c>
    </row>
    <row r="490" spans="1:27">
      <c r="A490" s="147">
        <v>1605</v>
      </c>
      <c r="B490" s="147" t="s">
        <v>60</v>
      </c>
      <c r="C490" s="147" t="s">
        <v>46</v>
      </c>
      <c r="D490" s="148" t="s">
        <v>47</v>
      </c>
      <c r="E490" s="148" t="s">
        <v>30</v>
      </c>
      <c r="F490" s="149">
        <v>2025</v>
      </c>
      <c r="G490" s="148" t="s">
        <v>40</v>
      </c>
      <c r="H490" s="149">
        <v>22</v>
      </c>
      <c r="I490" s="150">
        <v>179314</v>
      </c>
      <c r="J490" s="149">
        <v>312</v>
      </c>
      <c r="K490" s="150">
        <v>32625</v>
      </c>
      <c r="L490" s="152"/>
      <c r="M490" s="152">
        <f t="shared" si="7"/>
        <v>0</v>
      </c>
      <c r="N490" s="148"/>
      <c r="O490" s="150">
        <v>16330</v>
      </c>
      <c r="P490" s="149">
        <v>286</v>
      </c>
      <c r="Q490" s="154">
        <v>0.665</v>
      </c>
      <c r="R490" s="154">
        <v>0.335</v>
      </c>
      <c r="S490" s="148"/>
      <c r="T490" s="148"/>
      <c r="U490" s="154">
        <v>0.075</v>
      </c>
      <c r="V490" s="154">
        <v>0.39</v>
      </c>
      <c r="W490" s="154">
        <v>0.342</v>
      </c>
      <c r="X490" s="154">
        <v>0.132</v>
      </c>
      <c r="Y490" s="154">
        <v>0.039</v>
      </c>
      <c r="Z490" s="154">
        <v>0.022</v>
      </c>
      <c r="AA490" s="148" t="s">
        <v>45</v>
      </c>
    </row>
    <row r="491" spans="1:27">
      <c r="A491" s="147">
        <v>1606</v>
      </c>
      <c r="B491" s="147" t="s">
        <v>60</v>
      </c>
      <c r="C491" s="147" t="s">
        <v>46</v>
      </c>
      <c r="D491" s="148" t="s">
        <v>47</v>
      </c>
      <c r="E491" s="148" t="s">
        <v>30</v>
      </c>
      <c r="F491" s="149">
        <v>2025</v>
      </c>
      <c r="G491" s="148" t="s">
        <v>41</v>
      </c>
      <c r="H491" s="149">
        <v>7</v>
      </c>
      <c r="I491" s="150">
        <v>179076</v>
      </c>
      <c r="J491" s="149">
        <v>278</v>
      </c>
      <c r="K491" s="150">
        <v>34938</v>
      </c>
      <c r="L491" s="152"/>
      <c r="M491" s="152">
        <f t="shared" si="7"/>
        <v>0</v>
      </c>
      <c r="N491" s="148"/>
      <c r="O491" s="150">
        <v>20201</v>
      </c>
      <c r="P491" s="149">
        <v>436</v>
      </c>
      <c r="Q491" s="154">
        <v>0.665</v>
      </c>
      <c r="R491" s="154">
        <v>0.335</v>
      </c>
      <c r="S491" s="148"/>
      <c r="T491" s="148"/>
      <c r="U491" s="154">
        <v>0.073</v>
      </c>
      <c r="V491" s="154">
        <v>0.388</v>
      </c>
      <c r="W491" s="154">
        <v>0.345</v>
      </c>
      <c r="X491" s="154">
        <v>0.133</v>
      </c>
      <c r="Y491" s="154">
        <v>0.039</v>
      </c>
      <c r="Z491" s="154">
        <v>0.022</v>
      </c>
      <c r="AA491" s="148" t="s">
        <v>45</v>
      </c>
    </row>
    <row r="492" spans="1:27">
      <c r="A492" s="147">
        <v>1607</v>
      </c>
      <c r="B492" s="147" t="s">
        <v>60</v>
      </c>
      <c r="C492" s="147" t="s">
        <v>46</v>
      </c>
      <c r="D492" s="148" t="s">
        <v>47</v>
      </c>
      <c r="E492" s="148" t="s">
        <v>30</v>
      </c>
      <c r="F492" s="149">
        <v>2025</v>
      </c>
      <c r="G492" s="148" t="s">
        <v>42</v>
      </c>
      <c r="H492" s="149">
        <v>9</v>
      </c>
      <c r="I492" s="150">
        <v>178853</v>
      </c>
      <c r="J492" s="149">
        <v>269</v>
      </c>
      <c r="K492" s="150">
        <v>93077</v>
      </c>
      <c r="L492" s="152"/>
      <c r="M492" s="152">
        <f t="shared" si="7"/>
        <v>0</v>
      </c>
      <c r="N492" s="148"/>
      <c r="O492" s="150">
        <v>43958</v>
      </c>
      <c r="P492" s="149">
        <v>747</v>
      </c>
      <c r="Q492" s="154">
        <v>0.664</v>
      </c>
      <c r="R492" s="154">
        <v>0.336</v>
      </c>
      <c r="S492" s="148"/>
      <c r="T492" s="148"/>
      <c r="U492" s="154">
        <v>0.071</v>
      </c>
      <c r="V492" s="154">
        <v>0.386</v>
      </c>
      <c r="W492" s="154">
        <v>0.346</v>
      </c>
      <c r="X492" s="154">
        <v>0.135</v>
      </c>
      <c r="Y492" s="154">
        <v>0.039</v>
      </c>
      <c r="Z492" s="154">
        <v>0.023</v>
      </c>
      <c r="AA492" s="148" t="s">
        <v>45</v>
      </c>
    </row>
    <row r="493" spans="1:27">
      <c r="A493" s="147">
        <v>1608</v>
      </c>
      <c r="B493" s="147" t="s">
        <v>60</v>
      </c>
      <c r="C493" s="147" t="s">
        <v>46</v>
      </c>
      <c r="D493" s="148" t="s">
        <v>47</v>
      </c>
      <c r="E493" s="148" t="s">
        <v>30</v>
      </c>
      <c r="F493" s="149">
        <v>2025</v>
      </c>
      <c r="G493" s="148" t="s">
        <v>43</v>
      </c>
      <c r="H493" s="149">
        <v>26</v>
      </c>
      <c r="I493" s="150">
        <v>178646</v>
      </c>
      <c r="J493" s="149">
        <v>265</v>
      </c>
      <c r="K493" s="150">
        <v>333752</v>
      </c>
      <c r="L493" s="152"/>
      <c r="M493" s="152">
        <f t="shared" si="7"/>
        <v>0</v>
      </c>
      <c r="N493" s="148"/>
      <c r="O493" s="150">
        <v>21633</v>
      </c>
      <c r="P493" s="150">
        <v>4883</v>
      </c>
      <c r="Q493" s="154">
        <v>0.665</v>
      </c>
      <c r="R493" s="154">
        <v>0.335</v>
      </c>
      <c r="S493" s="148"/>
      <c r="T493" s="148"/>
      <c r="U493" s="154">
        <v>0.068</v>
      </c>
      <c r="V493" s="154">
        <v>0.386</v>
      </c>
      <c r="W493" s="154">
        <v>0.347</v>
      </c>
      <c r="X493" s="154">
        <v>0.136</v>
      </c>
      <c r="Y493" s="154">
        <v>0.04</v>
      </c>
      <c r="Z493" s="154">
        <v>0.023</v>
      </c>
      <c r="AA493" s="148" t="s">
        <v>45</v>
      </c>
    </row>
    <row r="494" spans="1:27">
      <c r="A494" s="147">
        <v>1609</v>
      </c>
      <c r="B494" s="147" t="s">
        <v>60</v>
      </c>
      <c r="C494" s="147" t="s">
        <v>46</v>
      </c>
      <c r="D494" s="148" t="s">
        <v>47</v>
      </c>
      <c r="E494" s="148" t="s">
        <v>30</v>
      </c>
      <c r="F494" s="149">
        <v>2026</v>
      </c>
      <c r="G494" s="148" t="s">
        <v>31</v>
      </c>
      <c r="H494" s="149">
        <v>64</v>
      </c>
      <c r="I494" s="150">
        <v>178785</v>
      </c>
      <c r="J494" s="149">
        <v>566</v>
      </c>
      <c r="K494" s="150">
        <v>1597870</v>
      </c>
      <c r="L494" s="152"/>
      <c r="M494" s="152">
        <f t="shared" si="7"/>
        <v>0</v>
      </c>
      <c r="N494" s="148"/>
      <c r="O494" s="150">
        <v>44492</v>
      </c>
      <c r="P494" s="150">
        <v>52537</v>
      </c>
      <c r="Q494" s="154">
        <v>0.664</v>
      </c>
      <c r="R494" s="154">
        <v>0.336</v>
      </c>
      <c r="S494" s="148"/>
      <c r="T494" s="148"/>
      <c r="U494" s="154">
        <v>0.068</v>
      </c>
      <c r="V494" s="154">
        <v>0.382</v>
      </c>
      <c r="W494" s="154">
        <v>0.349</v>
      </c>
      <c r="X494" s="154">
        <v>0.138</v>
      </c>
      <c r="Y494" s="154">
        <v>0.04</v>
      </c>
      <c r="Z494" s="154">
        <v>0.023</v>
      </c>
      <c r="AA494" s="148" t="s">
        <v>45</v>
      </c>
    </row>
    <row r="495" spans="1:27">
      <c r="A495" s="147">
        <v>1610</v>
      </c>
      <c r="B495" s="147" t="s">
        <v>60</v>
      </c>
      <c r="C495" s="147" t="s">
        <v>46</v>
      </c>
      <c r="D495" s="148" t="s">
        <v>47</v>
      </c>
      <c r="E495" s="148" t="s">
        <v>30</v>
      </c>
      <c r="F495" s="149">
        <v>2026</v>
      </c>
      <c r="G495" s="148" t="s">
        <v>33</v>
      </c>
      <c r="H495" s="149">
        <v>72</v>
      </c>
      <c r="I495" s="150">
        <v>179189</v>
      </c>
      <c r="J495" s="149">
        <v>792</v>
      </c>
      <c r="K495" s="150">
        <v>2043842</v>
      </c>
      <c r="L495" s="152"/>
      <c r="M495" s="152">
        <f t="shared" si="7"/>
        <v>0</v>
      </c>
      <c r="N495" s="148"/>
      <c r="O495" s="150">
        <v>137531</v>
      </c>
      <c r="P495" s="150">
        <v>72509</v>
      </c>
      <c r="Q495" s="154">
        <v>0.664</v>
      </c>
      <c r="R495" s="154">
        <v>0.336</v>
      </c>
      <c r="S495" s="148"/>
      <c r="T495" s="148"/>
      <c r="U495" s="154">
        <v>0.067</v>
      </c>
      <c r="V495" s="154">
        <v>0.38</v>
      </c>
      <c r="W495" s="154">
        <v>0.35</v>
      </c>
      <c r="X495" s="154">
        <v>0.138</v>
      </c>
      <c r="Y495" s="154">
        <v>0.042</v>
      </c>
      <c r="Z495" s="154">
        <v>0.023</v>
      </c>
      <c r="AA495" s="148" t="s">
        <v>45</v>
      </c>
    </row>
    <row r="496" spans="1:27">
      <c r="A496" s="147">
        <v>1611</v>
      </c>
      <c r="B496" s="147" t="s">
        <v>60</v>
      </c>
      <c r="C496" s="147" t="s">
        <v>46</v>
      </c>
      <c r="D496" s="148" t="s">
        <v>47</v>
      </c>
      <c r="E496" s="148" t="s">
        <v>30</v>
      </c>
      <c r="F496" s="149">
        <v>2026</v>
      </c>
      <c r="G496" s="148" t="s">
        <v>34</v>
      </c>
      <c r="H496" s="149">
        <v>95</v>
      </c>
      <c r="I496" s="150">
        <v>179348</v>
      </c>
      <c r="J496" s="149">
        <v>692</v>
      </c>
      <c r="K496" s="150">
        <v>4236559</v>
      </c>
      <c r="L496" s="152"/>
      <c r="M496" s="152">
        <f t="shared" si="7"/>
        <v>0</v>
      </c>
      <c r="N496" s="148"/>
      <c r="O496" s="150">
        <v>108909</v>
      </c>
      <c r="P496" s="150">
        <v>168702</v>
      </c>
      <c r="Q496" s="154">
        <v>0.664</v>
      </c>
      <c r="R496" s="154">
        <v>0.336</v>
      </c>
      <c r="S496" s="148"/>
      <c r="T496" s="148"/>
      <c r="U496" s="154">
        <v>0.066</v>
      </c>
      <c r="V496" s="154">
        <v>0.378</v>
      </c>
      <c r="W496" s="154">
        <v>0.352</v>
      </c>
      <c r="X496" s="154">
        <v>0.139</v>
      </c>
      <c r="Y496" s="154">
        <v>0.042</v>
      </c>
      <c r="Z496" s="154">
        <v>0.023</v>
      </c>
      <c r="AA496" s="148" t="s">
        <v>45</v>
      </c>
    </row>
    <row r="497" spans="1:27">
      <c r="A497" s="147">
        <v>1612</v>
      </c>
      <c r="B497" s="147" t="s">
        <v>60</v>
      </c>
      <c r="C497" s="147" t="s">
        <v>46</v>
      </c>
      <c r="D497" s="148" t="s">
        <v>47</v>
      </c>
      <c r="E497" s="148" t="s">
        <v>30</v>
      </c>
      <c r="F497" s="149">
        <v>2026</v>
      </c>
      <c r="G497" s="148" t="s">
        <v>35</v>
      </c>
      <c r="H497" s="149">
        <v>123</v>
      </c>
      <c r="I497" s="150">
        <v>179473</v>
      </c>
      <c r="J497" s="149">
        <v>641</v>
      </c>
      <c r="K497" s="150">
        <v>3790478</v>
      </c>
      <c r="L497" s="152"/>
      <c r="M497" s="152">
        <f t="shared" si="7"/>
        <v>0</v>
      </c>
      <c r="N497" s="148"/>
      <c r="O497" s="150">
        <v>66705</v>
      </c>
      <c r="P497" s="150">
        <v>96421</v>
      </c>
      <c r="Q497" s="154">
        <v>0.664</v>
      </c>
      <c r="R497" s="154">
        <v>0.336</v>
      </c>
      <c r="S497" s="148"/>
      <c r="T497" s="148"/>
      <c r="U497" s="154">
        <v>0.064</v>
      </c>
      <c r="V497" s="154">
        <v>0.376</v>
      </c>
      <c r="W497" s="154">
        <v>0.354</v>
      </c>
      <c r="X497" s="154">
        <v>0.141</v>
      </c>
      <c r="Y497" s="154">
        <v>0.042</v>
      </c>
      <c r="Z497" s="154">
        <v>0.023</v>
      </c>
      <c r="AA497" s="148" t="s">
        <v>45</v>
      </c>
    </row>
    <row r="498" spans="1:27">
      <c r="A498" s="147">
        <v>1613</v>
      </c>
      <c r="B498" s="147" t="s">
        <v>60</v>
      </c>
      <c r="C498" s="147" t="s">
        <v>46</v>
      </c>
      <c r="D498" s="148" t="s">
        <v>47</v>
      </c>
      <c r="E498" s="148" t="s">
        <v>30</v>
      </c>
      <c r="F498" s="149">
        <v>2026</v>
      </c>
      <c r="G498" s="148" t="s">
        <v>36</v>
      </c>
      <c r="H498" s="149">
        <v>94</v>
      </c>
      <c r="I498" s="150">
        <v>177304</v>
      </c>
      <c r="J498" s="150">
        <v>1082</v>
      </c>
      <c r="K498" s="150">
        <v>7315720</v>
      </c>
      <c r="L498" s="152"/>
      <c r="M498" s="152">
        <f t="shared" si="7"/>
        <v>0</v>
      </c>
      <c r="N498" s="148"/>
      <c r="O498" s="150">
        <v>367108</v>
      </c>
      <c r="P498" s="150">
        <v>241905</v>
      </c>
      <c r="Q498" s="154">
        <v>0.665</v>
      </c>
      <c r="R498" s="154">
        <v>0.335</v>
      </c>
      <c r="S498" s="148"/>
      <c r="T498" s="148"/>
      <c r="U498" s="154">
        <v>0.063</v>
      </c>
      <c r="V498" s="154">
        <v>0.373</v>
      </c>
      <c r="W498" s="154">
        <v>0.355</v>
      </c>
      <c r="X498" s="154">
        <v>0.143</v>
      </c>
      <c r="Y498" s="154">
        <v>0.043</v>
      </c>
      <c r="Z498" s="154">
        <v>0.023</v>
      </c>
      <c r="AA498" s="148" t="s">
        <v>45</v>
      </c>
    </row>
    <row r="499" spans="1:27">
      <c r="A499" s="147">
        <v>1614</v>
      </c>
      <c r="B499" s="147" t="s">
        <v>60</v>
      </c>
      <c r="C499" s="147" t="s">
        <v>46</v>
      </c>
      <c r="D499" s="148" t="s">
        <v>47</v>
      </c>
      <c r="E499" s="148" t="s">
        <v>30</v>
      </c>
      <c r="F499" s="149">
        <v>2026</v>
      </c>
      <c r="G499" s="148" t="s">
        <v>37</v>
      </c>
      <c r="H499" s="149">
        <v>14</v>
      </c>
      <c r="I499" s="150">
        <v>177125</v>
      </c>
      <c r="J499" s="149">
        <v>475</v>
      </c>
      <c r="K499" s="150">
        <v>1819627</v>
      </c>
      <c r="L499" s="152"/>
      <c r="M499" s="152">
        <f t="shared" si="7"/>
        <v>0</v>
      </c>
      <c r="N499" s="148"/>
      <c r="O499" s="150">
        <v>289949</v>
      </c>
      <c r="P499" s="150">
        <v>58296</v>
      </c>
      <c r="Q499" s="154">
        <v>0.665</v>
      </c>
      <c r="R499" s="154">
        <v>0.335</v>
      </c>
      <c r="S499" s="148"/>
      <c r="T499" s="148"/>
      <c r="U499" s="154">
        <v>0.061</v>
      </c>
      <c r="V499" s="154">
        <v>0.371</v>
      </c>
      <c r="W499" s="154">
        <v>0.357</v>
      </c>
      <c r="X499" s="154">
        <v>0.145</v>
      </c>
      <c r="Y499" s="154">
        <v>0.043</v>
      </c>
      <c r="Z499" s="154">
        <v>0.023</v>
      </c>
      <c r="AA499" s="148" t="s">
        <v>45</v>
      </c>
    </row>
    <row r="500" spans="1:27">
      <c r="A500" s="147">
        <v>1615</v>
      </c>
      <c r="B500" s="147" t="s">
        <v>60</v>
      </c>
      <c r="C500" s="147" t="s">
        <v>46</v>
      </c>
      <c r="D500" s="148" t="s">
        <v>47</v>
      </c>
      <c r="E500" s="148" t="s">
        <v>30</v>
      </c>
      <c r="F500" s="149">
        <v>2026</v>
      </c>
      <c r="G500" s="148" t="s">
        <v>38</v>
      </c>
      <c r="H500" s="149">
        <v>1</v>
      </c>
      <c r="I500" s="150">
        <v>179987</v>
      </c>
      <c r="J500" s="149">
        <v>376</v>
      </c>
      <c r="K500" s="150">
        <v>422574</v>
      </c>
      <c r="L500" s="152"/>
      <c r="M500" s="152">
        <f t="shared" si="7"/>
        <v>0</v>
      </c>
      <c r="N500" s="148"/>
      <c r="O500" s="150">
        <v>295085</v>
      </c>
      <c r="P500" s="150">
        <v>27560</v>
      </c>
      <c r="Q500" s="154">
        <v>0.665</v>
      </c>
      <c r="R500" s="154">
        <v>0.335</v>
      </c>
      <c r="S500" s="148"/>
      <c r="T500" s="148"/>
      <c r="U500" s="154">
        <v>0.06</v>
      </c>
      <c r="V500" s="154">
        <v>0.368</v>
      </c>
      <c r="W500" s="154">
        <v>0.358</v>
      </c>
      <c r="X500" s="154">
        <v>0.148</v>
      </c>
      <c r="Y500" s="154">
        <v>0.043</v>
      </c>
      <c r="Z500" s="154">
        <v>0.023</v>
      </c>
      <c r="AA500" s="148" t="s">
        <v>45</v>
      </c>
    </row>
    <row r="501" spans="1:27">
      <c r="A501" s="147">
        <v>1616</v>
      </c>
      <c r="B501" s="147" t="s">
        <v>60</v>
      </c>
      <c r="C501" s="147" t="s">
        <v>46</v>
      </c>
      <c r="D501" s="148" t="s">
        <v>47</v>
      </c>
      <c r="E501" s="148" t="s">
        <v>30</v>
      </c>
      <c r="F501" s="149">
        <v>2026</v>
      </c>
      <c r="G501" s="148" t="s">
        <v>39</v>
      </c>
      <c r="H501" s="148"/>
      <c r="I501" s="148"/>
      <c r="J501" s="148"/>
      <c r="K501" s="148"/>
      <c r="L501" s="152"/>
      <c r="M501" s="152">
        <f t="shared" si="7"/>
        <v>0</v>
      </c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</row>
    <row r="502" spans="1:27">
      <c r="A502" s="147">
        <v>1617</v>
      </c>
      <c r="B502" s="147" t="s">
        <v>60</v>
      </c>
      <c r="C502" s="147" t="s">
        <v>46</v>
      </c>
      <c r="D502" s="148" t="s">
        <v>47</v>
      </c>
      <c r="E502" s="148" t="s">
        <v>30</v>
      </c>
      <c r="F502" s="149">
        <v>2026</v>
      </c>
      <c r="G502" s="148" t="s">
        <v>40</v>
      </c>
      <c r="H502" s="148"/>
      <c r="I502" s="148"/>
      <c r="J502" s="148"/>
      <c r="K502" s="148"/>
      <c r="L502" s="152"/>
      <c r="M502" s="152">
        <f t="shared" si="7"/>
        <v>0</v>
      </c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</row>
    <row r="503" spans="1:27">
      <c r="A503" s="147">
        <v>1618</v>
      </c>
      <c r="B503" s="147" t="s">
        <v>60</v>
      </c>
      <c r="C503" s="147" t="s">
        <v>46</v>
      </c>
      <c r="D503" s="148" t="s">
        <v>47</v>
      </c>
      <c r="E503" s="148" t="s">
        <v>30</v>
      </c>
      <c r="F503" s="149">
        <v>2026</v>
      </c>
      <c r="G503" s="148" t="s">
        <v>41</v>
      </c>
      <c r="H503" s="148"/>
      <c r="I503" s="148"/>
      <c r="J503" s="148"/>
      <c r="K503" s="148"/>
      <c r="L503" s="152"/>
      <c r="M503" s="152">
        <f t="shared" si="7"/>
        <v>0</v>
      </c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</row>
    <row r="504" spans="1:27">
      <c r="A504" s="147">
        <v>1619</v>
      </c>
      <c r="B504" s="147" t="s">
        <v>60</v>
      </c>
      <c r="C504" s="147" t="s">
        <v>46</v>
      </c>
      <c r="D504" s="148" t="s">
        <v>47</v>
      </c>
      <c r="E504" s="148" t="s">
        <v>30</v>
      </c>
      <c r="F504" s="149">
        <v>2026</v>
      </c>
      <c r="G504" s="148" t="s">
        <v>42</v>
      </c>
      <c r="H504" s="148"/>
      <c r="I504" s="148"/>
      <c r="J504" s="148"/>
      <c r="K504" s="148"/>
      <c r="L504" s="152"/>
      <c r="M504" s="152">
        <f t="shared" si="7"/>
        <v>0</v>
      </c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</row>
    <row r="505" spans="1:27">
      <c r="A505" s="147">
        <v>1620</v>
      </c>
      <c r="B505" s="147" t="s">
        <v>60</v>
      </c>
      <c r="C505" s="147" t="s">
        <v>46</v>
      </c>
      <c r="D505" s="148" t="s">
        <v>47</v>
      </c>
      <c r="E505" s="148" t="s">
        <v>30</v>
      </c>
      <c r="F505" s="149">
        <v>2026</v>
      </c>
      <c r="G505" s="148" t="s">
        <v>43</v>
      </c>
      <c r="H505" s="148"/>
      <c r="I505" s="148"/>
      <c r="J505" s="148"/>
      <c r="K505" s="148"/>
      <c r="L505" s="152"/>
      <c r="M505" s="152">
        <f t="shared" si="7"/>
        <v>0</v>
      </c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</row>
    <row r="506" spans="1:27">
      <c r="A506" s="147">
        <v>1633</v>
      </c>
      <c r="B506" s="147" t="s">
        <v>60</v>
      </c>
      <c r="C506" s="147" t="s">
        <v>46</v>
      </c>
      <c r="D506" s="148" t="s">
        <v>62</v>
      </c>
      <c r="E506" s="148" t="s">
        <v>30</v>
      </c>
      <c r="F506" s="149">
        <v>2024</v>
      </c>
      <c r="G506" s="148" t="s">
        <v>31</v>
      </c>
      <c r="H506" s="149">
        <v>2</v>
      </c>
      <c r="I506" s="149" t="s">
        <v>44</v>
      </c>
      <c r="J506" s="149" t="s">
        <v>32</v>
      </c>
      <c r="K506" s="149" t="s">
        <v>32</v>
      </c>
      <c r="L506" s="152"/>
      <c r="M506" s="152">
        <f t="shared" si="7"/>
        <v>0</v>
      </c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</row>
    <row r="507" spans="1:27">
      <c r="A507" s="147">
        <v>1634</v>
      </c>
      <c r="B507" s="147" t="s">
        <v>60</v>
      </c>
      <c r="C507" s="147" t="s">
        <v>46</v>
      </c>
      <c r="D507" s="148" t="s">
        <v>62</v>
      </c>
      <c r="E507" s="148" t="s">
        <v>30</v>
      </c>
      <c r="F507" s="149">
        <v>2024</v>
      </c>
      <c r="G507" s="148" t="s">
        <v>33</v>
      </c>
      <c r="H507" s="149">
        <v>8</v>
      </c>
      <c r="I507" s="149" t="s">
        <v>44</v>
      </c>
      <c r="J507" s="149" t="s">
        <v>32</v>
      </c>
      <c r="K507" s="149" t="s">
        <v>32</v>
      </c>
      <c r="L507" s="152"/>
      <c r="M507" s="152">
        <f t="shared" si="7"/>
        <v>0</v>
      </c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</row>
    <row r="508" spans="1:27">
      <c r="A508" s="147">
        <v>1635</v>
      </c>
      <c r="B508" s="147" t="s">
        <v>60</v>
      </c>
      <c r="C508" s="147" t="s">
        <v>46</v>
      </c>
      <c r="D508" s="148" t="s">
        <v>62</v>
      </c>
      <c r="E508" s="148" t="s">
        <v>30</v>
      </c>
      <c r="F508" s="149">
        <v>2024</v>
      </c>
      <c r="G508" s="148" t="s">
        <v>34</v>
      </c>
      <c r="H508" s="149">
        <v>13</v>
      </c>
      <c r="I508" s="149" t="s">
        <v>44</v>
      </c>
      <c r="J508" s="149" t="s">
        <v>32</v>
      </c>
      <c r="K508" s="149" t="s">
        <v>32</v>
      </c>
      <c r="L508" s="152"/>
      <c r="M508" s="152">
        <f t="shared" si="7"/>
        <v>0</v>
      </c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</row>
    <row r="509" spans="1:27">
      <c r="A509" s="147">
        <v>1636</v>
      </c>
      <c r="B509" s="147" t="s">
        <v>60</v>
      </c>
      <c r="C509" s="147" t="s">
        <v>46</v>
      </c>
      <c r="D509" s="148" t="s">
        <v>62</v>
      </c>
      <c r="E509" s="148" t="s">
        <v>30</v>
      </c>
      <c r="F509" s="149">
        <v>2024</v>
      </c>
      <c r="G509" s="148" t="s">
        <v>35</v>
      </c>
      <c r="H509" s="149">
        <v>16</v>
      </c>
      <c r="I509" s="149" t="s">
        <v>44</v>
      </c>
      <c r="J509" s="149" t="s">
        <v>32</v>
      </c>
      <c r="K509" s="149" t="s">
        <v>32</v>
      </c>
      <c r="L509" s="152"/>
      <c r="M509" s="152">
        <f t="shared" si="7"/>
        <v>0</v>
      </c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</row>
    <row r="510" spans="1:27">
      <c r="A510" s="147">
        <v>1637</v>
      </c>
      <c r="B510" s="147" t="s">
        <v>60</v>
      </c>
      <c r="C510" s="147" t="s">
        <v>46</v>
      </c>
      <c r="D510" s="148" t="s">
        <v>62</v>
      </c>
      <c r="E510" s="148" t="s">
        <v>30</v>
      </c>
      <c r="F510" s="149">
        <v>2024</v>
      </c>
      <c r="G510" s="148" t="s">
        <v>36</v>
      </c>
      <c r="H510" s="149">
        <v>62</v>
      </c>
      <c r="I510" s="149" t="s">
        <v>44</v>
      </c>
      <c r="J510" s="149" t="s">
        <v>32</v>
      </c>
      <c r="K510" s="149" t="s">
        <v>32</v>
      </c>
      <c r="L510" s="152"/>
      <c r="M510" s="152">
        <f t="shared" si="7"/>
        <v>0</v>
      </c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</row>
    <row r="511" spans="1:27">
      <c r="A511" s="147">
        <v>1638</v>
      </c>
      <c r="B511" s="147" t="s">
        <v>60</v>
      </c>
      <c r="C511" s="147" t="s">
        <v>46</v>
      </c>
      <c r="D511" s="148" t="s">
        <v>62</v>
      </c>
      <c r="E511" s="148" t="s">
        <v>30</v>
      </c>
      <c r="F511" s="149">
        <v>2024</v>
      </c>
      <c r="G511" s="148" t="s">
        <v>37</v>
      </c>
      <c r="H511" s="149">
        <v>104</v>
      </c>
      <c r="I511" s="149" t="s">
        <v>44</v>
      </c>
      <c r="J511" s="149" t="s">
        <v>32</v>
      </c>
      <c r="K511" s="149" t="s">
        <v>32</v>
      </c>
      <c r="L511" s="152"/>
      <c r="M511" s="152">
        <f t="shared" si="7"/>
        <v>0</v>
      </c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</row>
    <row r="512" spans="1:27">
      <c r="A512" s="147">
        <v>1639</v>
      </c>
      <c r="B512" s="147" t="s">
        <v>60</v>
      </c>
      <c r="C512" s="147" t="s">
        <v>46</v>
      </c>
      <c r="D512" s="148" t="s">
        <v>62</v>
      </c>
      <c r="E512" s="148" t="s">
        <v>30</v>
      </c>
      <c r="F512" s="149">
        <v>2024</v>
      </c>
      <c r="G512" s="148" t="s">
        <v>38</v>
      </c>
      <c r="H512" s="149">
        <v>131</v>
      </c>
      <c r="I512" s="149" t="s">
        <v>44</v>
      </c>
      <c r="J512" s="149" t="s">
        <v>32</v>
      </c>
      <c r="K512" s="149" t="s">
        <v>32</v>
      </c>
      <c r="L512" s="152"/>
      <c r="M512" s="152">
        <f t="shared" si="7"/>
        <v>0</v>
      </c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</row>
    <row r="513" spans="1:27">
      <c r="A513" s="147">
        <v>1640</v>
      </c>
      <c r="B513" s="147" t="s">
        <v>60</v>
      </c>
      <c r="C513" s="147" t="s">
        <v>46</v>
      </c>
      <c r="D513" s="148" t="s">
        <v>62</v>
      </c>
      <c r="E513" s="148" t="s">
        <v>30</v>
      </c>
      <c r="F513" s="149">
        <v>2024</v>
      </c>
      <c r="G513" s="148" t="s">
        <v>39</v>
      </c>
      <c r="H513" s="149">
        <v>122</v>
      </c>
      <c r="I513" s="148" t="s">
        <v>44</v>
      </c>
      <c r="J513" s="148" t="s">
        <v>32</v>
      </c>
      <c r="K513" s="148" t="s">
        <v>32</v>
      </c>
      <c r="L513" s="152"/>
      <c r="M513" s="152">
        <f t="shared" si="7"/>
        <v>0</v>
      </c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</row>
    <row r="514" spans="1:27">
      <c r="A514" s="147">
        <v>1641</v>
      </c>
      <c r="B514" s="147" t="s">
        <v>60</v>
      </c>
      <c r="C514" s="147" t="s">
        <v>46</v>
      </c>
      <c r="D514" s="148" t="s">
        <v>62</v>
      </c>
      <c r="E514" s="148" t="s">
        <v>30</v>
      </c>
      <c r="F514" s="149">
        <v>2024</v>
      </c>
      <c r="G514" s="148" t="s">
        <v>40</v>
      </c>
      <c r="H514" s="149">
        <v>146</v>
      </c>
      <c r="I514" s="150">
        <v>15598</v>
      </c>
      <c r="J514" s="148" t="s">
        <v>32</v>
      </c>
      <c r="K514" s="148" t="s">
        <v>32</v>
      </c>
      <c r="L514" s="152"/>
      <c r="M514" s="152">
        <f t="shared" ref="M514:M577" si="8">L514*17000</f>
        <v>0</v>
      </c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</row>
    <row r="515" spans="1:27">
      <c r="A515" s="147">
        <v>1642</v>
      </c>
      <c r="B515" s="147" t="s">
        <v>60</v>
      </c>
      <c r="C515" s="147" t="s">
        <v>46</v>
      </c>
      <c r="D515" s="148" t="s">
        <v>62</v>
      </c>
      <c r="E515" s="148" t="s">
        <v>30</v>
      </c>
      <c r="F515" s="149">
        <v>2024</v>
      </c>
      <c r="G515" s="148" t="s">
        <v>41</v>
      </c>
      <c r="H515" s="149">
        <v>124</v>
      </c>
      <c r="I515" s="150">
        <v>15990</v>
      </c>
      <c r="J515" s="149">
        <v>392</v>
      </c>
      <c r="K515" s="148" t="s">
        <v>32</v>
      </c>
      <c r="L515" s="152"/>
      <c r="M515" s="152">
        <f t="shared" si="8"/>
        <v>0</v>
      </c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</row>
    <row r="516" spans="1:27">
      <c r="A516" s="147">
        <v>1643</v>
      </c>
      <c r="B516" s="147" t="s">
        <v>60</v>
      </c>
      <c r="C516" s="147" t="s">
        <v>46</v>
      </c>
      <c r="D516" s="148" t="s">
        <v>62</v>
      </c>
      <c r="E516" s="148" t="s">
        <v>30</v>
      </c>
      <c r="F516" s="149">
        <v>2024</v>
      </c>
      <c r="G516" s="148" t="s">
        <v>42</v>
      </c>
      <c r="H516" s="149">
        <v>128</v>
      </c>
      <c r="I516" s="150">
        <v>16674</v>
      </c>
      <c r="J516" s="149">
        <v>684</v>
      </c>
      <c r="K516" s="148" t="s">
        <v>32</v>
      </c>
      <c r="L516" s="152"/>
      <c r="M516" s="152">
        <f t="shared" si="8"/>
        <v>0</v>
      </c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</row>
    <row r="517" spans="1:27">
      <c r="A517" s="147">
        <v>1644</v>
      </c>
      <c r="B517" s="147" t="s">
        <v>60</v>
      </c>
      <c r="C517" s="147" t="s">
        <v>46</v>
      </c>
      <c r="D517" s="148" t="s">
        <v>62</v>
      </c>
      <c r="E517" s="148" t="s">
        <v>30</v>
      </c>
      <c r="F517" s="149">
        <v>2024</v>
      </c>
      <c r="G517" s="148" t="s">
        <v>43</v>
      </c>
      <c r="H517" s="149">
        <v>90</v>
      </c>
      <c r="I517" s="150">
        <v>17568</v>
      </c>
      <c r="J517" s="149">
        <v>894</v>
      </c>
      <c r="K517" s="149">
        <v>233</v>
      </c>
      <c r="L517" s="152"/>
      <c r="M517" s="152">
        <f t="shared" si="8"/>
        <v>0</v>
      </c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</row>
    <row r="518" spans="1:27">
      <c r="A518" s="147">
        <v>1645</v>
      </c>
      <c r="B518" s="147" t="s">
        <v>60</v>
      </c>
      <c r="C518" s="147" t="s">
        <v>46</v>
      </c>
      <c r="D518" s="148" t="s">
        <v>62</v>
      </c>
      <c r="E518" s="148" t="s">
        <v>30</v>
      </c>
      <c r="F518" s="149">
        <v>2025</v>
      </c>
      <c r="G518" s="148" t="s">
        <v>31</v>
      </c>
      <c r="H518" s="149">
        <v>97</v>
      </c>
      <c r="I518" s="150">
        <v>18236</v>
      </c>
      <c r="J518" s="149">
        <v>668</v>
      </c>
      <c r="K518" s="150">
        <v>14193</v>
      </c>
      <c r="L518" s="152"/>
      <c r="M518" s="152">
        <f t="shared" si="8"/>
        <v>0</v>
      </c>
      <c r="N518" s="148"/>
      <c r="O518" s="150">
        <v>10655</v>
      </c>
      <c r="P518" s="148" t="s">
        <v>48</v>
      </c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</row>
    <row r="519" spans="1:27">
      <c r="A519" s="147">
        <v>1646</v>
      </c>
      <c r="B519" s="147" t="s">
        <v>60</v>
      </c>
      <c r="C519" s="147" t="s">
        <v>46</v>
      </c>
      <c r="D519" s="148" t="s">
        <v>62</v>
      </c>
      <c r="E519" s="148" t="s">
        <v>30</v>
      </c>
      <c r="F519" s="149">
        <v>2025</v>
      </c>
      <c r="G519" s="148" t="s">
        <v>33</v>
      </c>
      <c r="H519" s="149">
        <v>76</v>
      </c>
      <c r="I519" s="150">
        <v>18825</v>
      </c>
      <c r="J519" s="149">
        <v>589</v>
      </c>
      <c r="K519" s="150">
        <v>6604</v>
      </c>
      <c r="L519" s="152"/>
      <c r="M519" s="152">
        <f t="shared" si="8"/>
        <v>0</v>
      </c>
      <c r="N519" s="148"/>
      <c r="O519" s="150">
        <v>5158</v>
      </c>
      <c r="P519" s="148" t="s">
        <v>48</v>
      </c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</row>
    <row r="520" spans="1:27">
      <c r="A520" s="147">
        <v>1647</v>
      </c>
      <c r="B520" s="147" t="s">
        <v>60</v>
      </c>
      <c r="C520" s="147" t="s">
        <v>46</v>
      </c>
      <c r="D520" s="148" t="s">
        <v>62</v>
      </c>
      <c r="E520" s="148" t="s">
        <v>30</v>
      </c>
      <c r="F520" s="149">
        <v>2025</v>
      </c>
      <c r="G520" s="148" t="s">
        <v>34</v>
      </c>
      <c r="H520" s="149">
        <v>67</v>
      </c>
      <c r="I520" s="150">
        <v>19548</v>
      </c>
      <c r="J520" s="149">
        <v>723</v>
      </c>
      <c r="K520" s="150">
        <v>7112</v>
      </c>
      <c r="L520" s="152"/>
      <c r="M520" s="152">
        <f t="shared" si="8"/>
        <v>0</v>
      </c>
      <c r="N520" s="148"/>
      <c r="O520" s="150">
        <v>5256</v>
      </c>
      <c r="P520" s="148" t="s">
        <v>48</v>
      </c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</row>
    <row r="521" spans="1:27">
      <c r="A521" s="147">
        <v>1648</v>
      </c>
      <c r="B521" s="147" t="s">
        <v>60</v>
      </c>
      <c r="C521" s="147" t="s">
        <v>46</v>
      </c>
      <c r="D521" s="148" t="s">
        <v>62</v>
      </c>
      <c r="E521" s="148" t="s">
        <v>30</v>
      </c>
      <c r="F521" s="149">
        <v>2025</v>
      </c>
      <c r="G521" s="148" t="s">
        <v>35</v>
      </c>
      <c r="H521" s="149">
        <v>9</v>
      </c>
      <c r="I521" s="150">
        <v>20594</v>
      </c>
      <c r="J521" s="150">
        <v>1046</v>
      </c>
      <c r="K521" s="150">
        <v>6735</v>
      </c>
      <c r="L521" s="152"/>
      <c r="M521" s="152">
        <f t="shared" si="8"/>
        <v>0</v>
      </c>
      <c r="N521" s="148"/>
      <c r="O521" s="150">
        <v>4496</v>
      </c>
      <c r="P521" s="148" t="s">
        <v>48</v>
      </c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</row>
    <row r="522" spans="1:27">
      <c r="A522" s="147">
        <v>1649</v>
      </c>
      <c r="B522" s="147" t="s">
        <v>60</v>
      </c>
      <c r="C522" s="147" t="s">
        <v>46</v>
      </c>
      <c r="D522" s="148" t="s">
        <v>62</v>
      </c>
      <c r="E522" s="148" t="s">
        <v>30</v>
      </c>
      <c r="F522" s="149">
        <v>2025</v>
      </c>
      <c r="G522" s="148" t="s">
        <v>36</v>
      </c>
      <c r="H522" s="149">
        <v>9</v>
      </c>
      <c r="I522" s="150">
        <v>20994</v>
      </c>
      <c r="J522" s="149">
        <v>400</v>
      </c>
      <c r="K522" s="150">
        <v>7678</v>
      </c>
      <c r="L522" s="152"/>
      <c r="M522" s="152">
        <f t="shared" si="8"/>
        <v>0</v>
      </c>
      <c r="N522" s="148"/>
      <c r="O522" s="150">
        <v>5794</v>
      </c>
      <c r="P522" s="148" t="s">
        <v>48</v>
      </c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</row>
    <row r="523" spans="1:27">
      <c r="A523" s="147">
        <v>1650</v>
      </c>
      <c r="B523" s="147" t="s">
        <v>60</v>
      </c>
      <c r="C523" s="147" t="s">
        <v>46</v>
      </c>
      <c r="D523" s="148" t="s">
        <v>62</v>
      </c>
      <c r="E523" s="148" t="s">
        <v>30</v>
      </c>
      <c r="F523" s="149">
        <v>2025</v>
      </c>
      <c r="G523" s="148" t="s">
        <v>37</v>
      </c>
      <c r="H523" s="149">
        <v>1</v>
      </c>
      <c r="I523" s="150">
        <v>21607</v>
      </c>
      <c r="J523" s="149">
        <v>613</v>
      </c>
      <c r="K523" s="150">
        <v>8715</v>
      </c>
      <c r="L523" s="152"/>
      <c r="M523" s="152">
        <f t="shared" si="8"/>
        <v>0</v>
      </c>
      <c r="N523" s="148"/>
      <c r="O523" s="150">
        <v>4924</v>
      </c>
      <c r="P523" s="148" t="s">
        <v>48</v>
      </c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</row>
    <row r="524" spans="1:27">
      <c r="A524" s="147">
        <v>1651</v>
      </c>
      <c r="B524" s="147" t="s">
        <v>60</v>
      </c>
      <c r="C524" s="147" t="s">
        <v>46</v>
      </c>
      <c r="D524" s="148" t="s">
        <v>62</v>
      </c>
      <c r="E524" s="148" t="s">
        <v>30</v>
      </c>
      <c r="F524" s="149">
        <v>2025</v>
      </c>
      <c r="G524" s="148" t="s">
        <v>38</v>
      </c>
      <c r="H524" s="149">
        <v>1</v>
      </c>
      <c r="I524" s="150">
        <v>21626</v>
      </c>
      <c r="J524" s="149">
        <v>195</v>
      </c>
      <c r="K524" s="150">
        <v>13616</v>
      </c>
      <c r="L524" s="152"/>
      <c r="M524" s="152">
        <f t="shared" si="8"/>
        <v>0</v>
      </c>
      <c r="N524" s="148"/>
      <c r="O524" s="150">
        <v>3815</v>
      </c>
      <c r="P524" s="149">
        <v>54</v>
      </c>
      <c r="Q524" s="154">
        <v>0.772</v>
      </c>
      <c r="R524" s="154">
        <v>0.228</v>
      </c>
      <c r="S524" s="148"/>
      <c r="T524" s="148" t="s">
        <v>44</v>
      </c>
      <c r="U524" s="154">
        <v>0.138</v>
      </c>
      <c r="V524" s="154">
        <v>0.419</v>
      </c>
      <c r="W524" s="154">
        <v>0.291</v>
      </c>
      <c r="X524" s="154">
        <v>0.106</v>
      </c>
      <c r="Y524" s="154">
        <v>0.027</v>
      </c>
      <c r="Z524" s="154">
        <v>0.019</v>
      </c>
      <c r="AA524" s="148" t="s">
        <v>45</v>
      </c>
    </row>
    <row r="525" spans="1:27">
      <c r="A525" s="147">
        <v>1652</v>
      </c>
      <c r="B525" s="147" t="s">
        <v>60</v>
      </c>
      <c r="C525" s="147" t="s">
        <v>46</v>
      </c>
      <c r="D525" s="148" t="s">
        <v>62</v>
      </c>
      <c r="E525" s="148" t="s">
        <v>30</v>
      </c>
      <c r="F525" s="149">
        <v>2025</v>
      </c>
      <c r="G525" s="148" t="s">
        <v>39</v>
      </c>
      <c r="H525" s="149">
        <v>15</v>
      </c>
      <c r="I525" s="150">
        <v>22014</v>
      </c>
      <c r="J525" s="149">
        <v>548</v>
      </c>
      <c r="K525" s="150">
        <v>113719</v>
      </c>
      <c r="L525" s="152"/>
      <c r="M525" s="152">
        <f t="shared" si="8"/>
        <v>0</v>
      </c>
      <c r="N525" s="148"/>
      <c r="O525" s="150">
        <v>50819</v>
      </c>
      <c r="P525" s="150">
        <v>2282</v>
      </c>
      <c r="Q525" s="154">
        <v>0.774</v>
      </c>
      <c r="R525" s="154">
        <v>0.226</v>
      </c>
      <c r="S525" s="148"/>
      <c r="T525" s="148"/>
      <c r="U525" s="154">
        <v>0.134</v>
      </c>
      <c r="V525" s="154">
        <v>0.419</v>
      </c>
      <c r="W525" s="154">
        <v>0.294</v>
      </c>
      <c r="X525" s="154">
        <v>0.106</v>
      </c>
      <c r="Y525" s="154">
        <v>0.028</v>
      </c>
      <c r="Z525" s="154">
        <v>0.019</v>
      </c>
      <c r="AA525" s="148" t="s">
        <v>45</v>
      </c>
    </row>
    <row r="526" spans="1:27">
      <c r="A526" s="147">
        <v>1653</v>
      </c>
      <c r="B526" s="147" t="s">
        <v>60</v>
      </c>
      <c r="C526" s="147" t="s">
        <v>46</v>
      </c>
      <c r="D526" s="148" t="s">
        <v>62</v>
      </c>
      <c r="E526" s="148" t="s">
        <v>30</v>
      </c>
      <c r="F526" s="149">
        <v>2025</v>
      </c>
      <c r="G526" s="148" t="s">
        <v>40</v>
      </c>
      <c r="H526" s="149">
        <v>25</v>
      </c>
      <c r="I526" s="150">
        <v>22446</v>
      </c>
      <c r="J526" s="149">
        <v>618</v>
      </c>
      <c r="K526" s="150">
        <v>460250</v>
      </c>
      <c r="L526" s="152"/>
      <c r="M526" s="152">
        <f t="shared" si="8"/>
        <v>0</v>
      </c>
      <c r="N526" s="148"/>
      <c r="O526" s="150">
        <v>118223</v>
      </c>
      <c r="P526" s="150">
        <v>4380</v>
      </c>
      <c r="Q526" s="154">
        <v>0.777</v>
      </c>
      <c r="R526" s="154">
        <v>0.223</v>
      </c>
      <c r="S526" s="148"/>
      <c r="T526" s="148"/>
      <c r="U526" s="154">
        <v>0.13</v>
      </c>
      <c r="V526" s="154">
        <v>0.416</v>
      </c>
      <c r="W526" s="154">
        <v>0.296</v>
      </c>
      <c r="X526" s="154">
        <v>0.11</v>
      </c>
      <c r="Y526" s="154">
        <v>0.029</v>
      </c>
      <c r="Z526" s="154">
        <v>0.019</v>
      </c>
      <c r="AA526" s="148" t="s">
        <v>45</v>
      </c>
    </row>
    <row r="527" spans="1:27">
      <c r="A527" s="147">
        <v>1654</v>
      </c>
      <c r="B527" s="147" t="s">
        <v>60</v>
      </c>
      <c r="C527" s="147" t="s">
        <v>46</v>
      </c>
      <c r="D527" s="148" t="s">
        <v>62</v>
      </c>
      <c r="E527" s="148" t="s">
        <v>30</v>
      </c>
      <c r="F527" s="149">
        <v>2025</v>
      </c>
      <c r="G527" s="148" t="s">
        <v>41</v>
      </c>
      <c r="H527" s="149">
        <v>45</v>
      </c>
      <c r="I527" s="150">
        <v>24068</v>
      </c>
      <c r="J527" s="150">
        <v>1815</v>
      </c>
      <c r="K527" s="150">
        <v>3511344</v>
      </c>
      <c r="L527" s="152"/>
      <c r="M527" s="152">
        <f t="shared" si="8"/>
        <v>0</v>
      </c>
      <c r="N527" s="148"/>
      <c r="O527" s="150">
        <v>1683587</v>
      </c>
      <c r="P527" s="150">
        <v>217972</v>
      </c>
      <c r="Q527" s="154">
        <v>0.786</v>
      </c>
      <c r="R527" s="154">
        <v>0.214</v>
      </c>
      <c r="S527" s="148"/>
      <c r="T527" s="148"/>
      <c r="U527" s="154">
        <v>0.123</v>
      </c>
      <c r="V527" s="154">
        <v>0.413</v>
      </c>
      <c r="W527" s="154">
        <v>0.299</v>
      </c>
      <c r="X527" s="154">
        <v>0.115</v>
      </c>
      <c r="Y527" s="154">
        <v>0.031</v>
      </c>
      <c r="Z527" s="154">
        <v>0.019</v>
      </c>
      <c r="AA527" s="148" t="s">
        <v>45</v>
      </c>
    </row>
    <row r="528" spans="1:27">
      <c r="A528" s="147">
        <v>1655</v>
      </c>
      <c r="B528" s="147" t="s">
        <v>60</v>
      </c>
      <c r="C528" s="147" t="s">
        <v>46</v>
      </c>
      <c r="D528" s="148" t="s">
        <v>62</v>
      </c>
      <c r="E528" s="148" t="s">
        <v>30</v>
      </c>
      <c r="F528" s="149">
        <v>2025</v>
      </c>
      <c r="G528" s="148" t="s">
        <v>42</v>
      </c>
      <c r="H528" s="149">
        <v>18</v>
      </c>
      <c r="I528" s="150">
        <v>24456</v>
      </c>
      <c r="J528" s="149">
        <v>578</v>
      </c>
      <c r="K528" s="150">
        <v>999301</v>
      </c>
      <c r="L528" s="152"/>
      <c r="M528" s="152">
        <f t="shared" si="8"/>
        <v>0</v>
      </c>
      <c r="N528" s="148"/>
      <c r="O528" s="150">
        <v>550093</v>
      </c>
      <c r="P528" s="150">
        <v>48594</v>
      </c>
      <c r="Q528" s="154">
        <v>0.788</v>
      </c>
      <c r="R528" s="154">
        <v>0.212</v>
      </c>
      <c r="S528" s="148"/>
      <c r="T528" s="148"/>
      <c r="U528" s="154">
        <v>0.119</v>
      </c>
      <c r="V528" s="154">
        <v>0.411</v>
      </c>
      <c r="W528" s="154">
        <v>0.302</v>
      </c>
      <c r="X528" s="154">
        <v>0.118</v>
      </c>
      <c r="Y528" s="154">
        <v>0.031</v>
      </c>
      <c r="Z528" s="154">
        <v>0.019</v>
      </c>
      <c r="AA528" s="148" t="s">
        <v>45</v>
      </c>
    </row>
    <row r="529" spans="1:27">
      <c r="A529" s="147">
        <v>1656</v>
      </c>
      <c r="B529" s="147" t="s">
        <v>60</v>
      </c>
      <c r="C529" s="147" t="s">
        <v>46</v>
      </c>
      <c r="D529" s="148" t="s">
        <v>62</v>
      </c>
      <c r="E529" s="148" t="s">
        <v>30</v>
      </c>
      <c r="F529" s="149">
        <v>2025</v>
      </c>
      <c r="G529" s="148" t="s">
        <v>43</v>
      </c>
      <c r="H529" s="149">
        <v>46</v>
      </c>
      <c r="I529" s="150">
        <v>26045</v>
      </c>
      <c r="J529" s="150">
        <v>1845</v>
      </c>
      <c r="K529" s="150">
        <v>1428940</v>
      </c>
      <c r="L529" s="152"/>
      <c r="M529" s="152">
        <f t="shared" si="8"/>
        <v>0</v>
      </c>
      <c r="N529" s="148"/>
      <c r="O529" s="150">
        <v>740468</v>
      </c>
      <c r="P529" s="150">
        <v>85452</v>
      </c>
      <c r="Q529" s="154">
        <v>0.797</v>
      </c>
      <c r="R529" s="154">
        <v>0.203</v>
      </c>
      <c r="S529" s="148"/>
      <c r="T529" s="148"/>
      <c r="U529" s="154">
        <v>0.112</v>
      </c>
      <c r="V529" s="154">
        <v>0.404</v>
      </c>
      <c r="W529" s="154">
        <v>0.307</v>
      </c>
      <c r="X529" s="154">
        <v>0.125</v>
      </c>
      <c r="Y529" s="154">
        <v>0.033</v>
      </c>
      <c r="Z529" s="154">
        <v>0.019</v>
      </c>
      <c r="AA529" s="148" t="s">
        <v>45</v>
      </c>
    </row>
    <row r="530" spans="1:27">
      <c r="A530" s="147">
        <v>1657</v>
      </c>
      <c r="B530" s="147" t="s">
        <v>60</v>
      </c>
      <c r="C530" s="147" t="s">
        <v>46</v>
      </c>
      <c r="D530" s="148" t="s">
        <v>62</v>
      </c>
      <c r="E530" s="148" t="s">
        <v>30</v>
      </c>
      <c r="F530" s="149">
        <v>2026</v>
      </c>
      <c r="G530" s="148" t="s">
        <v>31</v>
      </c>
      <c r="H530" s="149">
        <v>13</v>
      </c>
      <c r="I530" s="150">
        <v>26366</v>
      </c>
      <c r="J530" s="149">
        <v>521</v>
      </c>
      <c r="K530" s="150">
        <v>688323</v>
      </c>
      <c r="L530" s="152"/>
      <c r="M530" s="152">
        <f t="shared" si="8"/>
        <v>0</v>
      </c>
      <c r="N530" s="148"/>
      <c r="O530" s="150">
        <v>238452</v>
      </c>
      <c r="P530" s="150">
        <v>34308</v>
      </c>
      <c r="Q530" s="154">
        <v>0.798</v>
      </c>
      <c r="R530" s="154">
        <v>0.202</v>
      </c>
      <c r="S530" s="148"/>
      <c r="T530" s="148"/>
      <c r="U530" s="154">
        <v>0.11</v>
      </c>
      <c r="V530" s="154">
        <v>0.402</v>
      </c>
      <c r="W530" s="154">
        <v>0.308</v>
      </c>
      <c r="X530" s="154">
        <v>0.126</v>
      </c>
      <c r="Y530" s="154">
        <v>0.034</v>
      </c>
      <c r="Z530" s="154">
        <v>0.02</v>
      </c>
      <c r="AA530" s="148" t="s">
        <v>45</v>
      </c>
    </row>
    <row r="531" spans="1:27">
      <c r="A531" s="147">
        <v>1658</v>
      </c>
      <c r="B531" s="147" t="s">
        <v>60</v>
      </c>
      <c r="C531" s="147" t="s">
        <v>46</v>
      </c>
      <c r="D531" s="148" t="s">
        <v>62</v>
      </c>
      <c r="E531" s="148" t="s">
        <v>30</v>
      </c>
      <c r="F531" s="149">
        <v>2026</v>
      </c>
      <c r="G531" s="148" t="s">
        <v>33</v>
      </c>
      <c r="H531" s="149">
        <v>11</v>
      </c>
      <c r="I531" s="150">
        <v>26443</v>
      </c>
      <c r="J531" s="149">
        <v>271</v>
      </c>
      <c r="K531" s="150">
        <v>561156</v>
      </c>
      <c r="L531" s="152"/>
      <c r="M531" s="152">
        <f t="shared" si="8"/>
        <v>0</v>
      </c>
      <c r="N531" s="148"/>
      <c r="O531" s="150">
        <v>155607</v>
      </c>
      <c r="P531" s="150">
        <v>21525</v>
      </c>
      <c r="Q531" s="154">
        <v>0.799</v>
      </c>
      <c r="R531" s="154">
        <v>0.201</v>
      </c>
      <c r="S531" s="148"/>
      <c r="T531" s="148"/>
      <c r="U531" s="154">
        <v>0.107</v>
      </c>
      <c r="V531" s="154">
        <v>0.402</v>
      </c>
      <c r="W531" s="154">
        <v>0.309</v>
      </c>
      <c r="X531" s="154">
        <v>0.127</v>
      </c>
      <c r="Y531" s="154">
        <v>0.035</v>
      </c>
      <c r="Z531" s="154">
        <v>0.02</v>
      </c>
      <c r="AA531" s="148" t="s">
        <v>45</v>
      </c>
    </row>
    <row r="532" spans="1:27">
      <c r="A532" s="147">
        <v>1659</v>
      </c>
      <c r="B532" s="147" t="s">
        <v>60</v>
      </c>
      <c r="C532" s="147" t="s">
        <v>46</v>
      </c>
      <c r="D532" s="148" t="s">
        <v>62</v>
      </c>
      <c r="E532" s="148" t="s">
        <v>30</v>
      </c>
      <c r="F532" s="149">
        <v>2026</v>
      </c>
      <c r="G532" s="148" t="s">
        <v>34</v>
      </c>
      <c r="H532" s="149">
        <v>2</v>
      </c>
      <c r="I532" s="150">
        <v>26539</v>
      </c>
      <c r="J532" s="149">
        <v>275</v>
      </c>
      <c r="K532" s="150">
        <v>70848</v>
      </c>
      <c r="L532" s="152"/>
      <c r="M532" s="152">
        <f t="shared" si="8"/>
        <v>0</v>
      </c>
      <c r="N532" s="148"/>
      <c r="O532" s="150">
        <v>50130</v>
      </c>
      <c r="P532" s="150">
        <v>1979</v>
      </c>
      <c r="Q532" s="154">
        <v>0.798</v>
      </c>
      <c r="R532" s="154">
        <v>0.202</v>
      </c>
      <c r="S532" s="148"/>
      <c r="T532" s="148"/>
      <c r="U532" s="154">
        <v>0.106</v>
      </c>
      <c r="V532" s="154">
        <v>0.4</v>
      </c>
      <c r="W532" s="154">
        <v>0.311</v>
      </c>
      <c r="X532" s="154">
        <v>0.129</v>
      </c>
      <c r="Y532" s="154">
        <v>0.034</v>
      </c>
      <c r="Z532" s="154">
        <v>0.02</v>
      </c>
      <c r="AA532" s="148" t="s">
        <v>45</v>
      </c>
    </row>
    <row r="533" spans="1:27">
      <c r="A533" s="147">
        <v>1660</v>
      </c>
      <c r="B533" s="147" t="s">
        <v>60</v>
      </c>
      <c r="C533" s="147" t="s">
        <v>46</v>
      </c>
      <c r="D533" s="148" t="s">
        <v>62</v>
      </c>
      <c r="E533" s="148" t="s">
        <v>30</v>
      </c>
      <c r="F533" s="149">
        <v>2026</v>
      </c>
      <c r="G533" s="148" t="s">
        <v>35</v>
      </c>
      <c r="H533" s="149">
        <v>0</v>
      </c>
      <c r="I533" s="150">
        <v>26588</v>
      </c>
      <c r="J533" s="149">
        <v>259</v>
      </c>
      <c r="K533" s="150">
        <v>7036</v>
      </c>
      <c r="L533" s="152"/>
      <c r="M533" s="152">
        <f t="shared" si="8"/>
        <v>0</v>
      </c>
      <c r="N533" s="148"/>
      <c r="O533" s="150">
        <v>6447</v>
      </c>
      <c r="P533" s="149">
        <v>117</v>
      </c>
      <c r="Q533" s="154">
        <v>0.8</v>
      </c>
      <c r="R533" s="154">
        <v>0.2</v>
      </c>
      <c r="S533" s="148"/>
      <c r="T533" s="148"/>
      <c r="U533" s="154">
        <v>0.103</v>
      </c>
      <c r="V533" s="154">
        <v>0.4</v>
      </c>
      <c r="W533" s="154">
        <v>0.313</v>
      </c>
      <c r="X533" s="154">
        <v>0.13</v>
      </c>
      <c r="Y533" s="154">
        <v>0.034</v>
      </c>
      <c r="Z533" s="154">
        <v>0.02</v>
      </c>
      <c r="AA533" s="148" t="s">
        <v>45</v>
      </c>
    </row>
    <row r="534" spans="1:27">
      <c r="A534" s="147">
        <v>1661</v>
      </c>
      <c r="B534" s="147" t="s">
        <v>60</v>
      </c>
      <c r="C534" s="147" t="s">
        <v>46</v>
      </c>
      <c r="D534" s="148" t="s">
        <v>62</v>
      </c>
      <c r="E534" s="148" t="s">
        <v>30</v>
      </c>
      <c r="F534" s="149">
        <v>2026</v>
      </c>
      <c r="G534" s="148" t="s">
        <v>36</v>
      </c>
      <c r="H534" s="149">
        <v>1</v>
      </c>
      <c r="I534" s="150">
        <v>26598</v>
      </c>
      <c r="J534" s="149">
        <v>291</v>
      </c>
      <c r="K534" s="150">
        <v>8762</v>
      </c>
      <c r="L534" s="152"/>
      <c r="M534" s="152">
        <f t="shared" si="8"/>
        <v>0</v>
      </c>
      <c r="N534" s="148"/>
      <c r="O534" s="150">
        <v>6901</v>
      </c>
      <c r="P534" s="149">
        <v>225</v>
      </c>
      <c r="Q534" s="154">
        <v>0.8</v>
      </c>
      <c r="R534" s="154">
        <v>0.2</v>
      </c>
      <c r="S534" s="148"/>
      <c r="T534" s="148"/>
      <c r="U534" s="154">
        <v>0.103</v>
      </c>
      <c r="V534" s="154">
        <v>0.397</v>
      </c>
      <c r="W534" s="154">
        <v>0.314</v>
      </c>
      <c r="X534" s="154">
        <v>0.131</v>
      </c>
      <c r="Y534" s="154">
        <v>0.035</v>
      </c>
      <c r="Z534" s="154">
        <v>0.02</v>
      </c>
      <c r="AA534" s="148" t="s">
        <v>45</v>
      </c>
    </row>
    <row r="535" spans="1:27">
      <c r="A535" s="147">
        <v>1662</v>
      </c>
      <c r="B535" s="147" t="s">
        <v>60</v>
      </c>
      <c r="C535" s="147" t="s">
        <v>46</v>
      </c>
      <c r="D535" s="148" t="s">
        <v>62</v>
      </c>
      <c r="E535" s="148" t="s">
        <v>30</v>
      </c>
      <c r="F535" s="149">
        <v>2026</v>
      </c>
      <c r="G535" s="148" t="s">
        <v>37</v>
      </c>
      <c r="H535" s="149">
        <v>17</v>
      </c>
      <c r="I535" s="150">
        <v>26768</v>
      </c>
      <c r="J535" s="149">
        <v>374</v>
      </c>
      <c r="K535" s="150">
        <v>258224</v>
      </c>
      <c r="L535" s="152"/>
      <c r="M535" s="152">
        <f t="shared" si="8"/>
        <v>0</v>
      </c>
      <c r="N535" s="148"/>
      <c r="O535" s="150">
        <v>33650</v>
      </c>
      <c r="P535" s="150">
        <v>4719</v>
      </c>
      <c r="Q535" s="154">
        <v>0.801</v>
      </c>
      <c r="R535" s="154">
        <v>0.199</v>
      </c>
      <c r="S535" s="148"/>
      <c r="T535" s="148"/>
      <c r="U535" s="154">
        <v>0.1</v>
      </c>
      <c r="V535" s="154">
        <v>0.395</v>
      </c>
      <c r="W535" s="154">
        <v>0.314</v>
      </c>
      <c r="X535" s="154">
        <v>0.134</v>
      </c>
      <c r="Y535" s="154">
        <v>0.037</v>
      </c>
      <c r="Z535" s="154">
        <v>0.02</v>
      </c>
      <c r="AA535" s="148" t="s">
        <v>45</v>
      </c>
    </row>
    <row r="536" spans="1:27">
      <c r="A536" s="147">
        <v>1663</v>
      </c>
      <c r="B536" s="147" t="s">
        <v>60</v>
      </c>
      <c r="C536" s="147" t="s">
        <v>46</v>
      </c>
      <c r="D536" s="148" t="s">
        <v>62</v>
      </c>
      <c r="E536" s="148" t="s">
        <v>30</v>
      </c>
      <c r="F536" s="149">
        <v>2026</v>
      </c>
      <c r="G536" s="148" t="s">
        <v>38</v>
      </c>
      <c r="H536" s="149">
        <v>3</v>
      </c>
      <c r="I536" s="150">
        <v>26954</v>
      </c>
      <c r="J536" s="149">
        <v>409</v>
      </c>
      <c r="K536" s="150">
        <v>110299</v>
      </c>
      <c r="L536" s="152"/>
      <c r="M536" s="152">
        <f t="shared" si="8"/>
        <v>0</v>
      </c>
      <c r="N536" s="148"/>
      <c r="O536" s="150">
        <v>46648</v>
      </c>
      <c r="P536" s="150">
        <v>2204</v>
      </c>
      <c r="Q536" s="154">
        <v>0.8</v>
      </c>
      <c r="R536" s="154">
        <v>0.2</v>
      </c>
      <c r="S536" s="148"/>
      <c r="T536" s="148"/>
      <c r="U536" s="154">
        <v>0.099</v>
      </c>
      <c r="V536" s="154">
        <v>0.393</v>
      </c>
      <c r="W536" s="154">
        <v>0.317</v>
      </c>
      <c r="X536" s="154">
        <v>0.134</v>
      </c>
      <c r="Y536" s="154">
        <v>0.036</v>
      </c>
      <c r="Z536" s="154">
        <v>0.021</v>
      </c>
      <c r="AA536" s="148" t="s">
        <v>45</v>
      </c>
    </row>
    <row r="537" spans="1:27">
      <c r="A537" s="147">
        <v>1664</v>
      </c>
      <c r="B537" s="147" t="s">
        <v>60</v>
      </c>
      <c r="C537" s="147" t="s">
        <v>46</v>
      </c>
      <c r="D537" s="148" t="s">
        <v>62</v>
      </c>
      <c r="E537" s="148" t="s">
        <v>30</v>
      </c>
      <c r="F537" s="149">
        <v>2026</v>
      </c>
      <c r="G537" s="148" t="s">
        <v>39</v>
      </c>
      <c r="H537" s="148"/>
      <c r="I537" s="148"/>
      <c r="J537" s="148"/>
      <c r="K537" s="148"/>
      <c r="L537" s="152"/>
      <c r="M537" s="152">
        <f t="shared" si="8"/>
        <v>0</v>
      </c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</row>
    <row r="538" spans="1:27">
      <c r="A538" s="147">
        <v>1665</v>
      </c>
      <c r="B538" s="147" t="s">
        <v>60</v>
      </c>
      <c r="C538" s="147" t="s">
        <v>46</v>
      </c>
      <c r="D538" s="148" t="s">
        <v>62</v>
      </c>
      <c r="E538" s="148" t="s">
        <v>30</v>
      </c>
      <c r="F538" s="149">
        <v>2026</v>
      </c>
      <c r="G538" s="148" t="s">
        <v>40</v>
      </c>
      <c r="H538" s="148"/>
      <c r="I538" s="148"/>
      <c r="J538" s="148"/>
      <c r="K538" s="148"/>
      <c r="L538" s="152"/>
      <c r="M538" s="152">
        <f t="shared" si="8"/>
        <v>0</v>
      </c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</row>
    <row r="539" spans="1:27">
      <c r="A539" s="147">
        <v>1666</v>
      </c>
      <c r="B539" s="147" t="s">
        <v>60</v>
      </c>
      <c r="C539" s="147" t="s">
        <v>46</v>
      </c>
      <c r="D539" s="148" t="s">
        <v>62</v>
      </c>
      <c r="E539" s="148" t="s">
        <v>30</v>
      </c>
      <c r="F539" s="149">
        <v>2026</v>
      </c>
      <c r="G539" s="148" t="s">
        <v>41</v>
      </c>
      <c r="H539" s="148"/>
      <c r="I539" s="148"/>
      <c r="J539" s="148"/>
      <c r="K539" s="148"/>
      <c r="L539" s="152"/>
      <c r="M539" s="152">
        <f t="shared" si="8"/>
        <v>0</v>
      </c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</row>
    <row r="540" spans="1:27">
      <c r="A540" s="147">
        <v>1667</v>
      </c>
      <c r="B540" s="147" t="s">
        <v>60</v>
      </c>
      <c r="C540" s="147" t="s">
        <v>46</v>
      </c>
      <c r="D540" s="148" t="s">
        <v>62</v>
      </c>
      <c r="E540" s="148" t="s">
        <v>30</v>
      </c>
      <c r="F540" s="149">
        <v>2026</v>
      </c>
      <c r="G540" s="148" t="s">
        <v>42</v>
      </c>
      <c r="H540" s="148"/>
      <c r="I540" s="148"/>
      <c r="J540" s="148"/>
      <c r="K540" s="148"/>
      <c r="L540" s="152"/>
      <c r="M540" s="152">
        <f t="shared" si="8"/>
        <v>0</v>
      </c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</row>
    <row r="541" spans="1:27">
      <c r="A541" s="147">
        <v>1668</v>
      </c>
      <c r="B541" s="147" t="s">
        <v>60</v>
      </c>
      <c r="C541" s="147" t="s">
        <v>46</v>
      </c>
      <c r="D541" s="148" t="s">
        <v>62</v>
      </c>
      <c r="E541" s="148" t="s">
        <v>30</v>
      </c>
      <c r="F541" s="149">
        <v>2026</v>
      </c>
      <c r="G541" s="148" t="s">
        <v>43</v>
      </c>
      <c r="H541" s="148"/>
      <c r="I541" s="148"/>
      <c r="J541" s="148"/>
      <c r="K541" s="148"/>
      <c r="L541" s="152"/>
      <c r="M541" s="152">
        <f t="shared" si="8"/>
        <v>0</v>
      </c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</row>
    <row r="542" spans="1:27">
      <c r="A542" s="147">
        <v>1681</v>
      </c>
      <c r="B542" s="147" t="s">
        <v>60</v>
      </c>
      <c r="C542" s="147" t="s">
        <v>46</v>
      </c>
      <c r="D542" s="148" t="s">
        <v>49</v>
      </c>
      <c r="E542" s="148" t="s">
        <v>30</v>
      </c>
      <c r="F542" s="149">
        <v>2024</v>
      </c>
      <c r="G542" s="148" t="s">
        <v>31</v>
      </c>
      <c r="H542" s="149">
        <v>533</v>
      </c>
      <c r="I542" s="149" t="s">
        <v>44</v>
      </c>
      <c r="J542" s="149" t="s">
        <v>61</v>
      </c>
      <c r="K542" s="149" t="s">
        <v>61</v>
      </c>
      <c r="L542" s="152"/>
      <c r="M542" s="152">
        <f t="shared" si="8"/>
        <v>0</v>
      </c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</row>
    <row r="543" spans="1:27">
      <c r="A543" s="147">
        <v>1682</v>
      </c>
      <c r="B543" s="147" t="s">
        <v>60</v>
      </c>
      <c r="C543" s="147" t="s">
        <v>46</v>
      </c>
      <c r="D543" s="148" t="s">
        <v>49</v>
      </c>
      <c r="E543" s="148" t="s">
        <v>30</v>
      </c>
      <c r="F543" s="149">
        <v>2024</v>
      </c>
      <c r="G543" s="148" t="s">
        <v>33</v>
      </c>
      <c r="H543" s="149">
        <v>374</v>
      </c>
      <c r="I543" s="149" t="s">
        <v>44</v>
      </c>
      <c r="J543" s="149" t="s">
        <v>61</v>
      </c>
      <c r="K543" s="149" t="s">
        <v>61</v>
      </c>
      <c r="L543" s="152"/>
      <c r="M543" s="152">
        <f t="shared" si="8"/>
        <v>0</v>
      </c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</row>
    <row r="544" spans="1:27">
      <c r="A544" s="147">
        <v>1683</v>
      </c>
      <c r="B544" s="147" t="s">
        <v>60</v>
      </c>
      <c r="C544" s="147" t="s">
        <v>46</v>
      </c>
      <c r="D544" s="148" t="s">
        <v>49</v>
      </c>
      <c r="E544" s="148" t="s">
        <v>30</v>
      </c>
      <c r="F544" s="149">
        <v>2024</v>
      </c>
      <c r="G544" s="148" t="s">
        <v>34</v>
      </c>
      <c r="H544" s="149">
        <v>281</v>
      </c>
      <c r="I544" s="149" t="s">
        <v>44</v>
      </c>
      <c r="J544" s="149" t="s">
        <v>61</v>
      </c>
      <c r="K544" s="149" t="s">
        <v>61</v>
      </c>
      <c r="L544" s="152"/>
      <c r="M544" s="152">
        <f t="shared" si="8"/>
        <v>0</v>
      </c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</row>
    <row r="545" spans="1:27">
      <c r="A545" s="147">
        <v>1684</v>
      </c>
      <c r="B545" s="147" t="s">
        <v>60</v>
      </c>
      <c r="C545" s="147" t="s">
        <v>46</v>
      </c>
      <c r="D545" s="148" t="s">
        <v>49</v>
      </c>
      <c r="E545" s="148" t="s">
        <v>30</v>
      </c>
      <c r="F545" s="149">
        <v>2024</v>
      </c>
      <c r="G545" s="148" t="s">
        <v>35</v>
      </c>
      <c r="H545" s="149">
        <v>219</v>
      </c>
      <c r="I545" s="149" t="s">
        <v>44</v>
      </c>
      <c r="J545" s="149" t="s">
        <v>61</v>
      </c>
      <c r="K545" s="149" t="s">
        <v>61</v>
      </c>
      <c r="L545" s="152"/>
      <c r="M545" s="152">
        <f t="shared" si="8"/>
        <v>0</v>
      </c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</row>
    <row r="546" spans="1:27">
      <c r="A546" s="147">
        <v>1685</v>
      </c>
      <c r="B546" s="147" t="s">
        <v>60</v>
      </c>
      <c r="C546" s="147" t="s">
        <v>46</v>
      </c>
      <c r="D546" s="148" t="s">
        <v>49</v>
      </c>
      <c r="E546" s="148" t="s">
        <v>30</v>
      </c>
      <c r="F546" s="149">
        <v>2024</v>
      </c>
      <c r="G546" s="148" t="s">
        <v>36</v>
      </c>
      <c r="H546" s="149">
        <v>261</v>
      </c>
      <c r="I546" s="149" t="s">
        <v>44</v>
      </c>
      <c r="J546" s="149" t="s">
        <v>61</v>
      </c>
      <c r="K546" s="149" t="s">
        <v>61</v>
      </c>
      <c r="L546" s="152"/>
      <c r="M546" s="152">
        <f t="shared" si="8"/>
        <v>0</v>
      </c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</row>
    <row r="547" spans="1:27">
      <c r="A547" s="147">
        <v>1686</v>
      </c>
      <c r="B547" s="147" t="s">
        <v>60</v>
      </c>
      <c r="C547" s="147" t="s">
        <v>46</v>
      </c>
      <c r="D547" s="148" t="s">
        <v>49</v>
      </c>
      <c r="E547" s="148" t="s">
        <v>30</v>
      </c>
      <c r="F547" s="149">
        <v>2024</v>
      </c>
      <c r="G547" s="148" t="s">
        <v>37</v>
      </c>
      <c r="H547" s="149">
        <v>223</v>
      </c>
      <c r="I547" s="149" t="s">
        <v>44</v>
      </c>
      <c r="J547" s="149" t="s">
        <v>61</v>
      </c>
      <c r="K547" s="149" t="s">
        <v>61</v>
      </c>
      <c r="L547" s="152"/>
      <c r="M547" s="152">
        <f t="shared" si="8"/>
        <v>0</v>
      </c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</row>
    <row r="548" spans="1:27">
      <c r="A548" s="147">
        <v>1687</v>
      </c>
      <c r="B548" s="147" t="s">
        <v>60</v>
      </c>
      <c r="C548" s="147" t="s">
        <v>46</v>
      </c>
      <c r="D548" s="148" t="s">
        <v>49</v>
      </c>
      <c r="E548" s="148" t="s">
        <v>30</v>
      </c>
      <c r="F548" s="149">
        <v>2024</v>
      </c>
      <c r="G548" s="148" t="s">
        <v>38</v>
      </c>
      <c r="H548" s="149">
        <v>188</v>
      </c>
      <c r="I548" s="149" t="s">
        <v>44</v>
      </c>
      <c r="J548" s="149" t="s">
        <v>61</v>
      </c>
      <c r="K548" s="149" t="s">
        <v>61</v>
      </c>
      <c r="L548" s="152"/>
      <c r="M548" s="152">
        <f t="shared" si="8"/>
        <v>0</v>
      </c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</row>
    <row r="549" spans="1:27">
      <c r="A549" s="147">
        <v>1688</v>
      </c>
      <c r="B549" s="147" t="s">
        <v>60</v>
      </c>
      <c r="C549" s="147" t="s">
        <v>46</v>
      </c>
      <c r="D549" s="148" t="s">
        <v>49</v>
      </c>
      <c r="E549" s="148" t="s">
        <v>30</v>
      </c>
      <c r="F549" s="149">
        <v>2024</v>
      </c>
      <c r="G549" s="148" t="s">
        <v>39</v>
      </c>
      <c r="H549" s="149">
        <v>143</v>
      </c>
      <c r="I549" s="149" t="s">
        <v>44</v>
      </c>
      <c r="J549" s="149" t="s">
        <v>61</v>
      </c>
      <c r="K549" s="149" t="s">
        <v>61</v>
      </c>
      <c r="L549" s="152"/>
      <c r="M549" s="152">
        <f t="shared" si="8"/>
        <v>0</v>
      </c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</row>
    <row r="550" spans="1:27">
      <c r="A550" s="147">
        <v>1689</v>
      </c>
      <c r="B550" s="147" t="s">
        <v>60</v>
      </c>
      <c r="C550" s="147" t="s">
        <v>46</v>
      </c>
      <c r="D550" s="148" t="s">
        <v>49</v>
      </c>
      <c r="E550" s="148" t="s">
        <v>30</v>
      </c>
      <c r="F550" s="149">
        <v>2024</v>
      </c>
      <c r="G550" s="148" t="s">
        <v>40</v>
      </c>
      <c r="H550" s="149">
        <v>126</v>
      </c>
      <c r="I550" s="150">
        <v>364811</v>
      </c>
      <c r="J550" s="149" t="s">
        <v>61</v>
      </c>
      <c r="K550" s="149" t="s">
        <v>61</v>
      </c>
      <c r="L550" s="152"/>
      <c r="M550" s="152">
        <f t="shared" si="8"/>
        <v>0</v>
      </c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</row>
    <row r="551" spans="1:27">
      <c r="A551" s="147">
        <v>1690</v>
      </c>
      <c r="B551" s="147" t="s">
        <v>60</v>
      </c>
      <c r="C551" s="147" t="s">
        <v>46</v>
      </c>
      <c r="D551" s="148" t="s">
        <v>49</v>
      </c>
      <c r="E551" s="148" t="s">
        <v>30</v>
      </c>
      <c r="F551" s="149">
        <v>2024</v>
      </c>
      <c r="G551" s="148" t="s">
        <v>41</v>
      </c>
      <c r="H551" s="149">
        <v>87</v>
      </c>
      <c r="I551" s="150">
        <v>365912</v>
      </c>
      <c r="J551" s="150">
        <v>1101</v>
      </c>
      <c r="K551" s="149" t="s">
        <v>61</v>
      </c>
      <c r="L551" s="152"/>
      <c r="M551" s="152">
        <f t="shared" si="8"/>
        <v>0</v>
      </c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</row>
    <row r="552" spans="1:27">
      <c r="A552" s="147">
        <v>1691</v>
      </c>
      <c r="B552" s="147" t="s">
        <v>60</v>
      </c>
      <c r="C552" s="147" t="s">
        <v>46</v>
      </c>
      <c r="D552" s="148" t="s">
        <v>49</v>
      </c>
      <c r="E552" s="148" t="s">
        <v>30</v>
      </c>
      <c r="F552" s="149">
        <v>2024</v>
      </c>
      <c r="G552" s="148" t="s">
        <v>42</v>
      </c>
      <c r="H552" s="149">
        <v>72</v>
      </c>
      <c r="I552" s="150">
        <v>367031</v>
      </c>
      <c r="J552" s="150">
        <v>1119</v>
      </c>
      <c r="K552" s="149" t="s">
        <v>61</v>
      </c>
      <c r="L552" s="152"/>
      <c r="M552" s="152">
        <f t="shared" si="8"/>
        <v>0</v>
      </c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</row>
    <row r="553" spans="1:27">
      <c r="A553" s="147">
        <v>1692</v>
      </c>
      <c r="B553" s="147" t="s">
        <v>60</v>
      </c>
      <c r="C553" s="147" t="s">
        <v>46</v>
      </c>
      <c r="D553" s="148" t="s">
        <v>49</v>
      </c>
      <c r="E553" s="148" t="s">
        <v>30</v>
      </c>
      <c r="F553" s="149">
        <v>2024</v>
      </c>
      <c r="G553" s="148" t="s">
        <v>43</v>
      </c>
      <c r="H553" s="149">
        <v>71</v>
      </c>
      <c r="I553" s="150">
        <v>368497</v>
      </c>
      <c r="J553" s="150">
        <v>1466</v>
      </c>
      <c r="K553" s="150">
        <v>62216</v>
      </c>
      <c r="L553" s="152"/>
      <c r="M553" s="152">
        <f t="shared" si="8"/>
        <v>0</v>
      </c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</row>
    <row r="554" spans="1:27">
      <c r="A554" s="147">
        <v>1693</v>
      </c>
      <c r="B554" s="147" t="s">
        <v>60</v>
      </c>
      <c r="C554" s="147" t="s">
        <v>46</v>
      </c>
      <c r="D554" s="148" t="s">
        <v>49</v>
      </c>
      <c r="E554" s="148" t="s">
        <v>30</v>
      </c>
      <c r="F554" s="149">
        <v>2025</v>
      </c>
      <c r="G554" s="148" t="s">
        <v>31</v>
      </c>
      <c r="H554" s="149">
        <v>37</v>
      </c>
      <c r="I554" s="150">
        <v>370046</v>
      </c>
      <c r="J554" s="150">
        <v>1549</v>
      </c>
      <c r="K554" s="150">
        <v>1630561</v>
      </c>
      <c r="L554" s="152"/>
      <c r="M554" s="152">
        <f t="shared" si="8"/>
        <v>0</v>
      </c>
      <c r="N554" s="148"/>
      <c r="O554" s="150">
        <v>802669</v>
      </c>
      <c r="P554" s="149" t="s">
        <v>48</v>
      </c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</row>
    <row r="555" spans="1:27">
      <c r="A555" s="147">
        <v>1694</v>
      </c>
      <c r="B555" s="147" t="s">
        <v>60</v>
      </c>
      <c r="C555" s="147" t="s">
        <v>46</v>
      </c>
      <c r="D555" s="148" t="s">
        <v>49</v>
      </c>
      <c r="E555" s="148" t="s">
        <v>30</v>
      </c>
      <c r="F555" s="149">
        <v>2025</v>
      </c>
      <c r="G555" s="148" t="s">
        <v>33</v>
      </c>
      <c r="H555" s="149">
        <v>11</v>
      </c>
      <c r="I555" s="150">
        <v>371327</v>
      </c>
      <c r="J555" s="150">
        <v>1281</v>
      </c>
      <c r="K555" s="150">
        <v>1503195</v>
      </c>
      <c r="L555" s="152"/>
      <c r="M555" s="152">
        <f t="shared" si="8"/>
        <v>0</v>
      </c>
      <c r="N555" s="148"/>
      <c r="O555" s="150">
        <v>1034122</v>
      </c>
      <c r="P555" s="149" t="s">
        <v>48</v>
      </c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</row>
    <row r="556" spans="1:27">
      <c r="A556" s="147">
        <v>1695</v>
      </c>
      <c r="B556" s="147" t="s">
        <v>60</v>
      </c>
      <c r="C556" s="147" t="s">
        <v>46</v>
      </c>
      <c r="D556" s="148" t="s">
        <v>49</v>
      </c>
      <c r="E556" s="148" t="s">
        <v>30</v>
      </c>
      <c r="F556" s="149">
        <v>2025</v>
      </c>
      <c r="G556" s="148" t="s">
        <v>34</v>
      </c>
      <c r="H556" s="149">
        <v>16</v>
      </c>
      <c r="I556" s="150">
        <v>372194</v>
      </c>
      <c r="J556" s="149">
        <v>867</v>
      </c>
      <c r="K556" s="150">
        <v>144841</v>
      </c>
      <c r="L556" s="152"/>
      <c r="M556" s="152">
        <f t="shared" si="8"/>
        <v>0</v>
      </c>
      <c r="N556" s="148"/>
      <c r="O556" s="150">
        <v>53854</v>
      </c>
      <c r="P556" s="149" t="s">
        <v>48</v>
      </c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</row>
    <row r="557" spans="1:27">
      <c r="A557" s="147">
        <v>1696</v>
      </c>
      <c r="B557" s="147" t="s">
        <v>60</v>
      </c>
      <c r="C557" s="147" t="s">
        <v>46</v>
      </c>
      <c r="D557" s="148" t="s">
        <v>49</v>
      </c>
      <c r="E557" s="148" t="s">
        <v>30</v>
      </c>
      <c r="F557" s="149">
        <v>2025</v>
      </c>
      <c r="G557" s="148" t="s">
        <v>35</v>
      </c>
      <c r="H557" s="149">
        <v>7</v>
      </c>
      <c r="I557" s="150">
        <v>373240</v>
      </c>
      <c r="J557" s="150">
        <v>1046</v>
      </c>
      <c r="K557" s="150">
        <v>134147</v>
      </c>
      <c r="L557" s="152"/>
      <c r="M557" s="152">
        <f t="shared" si="8"/>
        <v>0</v>
      </c>
      <c r="N557" s="148"/>
      <c r="O557" s="150">
        <v>45926</v>
      </c>
      <c r="P557" s="149" t="s">
        <v>48</v>
      </c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</row>
    <row r="558" spans="1:27">
      <c r="A558" s="147">
        <v>1697</v>
      </c>
      <c r="B558" s="147" t="s">
        <v>60</v>
      </c>
      <c r="C558" s="147" t="s">
        <v>46</v>
      </c>
      <c r="D558" s="148" t="s">
        <v>49</v>
      </c>
      <c r="E558" s="148" t="s">
        <v>30</v>
      </c>
      <c r="F558" s="149">
        <v>2025</v>
      </c>
      <c r="G558" s="148" t="s">
        <v>36</v>
      </c>
      <c r="H558" s="149">
        <v>18</v>
      </c>
      <c r="I558" s="150">
        <v>374211</v>
      </c>
      <c r="J558" s="149">
        <v>971</v>
      </c>
      <c r="K558" s="150">
        <v>58528</v>
      </c>
      <c r="L558" s="152"/>
      <c r="M558" s="152">
        <f t="shared" si="8"/>
        <v>0</v>
      </c>
      <c r="N558" s="148"/>
      <c r="O558" s="150">
        <v>28364</v>
      </c>
      <c r="P558" s="149" t="s">
        <v>48</v>
      </c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</row>
    <row r="559" spans="1:27">
      <c r="A559" s="147">
        <v>1698</v>
      </c>
      <c r="B559" s="147" t="s">
        <v>60</v>
      </c>
      <c r="C559" s="147" t="s">
        <v>46</v>
      </c>
      <c r="D559" s="148" t="s">
        <v>49</v>
      </c>
      <c r="E559" s="148" t="s">
        <v>30</v>
      </c>
      <c r="F559" s="149">
        <v>2025</v>
      </c>
      <c r="G559" s="148" t="s">
        <v>37</v>
      </c>
      <c r="H559" s="149">
        <v>3</v>
      </c>
      <c r="I559" s="150">
        <v>375144</v>
      </c>
      <c r="J559" s="149">
        <v>933</v>
      </c>
      <c r="K559" s="150">
        <v>33952</v>
      </c>
      <c r="L559" s="152"/>
      <c r="M559" s="152">
        <f t="shared" si="8"/>
        <v>0</v>
      </c>
      <c r="N559" s="148"/>
      <c r="O559" s="150">
        <v>21868</v>
      </c>
      <c r="P559" s="149" t="s">
        <v>48</v>
      </c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</row>
    <row r="560" spans="1:27">
      <c r="A560" s="147">
        <v>1699</v>
      </c>
      <c r="B560" s="147" t="s">
        <v>60</v>
      </c>
      <c r="C560" s="147" t="s">
        <v>46</v>
      </c>
      <c r="D560" s="148" t="s">
        <v>49</v>
      </c>
      <c r="E560" s="148" t="s">
        <v>30</v>
      </c>
      <c r="F560" s="149">
        <v>2025</v>
      </c>
      <c r="G560" s="148" t="s">
        <v>38</v>
      </c>
      <c r="H560" s="149">
        <v>3</v>
      </c>
      <c r="I560" s="150">
        <v>375252</v>
      </c>
      <c r="J560" s="149">
        <v>881</v>
      </c>
      <c r="K560" s="150">
        <v>28663</v>
      </c>
      <c r="L560" s="152"/>
      <c r="M560" s="152">
        <f t="shared" si="8"/>
        <v>0</v>
      </c>
      <c r="N560" s="148"/>
      <c r="O560" s="150">
        <v>17087</v>
      </c>
      <c r="P560" s="149">
        <v>272</v>
      </c>
      <c r="Q560" s="154">
        <v>0.665</v>
      </c>
      <c r="R560" s="154">
        <v>0.335</v>
      </c>
      <c r="S560" s="148"/>
      <c r="T560" s="148" t="s">
        <v>44</v>
      </c>
      <c r="U560" s="154">
        <v>0.073</v>
      </c>
      <c r="V560" s="154">
        <v>0.357</v>
      </c>
      <c r="W560" s="154">
        <v>0.351</v>
      </c>
      <c r="X560" s="154">
        <v>0.148</v>
      </c>
      <c r="Y560" s="154">
        <v>0.045</v>
      </c>
      <c r="Z560" s="154">
        <v>0.026</v>
      </c>
      <c r="AA560" s="148" t="s">
        <v>45</v>
      </c>
    </row>
    <row r="561" spans="1:27">
      <c r="A561" s="147">
        <v>1700</v>
      </c>
      <c r="B561" s="147" t="s">
        <v>60</v>
      </c>
      <c r="C561" s="147" t="s">
        <v>46</v>
      </c>
      <c r="D561" s="148" t="s">
        <v>49</v>
      </c>
      <c r="E561" s="148" t="s">
        <v>30</v>
      </c>
      <c r="F561" s="149">
        <v>2025</v>
      </c>
      <c r="G561" s="148" t="s">
        <v>39</v>
      </c>
      <c r="H561" s="149">
        <v>12</v>
      </c>
      <c r="I561" s="150">
        <v>375226</v>
      </c>
      <c r="J561" s="149">
        <v>980</v>
      </c>
      <c r="K561" s="150">
        <v>43278</v>
      </c>
      <c r="L561" s="152"/>
      <c r="M561" s="152">
        <f t="shared" si="8"/>
        <v>0</v>
      </c>
      <c r="N561" s="148"/>
      <c r="O561" s="150">
        <v>25885</v>
      </c>
      <c r="P561" s="149">
        <v>607</v>
      </c>
      <c r="Q561" s="154">
        <v>0.665</v>
      </c>
      <c r="R561" s="154">
        <v>0.335</v>
      </c>
      <c r="S561" s="148"/>
      <c r="T561" s="148"/>
      <c r="U561" s="154">
        <v>0.071</v>
      </c>
      <c r="V561" s="154">
        <v>0.358</v>
      </c>
      <c r="W561" s="154">
        <v>0.351</v>
      </c>
      <c r="X561" s="154">
        <v>0.149</v>
      </c>
      <c r="Y561" s="154">
        <v>0.045</v>
      </c>
      <c r="Z561" s="154">
        <v>0.026</v>
      </c>
      <c r="AA561" s="148" t="s">
        <v>45</v>
      </c>
    </row>
    <row r="562" spans="1:27">
      <c r="A562" s="147">
        <v>1701</v>
      </c>
      <c r="B562" s="147" t="s">
        <v>60</v>
      </c>
      <c r="C562" s="147" t="s">
        <v>46</v>
      </c>
      <c r="D562" s="148" t="s">
        <v>49</v>
      </c>
      <c r="E562" s="148" t="s">
        <v>30</v>
      </c>
      <c r="F562" s="149">
        <v>2025</v>
      </c>
      <c r="G562" s="148" t="s">
        <v>40</v>
      </c>
      <c r="H562" s="149">
        <v>23</v>
      </c>
      <c r="I562" s="150">
        <v>375323</v>
      </c>
      <c r="J562" s="150">
        <v>1147</v>
      </c>
      <c r="K562" s="150">
        <v>41289</v>
      </c>
      <c r="L562" s="152"/>
      <c r="M562" s="152">
        <f t="shared" si="8"/>
        <v>0</v>
      </c>
      <c r="N562" s="148"/>
      <c r="O562" s="150">
        <v>21493</v>
      </c>
      <c r="P562" s="149">
        <v>365</v>
      </c>
      <c r="Q562" s="154">
        <v>0.665</v>
      </c>
      <c r="R562" s="154">
        <v>0.335</v>
      </c>
      <c r="S562" s="148"/>
      <c r="T562" s="148"/>
      <c r="U562" s="154">
        <v>0.07</v>
      </c>
      <c r="V562" s="154">
        <v>0.356</v>
      </c>
      <c r="W562" s="154">
        <v>0.352</v>
      </c>
      <c r="X562" s="154">
        <v>0.15</v>
      </c>
      <c r="Y562" s="154">
        <v>0.046</v>
      </c>
      <c r="Z562" s="154">
        <v>0.026</v>
      </c>
      <c r="AA562" s="148" t="s">
        <v>45</v>
      </c>
    </row>
    <row r="563" spans="1:27">
      <c r="A563" s="147">
        <v>1702</v>
      </c>
      <c r="B563" s="147" t="s">
        <v>60</v>
      </c>
      <c r="C563" s="147" t="s">
        <v>46</v>
      </c>
      <c r="D563" s="148" t="s">
        <v>49</v>
      </c>
      <c r="E563" s="148" t="s">
        <v>30</v>
      </c>
      <c r="F563" s="149">
        <v>2025</v>
      </c>
      <c r="G563" s="148" t="s">
        <v>41</v>
      </c>
      <c r="H563" s="149">
        <v>8</v>
      </c>
      <c r="I563" s="150">
        <v>375211</v>
      </c>
      <c r="J563" s="149">
        <v>945</v>
      </c>
      <c r="K563" s="150">
        <v>39999</v>
      </c>
      <c r="L563" s="152"/>
      <c r="M563" s="152">
        <f t="shared" si="8"/>
        <v>0</v>
      </c>
      <c r="N563" s="148"/>
      <c r="O563" s="150">
        <v>20635</v>
      </c>
      <c r="P563" s="149">
        <v>359</v>
      </c>
      <c r="Q563" s="154">
        <v>0.665</v>
      </c>
      <c r="R563" s="154">
        <v>0.335</v>
      </c>
      <c r="S563" s="148"/>
      <c r="T563" s="148"/>
      <c r="U563" s="154">
        <v>0.067</v>
      </c>
      <c r="V563" s="154">
        <v>0.355</v>
      </c>
      <c r="W563" s="154">
        <v>0.354</v>
      </c>
      <c r="X563" s="154">
        <v>0.152</v>
      </c>
      <c r="Y563" s="154">
        <v>0.046</v>
      </c>
      <c r="Z563" s="154">
        <v>0.026</v>
      </c>
      <c r="AA563" s="148" t="s">
        <v>45</v>
      </c>
    </row>
    <row r="564" spans="1:27">
      <c r="A564" s="147">
        <v>1703</v>
      </c>
      <c r="B564" s="147" t="s">
        <v>60</v>
      </c>
      <c r="C564" s="147" t="s">
        <v>46</v>
      </c>
      <c r="D564" s="148" t="s">
        <v>49</v>
      </c>
      <c r="E564" s="148" t="s">
        <v>30</v>
      </c>
      <c r="F564" s="149">
        <v>2025</v>
      </c>
      <c r="G564" s="148" t="s">
        <v>42</v>
      </c>
      <c r="H564" s="149">
        <v>17</v>
      </c>
      <c r="I564" s="150">
        <v>375147</v>
      </c>
      <c r="J564" s="149">
        <v>914</v>
      </c>
      <c r="K564" s="150">
        <v>60355</v>
      </c>
      <c r="L564" s="152"/>
      <c r="M564" s="152">
        <f t="shared" si="8"/>
        <v>0</v>
      </c>
      <c r="N564" s="148"/>
      <c r="O564" s="150">
        <v>27591</v>
      </c>
      <c r="P564" s="149">
        <v>508</v>
      </c>
      <c r="Q564" s="154">
        <v>0.665</v>
      </c>
      <c r="R564" s="154">
        <v>0.335</v>
      </c>
      <c r="S564" s="148"/>
      <c r="T564" s="148"/>
      <c r="U564" s="154">
        <v>0.065</v>
      </c>
      <c r="V564" s="154">
        <v>0.353</v>
      </c>
      <c r="W564" s="154">
        <v>0.355</v>
      </c>
      <c r="X564" s="154">
        <v>0.153</v>
      </c>
      <c r="Y564" s="154">
        <v>0.048</v>
      </c>
      <c r="Z564" s="154">
        <v>0.026</v>
      </c>
      <c r="AA564" s="148" t="s">
        <v>45</v>
      </c>
    </row>
    <row r="565" spans="1:27">
      <c r="A565" s="147">
        <v>1704</v>
      </c>
      <c r="B565" s="147" t="s">
        <v>60</v>
      </c>
      <c r="C565" s="147" t="s">
        <v>46</v>
      </c>
      <c r="D565" s="148" t="s">
        <v>49</v>
      </c>
      <c r="E565" s="148" t="s">
        <v>30</v>
      </c>
      <c r="F565" s="149">
        <v>2025</v>
      </c>
      <c r="G565" s="148" t="s">
        <v>43</v>
      </c>
      <c r="H565" s="149">
        <v>28</v>
      </c>
      <c r="I565" s="150">
        <v>375021</v>
      </c>
      <c r="J565" s="149">
        <v>887</v>
      </c>
      <c r="K565" s="150">
        <v>349858</v>
      </c>
      <c r="L565" s="152"/>
      <c r="M565" s="152">
        <f t="shared" si="8"/>
        <v>0</v>
      </c>
      <c r="N565" s="148"/>
      <c r="O565" s="150">
        <v>56800</v>
      </c>
      <c r="P565" s="150">
        <v>4552</v>
      </c>
      <c r="Q565" s="154">
        <v>0.665</v>
      </c>
      <c r="R565" s="154">
        <v>0.335</v>
      </c>
      <c r="S565" s="148"/>
      <c r="T565" s="148"/>
      <c r="U565" s="154">
        <v>0.063</v>
      </c>
      <c r="V565" s="154">
        <v>0.352</v>
      </c>
      <c r="W565" s="154">
        <v>0.357</v>
      </c>
      <c r="X565" s="154">
        <v>0.154</v>
      </c>
      <c r="Y565" s="155">
        <v>0.05</v>
      </c>
      <c r="Z565" s="154">
        <v>0.026</v>
      </c>
      <c r="AA565" s="148" t="s">
        <v>45</v>
      </c>
    </row>
    <row r="566" spans="1:27">
      <c r="A566" s="147">
        <v>1705</v>
      </c>
      <c r="B566" s="147" t="s">
        <v>60</v>
      </c>
      <c r="C566" s="147" t="s">
        <v>46</v>
      </c>
      <c r="D566" s="148" t="s">
        <v>49</v>
      </c>
      <c r="E566" s="148" t="s">
        <v>30</v>
      </c>
      <c r="F566" s="149">
        <v>2026</v>
      </c>
      <c r="G566" s="148" t="s">
        <v>31</v>
      </c>
      <c r="H566" s="149">
        <v>63</v>
      </c>
      <c r="I566" s="150">
        <v>375154</v>
      </c>
      <c r="J566" s="150">
        <v>1059</v>
      </c>
      <c r="K566" s="150">
        <v>1588491</v>
      </c>
      <c r="L566" s="152"/>
      <c r="M566" s="152">
        <f t="shared" si="8"/>
        <v>0</v>
      </c>
      <c r="N566" s="148"/>
      <c r="O566" s="150">
        <v>188371</v>
      </c>
      <c r="P566" s="150">
        <v>52222</v>
      </c>
      <c r="Q566" s="154">
        <v>0.665</v>
      </c>
      <c r="R566" s="154">
        <v>0.335</v>
      </c>
      <c r="S566" s="148"/>
      <c r="T566" s="148"/>
      <c r="U566" s="154">
        <v>0.062</v>
      </c>
      <c r="V566" s="154">
        <v>0.349</v>
      </c>
      <c r="W566" s="154">
        <v>0.358</v>
      </c>
      <c r="X566" s="154">
        <v>0.157</v>
      </c>
      <c r="Y566" s="155">
        <v>0.05</v>
      </c>
      <c r="Z566" s="154">
        <v>0.026</v>
      </c>
      <c r="AA566" s="148" t="s">
        <v>45</v>
      </c>
    </row>
    <row r="567" spans="1:27">
      <c r="A567" s="147">
        <v>1706</v>
      </c>
      <c r="B567" s="147" t="s">
        <v>60</v>
      </c>
      <c r="C567" s="147" t="s">
        <v>46</v>
      </c>
      <c r="D567" s="148" t="s">
        <v>49</v>
      </c>
      <c r="E567" s="148" t="s">
        <v>30</v>
      </c>
      <c r="F567" s="149">
        <v>2026</v>
      </c>
      <c r="G567" s="148" t="s">
        <v>33</v>
      </c>
      <c r="H567" s="149">
        <v>78</v>
      </c>
      <c r="I567" s="150">
        <v>375597</v>
      </c>
      <c r="J567" s="150">
        <v>1173</v>
      </c>
      <c r="K567" s="150">
        <v>2077247</v>
      </c>
      <c r="L567" s="152"/>
      <c r="M567" s="152">
        <f t="shared" si="8"/>
        <v>0</v>
      </c>
      <c r="N567" s="148"/>
      <c r="O567" s="150">
        <v>129837</v>
      </c>
      <c r="P567" s="150">
        <v>72705</v>
      </c>
      <c r="Q567" s="154">
        <v>0.665</v>
      </c>
      <c r="R567" s="154">
        <v>0.335</v>
      </c>
      <c r="S567" s="148"/>
      <c r="T567" s="148"/>
      <c r="U567" s="154">
        <v>0.061</v>
      </c>
      <c r="V567" s="154">
        <v>0.347</v>
      </c>
      <c r="W567" s="154">
        <v>0.359</v>
      </c>
      <c r="X567" s="154">
        <v>0.158</v>
      </c>
      <c r="Y567" s="154">
        <v>0.049</v>
      </c>
      <c r="Z567" s="154">
        <v>0.026</v>
      </c>
      <c r="AA567" s="148" t="s">
        <v>45</v>
      </c>
    </row>
    <row r="568" spans="1:27">
      <c r="A568" s="147">
        <v>1707</v>
      </c>
      <c r="B568" s="147" t="s">
        <v>60</v>
      </c>
      <c r="C568" s="147" t="s">
        <v>46</v>
      </c>
      <c r="D568" s="148" t="s">
        <v>49</v>
      </c>
      <c r="E568" s="148" t="s">
        <v>30</v>
      </c>
      <c r="F568" s="149">
        <v>2026</v>
      </c>
      <c r="G568" s="148" t="s">
        <v>34</v>
      </c>
      <c r="H568" s="149">
        <v>95</v>
      </c>
      <c r="I568" s="150">
        <v>375867</v>
      </c>
      <c r="J568" s="150">
        <v>1152</v>
      </c>
      <c r="K568" s="150">
        <v>4339396</v>
      </c>
      <c r="L568" s="152"/>
      <c r="M568" s="152">
        <f t="shared" si="8"/>
        <v>0</v>
      </c>
      <c r="N568" s="148"/>
      <c r="O568" s="150">
        <v>144102</v>
      </c>
      <c r="P568" s="150">
        <v>172027</v>
      </c>
      <c r="Q568" s="154">
        <v>0.665</v>
      </c>
      <c r="R568" s="154">
        <v>0.335</v>
      </c>
      <c r="S568" s="148"/>
      <c r="T568" s="148"/>
      <c r="U568" s="154">
        <v>0.061</v>
      </c>
      <c r="V568" s="154">
        <v>0.346</v>
      </c>
      <c r="W568" s="154">
        <v>0.359</v>
      </c>
      <c r="X568" s="154">
        <v>0.159</v>
      </c>
      <c r="Y568" s="154">
        <v>0.049</v>
      </c>
      <c r="Z568" s="154">
        <v>0.026</v>
      </c>
      <c r="AA568" s="148" t="s">
        <v>45</v>
      </c>
    </row>
    <row r="569" spans="1:27">
      <c r="A569" s="147">
        <v>1708</v>
      </c>
      <c r="B569" s="147" t="s">
        <v>60</v>
      </c>
      <c r="C569" s="147" t="s">
        <v>46</v>
      </c>
      <c r="D569" s="148" t="s">
        <v>49</v>
      </c>
      <c r="E569" s="148" t="s">
        <v>30</v>
      </c>
      <c r="F569" s="149">
        <v>2026</v>
      </c>
      <c r="G569" s="148" t="s">
        <v>35</v>
      </c>
      <c r="H569" s="149">
        <v>126</v>
      </c>
      <c r="I569" s="150">
        <v>376111</v>
      </c>
      <c r="J569" s="150">
        <v>1269</v>
      </c>
      <c r="K569" s="150">
        <v>3891279</v>
      </c>
      <c r="L569" s="152"/>
      <c r="M569" s="152">
        <f t="shared" si="8"/>
        <v>0</v>
      </c>
      <c r="N569" s="148"/>
      <c r="O569" s="150">
        <v>139425</v>
      </c>
      <c r="P569" s="150">
        <v>99300</v>
      </c>
      <c r="Q569" s="154">
        <v>0.665</v>
      </c>
      <c r="R569" s="154">
        <v>0.335</v>
      </c>
      <c r="S569" s="148"/>
      <c r="T569" s="148"/>
      <c r="U569" s="154">
        <v>0.059</v>
      </c>
      <c r="V569" s="154">
        <v>0.344</v>
      </c>
      <c r="W569" s="154">
        <v>0.36</v>
      </c>
      <c r="X569" s="154">
        <v>0.161</v>
      </c>
      <c r="Y569" s="154">
        <v>0.05</v>
      </c>
      <c r="Z569" s="154">
        <v>0.026</v>
      </c>
      <c r="AA569" s="148" t="s">
        <v>45</v>
      </c>
    </row>
    <row r="570" spans="1:27">
      <c r="A570" s="147">
        <v>1709</v>
      </c>
      <c r="B570" s="147" t="s">
        <v>60</v>
      </c>
      <c r="C570" s="147" t="s">
        <v>46</v>
      </c>
      <c r="D570" s="148" t="s">
        <v>49</v>
      </c>
      <c r="E570" s="148" t="s">
        <v>30</v>
      </c>
      <c r="F570" s="149">
        <v>2026</v>
      </c>
      <c r="G570" s="148" t="s">
        <v>36</v>
      </c>
      <c r="H570" s="149">
        <v>93</v>
      </c>
      <c r="I570" s="150">
        <v>369993</v>
      </c>
      <c r="J570" s="150">
        <v>1491</v>
      </c>
      <c r="K570" s="150">
        <v>7290848</v>
      </c>
      <c r="L570" s="152"/>
      <c r="M570" s="152">
        <f t="shared" si="8"/>
        <v>0</v>
      </c>
      <c r="N570" s="148"/>
      <c r="O570" s="150">
        <v>132218</v>
      </c>
      <c r="P570" s="150">
        <v>241409</v>
      </c>
      <c r="Q570" s="154">
        <v>0.664</v>
      </c>
      <c r="R570" s="154">
        <v>0.336</v>
      </c>
      <c r="S570" s="148"/>
      <c r="T570" s="148"/>
      <c r="U570" s="154">
        <v>0.058</v>
      </c>
      <c r="V570" s="154">
        <v>0.341</v>
      </c>
      <c r="W570" s="154">
        <v>0.362</v>
      </c>
      <c r="X570" s="154">
        <v>0.162</v>
      </c>
      <c r="Y570" s="154">
        <v>0.051</v>
      </c>
      <c r="Z570" s="154">
        <v>0.026</v>
      </c>
      <c r="AA570" s="148" t="s">
        <v>45</v>
      </c>
    </row>
    <row r="571" spans="1:27">
      <c r="A571" s="147">
        <v>1710</v>
      </c>
      <c r="B571" s="147" t="s">
        <v>60</v>
      </c>
      <c r="C571" s="147" t="s">
        <v>46</v>
      </c>
      <c r="D571" s="148" t="s">
        <v>49</v>
      </c>
      <c r="E571" s="148" t="s">
        <v>30</v>
      </c>
      <c r="F571" s="149">
        <v>2026</v>
      </c>
      <c r="G571" s="148" t="s">
        <v>37</v>
      </c>
      <c r="H571" s="149">
        <v>15</v>
      </c>
      <c r="I571" s="150">
        <v>369678</v>
      </c>
      <c r="J571" s="149">
        <v>950</v>
      </c>
      <c r="K571" s="150">
        <v>1896110</v>
      </c>
      <c r="L571" s="152"/>
      <c r="M571" s="152">
        <f t="shared" si="8"/>
        <v>0</v>
      </c>
      <c r="N571" s="148"/>
      <c r="O571" s="150">
        <v>265381</v>
      </c>
      <c r="P571" s="150">
        <v>58584</v>
      </c>
      <c r="Q571" s="154">
        <v>0.666</v>
      </c>
      <c r="R571" s="154">
        <v>0.334</v>
      </c>
      <c r="S571" s="148"/>
      <c r="T571" s="148"/>
      <c r="U571" s="154">
        <v>0.056</v>
      </c>
      <c r="V571" s="154">
        <v>0.339</v>
      </c>
      <c r="W571" s="154">
        <v>0.364</v>
      </c>
      <c r="X571" s="154">
        <v>0.164</v>
      </c>
      <c r="Y571" s="154">
        <v>0.051</v>
      </c>
      <c r="Z571" s="154">
        <v>0.026</v>
      </c>
      <c r="AA571" s="148" t="s">
        <v>45</v>
      </c>
    </row>
    <row r="572" spans="1:27">
      <c r="A572" s="147">
        <v>1711</v>
      </c>
      <c r="B572" s="147" t="s">
        <v>60</v>
      </c>
      <c r="C572" s="147" t="s">
        <v>46</v>
      </c>
      <c r="D572" s="148" t="s">
        <v>49</v>
      </c>
      <c r="E572" s="148" t="s">
        <v>30</v>
      </c>
      <c r="F572" s="149">
        <v>2026</v>
      </c>
      <c r="G572" s="148" t="s">
        <v>38</v>
      </c>
      <c r="H572" s="149">
        <v>1</v>
      </c>
      <c r="I572" s="150">
        <v>369404</v>
      </c>
      <c r="J572" s="149">
        <v>798</v>
      </c>
      <c r="K572" s="150">
        <v>423866</v>
      </c>
      <c r="L572" s="152"/>
      <c r="M572" s="152">
        <f t="shared" si="8"/>
        <v>0</v>
      </c>
      <c r="N572" s="148"/>
      <c r="O572" s="150">
        <v>22214</v>
      </c>
      <c r="P572" s="150">
        <v>27341</v>
      </c>
      <c r="Q572" s="154">
        <v>0.666</v>
      </c>
      <c r="R572" s="154">
        <v>0.334</v>
      </c>
      <c r="S572" s="148"/>
      <c r="T572" s="148"/>
      <c r="U572" s="154">
        <v>0.055</v>
      </c>
      <c r="V572" s="154">
        <v>0.336</v>
      </c>
      <c r="W572" s="154">
        <v>0.364</v>
      </c>
      <c r="X572" s="154">
        <v>0.166</v>
      </c>
      <c r="Y572" s="154">
        <v>0.052</v>
      </c>
      <c r="Z572" s="154">
        <v>0.027</v>
      </c>
      <c r="AA572" s="148" t="s">
        <v>45</v>
      </c>
    </row>
    <row r="573" spans="1:27">
      <c r="A573" s="147">
        <v>1712</v>
      </c>
      <c r="B573" s="147" t="s">
        <v>60</v>
      </c>
      <c r="C573" s="147" t="s">
        <v>46</v>
      </c>
      <c r="D573" s="148" t="s">
        <v>49</v>
      </c>
      <c r="E573" s="148" t="s">
        <v>30</v>
      </c>
      <c r="F573" s="149">
        <v>2026</v>
      </c>
      <c r="G573" s="148" t="s">
        <v>39</v>
      </c>
      <c r="H573" s="148"/>
      <c r="I573" s="148"/>
      <c r="J573" s="148"/>
      <c r="K573" s="148"/>
      <c r="L573" s="152"/>
      <c r="M573" s="152">
        <f t="shared" si="8"/>
        <v>0</v>
      </c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</row>
    <row r="574" spans="1:27">
      <c r="A574" s="147">
        <v>1713</v>
      </c>
      <c r="B574" s="147" t="s">
        <v>60</v>
      </c>
      <c r="C574" s="147" t="s">
        <v>46</v>
      </c>
      <c r="D574" s="148" t="s">
        <v>49</v>
      </c>
      <c r="E574" s="148" t="s">
        <v>30</v>
      </c>
      <c r="F574" s="149">
        <v>2026</v>
      </c>
      <c r="G574" s="148" t="s">
        <v>40</v>
      </c>
      <c r="H574" s="148"/>
      <c r="I574" s="148"/>
      <c r="J574" s="148"/>
      <c r="K574" s="148"/>
      <c r="L574" s="152"/>
      <c r="M574" s="152">
        <f t="shared" si="8"/>
        <v>0</v>
      </c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</row>
    <row r="575" spans="1:27">
      <c r="A575" s="147">
        <v>1714</v>
      </c>
      <c r="B575" s="147" t="s">
        <v>60</v>
      </c>
      <c r="C575" s="147" t="s">
        <v>46</v>
      </c>
      <c r="D575" s="148" t="s">
        <v>49</v>
      </c>
      <c r="E575" s="148" t="s">
        <v>30</v>
      </c>
      <c r="F575" s="149">
        <v>2026</v>
      </c>
      <c r="G575" s="148" t="s">
        <v>41</v>
      </c>
      <c r="H575" s="148"/>
      <c r="I575" s="148"/>
      <c r="J575" s="148"/>
      <c r="K575" s="148"/>
      <c r="L575" s="152"/>
      <c r="M575" s="152">
        <f t="shared" si="8"/>
        <v>0</v>
      </c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</row>
    <row r="576" spans="1:27">
      <c r="A576" s="147">
        <v>1715</v>
      </c>
      <c r="B576" s="147" t="s">
        <v>60</v>
      </c>
      <c r="C576" s="147" t="s">
        <v>46</v>
      </c>
      <c r="D576" s="148" t="s">
        <v>49</v>
      </c>
      <c r="E576" s="148" t="s">
        <v>30</v>
      </c>
      <c r="F576" s="149">
        <v>2026</v>
      </c>
      <c r="G576" s="148" t="s">
        <v>42</v>
      </c>
      <c r="H576" s="148"/>
      <c r="I576" s="148"/>
      <c r="J576" s="148"/>
      <c r="K576" s="148"/>
      <c r="L576" s="152"/>
      <c r="M576" s="152">
        <f t="shared" si="8"/>
        <v>0</v>
      </c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</row>
    <row r="577" spans="1:27">
      <c r="A577" s="147">
        <v>1716</v>
      </c>
      <c r="B577" s="147" t="s">
        <v>60</v>
      </c>
      <c r="C577" s="147" t="s">
        <v>46</v>
      </c>
      <c r="D577" s="148" t="s">
        <v>49</v>
      </c>
      <c r="E577" s="148" t="s">
        <v>30</v>
      </c>
      <c r="F577" s="149">
        <v>2026</v>
      </c>
      <c r="G577" s="148" t="s">
        <v>43</v>
      </c>
      <c r="H577" s="148"/>
      <c r="I577" s="148"/>
      <c r="J577" s="148"/>
      <c r="K577" s="148"/>
      <c r="L577" s="152"/>
      <c r="M577" s="152">
        <f t="shared" si="8"/>
        <v>0</v>
      </c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</row>
    <row r="578" spans="1:27">
      <c r="A578" s="147">
        <v>1729</v>
      </c>
      <c r="B578" s="147" t="s">
        <v>60</v>
      </c>
      <c r="C578" s="147" t="s">
        <v>46</v>
      </c>
      <c r="D578" s="148" t="s">
        <v>50</v>
      </c>
      <c r="E578" s="148" t="s">
        <v>30</v>
      </c>
      <c r="F578" s="149">
        <v>2024</v>
      </c>
      <c r="G578" s="148" t="s">
        <v>31</v>
      </c>
      <c r="H578" s="149">
        <v>316</v>
      </c>
      <c r="I578" s="149" t="s">
        <v>44</v>
      </c>
      <c r="J578" s="149" t="s">
        <v>61</v>
      </c>
      <c r="K578" s="149" t="s">
        <v>61</v>
      </c>
      <c r="L578" s="152"/>
      <c r="M578" s="152">
        <f t="shared" ref="M578:M641" si="9">L578*17000</f>
        <v>0</v>
      </c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</row>
    <row r="579" spans="1:27">
      <c r="A579" s="147">
        <v>1730</v>
      </c>
      <c r="B579" s="147" t="s">
        <v>60</v>
      </c>
      <c r="C579" s="147" t="s">
        <v>46</v>
      </c>
      <c r="D579" s="148" t="s">
        <v>50</v>
      </c>
      <c r="E579" s="148" t="s">
        <v>30</v>
      </c>
      <c r="F579" s="149">
        <v>2024</v>
      </c>
      <c r="G579" s="148" t="s">
        <v>33</v>
      </c>
      <c r="H579" s="149">
        <v>191</v>
      </c>
      <c r="I579" s="149" t="s">
        <v>44</v>
      </c>
      <c r="J579" s="149" t="s">
        <v>61</v>
      </c>
      <c r="K579" s="149" t="s">
        <v>61</v>
      </c>
      <c r="L579" s="152"/>
      <c r="M579" s="152">
        <f t="shared" si="9"/>
        <v>0</v>
      </c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</row>
    <row r="580" spans="1:27">
      <c r="A580" s="147">
        <v>1731</v>
      </c>
      <c r="B580" s="147" t="s">
        <v>60</v>
      </c>
      <c r="C580" s="147" t="s">
        <v>46</v>
      </c>
      <c r="D580" s="148" t="s">
        <v>50</v>
      </c>
      <c r="E580" s="148" t="s">
        <v>30</v>
      </c>
      <c r="F580" s="149">
        <v>2024</v>
      </c>
      <c r="G580" s="148" t="s">
        <v>34</v>
      </c>
      <c r="H580" s="149">
        <v>172</v>
      </c>
      <c r="I580" s="149" t="s">
        <v>44</v>
      </c>
      <c r="J580" s="149" t="s">
        <v>61</v>
      </c>
      <c r="K580" s="149" t="s">
        <v>61</v>
      </c>
      <c r="L580" s="152"/>
      <c r="M580" s="152">
        <f t="shared" si="9"/>
        <v>0</v>
      </c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</row>
    <row r="581" spans="1:27">
      <c r="A581" s="147">
        <v>1732</v>
      </c>
      <c r="B581" s="147" t="s">
        <v>60</v>
      </c>
      <c r="C581" s="147" t="s">
        <v>46</v>
      </c>
      <c r="D581" s="148" t="s">
        <v>50</v>
      </c>
      <c r="E581" s="148" t="s">
        <v>30</v>
      </c>
      <c r="F581" s="149">
        <v>2024</v>
      </c>
      <c r="G581" s="148" t="s">
        <v>35</v>
      </c>
      <c r="H581" s="149">
        <v>104</v>
      </c>
      <c r="I581" s="149" t="s">
        <v>44</v>
      </c>
      <c r="J581" s="149" t="s">
        <v>61</v>
      </c>
      <c r="K581" s="149" t="s">
        <v>61</v>
      </c>
      <c r="L581" s="152"/>
      <c r="M581" s="152">
        <f t="shared" si="9"/>
        <v>0</v>
      </c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</row>
    <row r="582" spans="1:27">
      <c r="A582" s="147">
        <v>1733</v>
      </c>
      <c r="B582" s="147" t="s">
        <v>60</v>
      </c>
      <c r="C582" s="147" t="s">
        <v>46</v>
      </c>
      <c r="D582" s="148" t="s">
        <v>50</v>
      </c>
      <c r="E582" s="148" t="s">
        <v>30</v>
      </c>
      <c r="F582" s="149">
        <v>2024</v>
      </c>
      <c r="G582" s="148" t="s">
        <v>36</v>
      </c>
      <c r="H582" s="149">
        <v>115</v>
      </c>
      <c r="I582" s="149" t="s">
        <v>44</v>
      </c>
      <c r="J582" s="149" t="s">
        <v>61</v>
      </c>
      <c r="K582" s="149" t="s">
        <v>61</v>
      </c>
      <c r="L582" s="152"/>
      <c r="M582" s="152">
        <f t="shared" si="9"/>
        <v>0</v>
      </c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</row>
    <row r="583" spans="1:27">
      <c r="A583" s="147">
        <v>1734</v>
      </c>
      <c r="B583" s="147" t="s">
        <v>60</v>
      </c>
      <c r="C583" s="147" t="s">
        <v>46</v>
      </c>
      <c r="D583" s="148" t="s">
        <v>50</v>
      </c>
      <c r="E583" s="148" t="s">
        <v>30</v>
      </c>
      <c r="F583" s="149">
        <v>2024</v>
      </c>
      <c r="G583" s="148" t="s">
        <v>37</v>
      </c>
      <c r="H583" s="149">
        <v>110</v>
      </c>
      <c r="I583" s="149" t="s">
        <v>44</v>
      </c>
      <c r="J583" s="149" t="s">
        <v>61</v>
      </c>
      <c r="K583" s="149" t="s">
        <v>61</v>
      </c>
      <c r="L583" s="152"/>
      <c r="M583" s="152">
        <f t="shared" si="9"/>
        <v>0</v>
      </c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</row>
    <row r="584" spans="1:27">
      <c r="A584" s="147">
        <v>1735</v>
      </c>
      <c r="B584" s="147" t="s">
        <v>60</v>
      </c>
      <c r="C584" s="147" t="s">
        <v>46</v>
      </c>
      <c r="D584" s="148" t="s">
        <v>50</v>
      </c>
      <c r="E584" s="148" t="s">
        <v>30</v>
      </c>
      <c r="F584" s="149">
        <v>2024</v>
      </c>
      <c r="G584" s="148" t="s">
        <v>38</v>
      </c>
      <c r="H584" s="149">
        <v>111</v>
      </c>
      <c r="I584" s="149" t="s">
        <v>44</v>
      </c>
      <c r="J584" s="149" t="s">
        <v>61</v>
      </c>
      <c r="K584" s="149" t="s">
        <v>61</v>
      </c>
      <c r="L584" s="152"/>
      <c r="M584" s="152">
        <f t="shared" si="9"/>
        <v>0</v>
      </c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</row>
    <row r="585" spans="1:27">
      <c r="A585" s="147">
        <v>1736</v>
      </c>
      <c r="B585" s="147" t="s">
        <v>60</v>
      </c>
      <c r="C585" s="147" t="s">
        <v>46</v>
      </c>
      <c r="D585" s="148" t="s">
        <v>50</v>
      </c>
      <c r="E585" s="148" t="s">
        <v>30</v>
      </c>
      <c r="F585" s="149">
        <v>2024</v>
      </c>
      <c r="G585" s="148" t="s">
        <v>39</v>
      </c>
      <c r="H585" s="149">
        <v>84</v>
      </c>
      <c r="I585" s="149" t="s">
        <v>44</v>
      </c>
      <c r="J585" s="149" t="s">
        <v>61</v>
      </c>
      <c r="K585" s="149" t="s">
        <v>61</v>
      </c>
      <c r="L585" s="152"/>
      <c r="M585" s="152">
        <f t="shared" si="9"/>
        <v>0</v>
      </c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</row>
    <row r="586" spans="1:27">
      <c r="A586" s="147">
        <v>1737</v>
      </c>
      <c r="B586" s="147" t="s">
        <v>60</v>
      </c>
      <c r="C586" s="147" t="s">
        <v>46</v>
      </c>
      <c r="D586" s="148" t="s">
        <v>50</v>
      </c>
      <c r="E586" s="148" t="s">
        <v>30</v>
      </c>
      <c r="F586" s="149">
        <v>2024</v>
      </c>
      <c r="G586" s="148" t="s">
        <v>40</v>
      </c>
      <c r="H586" s="149">
        <v>85</v>
      </c>
      <c r="I586" s="150">
        <v>15381</v>
      </c>
      <c r="J586" s="149" t="s">
        <v>61</v>
      </c>
      <c r="K586" s="149" t="s">
        <v>61</v>
      </c>
      <c r="L586" s="152"/>
      <c r="M586" s="152">
        <f t="shared" si="9"/>
        <v>0</v>
      </c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</row>
    <row r="587" spans="1:27">
      <c r="A587" s="147">
        <v>1738</v>
      </c>
      <c r="B587" s="147" t="s">
        <v>60</v>
      </c>
      <c r="C587" s="147" t="s">
        <v>46</v>
      </c>
      <c r="D587" s="148" t="s">
        <v>50</v>
      </c>
      <c r="E587" s="148" t="s">
        <v>30</v>
      </c>
      <c r="F587" s="149">
        <v>2024</v>
      </c>
      <c r="G587" s="148" t="s">
        <v>41</v>
      </c>
      <c r="H587" s="149">
        <v>80</v>
      </c>
      <c r="I587" s="150">
        <v>15510</v>
      </c>
      <c r="J587" s="149">
        <v>129</v>
      </c>
      <c r="K587" s="149" t="s">
        <v>61</v>
      </c>
      <c r="L587" s="152"/>
      <c r="M587" s="152">
        <f t="shared" si="9"/>
        <v>0</v>
      </c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</row>
    <row r="588" spans="1:27">
      <c r="A588" s="147">
        <v>1739</v>
      </c>
      <c r="B588" s="147" t="s">
        <v>60</v>
      </c>
      <c r="C588" s="147" t="s">
        <v>46</v>
      </c>
      <c r="D588" s="148" t="s">
        <v>50</v>
      </c>
      <c r="E588" s="148" t="s">
        <v>30</v>
      </c>
      <c r="F588" s="149">
        <v>2024</v>
      </c>
      <c r="G588" s="148" t="s">
        <v>42</v>
      </c>
      <c r="H588" s="149">
        <v>54</v>
      </c>
      <c r="I588" s="150">
        <v>15768</v>
      </c>
      <c r="J588" s="149">
        <v>258</v>
      </c>
      <c r="K588" s="149" t="s">
        <v>61</v>
      </c>
      <c r="L588" s="152"/>
      <c r="M588" s="152">
        <f t="shared" si="9"/>
        <v>0</v>
      </c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</row>
    <row r="589" spans="1:27">
      <c r="A589" s="147">
        <v>1740</v>
      </c>
      <c r="B589" s="147" t="s">
        <v>60</v>
      </c>
      <c r="C589" s="147" t="s">
        <v>46</v>
      </c>
      <c r="D589" s="148" t="s">
        <v>50</v>
      </c>
      <c r="E589" s="148" t="s">
        <v>30</v>
      </c>
      <c r="F589" s="149">
        <v>2024</v>
      </c>
      <c r="G589" s="148" t="s">
        <v>43</v>
      </c>
      <c r="H589" s="149">
        <v>65</v>
      </c>
      <c r="I589" s="150">
        <v>15978</v>
      </c>
      <c r="J589" s="149">
        <v>210</v>
      </c>
      <c r="K589" s="150">
        <v>20015</v>
      </c>
      <c r="L589" s="152"/>
      <c r="M589" s="152">
        <f t="shared" si="9"/>
        <v>0</v>
      </c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</row>
    <row r="590" spans="1:27">
      <c r="A590" s="147">
        <v>1741</v>
      </c>
      <c r="B590" s="147" t="s">
        <v>60</v>
      </c>
      <c r="C590" s="147" t="s">
        <v>46</v>
      </c>
      <c r="D590" s="148" t="s">
        <v>50</v>
      </c>
      <c r="E590" s="148" t="s">
        <v>30</v>
      </c>
      <c r="F590" s="149">
        <v>2025</v>
      </c>
      <c r="G590" s="148" t="s">
        <v>31</v>
      </c>
      <c r="H590" s="149">
        <v>69</v>
      </c>
      <c r="I590" s="150">
        <v>16199</v>
      </c>
      <c r="J590" s="149">
        <v>221</v>
      </c>
      <c r="K590" s="150">
        <v>97184</v>
      </c>
      <c r="L590" s="152"/>
      <c r="M590" s="152">
        <f t="shared" si="9"/>
        <v>0</v>
      </c>
      <c r="N590" s="148"/>
      <c r="O590" s="150">
        <v>49957</v>
      </c>
      <c r="P590" s="149" t="s">
        <v>48</v>
      </c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</row>
    <row r="591" spans="1:27">
      <c r="A591" s="147">
        <v>1742</v>
      </c>
      <c r="B591" s="147" t="s">
        <v>60</v>
      </c>
      <c r="C591" s="147" t="s">
        <v>46</v>
      </c>
      <c r="D591" s="148" t="s">
        <v>50</v>
      </c>
      <c r="E591" s="148" t="s">
        <v>30</v>
      </c>
      <c r="F591" s="149">
        <v>2025</v>
      </c>
      <c r="G591" s="148" t="s">
        <v>33</v>
      </c>
      <c r="H591" s="149">
        <v>31</v>
      </c>
      <c r="I591" s="150">
        <v>16420</v>
      </c>
      <c r="J591" s="149">
        <v>221</v>
      </c>
      <c r="K591" s="150">
        <v>34637</v>
      </c>
      <c r="L591" s="152"/>
      <c r="M591" s="152">
        <f t="shared" si="9"/>
        <v>0</v>
      </c>
      <c r="N591" s="148"/>
      <c r="O591" s="150">
        <v>17111</v>
      </c>
      <c r="P591" s="149" t="s">
        <v>48</v>
      </c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</row>
    <row r="592" spans="1:27">
      <c r="A592" s="147">
        <v>1743</v>
      </c>
      <c r="B592" s="147" t="s">
        <v>60</v>
      </c>
      <c r="C592" s="147" t="s">
        <v>46</v>
      </c>
      <c r="D592" s="148" t="s">
        <v>50</v>
      </c>
      <c r="E592" s="148" t="s">
        <v>30</v>
      </c>
      <c r="F592" s="149">
        <v>2025</v>
      </c>
      <c r="G592" s="148" t="s">
        <v>34</v>
      </c>
      <c r="H592" s="149">
        <v>41</v>
      </c>
      <c r="I592" s="150">
        <v>16605</v>
      </c>
      <c r="J592" s="149">
        <v>185</v>
      </c>
      <c r="K592" s="150">
        <v>36521</v>
      </c>
      <c r="L592" s="152"/>
      <c r="M592" s="152">
        <f t="shared" si="9"/>
        <v>0</v>
      </c>
      <c r="N592" s="148"/>
      <c r="O592" s="150">
        <v>15961</v>
      </c>
      <c r="P592" s="149" t="s">
        <v>48</v>
      </c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</row>
    <row r="593" spans="1:27">
      <c r="A593" s="147">
        <v>1744</v>
      </c>
      <c r="B593" s="147" t="s">
        <v>60</v>
      </c>
      <c r="C593" s="147" t="s">
        <v>46</v>
      </c>
      <c r="D593" s="148" t="s">
        <v>50</v>
      </c>
      <c r="E593" s="148" t="s">
        <v>30</v>
      </c>
      <c r="F593" s="149">
        <v>2025</v>
      </c>
      <c r="G593" s="148" t="s">
        <v>35</v>
      </c>
      <c r="H593" s="149">
        <v>31</v>
      </c>
      <c r="I593" s="150">
        <v>16732</v>
      </c>
      <c r="J593" s="149">
        <v>127</v>
      </c>
      <c r="K593" s="150">
        <v>20915</v>
      </c>
      <c r="L593" s="152"/>
      <c r="M593" s="152">
        <f t="shared" si="9"/>
        <v>0</v>
      </c>
      <c r="N593" s="148"/>
      <c r="O593" s="150">
        <v>6898</v>
      </c>
      <c r="P593" s="149" t="s">
        <v>48</v>
      </c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</row>
    <row r="594" spans="1:27">
      <c r="A594" s="147">
        <v>1745</v>
      </c>
      <c r="B594" s="147" t="s">
        <v>60</v>
      </c>
      <c r="C594" s="147" t="s">
        <v>46</v>
      </c>
      <c r="D594" s="148" t="s">
        <v>50</v>
      </c>
      <c r="E594" s="148" t="s">
        <v>30</v>
      </c>
      <c r="F594" s="149">
        <v>2025</v>
      </c>
      <c r="G594" s="148" t="s">
        <v>36</v>
      </c>
      <c r="H594" s="149">
        <v>23</v>
      </c>
      <c r="I594" s="150">
        <v>17047</v>
      </c>
      <c r="J594" s="149">
        <v>315</v>
      </c>
      <c r="K594" s="150">
        <v>75080</v>
      </c>
      <c r="L594" s="152"/>
      <c r="M594" s="152">
        <f t="shared" si="9"/>
        <v>0</v>
      </c>
      <c r="N594" s="148"/>
      <c r="O594" s="150">
        <v>23050</v>
      </c>
      <c r="P594" s="149" t="s">
        <v>48</v>
      </c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</row>
    <row r="595" spans="1:27">
      <c r="A595" s="147">
        <v>1746</v>
      </c>
      <c r="B595" s="147" t="s">
        <v>60</v>
      </c>
      <c r="C595" s="147" t="s">
        <v>46</v>
      </c>
      <c r="D595" s="148" t="s">
        <v>50</v>
      </c>
      <c r="E595" s="148" t="s">
        <v>30</v>
      </c>
      <c r="F595" s="149">
        <v>2025</v>
      </c>
      <c r="G595" s="148" t="s">
        <v>37</v>
      </c>
      <c r="H595" s="149">
        <v>27</v>
      </c>
      <c r="I595" s="150">
        <v>17251</v>
      </c>
      <c r="J595" s="149">
        <v>204</v>
      </c>
      <c r="K595" s="150">
        <v>40027</v>
      </c>
      <c r="L595" s="152"/>
      <c r="M595" s="152">
        <f t="shared" si="9"/>
        <v>0</v>
      </c>
      <c r="N595" s="148"/>
      <c r="O595" s="150">
        <v>10090</v>
      </c>
      <c r="P595" s="149" t="s">
        <v>48</v>
      </c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</row>
    <row r="596" spans="1:27">
      <c r="A596" s="147">
        <v>1747</v>
      </c>
      <c r="B596" s="147" t="s">
        <v>60</v>
      </c>
      <c r="C596" s="147" t="s">
        <v>46</v>
      </c>
      <c r="D596" s="148" t="s">
        <v>50</v>
      </c>
      <c r="E596" s="148" t="s">
        <v>30</v>
      </c>
      <c r="F596" s="149">
        <v>2025</v>
      </c>
      <c r="G596" s="148" t="s">
        <v>38</v>
      </c>
      <c r="H596" s="149">
        <v>30</v>
      </c>
      <c r="I596" s="150">
        <v>17303</v>
      </c>
      <c r="J596" s="149">
        <v>150</v>
      </c>
      <c r="K596" s="150">
        <v>62234</v>
      </c>
      <c r="L596" s="152"/>
      <c r="M596" s="152">
        <f t="shared" si="9"/>
        <v>0</v>
      </c>
      <c r="N596" s="148"/>
      <c r="O596" s="150">
        <v>21127</v>
      </c>
      <c r="P596" s="149">
        <v>677</v>
      </c>
      <c r="Q596" s="154">
        <v>0.64</v>
      </c>
      <c r="R596" s="154">
        <v>0.36</v>
      </c>
      <c r="S596" s="148"/>
      <c r="T596" s="148" t="s">
        <v>44</v>
      </c>
      <c r="U596" s="154">
        <v>0.07</v>
      </c>
      <c r="V596" s="154">
        <v>0.285</v>
      </c>
      <c r="W596" s="154">
        <v>0.318</v>
      </c>
      <c r="X596" s="154">
        <v>0.214</v>
      </c>
      <c r="Y596" s="154">
        <v>0.086</v>
      </c>
      <c r="Z596" s="154">
        <v>0.027</v>
      </c>
      <c r="AA596" s="148" t="s">
        <v>45</v>
      </c>
    </row>
    <row r="597" spans="1:27">
      <c r="A597" s="147">
        <v>1748</v>
      </c>
      <c r="B597" s="147" t="s">
        <v>60</v>
      </c>
      <c r="C597" s="147" t="s">
        <v>46</v>
      </c>
      <c r="D597" s="148" t="s">
        <v>50</v>
      </c>
      <c r="E597" s="148" t="s">
        <v>30</v>
      </c>
      <c r="F597" s="149">
        <v>2025</v>
      </c>
      <c r="G597" s="148" t="s">
        <v>39</v>
      </c>
      <c r="H597" s="149">
        <v>111</v>
      </c>
      <c r="I597" s="150">
        <v>17696</v>
      </c>
      <c r="J597" s="149">
        <v>477</v>
      </c>
      <c r="K597" s="150">
        <v>672028</v>
      </c>
      <c r="L597" s="152"/>
      <c r="M597" s="152">
        <f t="shared" si="9"/>
        <v>0</v>
      </c>
      <c r="N597" s="148"/>
      <c r="O597" s="150">
        <v>380984</v>
      </c>
      <c r="P597" s="150">
        <v>20432</v>
      </c>
      <c r="Q597" s="154">
        <v>0.64</v>
      </c>
      <c r="R597" s="154">
        <v>0.36</v>
      </c>
      <c r="S597" s="148"/>
      <c r="T597" s="148"/>
      <c r="U597" s="154">
        <v>0.071</v>
      </c>
      <c r="V597" s="154">
        <v>0.286</v>
      </c>
      <c r="W597" s="154">
        <v>0.315</v>
      </c>
      <c r="X597" s="154">
        <v>0.214</v>
      </c>
      <c r="Y597" s="154">
        <v>0.087</v>
      </c>
      <c r="Z597" s="154">
        <v>0.027</v>
      </c>
      <c r="AA597" s="148" t="s">
        <v>45</v>
      </c>
    </row>
    <row r="598" spans="1:27">
      <c r="A598" s="147">
        <v>1749</v>
      </c>
      <c r="B598" s="147" t="s">
        <v>60</v>
      </c>
      <c r="C598" s="147" t="s">
        <v>46</v>
      </c>
      <c r="D598" s="148" t="s">
        <v>50</v>
      </c>
      <c r="E598" s="148" t="s">
        <v>30</v>
      </c>
      <c r="F598" s="149">
        <v>2025</v>
      </c>
      <c r="G598" s="148" t="s">
        <v>40</v>
      </c>
      <c r="H598" s="149">
        <v>207</v>
      </c>
      <c r="I598" s="150">
        <v>18092</v>
      </c>
      <c r="J598" s="149">
        <v>542</v>
      </c>
      <c r="K598" s="150">
        <v>753423</v>
      </c>
      <c r="L598" s="152"/>
      <c r="M598" s="152">
        <f t="shared" si="9"/>
        <v>0</v>
      </c>
      <c r="N598" s="148"/>
      <c r="O598" s="150">
        <v>352384</v>
      </c>
      <c r="P598" s="150">
        <v>13644</v>
      </c>
      <c r="Q598" s="154">
        <v>0.645</v>
      </c>
      <c r="R598" s="154">
        <v>0.355</v>
      </c>
      <c r="S598" s="148"/>
      <c r="T598" s="148"/>
      <c r="U598" s="154">
        <v>0.069</v>
      </c>
      <c r="V598" s="154">
        <v>0.282</v>
      </c>
      <c r="W598" s="154">
        <v>0.314</v>
      </c>
      <c r="X598" s="154">
        <v>0.217</v>
      </c>
      <c r="Y598" s="154">
        <v>0.089</v>
      </c>
      <c r="Z598" s="154">
        <v>0.029</v>
      </c>
      <c r="AA598" s="148" t="s">
        <v>45</v>
      </c>
    </row>
    <row r="599" spans="1:27">
      <c r="A599" s="147">
        <v>1750</v>
      </c>
      <c r="B599" s="147" t="s">
        <v>60</v>
      </c>
      <c r="C599" s="147" t="s">
        <v>46</v>
      </c>
      <c r="D599" s="148" t="s">
        <v>50</v>
      </c>
      <c r="E599" s="148" t="s">
        <v>30</v>
      </c>
      <c r="F599" s="149">
        <v>2025</v>
      </c>
      <c r="G599" s="148" t="s">
        <v>41</v>
      </c>
      <c r="H599" s="149">
        <v>158</v>
      </c>
      <c r="I599" s="150">
        <v>18722</v>
      </c>
      <c r="J599" s="149">
        <v>726</v>
      </c>
      <c r="K599" s="150">
        <v>584930</v>
      </c>
      <c r="L599" s="152"/>
      <c r="M599" s="152">
        <f t="shared" si="9"/>
        <v>0</v>
      </c>
      <c r="N599" s="148"/>
      <c r="O599" s="150">
        <v>301853</v>
      </c>
      <c r="P599" s="150">
        <v>12128</v>
      </c>
      <c r="Q599" s="154">
        <v>0.651</v>
      </c>
      <c r="R599" s="154">
        <v>0.349</v>
      </c>
      <c r="S599" s="148"/>
      <c r="T599" s="148"/>
      <c r="U599" s="154">
        <v>0.066</v>
      </c>
      <c r="V599" s="154">
        <v>0.278</v>
      </c>
      <c r="W599" s="154">
        <v>0.311</v>
      </c>
      <c r="X599" s="154">
        <v>0.221</v>
      </c>
      <c r="Y599" s="154">
        <v>0.094</v>
      </c>
      <c r="Z599" s="154">
        <v>0.03</v>
      </c>
      <c r="AA599" s="148" t="s">
        <v>45</v>
      </c>
    </row>
    <row r="600" spans="1:27">
      <c r="A600" s="147">
        <v>1751</v>
      </c>
      <c r="B600" s="147" t="s">
        <v>60</v>
      </c>
      <c r="C600" s="147" t="s">
        <v>46</v>
      </c>
      <c r="D600" s="148" t="s">
        <v>50</v>
      </c>
      <c r="E600" s="148" t="s">
        <v>30</v>
      </c>
      <c r="F600" s="149">
        <v>2025</v>
      </c>
      <c r="G600" s="148" t="s">
        <v>42</v>
      </c>
      <c r="H600" s="149">
        <v>101</v>
      </c>
      <c r="I600" s="150">
        <v>19138</v>
      </c>
      <c r="J600" s="149">
        <v>528</v>
      </c>
      <c r="K600" s="150">
        <v>319485</v>
      </c>
      <c r="L600" s="152"/>
      <c r="M600" s="152">
        <f t="shared" si="9"/>
        <v>0</v>
      </c>
      <c r="N600" s="148"/>
      <c r="O600" s="150">
        <v>183497</v>
      </c>
      <c r="P600" s="150">
        <v>7457</v>
      </c>
      <c r="Q600" s="154">
        <v>0.649</v>
      </c>
      <c r="R600" s="154">
        <v>0.351</v>
      </c>
      <c r="S600" s="148"/>
      <c r="T600" s="148"/>
      <c r="U600" s="154">
        <v>0.064</v>
      </c>
      <c r="V600" s="154">
        <v>0.275</v>
      </c>
      <c r="W600" s="154">
        <v>0.307</v>
      </c>
      <c r="X600" s="154">
        <v>0.223</v>
      </c>
      <c r="Y600" s="154">
        <v>0.099</v>
      </c>
      <c r="Z600" s="154">
        <v>0.032</v>
      </c>
      <c r="AA600" s="148" t="s">
        <v>45</v>
      </c>
    </row>
    <row r="601" spans="1:27">
      <c r="A601" s="147">
        <v>1752</v>
      </c>
      <c r="B601" s="147" t="s">
        <v>60</v>
      </c>
      <c r="C601" s="147" t="s">
        <v>46</v>
      </c>
      <c r="D601" s="148" t="s">
        <v>50</v>
      </c>
      <c r="E601" s="148" t="s">
        <v>30</v>
      </c>
      <c r="F601" s="149">
        <v>2025</v>
      </c>
      <c r="G601" s="148" t="s">
        <v>43</v>
      </c>
      <c r="H601" s="149">
        <v>73</v>
      </c>
      <c r="I601" s="150">
        <v>19706</v>
      </c>
      <c r="J601" s="149">
        <v>705</v>
      </c>
      <c r="K601" s="150">
        <v>671160</v>
      </c>
      <c r="L601" s="152"/>
      <c r="M601" s="152">
        <f t="shared" si="9"/>
        <v>0</v>
      </c>
      <c r="N601" s="148"/>
      <c r="O601" s="150">
        <v>467481</v>
      </c>
      <c r="P601" s="150">
        <v>27973</v>
      </c>
      <c r="Q601" s="154">
        <v>0.649</v>
      </c>
      <c r="R601" s="154">
        <v>0.351</v>
      </c>
      <c r="S601" s="148"/>
      <c r="T601" s="148"/>
      <c r="U601" s="154">
        <v>0.062</v>
      </c>
      <c r="V601" s="154">
        <v>0.274</v>
      </c>
      <c r="W601" s="154">
        <v>0.308</v>
      </c>
      <c r="X601" s="154">
        <v>0.224</v>
      </c>
      <c r="Y601" s="154">
        <v>0.099</v>
      </c>
      <c r="Z601" s="154">
        <v>0.033</v>
      </c>
      <c r="AA601" s="148" t="s">
        <v>45</v>
      </c>
    </row>
    <row r="602" spans="1:27">
      <c r="A602" s="147">
        <v>1753</v>
      </c>
      <c r="B602" s="147" t="s">
        <v>60</v>
      </c>
      <c r="C602" s="147" t="s">
        <v>46</v>
      </c>
      <c r="D602" s="148" t="s">
        <v>50</v>
      </c>
      <c r="E602" s="148" t="s">
        <v>30</v>
      </c>
      <c r="F602" s="149">
        <v>2026</v>
      </c>
      <c r="G602" s="148" t="s">
        <v>31</v>
      </c>
      <c r="H602" s="149">
        <v>50</v>
      </c>
      <c r="I602" s="150">
        <v>19923</v>
      </c>
      <c r="J602" s="149">
        <v>297</v>
      </c>
      <c r="K602" s="150">
        <v>275936</v>
      </c>
      <c r="L602" s="152"/>
      <c r="M602" s="152">
        <f t="shared" si="9"/>
        <v>0</v>
      </c>
      <c r="N602" s="148"/>
      <c r="O602" s="150">
        <v>195556</v>
      </c>
      <c r="P602" s="150">
        <v>7992</v>
      </c>
      <c r="Q602" s="154">
        <v>0.648</v>
      </c>
      <c r="R602" s="154">
        <v>0.352</v>
      </c>
      <c r="S602" s="148"/>
      <c r="T602" s="148"/>
      <c r="U602" s="154">
        <v>0.062</v>
      </c>
      <c r="V602" s="154">
        <v>0.271</v>
      </c>
      <c r="W602" s="154">
        <v>0.307</v>
      </c>
      <c r="X602" s="154">
        <v>0.225</v>
      </c>
      <c r="Y602" s="154">
        <v>0.102</v>
      </c>
      <c r="Z602" s="154">
        <v>0.033</v>
      </c>
      <c r="AA602" s="148" t="s">
        <v>45</v>
      </c>
    </row>
    <row r="603" spans="1:27">
      <c r="A603" s="147">
        <v>1754</v>
      </c>
      <c r="B603" s="147" t="s">
        <v>60</v>
      </c>
      <c r="C603" s="147" t="s">
        <v>46</v>
      </c>
      <c r="D603" s="148" t="s">
        <v>50</v>
      </c>
      <c r="E603" s="148" t="s">
        <v>30</v>
      </c>
      <c r="F603" s="149">
        <v>2026</v>
      </c>
      <c r="G603" s="148" t="s">
        <v>33</v>
      </c>
      <c r="H603" s="149">
        <v>47</v>
      </c>
      <c r="I603" s="150">
        <v>20252</v>
      </c>
      <c r="J603" s="149">
        <v>426</v>
      </c>
      <c r="K603" s="150">
        <v>396382</v>
      </c>
      <c r="L603" s="152"/>
      <c r="M603" s="152">
        <f t="shared" si="9"/>
        <v>0</v>
      </c>
      <c r="N603" s="148"/>
      <c r="O603" s="150">
        <v>292525</v>
      </c>
      <c r="P603" s="150">
        <v>11160</v>
      </c>
      <c r="Q603" s="154">
        <v>0.646</v>
      </c>
      <c r="R603" s="154">
        <v>0.354</v>
      </c>
      <c r="S603" s="148"/>
      <c r="T603" s="148"/>
      <c r="U603" s="154">
        <v>0.06</v>
      </c>
      <c r="V603" s="154">
        <v>0.271</v>
      </c>
      <c r="W603" s="154">
        <v>0.307</v>
      </c>
      <c r="X603" s="154">
        <v>0.226</v>
      </c>
      <c r="Y603" s="154">
        <v>0.102</v>
      </c>
      <c r="Z603" s="154">
        <v>0.034</v>
      </c>
      <c r="AA603" s="148" t="s">
        <v>45</v>
      </c>
    </row>
    <row r="604" spans="1:27">
      <c r="A604" s="147">
        <v>1755</v>
      </c>
      <c r="B604" s="147" t="s">
        <v>60</v>
      </c>
      <c r="C604" s="147" t="s">
        <v>46</v>
      </c>
      <c r="D604" s="148" t="s">
        <v>50</v>
      </c>
      <c r="E604" s="148" t="s">
        <v>30</v>
      </c>
      <c r="F604" s="149">
        <v>2026</v>
      </c>
      <c r="G604" s="148" t="s">
        <v>34</v>
      </c>
      <c r="H604" s="149">
        <v>71</v>
      </c>
      <c r="I604" s="150">
        <v>20398</v>
      </c>
      <c r="J604" s="149">
        <v>260</v>
      </c>
      <c r="K604" s="150">
        <v>301833</v>
      </c>
      <c r="L604" s="152"/>
      <c r="M604" s="152">
        <f t="shared" si="9"/>
        <v>0</v>
      </c>
      <c r="N604" s="148"/>
      <c r="O604" s="150">
        <v>206846</v>
      </c>
      <c r="P604" s="150">
        <v>6024</v>
      </c>
      <c r="Q604" s="154">
        <v>0.646</v>
      </c>
      <c r="R604" s="154">
        <v>0.354</v>
      </c>
      <c r="S604" s="148"/>
      <c r="T604" s="148"/>
      <c r="U604" s="154">
        <v>0.059</v>
      </c>
      <c r="V604" s="154">
        <v>0.269</v>
      </c>
      <c r="W604" s="154">
        <v>0.306</v>
      </c>
      <c r="X604" s="154">
        <v>0.228</v>
      </c>
      <c r="Y604" s="154">
        <v>0.104</v>
      </c>
      <c r="Z604" s="154">
        <v>0.034</v>
      </c>
      <c r="AA604" s="148" t="s">
        <v>45</v>
      </c>
    </row>
    <row r="605" spans="1:27">
      <c r="A605" s="147">
        <v>1756</v>
      </c>
      <c r="B605" s="147" t="s">
        <v>60</v>
      </c>
      <c r="C605" s="147" t="s">
        <v>46</v>
      </c>
      <c r="D605" s="148" t="s">
        <v>50</v>
      </c>
      <c r="E605" s="148" t="s">
        <v>30</v>
      </c>
      <c r="F605" s="149">
        <v>2026</v>
      </c>
      <c r="G605" s="148" t="s">
        <v>35</v>
      </c>
      <c r="H605" s="149">
        <v>12</v>
      </c>
      <c r="I605" s="150">
        <v>20386</v>
      </c>
      <c r="J605" s="149">
        <v>117</v>
      </c>
      <c r="K605" s="150">
        <v>15400</v>
      </c>
      <c r="L605" s="152"/>
      <c r="M605" s="152">
        <f t="shared" si="9"/>
        <v>0</v>
      </c>
      <c r="N605" s="148"/>
      <c r="O605" s="150">
        <v>9722</v>
      </c>
      <c r="P605" s="149">
        <v>274</v>
      </c>
      <c r="Q605" s="154">
        <v>0.646</v>
      </c>
      <c r="R605" s="154">
        <v>0.354</v>
      </c>
      <c r="S605" s="148"/>
      <c r="T605" s="148"/>
      <c r="U605" s="154">
        <v>0.056</v>
      </c>
      <c r="V605" s="154">
        <v>0.269</v>
      </c>
      <c r="W605" s="154">
        <v>0.307</v>
      </c>
      <c r="X605" s="154">
        <v>0.229</v>
      </c>
      <c r="Y605" s="154">
        <v>0.105</v>
      </c>
      <c r="Z605" s="154">
        <v>0.034</v>
      </c>
      <c r="AA605" s="148" t="s">
        <v>45</v>
      </c>
    </row>
    <row r="606" spans="1:27">
      <c r="A606" s="147">
        <v>1757</v>
      </c>
      <c r="B606" s="147" t="s">
        <v>60</v>
      </c>
      <c r="C606" s="147" t="s">
        <v>46</v>
      </c>
      <c r="D606" s="148" t="s">
        <v>50</v>
      </c>
      <c r="E606" s="148" t="s">
        <v>30</v>
      </c>
      <c r="F606" s="149">
        <v>2026</v>
      </c>
      <c r="G606" s="148" t="s">
        <v>36</v>
      </c>
      <c r="H606" s="149">
        <v>17</v>
      </c>
      <c r="I606" s="150">
        <v>20151</v>
      </c>
      <c r="J606" s="149">
        <v>118</v>
      </c>
      <c r="K606" s="150">
        <v>15377</v>
      </c>
      <c r="L606" s="152"/>
      <c r="M606" s="152">
        <f t="shared" si="9"/>
        <v>0</v>
      </c>
      <c r="N606" s="148"/>
      <c r="O606" s="150">
        <v>6723</v>
      </c>
      <c r="P606" s="149">
        <v>313</v>
      </c>
      <c r="Q606" s="154">
        <v>0.646</v>
      </c>
      <c r="R606" s="154">
        <v>0.354</v>
      </c>
      <c r="S606" s="148"/>
      <c r="T606" s="148"/>
      <c r="U606" s="154">
        <v>0.056</v>
      </c>
      <c r="V606" s="154">
        <v>0.267</v>
      </c>
      <c r="W606" s="154">
        <v>0.307</v>
      </c>
      <c r="X606" s="154">
        <v>0.23</v>
      </c>
      <c r="Y606" s="154">
        <v>0.106</v>
      </c>
      <c r="Z606" s="154">
        <v>0.034</v>
      </c>
      <c r="AA606" s="148" t="s">
        <v>45</v>
      </c>
    </row>
    <row r="607" spans="1:27">
      <c r="A607" s="147">
        <v>1758</v>
      </c>
      <c r="B607" s="147" t="s">
        <v>60</v>
      </c>
      <c r="C607" s="147" t="s">
        <v>46</v>
      </c>
      <c r="D607" s="148" t="s">
        <v>50</v>
      </c>
      <c r="E607" s="148" t="s">
        <v>30</v>
      </c>
      <c r="F607" s="149">
        <v>2026</v>
      </c>
      <c r="G607" s="148" t="s">
        <v>37</v>
      </c>
      <c r="H607" s="149">
        <v>13</v>
      </c>
      <c r="I607" s="150">
        <v>20125</v>
      </c>
      <c r="J607" s="149">
        <v>117</v>
      </c>
      <c r="K607" s="150">
        <v>38278</v>
      </c>
      <c r="L607" s="152"/>
      <c r="M607" s="152">
        <f t="shared" si="9"/>
        <v>0</v>
      </c>
      <c r="N607" s="148"/>
      <c r="O607" s="150">
        <v>19706</v>
      </c>
      <c r="P607" s="149">
        <v>407</v>
      </c>
      <c r="Q607" s="154">
        <v>0.648</v>
      </c>
      <c r="R607" s="154">
        <v>0.352</v>
      </c>
      <c r="S607" s="148"/>
      <c r="T607" s="148"/>
      <c r="U607" s="154">
        <v>0.056</v>
      </c>
      <c r="V607" s="154">
        <v>0.266</v>
      </c>
      <c r="W607" s="154">
        <v>0.307</v>
      </c>
      <c r="X607" s="154">
        <v>0.23</v>
      </c>
      <c r="Y607" s="154">
        <v>0.106</v>
      </c>
      <c r="Z607" s="154">
        <v>0.035</v>
      </c>
      <c r="AA607" s="148" t="s">
        <v>45</v>
      </c>
    </row>
    <row r="608" spans="1:27">
      <c r="A608" s="147">
        <v>1759</v>
      </c>
      <c r="B608" s="147" t="s">
        <v>60</v>
      </c>
      <c r="C608" s="147" t="s">
        <v>46</v>
      </c>
      <c r="D608" s="148" t="s">
        <v>50</v>
      </c>
      <c r="E608" s="148" t="s">
        <v>30</v>
      </c>
      <c r="F608" s="149">
        <v>2026</v>
      </c>
      <c r="G608" s="148" t="s">
        <v>38</v>
      </c>
      <c r="H608" s="149">
        <v>10</v>
      </c>
      <c r="I608" s="150">
        <v>20126</v>
      </c>
      <c r="J608" s="149">
        <v>114</v>
      </c>
      <c r="K608" s="150">
        <v>19810</v>
      </c>
      <c r="L608" s="152"/>
      <c r="M608" s="152">
        <f t="shared" si="9"/>
        <v>0</v>
      </c>
      <c r="N608" s="148"/>
      <c r="O608" s="150">
        <v>9585</v>
      </c>
      <c r="P608" s="149">
        <v>282</v>
      </c>
      <c r="Q608" s="154">
        <v>0.647</v>
      </c>
      <c r="R608" s="154">
        <v>0.353</v>
      </c>
      <c r="S608" s="148"/>
      <c r="T608" s="148"/>
      <c r="U608" s="154">
        <v>0.055</v>
      </c>
      <c r="V608" s="154">
        <v>0.175</v>
      </c>
      <c r="W608" s="154">
        <v>0.306</v>
      </c>
      <c r="X608" s="154">
        <v>0.23</v>
      </c>
      <c r="Y608" s="154">
        <v>0.108</v>
      </c>
      <c r="Z608" s="154">
        <v>0.036</v>
      </c>
      <c r="AA608" s="148" t="s">
        <v>45</v>
      </c>
    </row>
    <row r="609" spans="1:27">
      <c r="A609" s="147">
        <v>1760</v>
      </c>
      <c r="B609" s="147" t="s">
        <v>60</v>
      </c>
      <c r="C609" s="147" t="s">
        <v>46</v>
      </c>
      <c r="D609" s="148" t="s">
        <v>50</v>
      </c>
      <c r="E609" s="148" t="s">
        <v>30</v>
      </c>
      <c r="F609" s="149">
        <v>2026</v>
      </c>
      <c r="G609" s="148" t="s">
        <v>39</v>
      </c>
      <c r="H609" s="148"/>
      <c r="I609" s="148"/>
      <c r="J609" s="148"/>
      <c r="K609" s="148"/>
      <c r="L609" s="152"/>
      <c r="M609" s="152">
        <f t="shared" si="9"/>
        <v>0</v>
      </c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</row>
    <row r="610" spans="1:27">
      <c r="A610" s="147">
        <v>1761</v>
      </c>
      <c r="B610" s="147" t="s">
        <v>60</v>
      </c>
      <c r="C610" s="147" t="s">
        <v>46</v>
      </c>
      <c r="D610" s="148" t="s">
        <v>50</v>
      </c>
      <c r="E610" s="148" t="s">
        <v>30</v>
      </c>
      <c r="F610" s="149">
        <v>2026</v>
      </c>
      <c r="G610" s="148" t="s">
        <v>40</v>
      </c>
      <c r="H610" s="148"/>
      <c r="I610" s="148"/>
      <c r="J610" s="148"/>
      <c r="K610" s="148"/>
      <c r="L610" s="152"/>
      <c r="M610" s="152">
        <f t="shared" si="9"/>
        <v>0</v>
      </c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</row>
    <row r="611" spans="1:27">
      <c r="A611" s="147">
        <v>1762</v>
      </c>
      <c r="B611" s="147" t="s">
        <v>60</v>
      </c>
      <c r="C611" s="147" t="s">
        <v>46</v>
      </c>
      <c r="D611" s="148" t="s">
        <v>50</v>
      </c>
      <c r="E611" s="148" t="s">
        <v>30</v>
      </c>
      <c r="F611" s="149">
        <v>2026</v>
      </c>
      <c r="G611" s="148" t="s">
        <v>41</v>
      </c>
      <c r="H611" s="148"/>
      <c r="I611" s="148"/>
      <c r="J611" s="148"/>
      <c r="K611" s="148"/>
      <c r="L611" s="152"/>
      <c r="M611" s="152">
        <f t="shared" si="9"/>
        <v>0</v>
      </c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</row>
    <row r="612" spans="1:27">
      <c r="A612" s="147">
        <v>1763</v>
      </c>
      <c r="B612" s="147" t="s">
        <v>60</v>
      </c>
      <c r="C612" s="147" t="s">
        <v>46</v>
      </c>
      <c r="D612" s="148" t="s">
        <v>50</v>
      </c>
      <c r="E612" s="148" t="s">
        <v>30</v>
      </c>
      <c r="F612" s="149">
        <v>2026</v>
      </c>
      <c r="G612" s="148" t="s">
        <v>42</v>
      </c>
      <c r="H612" s="148"/>
      <c r="I612" s="148"/>
      <c r="J612" s="148"/>
      <c r="K612" s="148"/>
      <c r="L612" s="152"/>
      <c r="M612" s="152">
        <f t="shared" si="9"/>
        <v>0</v>
      </c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</row>
    <row r="613" spans="1:27">
      <c r="A613" s="147">
        <v>1764</v>
      </c>
      <c r="B613" s="147" t="s">
        <v>60</v>
      </c>
      <c r="C613" s="147" t="s">
        <v>46</v>
      </c>
      <c r="D613" s="148" t="s">
        <v>50</v>
      </c>
      <c r="E613" s="148" t="s">
        <v>30</v>
      </c>
      <c r="F613" s="149">
        <v>2026</v>
      </c>
      <c r="G613" s="148" t="s">
        <v>43</v>
      </c>
      <c r="H613" s="148"/>
      <c r="I613" s="148"/>
      <c r="J613" s="148"/>
      <c r="K613" s="148"/>
      <c r="L613" s="152"/>
      <c r="M613" s="152">
        <f t="shared" si="9"/>
        <v>0</v>
      </c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</row>
    <row r="614" spans="1:27">
      <c r="A614" s="147">
        <v>1777</v>
      </c>
      <c r="B614" s="147" t="s">
        <v>60</v>
      </c>
      <c r="C614" s="147" t="s">
        <v>46</v>
      </c>
      <c r="D614" s="148" t="s">
        <v>51</v>
      </c>
      <c r="E614" s="148" t="s">
        <v>30</v>
      </c>
      <c r="F614" s="149">
        <v>2024</v>
      </c>
      <c r="G614" s="148" t="s">
        <v>31</v>
      </c>
      <c r="H614" s="150">
        <v>1270</v>
      </c>
      <c r="I614" s="148" t="s">
        <v>44</v>
      </c>
      <c r="J614" s="148" t="s">
        <v>61</v>
      </c>
      <c r="K614" s="148" t="s">
        <v>61</v>
      </c>
      <c r="L614" s="152"/>
      <c r="M614" s="152">
        <f t="shared" si="9"/>
        <v>0</v>
      </c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</row>
    <row r="615" spans="1:27">
      <c r="A615" s="147">
        <v>1778</v>
      </c>
      <c r="B615" s="147" t="s">
        <v>60</v>
      </c>
      <c r="C615" s="147" t="s">
        <v>46</v>
      </c>
      <c r="D615" s="148" t="s">
        <v>51</v>
      </c>
      <c r="E615" s="148" t="s">
        <v>30</v>
      </c>
      <c r="F615" s="149">
        <v>2024</v>
      </c>
      <c r="G615" s="148" t="s">
        <v>33</v>
      </c>
      <c r="H615" s="150">
        <v>1173</v>
      </c>
      <c r="I615" s="148" t="s">
        <v>44</v>
      </c>
      <c r="J615" s="148" t="s">
        <v>61</v>
      </c>
      <c r="K615" s="148" t="s">
        <v>61</v>
      </c>
      <c r="L615" s="152"/>
      <c r="M615" s="152">
        <f t="shared" si="9"/>
        <v>0</v>
      </c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</row>
    <row r="616" spans="1:27">
      <c r="A616" s="147">
        <v>1779</v>
      </c>
      <c r="B616" s="147" t="s">
        <v>60</v>
      </c>
      <c r="C616" s="147" t="s">
        <v>46</v>
      </c>
      <c r="D616" s="148" t="s">
        <v>51</v>
      </c>
      <c r="E616" s="148" t="s">
        <v>30</v>
      </c>
      <c r="F616" s="149">
        <v>2024</v>
      </c>
      <c r="G616" s="148" t="s">
        <v>34</v>
      </c>
      <c r="H616" s="150">
        <v>1192</v>
      </c>
      <c r="I616" s="148" t="s">
        <v>44</v>
      </c>
      <c r="J616" s="148" t="s">
        <v>61</v>
      </c>
      <c r="K616" s="148" t="s">
        <v>61</v>
      </c>
      <c r="L616" s="152"/>
      <c r="M616" s="152">
        <f t="shared" si="9"/>
        <v>0</v>
      </c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</row>
    <row r="617" spans="1:27">
      <c r="A617" s="147">
        <v>1780</v>
      </c>
      <c r="B617" s="147" t="s">
        <v>60</v>
      </c>
      <c r="C617" s="147" t="s">
        <v>46</v>
      </c>
      <c r="D617" s="148" t="s">
        <v>51</v>
      </c>
      <c r="E617" s="148" t="s">
        <v>30</v>
      </c>
      <c r="F617" s="149">
        <v>2024</v>
      </c>
      <c r="G617" s="148" t="s">
        <v>35</v>
      </c>
      <c r="H617" s="150">
        <v>1063</v>
      </c>
      <c r="I617" s="148" t="s">
        <v>44</v>
      </c>
      <c r="J617" s="148" t="s">
        <v>61</v>
      </c>
      <c r="K617" s="148" t="s">
        <v>61</v>
      </c>
      <c r="L617" s="152"/>
      <c r="M617" s="152">
        <f t="shared" si="9"/>
        <v>0</v>
      </c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</row>
    <row r="618" spans="1:27">
      <c r="A618" s="147">
        <v>1781</v>
      </c>
      <c r="B618" s="147" t="s">
        <v>60</v>
      </c>
      <c r="C618" s="147" t="s">
        <v>46</v>
      </c>
      <c r="D618" s="148" t="s">
        <v>51</v>
      </c>
      <c r="E618" s="148" t="s">
        <v>30</v>
      </c>
      <c r="F618" s="149">
        <v>2024</v>
      </c>
      <c r="G618" s="148" t="s">
        <v>36</v>
      </c>
      <c r="H618" s="150">
        <v>1378</v>
      </c>
      <c r="I618" s="148" t="s">
        <v>44</v>
      </c>
      <c r="J618" s="148" t="s">
        <v>61</v>
      </c>
      <c r="K618" s="148" t="s">
        <v>61</v>
      </c>
      <c r="L618" s="152"/>
      <c r="M618" s="152">
        <f t="shared" si="9"/>
        <v>0</v>
      </c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</row>
    <row r="619" spans="1:27">
      <c r="A619" s="147">
        <v>1782</v>
      </c>
      <c r="B619" s="147" t="s">
        <v>60</v>
      </c>
      <c r="C619" s="147" t="s">
        <v>46</v>
      </c>
      <c r="D619" s="148" t="s">
        <v>51</v>
      </c>
      <c r="E619" s="148" t="s">
        <v>30</v>
      </c>
      <c r="F619" s="149">
        <v>2024</v>
      </c>
      <c r="G619" s="148" t="s">
        <v>37</v>
      </c>
      <c r="H619" s="150">
        <v>1234</v>
      </c>
      <c r="I619" s="148" t="s">
        <v>44</v>
      </c>
      <c r="J619" s="148" t="s">
        <v>61</v>
      </c>
      <c r="K619" s="148" t="s">
        <v>61</v>
      </c>
      <c r="L619" s="152"/>
      <c r="M619" s="152">
        <f t="shared" si="9"/>
        <v>0</v>
      </c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</row>
    <row r="620" spans="1:27">
      <c r="A620" s="147">
        <v>1783</v>
      </c>
      <c r="B620" s="147" t="s">
        <v>60</v>
      </c>
      <c r="C620" s="147" t="s">
        <v>46</v>
      </c>
      <c r="D620" s="148" t="s">
        <v>51</v>
      </c>
      <c r="E620" s="148" t="s">
        <v>30</v>
      </c>
      <c r="F620" s="149">
        <v>2024</v>
      </c>
      <c r="G620" s="148" t="s">
        <v>38</v>
      </c>
      <c r="H620" s="150">
        <v>1277</v>
      </c>
      <c r="I620" s="148" t="s">
        <v>44</v>
      </c>
      <c r="J620" s="148" t="s">
        <v>61</v>
      </c>
      <c r="K620" s="148" t="s">
        <v>61</v>
      </c>
      <c r="L620" s="152"/>
      <c r="M620" s="152">
        <f t="shared" si="9"/>
        <v>0</v>
      </c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</row>
    <row r="621" spans="1:27">
      <c r="A621" s="147">
        <v>1784</v>
      </c>
      <c r="B621" s="147" t="s">
        <v>60</v>
      </c>
      <c r="C621" s="147" t="s">
        <v>46</v>
      </c>
      <c r="D621" s="148" t="s">
        <v>51</v>
      </c>
      <c r="E621" s="148" t="s">
        <v>30</v>
      </c>
      <c r="F621" s="149">
        <v>2024</v>
      </c>
      <c r="G621" s="148" t="s">
        <v>39</v>
      </c>
      <c r="H621" s="150">
        <v>1265</v>
      </c>
      <c r="I621" s="148" t="s">
        <v>44</v>
      </c>
      <c r="J621" s="148" t="s">
        <v>61</v>
      </c>
      <c r="K621" s="148" t="s">
        <v>61</v>
      </c>
      <c r="L621" s="152"/>
      <c r="M621" s="152">
        <f t="shared" si="9"/>
        <v>0</v>
      </c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</row>
    <row r="622" spans="1:27">
      <c r="A622" s="147">
        <v>1785</v>
      </c>
      <c r="B622" s="147" t="s">
        <v>60</v>
      </c>
      <c r="C622" s="147" t="s">
        <v>46</v>
      </c>
      <c r="D622" s="148" t="s">
        <v>51</v>
      </c>
      <c r="E622" s="148" t="s">
        <v>30</v>
      </c>
      <c r="F622" s="149">
        <v>2024</v>
      </c>
      <c r="G622" s="148" t="s">
        <v>40</v>
      </c>
      <c r="H622" s="150">
        <v>1127</v>
      </c>
      <c r="I622" s="150">
        <v>916968</v>
      </c>
      <c r="J622" s="148" t="s">
        <v>61</v>
      </c>
      <c r="K622" s="148" t="s">
        <v>61</v>
      </c>
      <c r="L622" s="152"/>
      <c r="M622" s="152">
        <f t="shared" si="9"/>
        <v>0</v>
      </c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</row>
    <row r="623" spans="1:27">
      <c r="A623" s="147">
        <v>1786</v>
      </c>
      <c r="B623" s="147" t="s">
        <v>60</v>
      </c>
      <c r="C623" s="147" t="s">
        <v>46</v>
      </c>
      <c r="D623" s="148" t="s">
        <v>51</v>
      </c>
      <c r="E623" s="148" t="s">
        <v>30</v>
      </c>
      <c r="F623" s="149">
        <v>2024</v>
      </c>
      <c r="G623" s="148" t="s">
        <v>41</v>
      </c>
      <c r="H623" s="150">
        <v>1303</v>
      </c>
      <c r="I623" s="150">
        <v>928144</v>
      </c>
      <c r="J623" s="150">
        <v>11176</v>
      </c>
      <c r="K623" s="148" t="s">
        <v>61</v>
      </c>
      <c r="L623" s="152"/>
      <c r="M623" s="152">
        <f t="shared" si="9"/>
        <v>0</v>
      </c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</row>
    <row r="624" spans="1:27">
      <c r="A624" s="147">
        <v>1787</v>
      </c>
      <c r="B624" s="147" t="s">
        <v>60</v>
      </c>
      <c r="C624" s="147" t="s">
        <v>46</v>
      </c>
      <c r="D624" s="148" t="s">
        <v>51</v>
      </c>
      <c r="E624" s="148" t="s">
        <v>30</v>
      </c>
      <c r="F624" s="149">
        <v>2024</v>
      </c>
      <c r="G624" s="148" t="s">
        <v>42</v>
      </c>
      <c r="H624" s="150">
        <v>1050</v>
      </c>
      <c r="I624" s="150">
        <v>939860</v>
      </c>
      <c r="J624" s="150">
        <v>11716</v>
      </c>
      <c r="K624" s="148" t="s">
        <v>61</v>
      </c>
      <c r="L624" s="152"/>
      <c r="M624" s="152">
        <f t="shared" si="9"/>
        <v>0</v>
      </c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</row>
    <row r="625" spans="1:27">
      <c r="A625" s="147">
        <v>1788</v>
      </c>
      <c r="B625" s="147" t="s">
        <v>60</v>
      </c>
      <c r="C625" s="147" t="s">
        <v>46</v>
      </c>
      <c r="D625" s="148" t="s">
        <v>51</v>
      </c>
      <c r="E625" s="148" t="s">
        <v>30</v>
      </c>
      <c r="F625" s="149">
        <v>2024</v>
      </c>
      <c r="G625" s="148" t="s">
        <v>43</v>
      </c>
      <c r="H625" s="149">
        <v>899</v>
      </c>
      <c r="I625" s="150">
        <v>952510</v>
      </c>
      <c r="J625" s="150">
        <v>12650</v>
      </c>
      <c r="K625" s="150">
        <v>4643200</v>
      </c>
      <c r="L625" s="152"/>
      <c r="M625" s="152">
        <f t="shared" si="9"/>
        <v>0</v>
      </c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</row>
    <row r="626" spans="1:27">
      <c r="A626" s="147">
        <v>1789</v>
      </c>
      <c r="B626" s="147" t="s">
        <v>60</v>
      </c>
      <c r="C626" s="147" t="s">
        <v>46</v>
      </c>
      <c r="D626" s="148" t="s">
        <v>51</v>
      </c>
      <c r="E626" s="148" t="s">
        <v>30</v>
      </c>
      <c r="F626" s="149">
        <v>2025</v>
      </c>
      <c r="G626" s="148" t="s">
        <v>31</v>
      </c>
      <c r="H626" s="150">
        <v>1012</v>
      </c>
      <c r="I626" s="150">
        <v>973874</v>
      </c>
      <c r="J626" s="150">
        <v>21364</v>
      </c>
      <c r="K626" s="150">
        <v>54707533</v>
      </c>
      <c r="L626" s="152"/>
      <c r="M626" s="152">
        <f t="shared" si="9"/>
        <v>0</v>
      </c>
      <c r="N626" s="148"/>
      <c r="O626" s="150">
        <v>12164687</v>
      </c>
      <c r="P626" s="148" t="s">
        <v>48</v>
      </c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</row>
    <row r="627" spans="1:27">
      <c r="A627" s="147">
        <v>1790</v>
      </c>
      <c r="B627" s="147" t="s">
        <v>60</v>
      </c>
      <c r="C627" s="147" t="s">
        <v>46</v>
      </c>
      <c r="D627" s="148" t="s">
        <v>51</v>
      </c>
      <c r="E627" s="148" t="s">
        <v>30</v>
      </c>
      <c r="F627" s="149">
        <v>2025</v>
      </c>
      <c r="G627" s="148" t="s">
        <v>33</v>
      </c>
      <c r="H627" s="150">
        <v>1043</v>
      </c>
      <c r="I627" s="150">
        <v>996913</v>
      </c>
      <c r="J627" s="150">
        <v>23039</v>
      </c>
      <c r="K627" s="150">
        <v>52763230</v>
      </c>
      <c r="L627" s="152"/>
      <c r="M627" s="152">
        <f t="shared" si="9"/>
        <v>0</v>
      </c>
      <c r="N627" s="148"/>
      <c r="O627" s="150">
        <v>9472843</v>
      </c>
      <c r="P627" s="148" t="s">
        <v>48</v>
      </c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</row>
    <row r="628" spans="1:27">
      <c r="A628" s="147">
        <v>1791</v>
      </c>
      <c r="B628" s="147" t="s">
        <v>60</v>
      </c>
      <c r="C628" s="147" t="s">
        <v>46</v>
      </c>
      <c r="D628" s="148" t="s">
        <v>51</v>
      </c>
      <c r="E628" s="148" t="s">
        <v>30</v>
      </c>
      <c r="F628" s="149">
        <v>2025</v>
      </c>
      <c r="G628" s="148" t="s">
        <v>34</v>
      </c>
      <c r="H628" s="149">
        <v>990</v>
      </c>
      <c r="I628" s="150">
        <v>1010698</v>
      </c>
      <c r="J628" s="150">
        <v>13785</v>
      </c>
      <c r="K628" s="150">
        <v>43299045</v>
      </c>
      <c r="L628" s="152"/>
      <c r="M628" s="152">
        <f t="shared" si="9"/>
        <v>0</v>
      </c>
      <c r="N628" s="148"/>
      <c r="O628" s="150">
        <v>7677476</v>
      </c>
      <c r="P628" s="148" t="s">
        <v>48</v>
      </c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</row>
    <row r="629" spans="1:27">
      <c r="A629" s="147">
        <v>1792</v>
      </c>
      <c r="B629" s="147" t="s">
        <v>60</v>
      </c>
      <c r="C629" s="147" t="s">
        <v>46</v>
      </c>
      <c r="D629" s="148" t="s">
        <v>51</v>
      </c>
      <c r="E629" s="148" t="s">
        <v>30</v>
      </c>
      <c r="F629" s="149">
        <v>2025</v>
      </c>
      <c r="G629" s="148" t="s">
        <v>35</v>
      </c>
      <c r="H629" s="149">
        <v>824</v>
      </c>
      <c r="I629" s="150">
        <v>1045284</v>
      </c>
      <c r="J629" s="150">
        <v>34586</v>
      </c>
      <c r="K629" s="150">
        <v>52358037</v>
      </c>
      <c r="L629" s="152"/>
      <c r="M629" s="152">
        <f t="shared" si="9"/>
        <v>0</v>
      </c>
      <c r="N629" s="148"/>
      <c r="O629" s="150">
        <v>12849566</v>
      </c>
      <c r="P629" s="148" t="s">
        <v>48</v>
      </c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</row>
    <row r="630" spans="1:27">
      <c r="A630" s="147">
        <v>1793</v>
      </c>
      <c r="B630" s="147" t="s">
        <v>60</v>
      </c>
      <c r="C630" s="147" t="s">
        <v>46</v>
      </c>
      <c r="D630" s="148" t="s">
        <v>51</v>
      </c>
      <c r="E630" s="148" t="s">
        <v>30</v>
      </c>
      <c r="F630" s="149">
        <v>2025</v>
      </c>
      <c r="G630" s="148" t="s">
        <v>36</v>
      </c>
      <c r="H630" s="149">
        <v>963</v>
      </c>
      <c r="I630" s="150">
        <v>1072242</v>
      </c>
      <c r="J630" s="150">
        <v>26958</v>
      </c>
      <c r="K630" s="150">
        <v>68826976</v>
      </c>
      <c r="L630" s="152"/>
      <c r="M630" s="152">
        <f t="shared" si="9"/>
        <v>0</v>
      </c>
      <c r="N630" s="148"/>
      <c r="O630" s="150">
        <v>14507571</v>
      </c>
      <c r="P630" s="148" t="s">
        <v>48</v>
      </c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</row>
    <row r="631" spans="1:27">
      <c r="A631" s="147">
        <v>1794</v>
      </c>
      <c r="B631" s="147" t="s">
        <v>60</v>
      </c>
      <c r="C631" s="147" t="s">
        <v>46</v>
      </c>
      <c r="D631" s="148" t="s">
        <v>51</v>
      </c>
      <c r="E631" s="148" t="s">
        <v>30</v>
      </c>
      <c r="F631" s="149">
        <v>2025</v>
      </c>
      <c r="G631" s="148" t="s">
        <v>37</v>
      </c>
      <c r="H631" s="149">
        <v>719</v>
      </c>
      <c r="I631" s="150">
        <v>1106712</v>
      </c>
      <c r="J631" s="150">
        <v>34470</v>
      </c>
      <c r="K631" s="150">
        <v>78782443</v>
      </c>
      <c r="L631" s="152"/>
      <c r="M631" s="152">
        <f t="shared" si="9"/>
        <v>0</v>
      </c>
      <c r="N631" s="148"/>
      <c r="O631" s="150">
        <v>12897633</v>
      </c>
      <c r="P631" s="148" t="s">
        <v>48</v>
      </c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</row>
    <row r="632" spans="1:27">
      <c r="A632" s="147">
        <v>1795</v>
      </c>
      <c r="B632" s="147" t="s">
        <v>60</v>
      </c>
      <c r="C632" s="147" t="s">
        <v>46</v>
      </c>
      <c r="D632" s="148" t="s">
        <v>51</v>
      </c>
      <c r="E632" s="148" t="s">
        <v>30</v>
      </c>
      <c r="F632" s="149">
        <v>2025</v>
      </c>
      <c r="G632" s="148" t="s">
        <v>38</v>
      </c>
      <c r="H632" s="149">
        <v>663</v>
      </c>
      <c r="I632" s="150">
        <v>1129715</v>
      </c>
      <c r="J632" s="150">
        <v>33430</v>
      </c>
      <c r="K632" s="150">
        <v>87121057</v>
      </c>
      <c r="L632" s="152"/>
      <c r="M632" s="152">
        <f t="shared" si="9"/>
        <v>0</v>
      </c>
      <c r="N632" s="148"/>
      <c r="O632" s="150">
        <v>14009604</v>
      </c>
      <c r="P632" s="150">
        <v>3613992</v>
      </c>
      <c r="Q632" s="154">
        <v>0.643</v>
      </c>
      <c r="R632" s="154">
        <v>0.357</v>
      </c>
      <c r="S632" s="148"/>
      <c r="T632" s="148" t="s">
        <v>44</v>
      </c>
      <c r="U632" s="154">
        <v>0.093</v>
      </c>
      <c r="V632" s="154">
        <v>0.364</v>
      </c>
      <c r="W632" s="154">
        <v>0.323</v>
      </c>
      <c r="X632" s="154">
        <v>0.144</v>
      </c>
      <c r="Y632" s="154">
        <v>0.05</v>
      </c>
      <c r="Z632" s="154">
        <v>0.026</v>
      </c>
      <c r="AA632" s="148" t="s">
        <v>45</v>
      </c>
    </row>
    <row r="633" spans="1:27">
      <c r="A633" s="147">
        <v>1796</v>
      </c>
      <c r="B633" s="147" t="s">
        <v>60</v>
      </c>
      <c r="C633" s="147" t="s">
        <v>46</v>
      </c>
      <c r="D633" s="148" t="s">
        <v>51</v>
      </c>
      <c r="E633" s="148" t="s">
        <v>30</v>
      </c>
      <c r="F633" s="149">
        <v>2025</v>
      </c>
      <c r="G633" s="148" t="s">
        <v>39</v>
      </c>
      <c r="H633" s="149">
        <v>733</v>
      </c>
      <c r="I633" s="150">
        <v>1200561</v>
      </c>
      <c r="J633" s="150">
        <v>70658</v>
      </c>
      <c r="K633" s="150">
        <v>157767617</v>
      </c>
      <c r="L633" s="152"/>
      <c r="M633" s="152">
        <f t="shared" si="9"/>
        <v>0</v>
      </c>
      <c r="N633" s="148"/>
      <c r="O633" s="150">
        <v>22241054</v>
      </c>
      <c r="P633" s="150">
        <v>6775784</v>
      </c>
      <c r="Q633" s="154">
        <v>0.642</v>
      </c>
      <c r="R633" s="154">
        <v>0.359</v>
      </c>
      <c r="S633" s="148"/>
      <c r="T633" s="148"/>
      <c r="U633" s="154">
        <v>0.091</v>
      </c>
      <c r="V633" s="154">
        <v>0.365</v>
      </c>
      <c r="W633" s="154">
        <v>0.323</v>
      </c>
      <c r="X633" s="154">
        <v>0.146</v>
      </c>
      <c r="Y633" s="154">
        <v>0.05</v>
      </c>
      <c r="Z633" s="154">
        <v>0.025</v>
      </c>
      <c r="AA633" s="148" t="s">
        <v>45</v>
      </c>
    </row>
    <row r="634" spans="1:27">
      <c r="A634" s="147">
        <v>1797</v>
      </c>
      <c r="B634" s="147" t="s">
        <v>60</v>
      </c>
      <c r="C634" s="147" t="s">
        <v>46</v>
      </c>
      <c r="D634" s="148" t="s">
        <v>51</v>
      </c>
      <c r="E634" s="148" t="s">
        <v>30</v>
      </c>
      <c r="F634" s="149">
        <v>2025</v>
      </c>
      <c r="G634" s="148" t="s">
        <v>40</v>
      </c>
      <c r="H634" s="149">
        <v>694</v>
      </c>
      <c r="I634" s="150">
        <v>1247131</v>
      </c>
      <c r="J634" s="150">
        <v>55447</v>
      </c>
      <c r="K634" s="150">
        <v>153725344</v>
      </c>
      <c r="L634" s="152"/>
      <c r="M634" s="152">
        <f t="shared" si="9"/>
        <v>0</v>
      </c>
      <c r="N634" s="148"/>
      <c r="O634" s="150">
        <v>20095706</v>
      </c>
      <c r="P634" s="150">
        <v>4813103</v>
      </c>
      <c r="Q634" s="154">
        <v>0.64</v>
      </c>
      <c r="R634" s="154">
        <v>0.36</v>
      </c>
      <c r="S634" s="148"/>
      <c r="T634" s="148"/>
      <c r="U634" s="154">
        <v>0.089</v>
      </c>
      <c r="V634" s="154">
        <v>0.363</v>
      </c>
      <c r="W634" s="154">
        <v>0.324</v>
      </c>
      <c r="X634" s="154">
        <v>0.148</v>
      </c>
      <c r="Y634" s="154">
        <v>0.051</v>
      </c>
      <c r="Z634" s="154">
        <v>0.025</v>
      </c>
      <c r="AA634" s="148" t="s">
        <v>45</v>
      </c>
    </row>
    <row r="635" spans="1:27">
      <c r="A635" s="147">
        <v>1798</v>
      </c>
      <c r="B635" s="147" t="s">
        <v>60</v>
      </c>
      <c r="C635" s="147" t="s">
        <v>46</v>
      </c>
      <c r="D635" s="148" t="s">
        <v>51</v>
      </c>
      <c r="E635" s="148" t="s">
        <v>30</v>
      </c>
      <c r="F635" s="149">
        <v>2025</v>
      </c>
      <c r="G635" s="148" t="s">
        <v>41</v>
      </c>
      <c r="H635" s="149">
        <v>778</v>
      </c>
      <c r="I635" s="150">
        <v>1285858</v>
      </c>
      <c r="J635" s="150">
        <v>46804</v>
      </c>
      <c r="K635" s="150">
        <v>150946494</v>
      </c>
      <c r="L635" s="152"/>
      <c r="M635" s="152">
        <f t="shared" si="9"/>
        <v>0</v>
      </c>
      <c r="N635" s="148"/>
      <c r="O635" s="150">
        <v>18325785</v>
      </c>
      <c r="P635" s="150">
        <v>5950940</v>
      </c>
      <c r="Q635" s="154">
        <v>0.642</v>
      </c>
      <c r="R635" s="154">
        <v>0.358</v>
      </c>
      <c r="S635" s="148"/>
      <c r="T635" s="148"/>
      <c r="U635" s="154">
        <v>0.087</v>
      </c>
      <c r="V635" s="154">
        <v>0.36</v>
      </c>
      <c r="W635" s="154">
        <v>0.324</v>
      </c>
      <c r="X635" s="154">
        <v>0.15</v>
      </c>
      <c r="Y635" s="154">
        <v>0.053</v>
      </c>
      <c r="Z635" s="154">
        <v>0.026</v>
      </c>
      <c r="AA635" s="148" t="s">
        <v>45</v>
      </c>
    </row>
    <row r="636" spans="1:27">
      <c r="A636" s="147">
        <v>1799</v>
      </c>
      <c r="B636" s="147" t="s">
        <v>60</v>
      </c>
      <c r="C636" s="147" t="s">
        <v>46</v>
      </c>
      <c r="D636" s="148" t="s">
        <v>51</v>
      </c>
      <c r="E636" s="148" t="s">
        <v>30</v>
      </c>
      <c r="F636" s="149">
        <v>2025</v>
      </c>
      <c r="G636" s="148" t="s">
        <v>42</v>
      </c>
      <c r="H636" s="149">
        <v>701</v>
      </c>
      <c r="I636" s="150">
        <v>1316689</v>
      </c>
      <c r="J636" s="150">
        <v>37624</v>
      </c>
      <c r="K636" s="150">
        <v>130099097</v>
      </c>
      <c r="L636" s="152"/>
      <c r="M636" s="152">
        <f t="shared" si="9"/>
        <v>0</v>
      </c>
      <c r="N636" s="148"/>
      <c r="O636" s="150">
        <v>15348122</v>
      </c>
      <c r="P636" s="150">
        <v>4707783</v>
      </c>
      <c r="Q636" s="154">
        <v>0.643</v>
      </c>
      <c r="R636" s="154">
        <v>0.357</v>
      </c>
      <c r="S636" s="148"/>
      <c r="T636" s="148"/>
      <c r="U636" s="154">
        <v>0.085</v>
      </c>
      <c r="V636" s="154">
        <v>0.358</v>
      </c>
      <c r="W636" s="154">
        <v>0.325</v>
      </c>
      <c r="X636" s="154">
        <v>0.152</v>
      </c>
      <c r="Y636" s="154">
        <v>0.054</v>
      </c>
      <c r="Z636" s="154">
        <v>0.026</v>
      </c>
      <c r="AA636" s="148" t="s">
        <v>45</v>
      </c>
    </row>
    <row r="637" spans="1:27">
      <c r="A637" s="147">
        <v>1800</v>
      </c>
      <c r="B637" s="147" t="s">
        <v>60</v>
      </c>
      <c r="C637" s="147" t="s">
        <v>46</v>
      </c>
      <c r="D637" s="148" t="s">
        <v>51</v>
      </c>
      <c r="E637" s="148" t="s">
        <v>30</v>
      </c>
      <c r="F637" s="149">
        <v>2025</v>
      </c>
      <c r="G637" s="148" t="s">
        <v>43</v>
      </c>
      <c r="H637" s="149">
        <v>878</v>
      </c>
      <c r="I637" s="150">
        <v>1345371</v>
      </c>
      <c r="J637" s="150">
        <v>38562</v>
      </c>
      <c r="K637" s="150">
        <v>151278388</v>
      </c>
      <c r="L637" s="152"/>
      <c r="M637" s="152">
        <f t="shared" si="9"/>
        <v>0</v>
      </c>
      <c r="N637" s="148"/>
      <c r="O637" s="150">
        <v>27066702</v>
      </c>
      <c r="P637" s="150">
        <v>5494416</v>
      </c>
      <c r="Q637" s="154">
        <v>0.639</v>
      </c>
      <c r="R637" s="154">
        <v>0.361</v>
      </c>
      <c r="S637" s="148"/>
      <c r="T637" s="148"/>
      <c r="U637" s="154">
        <v>0.087</v>
      </c>
      <c r="V637" s="154">
        <v>0.345</v>
      </c>
      <c r="W637" s="154">
        <v>0.315</v>
      </c>
      <c r="X637" s="154">
        <v>0.162</v>
      </c>
      <c r="Y637" s="154">
        <v>0.06</v>
      </c>
      <c r="Z637" s="154">
        <v>0.031</v>
      </c>
      <c r="AA637" s="148" t="s">
        <v>45</v>
      </c>
    </row>
    <row r="638" spans="1:27">
      <c r="A638" s="147">
        <v>1801</v>
      </c>
      <c r="B638" s="147" t="s">
        <v>60</v>
      </c>
      <c r="C638" s="147" t="s">
        <v>46</v>
      </c>
      <c r="D638" s="148" t="s">
        <v>51</v>
      </c>
      <c r="E638" s="148" t="s">
        <v>30</v>
      </c>
      <c r="F638" s="149">
        <v>2026</v>
      </c>
      <c r="G638" s="148" t="s">
        <v>31</v>
      </c>
      <c r="H638" s="149">
        <v>717</v>
      </c>
      <c r="I638" s="150">
        <v>1365596</v>
      </c>
      <c r="J638" s="150">
        <v>28398</v>
      </c>
      <c r="K638" s="150">
        <v>117114178</v>
      </c>
      <c r="L638" s="152"/>
      <c r="M638" s="152">
        <f t="shared" si="9"/>
        <v>0</v>
      </c>
      <c r="N638" s="148"/>
      <c r="O638" s="150">
        <v>19502484</v>
      </c>
      <c r="P638" s="150">
        <v>3997754</v>
      </c>
      <c r="Q638" s="154">
        <v>0.695</v>
      </c>
      <c r="R638" s="154">
        <v>0.305</v>
      </c>
      <c r="S638" s="148"/>
      <c r="T638" s="148"/>
      <c r="U638" s="154">
        <v>0.063</v>
      </c>
      <c r="V638" s="154">
        <v>0.327</v>
      </c>
      <c r="W638" s="154">
        <v>0.348</v>
      </c>
      <c r="X638" s="154">
        <v>0.175</v>
      </c>
      <c r="Y638" s="154">
        <v>0.06</v>
      </c>
      <c r="Z638" s="154">
        <v>0.028</v>
      </c>
      <c r="AA638" s="148" t="s">
        <v>45</v>
      </c>
    </row>
    <row r="639" spans="1:27">
      <c r="A639" s="147">
        <v>1802</v>
      </c>
      <c r="B639" s="147" t="s">
        <v>60</v>
      </c>
      <c r="C639" s="147" t="s">
        <v>46</v>
      </c>
      <c r="D639" s="148" t="s">
        <v>51</v>
      </c>
      <c r="E639" s="148" t="s">
        <v>30</v>
      </c>
      <c r="F639" s="149">
        <v>2026</v>
      </c>
      <c r="G639" s="148" t="s">
        <v>33</v>
      </c>
      <c r="H639" s="149">
        <v>667</v>
      </c>
      <c r="I639" s="150">
        <v>1382245</v>
      </c>
      <c r="J639" s="150">
        <v>20766</v>
      </c>
      <c r="K639" s="150">
        <v>96667107</v>
      </c>
      <c r="L639" s="152"/>
      <c r="M639" s="152">
        <f t="shared" si="9"/>
        <v>0</v>
      </c>
      <c r="N639" s="148"/>
      <c r="O639" s="150">
        <v>18381524</v>
      </c>
      <c r="P639" s="150">
        <v>3480396</v>
      </c>
      <c r="Q639" s="154">
        <v>0.643</v>
      </c>
      <c r="R639" s="154">
        <v>0.357</v>
      </c>
      <c r="S639" s="148"/>
      <c r="T639" s="148"/>
      <c r="U639" s="154">
        <v>0.079</v>
      </c>
      <c r="V639" s="154">
        <v>0.353</v>
      </c>
      <c r="W639" s="154">
        <v>0.328</v>
      </c>
      <c r="X639" s="154">
        <v>0.157</v>
      </c>
      <c r="Y639" s="154">
        <v>0.056</v>
      </c>
      <c r="Z639" s="154">
        <v>0.027</v>
      </c>
      <c r="AA639" s="148" t="s">
        <v>45</v>
      </c>
    </row>
    <row r="640" spans="1:27">
      <c r="A640" s="147">
        <v>1803</v>
      </c>
      <c r="B640" s="147" t="s">
        <v>60</v>
      </c>
      <c r="C640" s="147" t="s">
        <v>46</v>
      </c>
      <c r="D640" s="148" t="s">
        <v>51</v>
      </c>
      <c r="E640" s="148" t="s">
        <v>30</v>
      </c>
      <c r="F640" s="149">
        <v>2026</v>
      </c>
      <c r="G640" s="148" t="s">
        <v>34</v>
      </c>
      <c r="H640" s="149">
        <v>717</v>
      </c>
      <c r="I640" s="150">
        <v>1407151</v>
      </c>
      <c r="J640" s="150">
        <v>32877</v>
      </c>
      <c r="K640" s="150">
        <v>128984554</v>
      </c>
      <c r="L640" s="152"/>
      <c r="M640" s="152">
        <f t="shared" si="9"/>
        <v>0</v>
      </c>
      <c r="N640" s="148"/>
      <c r="O640" s="150">
        <v>15893181</v>
      </c>
      <c r="P640" s="150">
        <v>4696604</v>
      </c>
      <c r="Q640" s="154">
        <v>0.644</v>
      </c>
      <c r="R640" s="154">
        <v>0.356</v>
      </c>
      <c r="S640" s="148"/>
      <c r="T640" s="148"/>
      <c r="U640" s="154">
        <v>0.078</v>
      </c>
      <c r="V640" s="154">
        <v>0.351</v>
      </c>
      <c r="W640" s="154">
        <v>0.329</v>
      </c>
      <c r="X640" s="154">
        <v>0.158</v>
      </c>
      <c r="Y640" s="154">
        <v>0.057</v>
      </c>
      <c r="Z640" s="154">
        <v>0.027</v>
      </c>
      <c r="AA640" s="148" t="s">
        <v>45</v>
      </c>
    </row>
    <row r="641" spans="1:27">
      <c r="A641" s="147">
        <v>1804</v>
      </c>
      <c r="B641" s="147" t="s">
        <v>60</v>
      </c>
      <c r="C641" s="147" t="s">
        <v>46</v>
      </c>
      <c r="D641" s="148" t="s">
        <v>51</v>
      </c>
      <c r="E641" s="148" t="s">
        <v>30</v>
      </c>
      <c r="F641" s="149">
        <v>2026</v>
      </c>
      <c r="G641" s="148" t="s">
        <v>35</v>
      </c>
      <c r="H641" s="149">
        <v>662</v>
      </c>
      <c r="I641" s="150">
        <v>1423563</v>
      </c>
      <c r="J641" s="150">
        <v>24595</v>
      </c>
      <c r="K641" s="150">
        <v>91136759</v>
      </c>
      <c r="L641" s="152"/>
      <c r="M641" s="152">
        <f t="shared" si="9"/>
        <v>0</v>
      </c>
      <c r="N641" s="148"/>
      <c r="O641" s="150">
        <v>13741927</v>
      </c>
      <c r="P641" s="150">
        <v>3624669</v>
      </c>
      <c r="Q641" s="154">
        <v>0.643</v>
      </c>
      <c r="R641" s="154">
        <v>0.357</v>
      </c>
      <c r="S641" s="148"/>
      <c r="T641" s="148"/>
      <c r="U641" s="154">
        <v>0.077</v>
      </c>
      <c r="V641" s="154">
        <v>0.349</v>
      </c>
      <c r="W641" s="154">
        <v>0.34</v>
      </c>
      <c r="X641" s="154">
        <v>0.159</v>
      </c>
      <c r="Y641" s="154">
        <v>0.058</v>
      </c>
      <c r="Z641" s="154">
        <v>0.027</v>
      </c>
      <c r="AA641" s="148" t="s">
        <v>45</v>
      </c>
    </row>
    <row r="642" spans="1:27">
      <c r="A642" s="147">
        <v>1805</v>
      </c>
      <c r="B642" s="147" t="s">
        <v>60</v>
      </c>
      <c r="C642" s="147" t="s">
        <v>46</v>
      </c>
      <c r="D642" s="148" t="s">
        <v>51</v>
      </c>
      <c r="E642" s="148" t="s">
        <v>30</v>
      </c>
      <c r="F642" s="149">
        <v>2026</v>
      </c>
      <c r="G642" s="148" t="s">
        <v>36</v>
      </c>
      <c r="H642" s="149">
        <v>594</v>
      </c>
      <c r="I642" s="150">
        <v>1429593</v>
      </c>
      <c r="J642" s="150">
        <v>29134</v>
      </c>
      <c r="K642" s="150">
        <v>118363994</v>
      </c>
      <c r="L642" s="152"/>
      <c r="M642" s="152">
        <f t="shared" ref="M642:M705" si="10">L642*17000</f>
        <v>0</v>
      </c>
      <c r="N642" s="148"/>
      <c r="O642" s="150">
        <v>20774989</v>
      </c>
      <c r="P642" s="150">
        <v>5610603</v>
      </c>
      <c r="Q642" s="154">
        <v>0.642</v>
      </c>
      <c r="R642" s="154">
        <v>0.358</v>
      </c>
      <c r="S642" s="148"/>
      <c r="T642" s="148"/>
      <c r="U642" s="154">
        <v>0.076</v>
      </c>
      <c r="V642" s="154">
        <v>0.348</v>
      </c>
      <c r="W642" s="154">
        <v>0.33</v>
      </c>
      <c r="X642" s="154">
        <v>0.161</v>
      </c>
      <c r="Y642" s="154">
        <v>0.058</v>
      </c>
      <c r="Z642" s="154">
        <v>0.027</v>
      </c>
      <c r="AA642" s="148" t="s">
        <v>45</v>
      </c>
    </row>
    <row r="643" spans="1:27">
      <c r="A643" s="147">
        <v>1806</v>
      </c>
      <c r="B643" s="147" t="s">
        <v>60</v>
      </c>
      <c r="C643" s="147" t="s">
        <v>46</v>
      </c>
      <c r="D643" s="148" t="s">
        <v>51</v>
      </c>
      <c r="E643" s="148" t="s">
        <v>30</v>
      </c>
      <c r="F643" s="149">
        <v>2026</v>
      </c>
      <c r="G643" s="148" t="s">
        <v>37</v>
      </c>
      <c r="H643" s="149">
        <v>597</v>
      </c>
      <c r="I643" s="150">
        <v>1449051</v>
      </c>
      <c r="J643" s="150">
        <v>30884</v>
      </c>
      <c r="K643" s="150">
        <v>131892198</v>
      </c>
      <c r="L643" s="152"/>
      <c r="M643" s="152">
        <f t="shared" si="10"/>
        <v>0</v>
      </c>
      <c r="N643" s="148"/>
      <c r="O643" s="150">
        <v>25865535</v>
      </c>
      <c r="P643" s="150">
        <v>5551592</v>
      </c>
      <c r="Q643" s="154">
        <v>0.642</v>
      </c>
      <c r="R643" s="154">
        <v>0.358</v>
      </c>
      <c r="S643" s="148"/>
      <c r="T643" s="148"/>
      <c r="U643" s="154">
        <v>0.076</v>
      </c>
      <c r="V643" s="154">
        <v>0.346</v>
      </c>
      <c r="W643" s="154">
        <v>0.33</v>
      </c>
      <c r="X643" s="154">
        <v>0.161</v>
      </c>
      <c r="Y643" s="154">
        <v>0.059</v>
      </c>
      <c r="Z643" s="154">
        <v>0.028</v>
      </c>
      <c r="AA643" s="148" t="s">
        <v>45</v>
      </c>
    </row>
    <row r="644" spans="1:27">
      <c r="A644" s="147">
        <v>1807</v>
      </c>
      <c r="B644" s="147" t="s">
        <v>60</v>
      </c>
      <c r="C644" s="147" t="s">
        <v>46</v>
      </c>
      <c r="D644" s="148" t="s">
        <v>51</v>
      </c>
      <c r="E644" s="148" t="s">
        <v>30</v>
      </c>
      <c r="F644" s="149">
        <v>2026</v>
      </c>
      <c r="G644" s="148" t="s">
        <v>38</v>
      </c>
      <c r="H644" s="149">
        <v>592</v>
      </c>
      <c r="I644" s="150">
        <v>1476130</v>
      </c>
      <c r="J644" s="150">
        <v>36869</v>
      </c>
      <c r="K644" s="150">
        <v>129215399</v>
      </c>
      <c r="L644" s="152"/>
      <c r="M644" s="152">
        <f t="shared" si="10"/>
        <v>0</v>
      </c>
      <c r="N644" s="148"/>
      <c r="O644" s="150">
        <v>26821494</v>
      </c>
      <c r="P644" s="150">
        <v>6054859</v>
      </c>
      <c r="Q644" s="154">
        <v>0.643</v>
      </c>
      <c r="R644" s="154">
        <v>0.357</v>
      </c>
      <c r="S644" s="148"/>
      <c r="T644" s="148"/>
      <c r="U644" s="154">
        <v>0.076</v>
      </c>
      <c r="V644" s="154">
        <v>0.342</v>
      </c>
      <c r="W644" s="154">
        <v>0.33</v>
      </c>
      <c r="X644" s="154">
        <v>0.164</v>
      </c>
      <c r="Y644" s="154">
        <v>0.06</v>
      </c>
      <c r="Z644" s="154">
        <v>0.028</v>
      </c>
      <c r="AA644" s="148" t="s">
        <v>45</v>
      </c>
    </row>
    <row r="645" spans="1:27">
      <c r="A645" s="147">
        <v>1808</v>
      </c>
      <c r="B645" s="147" t="s">
        <v>60</v>
      </c>
      <c r="C645" s="147" t="s">
        <v>46</v>
      </c>
      <c r="D645" s="148" t="s">
        <v>51</v>
      </c>
      <c r="E645" s="148" t="s">
        <v>30</v>
      </c>
      <c r="F645" s="149">
        <v>2026</v>
      </c>
      <c r="G645" s="148" t="s">
        <v>39</v>
      </c>
      <c r="H645" s="148"/>
      <c r="I645" s="148"/>
      <c r="J645" s="148"/>
      <c r="K645" s="148"/>
      <c r="L645" s="152"/>
      <c r="M645" s="152">
        <f t="shared" si="10"/>
        <v>0</v>
      </c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</row>
    <row r="646" spans="1:27">
      <c r="A646" s="147">
        <v>1809</v>
      </c>
      <c r="B646" s="147" t="s">
        <v>60</v>
      </c>
      <c r="C646" s="147" t="s">
        <v>46</v>
      </c>
      <c r="D646" s="148" t="s">
        <v>51</v>
      </c>
      <c r="E646" s="148" t="s">
        <v>30</v>
      </c>
      <c r="F646" s="149">
        <v>2026</v>
      </c>
      <c r="G646" s="148" t="s">
        <v>40</v>
      </c>
      <c r="H646" s="148"/>
      <c r="I646" s="148"/>
      <c r="J646" s="148"/>
      <c r="K646" s="148"/>
      <c r="L646" s="152"/>
      <c r="M646" s="152">
        <f t="shared" si="10"/>
        <v>0</v>
      </c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</row>
    <row r="647" spans="1:27">
      <c r="A647" s="147">
        <v>1810</v>
      </c>
      <c r="B647" s="147" t="s">
        <v>60</v>
      </c>
      <c r="C647" s="147" t="s">
        <v>46</v>
      </c>
      <c r="D647" s="148" t="s">
        <v>51</v>
      </c>
      <c r="E647" s="148" t="s">
        <v>30</v>
      </c>
      <c r="F647" s="149">
        <v>2026</v>
      </c>
      <c r="G647" s="148" t="s">
        <v>41</v>
      </c>
      <c r="H647" s="148"/>
      <c r="I647" s="148"/>
      <c r="J647" s="148"/>
      <c r="K647" s="148"/>
      <c r="L647" s="152"/>
      <c r="M647" s="152">
        <f t="shared" si="10"/>
        <v>0</v>
      </c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</row>
    <row r="648" spans="1:27">
      <c r="A648" s="147">
        <v>1811</v>
      </c>
      <c r="B648" s="147" t="s">
        <v>60</v>
      </c>
      <c r="C648" s="147" t="s">
        <v>46</v>
      </c>
      <c r="D648" s="148" t="s">
        <v>51</v>
      </c>
      <c r="E648" s="148" t="s">
        <v>30</v>
      </c>
      <c r="F648" s="149">
        <v>2026</v>
      </c>
      <c r="G648" s="148" t="s">
        <v>42</v>
      </c>
      <c r="H648" s="148"/>
      <c r="I648" s="148"/>
      <c r="J648" s="148"/>
      <c r="K648" s="148"/>
      <c r="L648" s="152"/>
      <c r="M648" s="152">
        <f t="shared" si="10"/>
        <v>0</v>
      </c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</row>
    <row r="649" spans="1:27">
      <c r="A649" s="147">
        <v>1812</v>
      </c>
      <c r="B649" s="147" t="s">
        <v>60</v>
      </c>
      <c r="C649" s="147" t="s">
        <v>46</v>
      </c>
      <c r="D649" s="148" t="s">
        <v>51</v>
      </c>
      <c r="E649" s="148" t="s">
        <v>30</v>
      </c>
      <c r="F649" s="149">
        <v>2026</v>
      </c>
      <c r="G649" s="148" t="s">
        <v>43</v>
      </c>
      <c r="H649" s="148"/>
      <c r="I649" s="148"/>
      <c r="J649" s="148"/>
      <c r="K649" s="148"/>
      <c r="L649" s="152"/>
      <c r="M649" s="152">
        <f t="shared" si="10"/>
        <v>0</v>
      </c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</row>
    <row r="650" spans="1:27">
      <c r="A650" s="147">
        <v>1825</v>
      </c>
      <c r="B650" s="147" t="s">
        <v>60</v>
      </c>
      <c r="C650" s="147" t="s">
        <v>46</v>
      </c>
      <c r="D650" s="148" t="s">
        <v>52</v>
      </c>
      <c r="E650" s="148" t="s">
        <v>30</v>
      </c>
      <c r="F650" s="149">
        <v>2024</v>
      </c>
      <c r="G650" s="148" t="s">
        <v>31</v>
      </c>
      <c r="H650" s="149">
        <v>529</v>
      </c>
      <c r="I650" s="149" t="s">
        <v>44</v>
      </c>
      <c r="J650" s="149" t="s">
        <v>61</v>
      </c>
      <c r="K650" s="149" t="s">
        <v>61</v>
      </c>
      <c r="L650" s="152"/>
      <c r="M650" s="152">
        <f t="shared" si="10"/>
        <v>0</v>
      </c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</row>
    <row r="651" spans="1:27">
      <c r="A651" s="147">
        <v>1826</v>
      </c>
      <c r="B651" s="147" t="s">
        <v>60</v>
      </c>
      <c r="C651" s="147" t="s">
        <v>46</v>
      </c>
      <c r="D651" s="148" t="s">
        <v>52</v>
      </c>
      <c r="E651" s="148" t="s">
        <v>30</v>
      </c>
      <c r="F651" s="149">
        <v>2024</v>
      </c>
      <c r="G651" s="148" t="s">
        <v>33</v>
      </c>
      <c r="H651" s="149">
        <v>326</v>
      </c>
      <c r="I651" s="149" t="s">
        <v>44</v>
      </c>
      <c r="J651" s="149" t="s">
        <v>61</v>
      </c>
      <c r="K651" s="149" t="s">
        <v>61</v>
      </c>
      <c r="L651" s="152"/>
      <c r="M651" s="152">
        <f t="shared" si="10"/>
        <v>0</v>
      </c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</row>
    <row r="652" spans="1:27">
      <c r="A652" s="147">
        <v>1827</v>
      </c>
      <c r="B652" s="147" t="s">
        <v>60</v>
      </c>
      <c r="C652" s="147" t="s">
        <v>46</v>
      </c>
      <c r="D652" s="148" t="s">
        <v>52</v>
      </c>
      <c r="E652" s="148" t="s">
        <v>30</v>
      </c>
      <c r="F652" s="149">
        <v>2024</v>
      </c>
      <c r="G652" s="148" t="s">
        <v>34</v>
      </c>
      <c r="H652" s="149">
        <v>274</v>
      </c>
      <c r="I652" s="149" t="s">
        <v>44</v>
      </c>
      <c r="J652" s="149" t="s">
        <v>61</v>
      </c>
      <c r="K652" s="149" t="s">
        <v>61</v>
      </c>
      <c r="L652" s="152"/>
      <c r="M652" s="152">
        <f t="shared" si="10"/>
        <v>0</v>
      </c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</row>
    <row r="653" spans="1:27">
      <c r="A653" s="147">
        <v>1828</v>
      </c>
      <c r="B653" s="147" t="s">
        <v>60</v>
      </c>
      <c r="C653" s="147" t="s">
        <v>46</v>
      </c>
      <c r="D653" s="148" t="s">
        <v>52</v>
      </c>
      <c r="E653" s="148" t="s">
        <v>30</v>
      </c>
      <c r="F653" s="149">
        <v>2024</v>
      </c>
      <c r="G653" s="148" t="s">
        <v>35</v>
      </c>
      <c r="H653" s="149">
        <v>191</v>
      </c>
      <c r="I653" s="149" t="s">
        <v>44</v>
      </c>
      <c r="J653" s="149" t="s">
        <v>61</v>
      </c>
      <c r="K653" s="149" t="s">
        <v>61</v>
      </c>
      <c r="L653" s="152"/>
      <c r="M653" s="152">
        <f t="shared" si="10"/>
        <v>0</v>
      </c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</row>
    <row r="654" spans="1:27">
      <c r="A654" s="147">
        <v>1829</v>
      </c>
      <c r="B654" s="147" t="s">
        <v>60</v>
      </c>
      <c r="C654" s="147" t="s">
        <v>46</v>
      </c>
      <c r="D654" s="148" t="s">
        <v>52</v>
      </c>
      <c r="E654" s="148" t="s">
        <v>30</v>
      </c>
      <c r="F654" s="149">
        <v>2024</v>
      </c>
      <c r="G654" s="148" t="s">
        <v>36</v>
      </c>
      <c r="H654" s="149">
        <v>254</v>
      </c>
      <c r="I654" s="149" t="s">
        <v>44</v>
      </c>
      <c r="J654" s="149" t="s">
        <v>61</v>
      </c>
      <c r="K654" s="149" t="s">
        <v>61</v>
      </c>
      <c r="L654" s="152"/>
      <c r="M654" s="152">
        <f t="shared" si="10"/>
        <v>0</v>
      </c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</row>
    <row r="655" spans="1:27">
      <c r="A655" s="147">
        <v>1830</v>
      </c>
      <c r="B655" s="147" t="s">
        <v>60</v>
      </c>
      <c r="C655" s="147" t="s">
        <v>46</v>
      </c>
      <c r="D655" s="148" t="s">
        <v>52</v>
      </c>
      <c r="E655" s="148" t="s">
        <v>30</v>
      </c>
      <c r="F655" s="149">
        <v>2024</v>
      </c>
      <c r="G655" s="148" t="s">
        <v>37</v>
      </c>
      <c r="H655" s="149">
        <v>232</v>
      </c>
      <c r="I655" s="149" t="s">
        <v>44</v>
      </c>
      <c r="J655" s="149" t="s">
        <v>61</v>
      </c>
      <c r="K655" s="149" t="s">
        <v>61</v>
      </c>
      <c r="L655" s="152"/>
      <c r="M655" s="152">
        <f t="shared" si="10"/>
        <v>0</v>
      </c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</row>
    <row r="656" spans="1:27">
      <c r="A656" s="147">
        <v>1831</v>
      </c>
      <c r="B656" s="147" t="s">
        <v>60</v>
      </c>
      <c r="C656" s="147" t="s">
        <v>46</v>
      </c>
      <c r="D656" s="148" t="s">
        <v>52</v>
      </c>
      <c r="E656" s="148" t="s">
        <v>30</v>
      </c>
      <c r="F656" s="149">
        <v>2024</v>
      </c>
      <c r="G656" s="148" t="s">
        <v>38</v>
      </c>
      <c r="H656" s="149">
        <v>174</v>
      </c>
      <c r="I656" s="149" t="s">
        <v>44</v>
      </c>
      <c r="J656" s="149" t="s">
        <v>61</v>
      </c>
      <c r="K656" s="149" t="s">
        <v>61</v>
      </c>
      <c r="L656" s="152"/>
      <c r="M656" s="152">
        <f t="shared" si="10"/>
        <v>0</v>
      </c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</row>
    <row r="657" spans="1:27">
      <c r="A657" s="147">
        <v>1832</v>
      </c>
      <c r="B657" s="147" t="s">
        <v>60</v>
      </c>
      <c r="C657" s="147" t="s">
        <v>46</v>
      </c>
      <c r="D657" s="148" t="s">
        <v>52</v>
      </c>
      <c r="E657" s="148" t="s">
        <v>30</v>
      </c>
      <c r="F657" s="149">
        <v>2024</v>
      </c>
      <c r="G657" s="148" t="s">
        <v>39</v>
      </c>
      <c r="H657" s="149">
        <v>134</v>
      </c>
      <c r="I657" s="148" t="s">
        <v>44</v>
      </c>
      <c r="J657" s="148" t="s">
        <v>61</v>
      </c>
      <c r="K657" s="148" t="s">
        <v>61</v>
      </c>
      <c r="L657" s="152"/>
      <c r="M657" s="152">
        <f t="shared" si="10"/>
        <v>0</v>
      </c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</row>
    <row r="658" spans="1:27">
      <c r="A658" s="147">
        <v>1833</v>
      </c>
      <c r="B658" s="147" t="s">
        <v>60</v>
      </c>
      <c r="C658" s="147" t="s">
        <v>46</v>
      </c>
      <c r="D658" s="148" t="s">
        <v>52</v>
      </c>
      <c r="E658" s="148" t="s">
        <v>30</v>
      </c>
      <c r="F658" s="149">
        <v>2024</v>
      </c>
      <c r="G658" s="148" t="s">
        <v>40</v>
      </c>
      <c r="H658" s="149">
        <v>116</v>
      </c>
      <c r="I658" s="150">
        <v>270724</v>
      </c>
      <c r="J658" s="148" t="s">
        <v>61</v>
      </c>
      <c r="K658" s="148" t="s">
        <v>61</v>
      </c>
      <c r="L658" s="152"/>
      <c r="M658" s="152">
        <f t="shared" si="10"/>
        <v>0</v>
      </c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</row>
    <row r="659" spans="1:27">
      <c r="A659" s="147">
        <v>1834</v>
      </c>
      <c r="B659" s="147" t="s">
        <v>60</v>
      </c>
      <c r="C659" s="147" t="s">
        <v>46</v>
      </c>
      <c r="D659" s="148" t="s">
        <v>52</v>
      </c>
      <c r="E659" s="148" t="s">
        <v>30</v>
      </c>
      <c r="F659" s="149">
        <v>2024</v>
      </c>
      <c r="G659" s="148" t="s">
        <v>41</v>
      </c>
      <c r="H659" s="149">
        <v>77</v>
      </c>
      <c r="I659" s="150">
        <v>271506</v>
      </c>
      <c r="J659" s="149">
        <v>782</v>
      </c>
      <c r="K659" s="148" t="s">
        <v>61</v>
      </c>
      <c r="L659" s="152"/>
      <c r="M659" s="152">
        <f t="shared" si="10"/>
        <v>0</v>
      </c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</row>
    <row r="660" spans="1:27">
      <c r="A660" s="147">
        <v>1835</v>
      </c>
      <c r="B660" s="147" t="s">
        <v>60</v>
      </c>
      <c r="C660" s="147" t="s">
        <v>46</v>
      </c>
      <c r="D660" s="148" t="s">
        <v>52</v>
      </c>
      <c r="E660" s="148" t="s">
        <v>30</v>
      </c>
      <c r="F660" s="149">
        <v>2024</v>
      </c>
      <c r="G660" s="148" t="s">
        <v>42</v>
      </c>
      <c r="H660" s="149">
        <v>62</v>
      </c>
      <c r="I660" s="150">
        <v>272287</v>
      </c>
      <c r="J660" s="149">
        <v>781</v>
      </c>
      <c r="K660" s="148" t="s">
        <v>61</v>
      </c>
      <c r="L660" s="152"/>
      <c r="M660" s="152">
        <f t="shared" si="10"/>
        <v>0</v>
      </c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</row>
    <row r="661" spans="1:27">
      <c r="A661" s="147">
        <v>1836</v>
      </c>
      <c r="B661" s="147" t="s">
        <v>60</v>
      </c>
      <c r="C661" s="147" t="s">
        <v>46</v>
      </c>
      <c r="D661" s="148" t="s">
        <v>52</v>
      </c>
      <c r="E661" s="148" t="s">
        <v>30</v>
      </c>
      <c r="F661" s="149">
        <v>2024</v>
      </c>
      <c r="G661" s="148" t="s">
        <v>43</v>
      </c>
      <c r="H661" s="149">
        <v>46</v>
      </c>
      <c r="I661" s="150">
        <v>273212</v>
      </c>
      <c r="J661" s="149">
        <v>925</v>
      </c>
      <c r="K661" s="150">
        <v>209901</v>
      </c>
      <c r="L661" s="152"/>
      <c r="M661" s="152">
        <f t="shared" si="10"/>
        <v>0</v>
      </c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</row>
    <row r="662" spans="1:27">
      <c r="A662" s="147">
        <v>1837</v>
      </c>
      <c r="B662" s="147" t="s">
        <v>60</v>
      </c>
      <c r="C662" s="147" t="s">
        <v>46</v>
      </c>
      <c r="D662" s="148" t="s">
        <v>52</v>
      </c>
      <c r="E662" s="148" t="s">
        <v>30</v>
      </c>
      <c r="F662" s="149">
        <v>2025</v>
      </c>
      <c r="G662" s="148" t="s">
        <v>31</v>
      </c>
      <c r="H662" s="149">
        <v>24</v>
      </c>
      <c r="I662" s="150">
        <v>274277</v>
      </c>
      <c r="J662" s="150">
        <v>1065</v>
      </c>
      <c r="K662" s="150">
        <v>1566459</v>
      </c>
      <c r="L662" s="152"/>
      <c r="M662" s="152">
        <f t="shared" si="10"/>
        <v>0</v>
      </c>
      <c r="N662" s="148"/>
      <c r="O662" s="150">
        <v>450030</v>
      </c>
      <c r="P662" s="148" t="s">
        <v>48</v>
      </c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</row>
    <row r="663" spans="1:27">
      <c r="A663" s="147">
        <v>1838</v>
      </c>
      <c r="B663" s="147" t="s">
        <v>60</v>
      </c>
      <c r="C663" s="147" t="s">
        <v>46</v>
      </c>
      <c r="D663" s="148" t="s">
        <v>52</v>
      </c>
      <c r="E663" s="148" t="s">
        <v>30</v>
      </c>
      <c r="F663" s="149">
        <v>2025</v>
      </c>
      <c r="G663" s="148" t="s">
        <v>33</v>
      </c>
      <c r="H663" s="149">
        <v>16</v>
      </c>
      <c r="I663" s="150">
        <v>275042</v>
      </c>
      <c r="J663" s="149">
        <v>765</v>
      </c>
      <c r="K663" s="150">
        <v>591715</v>
      </c>
      <c r="L663" s="152"/>
      <c r="M663" s="152">
        <f t="shared" si="10"/>
        <v>0</v>
      </c>
      <c r="N663" s="148"/>
      <c r="O663" s="150">
        <v>192623</v>
      </c>
      <c r="P663" s="148" t="s">
        <v>48</v>
      </c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</row>
    <row r="664" spans="1:27">
      <c r="A664" s="147">
        <v>1839</v>
      </c>
      <c r="B664" s="147" t="s">
        <v>60</v>
      </c>
      <c r="C664" s="147" t="s">
        <v>46</v>
      </c>
      <c r="D664" s="148" t="s">
        <v>52</v>
      </c>
      <c r="E664" s="148" t="s">
        <v>30</v>
      </c>
      <c r="F664" s="149">
        <v>2025</v>
      </c>
      <c r="G664" s="148" t="s">
        <v>34</v>
      </c>
      <c r="H664" s="149">
        <v>22</v>
      </c>
      <c r="I664" s="150">
        <v>275632</v>
      </c>
      <c r="J664" s="149">
        <v>590</v>
      </c>
      <c r="K664" s="150">
        <v>393129</v>
      </c>
      <c r="L664" s="152"/>
      <c r="M664" s="152">
        <f t="shared" si="10"/>
        <v>0</v>
      </c>
      <c r="N664" s="148"/>
      <c r="O664" s="150">
        <v>137775</v>
      </c>
      <c r="P664" s="148" t="s">
        <v>48</v>
      </c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</row>
    <row r="665" spans="1:27">
      <c r="A665" s="147">
        <v>1840</v>
      </c>
      <c r="B665" s="147" t="s">
        <v>60</v>
      </c>
      <c r="C665" s="147" t="s">
        <v>46</v>
      </c>
      <c r="D665" s="148" t="s">
        <v>52</v>
      </c>
      <c r="E665" s="148" t="s">
        <v>30</v>
      </c>
      <c r="F665" s="149">
        <v>2025</v>
      </c>
      <c r="G665" s="148" t="s">
        <v>35</v>
      </c>
      <c r="H665" s="149">
        <v>3</v>
      </c>
      <c r="I665" s="150">
        <v>276238</v>
      </c>
      <c r="J665" s="149">
        <v>606</v>
      </c>
      <c r="K665" s="150">
        <v>210956</v>
      </c>
      <c r="L665" s="152"/>
      <c r="M665" s="152">
        <f t="shared" si="10"/>
        <v>0</v>
      </c>
      <c r="N665" s="148"/>
      <c r="O665" s="150">
        <v>80855</v>
      </c>
      <c r="P665" s="148" t="s">
        <v>48</v>
      </c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</row>
    <row r="666" spans="1:27">
      <c r="A666" s="147">
        <v>1841</v>
      </c>
      <c r="B666" s="147" t="s">
        <v>60</v>
      </c>
      <c r="C666" s="147" t="s">
        <v>46</v>
      </c>
      <c r="D666" s="148" t="s">
        <v>52</v>
      </c>
      <c r="E666" s="148" t="s">
        <v>30</v>
      </c>
      <c r="F666" s="149">
        <v>2025</v>
      </c>
      <c r="G666" s="148" t="s">
        <v>36</v>
      </c>
      <c r="H666" s="149">
        <v>19</v>
      </c>
      <c r="I666" s="150">
        <v>277262</v>
      </c>
      <c r="J666" s="150">
        <v>1024</v>
      </c>
      <c r="K666" s="150">
        <v>290036</v>
      </c>
      <c r="L666" s="152"/>
      <c r="M666" s="152">
        <f t="shared" si="10"/>
        <v>0</v>
      </c>
      <c r="N666" s="148"/>
      <c r="O666" s="150">
        <v>180223</v>
      </c>
      <c r="P666" s="148" t="s">
        <v>48</v>
      </c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</row>
    <row r="667" spans="1:27">
      <c r="A667" s="147">
        <v>1842</v>
      </c>
      <c r="B667" s="147" t="s">
        <v>60</v>
      </c>
      <c r="C667" s="147" t="s">
        <v>46</v>
      </c>
      <c r="D667" s="148" t="s">
        <v>52</v>
      </c>
      <c r="E667" s="148" t="s">
        <v>30</v>
      </c>
      <c r="F667" s="149">
        <v>2025</v>
      </c>
      <c r="G667" s="148" t="s">
        <v>37</v>
      </c>
      <c r="H667" s="149">
        <v>5</v>
      </c>
      <c r="I667" s="150">
        <v>278605</v>
      </c>
      <c r="J667" s="150">
        <v>1343</v>
      </c>
      <c r="K667" s="150">
        <v>77387</v>
      </c>
      <c r="L667" s="152"/>
      <c r="M667" s="152">
        <f t="shared" si="10"/>
        <v>0</v>
      </c>
      <c r="N667" s="148"/>
      <c r="O667" s="150">
        <v>54574</v>
      </c>
      <c r="P667" s="148" t="s">
        <v>48</v>
      </c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</row>
    <row r="668" spans="1:27">
      <c r="A668" s="147">
        <v>1843</v>
      </c>
      <c r="B668" s="147" t="s">
        <v>60</v>
      </c>
      <c r="C668" s="147" t="s">
        <v>46</v>
      </c>
      <c r="D668" s="148" t="s">
        <v>52</v>
      </c>
      <c r="E668" s="148" t="s">
        <v>30</v>
      </c>
      <c r="F668" s="149">
        <v>2025</v>
      </c>
      <c r="G668" s="148" t="s">
        <v>38</v>
      </c>
      <c r="H668" s="149">
        <v>3</v>
      </c>
      <c r="I668" s="150">
        <v>278629</v>
      </c>
      <c r="J668" s="149">
        <v>573</v>
      </c>
      <c r="K668" s="150">
        <v>33986</v>
      </c>
      <c r="L668" s="152"/>
      <c r="M668" s="152">
        <f t="shared" si="10"/>
        <v>0</v>
      </c>
      <c r="N668" s="148"/>
      <c r="O668" s="150">
        <v>23592</v>
      </c>
      <c r="P668" s="149">
        <v>461</v>
      </c>
      <c r="Q668" s="154">
        <v>0.665</v>
      </c>
      <c r="R668" s="154">
        <v>0.335</v>
      </c>
      <c r="S668" s="148"/>
      <c r="T668" s="148" t="s">
        <v>44</v>
      </c>
      <c r="U668" s="154">
        <v>0.071</v>
      </c>
      <c r="V668" s="154">
        <v>0.365</v>
      </c>
      <c r="W668" s="154">
        <v>0.341</v>
      </c>
      <c r="X668" s="154">
        <v>0.149</v>
      </c>
      <c r="Y668" s="154">
        <v>0.048</v>
      </c>
      <c r="Z668" s="154">
        <v>0.026</v>
      </c>
      <c r="AA668" s="148" t="s">
        <v>45</v>
      </c>
    </row>
    <row r="669" spans="1:27">
      <c r="A669" s="147">
        <v>1844</v>
      </c>
      <c r="B669" s="147" t="s">
        <v>60</v>
      </c>
      <c r="C669" s="147" t="s">
        <v>46</v>
      </c>
      <c r="D669" s="148" t="s">
        <v>52</v>
      </c>
      <c r="E669" s="148" t="s">
        <v>30</v>
      </c>
      <c r="F669" s="149">
        <v>2025</v>
      </c>
      <c r="G669" s="148" t="s">
        <v>39</v>
      </c>
      <c r="H669" s="149">
        <v>12</v>
      </c>
      <c r="I669" s="150">
        <v>278290</v>
      </c>
      <c r="J669" s="149">
        <v>511</v>
      </c>
      <c r="K669" s="150">
        <v>52887</v>
      </c>
      <c r="L669" s="152"/>
      <c r="M669" s="152">
        <f t="shared" si="10"/>
        <v>0</v>
      </c>
      <c r="N669" s="148"/>
      <c r="O669" s="150">
        <v>31615</v>
      </c>
      <c r="P669" s="149">
        <v>804</v>
      </c>
      <c r="Q669" s="154">
        <v>0.666</v>
      </c>
      <c r="R669" s="154">
        <v>0.334</v>
      </c>
      <c r="S669" s="148"/>
      <c r="T669" s="148"/>
      <c r="U669" s="154">
        <v>0.068</v>
      </c>
      <c r="V669" s="154">
        <v>0.365</v>
      </c>
      <c r="W669" s="154">
        <v>0.342</v>
      </c>
      <c r="X669" s="154">
        <v>0.151</v>
      </c>
      <c r="Y669" s="154">
        <v>0.048</v>
      </c>
      <c r="Z669" s="154">
        <v>0.026</v>
      </c>
      <c r="AA669" s="148" t="s">
        <v>45</v>
      </c>
    </row>
    <row r="670" spans="1:27">
      <c r="A670" s="147">
        <v>1845</v>
      </c>
      <c r="B670" s="147" t="s">
        <v>60</v>
      </c>
      <c r="C670" s="147" t="s">
        <v>46</v>
      </c>
      <c r="D670" s="148" t="s">
        <v>52</v>
      </c>
      <c r="E670" s="148" t="s">
        <v>30</v>
      </c>
      <c r="F670" s="149">
        <v>2025</v>
      </c>
      <c r="G670" s="148" t="s">
        <v>40</v>
      </c>
      <c r="H670" s="149">
        <v>23</v>
      </c>
      <c r="I670" s="150">
        <v>278210</v>
      </c>
      <c r="J670" s="149">
        <v>694</v>
      </c>
      <c r="K670" s="150">
        <v>43523</v>
      </c>
      <c r="L670" s="152"/>
      <c r="M670" s="152">
        <f t="shared" si="10"/>
        <v>0</v>
      </c>
      <c r="N670" s="148"/>
      <c r="O670" s="150">
        <v>23952</v>
      </c>
      <c r="P670" s="149">
        <v>358</v>
      </c>
      <c r="Q670" s="154">
        <v>0.666</v>
      </c>
      <c r="R670" s="154">
        <v>0.334</v>
      </c>
      <c r="S670" s="148"/>
      <c r="T670" s="148"/>
      <c r="U670" s="154">
        <v>0.066</v>
      </c>
      <c r="V670" s="154">
        <v>0.363</v>
      </c>
      <c r="W670" s="154">
        <v>0.343</v>
      </c>
      <c r="X670" s="154">
        <v>0.152</v>
      </c>
      <c r="Y670" s="154">
        <v>0.05</v>
      </c>
      <c r="Z670" s="154">
        <v>0.026</v>
      </c>
      <c r="AA670" s="148" t="s">
        <v>45</v>
      </c>
    </row>
    <row r="671" spans="1:27">
      <c r="A671" s="147">
        <v>1846</v>
      </c>
      <c r="B671" s="147" t="s">
        <v>60</v>
      </c>
      <c r="C671" s="147" t="s">
        <v>46</v>
      </c>
      <c r="D671" s="148" t="s">
        <v>52</v>
      </c>
      <c r="E671" s="148" t="s">
        <v>30</v>
      </c>
      <c r="F671" s="149">
        <v>2025</v>
      </c>
      <c r="G671" s="148" t="s">
        <v>41</v>
      </c>
      <c r="H671" s="149">
        <v>7</v>
      </c>
      <c r="I671" s="150">
        <v>278135</v>
      </c>
      <c r="J671" s="149">
        <v>725</v>
      </c>
      <c r="K671" s="150">
        <v>38268</v>
      </c>
      <c r="L671" s="152"/>
      <c r="M671" s="152">
        <f t="shared" si="10"/>
        <v>0</v>
      </c>
      <c r="N671" s="148"/>
      <c r="O671" s="150">
        <v>19458</v>
      </c>
      <c r="P671" s="149">
        <v>312</v>
      </c>
      <c r="Q671" s="154">
        <v>0.664</v>
      </c>
      <c r="R671" s="154">
        <v>0.336</v>
      </c>
      <c r="S671" s="148"/>
      <c r="T671" s="148"/>
      <c r="U671" s="154">
        <v>0.064</v>
      </c>
      <c r="V671" s="154">
        <v>0.361</v>
      </c>
      <c r="W671" s="154">
        <v>0.346</v>
      </c>
      <c r="X671" s="154">
        <v>0.153</v>
      </c>
      <c r="Y671" s="154">
        <v>0.05</v>
      </c>
      <c r="Z671" s="154">
        <v>0.026</v>
      </c>
      <c r="AA671" s="148" t="s">
        <v>45</v>
      </c>
    </row>
    <row r="672" spans="1:27">
      <c r="A672" s="147">
        <v>1847</v>
      </c>
      <c r="B672" s="147" t="s">
        <v>60</v>
      </c>
      <c r="C672" s="147" t="s">
        <v>46</v>
      </c>
      <c r="D672" s="148" t="s">
        <v>52</v>
      </c>
      <c r="E672" s="148" t="s">
        <v>30</v>
      </c>
      <c r="F672" s="149">
        <v>2025</v>
      </c>
      <c r="G672" s="148" t="s">
        <v>42</v>
      </c>
      <c r="H672" s="149">
        <v>9</v>
      </c>
      <c r="I672" s="150">
        <v>277913</v>
      </c>
      <c r="J672" s="149">
        <v>552</v>
      </c>
      <c r="K672" s="150">
        <v>257072</v>
      </c>
      <c r="L672" s="152"/>
      <c r="M672" s="152">
        <f t="shared" si="10"/>
        <v>0</v>
      </c>
      <c r="N672" s="148"/>
      <c r="O672" s="150">
        <v>124274</v>
      </c>
      <c r="P672" s="150">
        <v>4002</v>
      </c>
      <c r="Q672" s="154">
        <v>0.665</v>
      </c>
      <c r="R672" s="154">
        <v>0.335</v>
      </c>
      <c r="S672" s="148"/>
      <c r="T672" s="148"/>
      <c r="U672" s="154">
        <v>0.062</v>
      </c>
      <c r="V672" s="154">
        <v>0.359</v>
      </c>
      <c r="W672" s="154">
        <v>0.346</v>
      </c>
      <c r="X672" s="154">
        <v>0.156</v>
      </c>
      <c r="Y672" s="154">
        <v>0.051</v>
      </c>
      <c r="Z672" s="154">
        <v>0.026</v>
      </c>
      <c r="AA672" s="148" t="s">
        <v>45</v>
      </c>
    </row>
    <row r="673" spans="1:27">
      <c r="A673" s="147">
        <v>1848</v>
      </c>
      <c r="B673" s="147" t="s">
        <v>60</v>
      </c>
      <c r="C673" s="147" t="s">
        <v>46</v>
      </c>
      <c r="D673" s="148" t="s">
        <v>52</v>
      </c>
      <c r="E673" s="148" t="s">
        <v>30</v>
      </c>
      <c r="F673" s="149">
        <v>2025</v>
      </c>
      <c r="G673" s="148" t="s">
        <v>43</v>
      </c>
      <c r="H673" s="149">
        <v>25</v>
      </c>
      <c r="I673" s="150">
        <v>277685</v>
      </c>
      <c r="J673" s="149">
        <v>534</v>
      </c>
      <c r="K673" s="150">
        <v>405462</v>
      </c>
      <c r="L673" s="152"/>
      <c r="M673" s="152">
        <f t="shared" si="10"/>
        <v>0</v>
      </c>
      <c r="N673" s="148"/>
      <c r="O673" s="150">
        <v>123609</v>
      </c>
      <c r="P673" s="150">
        <v>5797</v>
      </c>
      <c r="Q673" s="154">
        <v>0.664</v>
      </c>
      <c r="R673" s="154">
        <v>0.336</v>
      </c>
      <c r="S673" s="148"/>
      <c r="T673" s="148"/>
      <c r="U673" s="154">
        <v>0.14</v>
      </c>
      <c r="V673" s="154">
        <v>0.349</v>
      </c>
      <c r="W673" s="154">
        <v>0.294</v>
      </c>
      <c r="X673" s="154">
        <v>0.1415</v>
      </c>
      <c r="Y673" s="154">
        <v>0.048</v>
      </c>
      <c r="Z673" s="154">
        <v>0.028</v>
      </c>
      <c r="AA673" s="148" t="s">
        <v>45</v>
      </c>
    </row>
    <row r="674" spans="1:27">
      <c r="A674" s="147">
        <v>1849</v>
      </c>
      <c r="B674" s="147" t="s">
        <v>60</v>
      </c>
      <c r="C674" s="147" t="s">
        <v>46</v>
      </c>
      <c r="D674" s="148" t="s">
        <v>52</v>
      </c>
      <c r="E674" s="148" t="s">
        <v>30</v>
      </c>
      <c r="F674" s="149">
        <v>2026</v>
      </c>
      <c r="G674" s="148" t="s">
        <v>31</v>
      </c>
      <c r="H674" s="149">
        <v>65</v>
      </c>
      <c r="I674" s="150">
        <v>277776</v>
      </c>
      <c r="J674" s="149">
        <v>825</v>
      </c>
      <c r="K674" s="150">
        <v>1611515</v>
      </c>
      <c r="L674" s="152"/>
      <c r="M674" s="152">
        <f t="shared" si="10"/>
        <v>0</v>
      </c>
      <c r="N674" s="148"/>
      <c r="O674" s="150">
        <v>530630</v>
      </c>
      <c r="P674" s="150">
        <v>53513</v>
      </c>
      <c r="Q674" s="154">
        <v>0.664</v>
      </c>
      <c r="R674" s="154">
        <v>0.336</v>
      </c>
      <c r="S674" s="148"/>
      <c r="T674" s="148"/>
      <c r="U674" s="154">
        <v>0.059</v>
      </c>
      <c r="V674" s="154">
        <v>0.359</v>
      </c>
      <c r="W674" s="154">
        <v>0.349</v>
      </c>
      <c r="X674" s="154">
        <v>0.158</v>
      </c>
      <c r="Y674" s="154">
        <v>0.052</v>
      </c>
      <c r="Z674" s="154">
        <v>0.026</v>
      </c>
      <c r="AA674" s="148" t="s">
        <v>45</v>
      </c>
    </row>
    <row r="675" spans="1:27">
      <c r="A675" s="147">
        <v>1850</v>
      </c>
      <c r="B675" s="147" t="s">
        <v>60</v>
      </c>
      <c r="C675" s="147" t="s">
        <v>46</v>
      </c>
      <c r="D675" s="148" t="s">
        <v>52</v>
      </c>
      <c r="E675" s="148" t="s">
        <v>30</v>
      </c>
      <c r="F675" s="149">
        <v>2026</v>
      </c>
      <c r="G675" s="148" t="s">
        <v>33</v>
      </c>
      <c r="H675" s="149">
        <v>75</v>
      </c>
      <c r="I675" s="150">
        <v>278382</v>
      </c>
      <c r="J675" s="150">
        <v>1265</v>
      </c>
      <c r="K675" s="150">
        <v>2076058</v>
      </c>
      <c r="L675" s="152"/>
      <c r="M675" s="152">
        <f t="shared" si="10"/>
        <v>0</v>
      </c>
      <c r="N675" s="148"/>
      <c r="O675" s="150">
        <v>768311</v>
      </c>
      <c r="P675" s="150">
        <v>74534</v>
      </c>
      <c r="Q675" s="154">
        <v>0.665</v>
      </c>
      <c r="R675" s="154">
        <v>0.335</v>
      </c>
      <c r="S675" s="148"/>
      <c r="T675" s="148"/>
      <c r="U675" s="154">
        <v>0.053</v>
      </c>
      <c r="V675" s="154">
        <v>0.358</v>
      </c>
      <c r="W675" s="154">
        <v>0.35</v>
      </c>
      <c r="X675" s="154">
        <v>0.159</v>
      </c>
      <c r="Y675" s="154">
        <v>0.053</v>
      </c>
      <c r="Z675" s="154">
        <v>0.027</v>
      </c>
      <c r="AA675" s="148" t="s">
        <v>45</v>
      </c>
    </row>
    <row r="676" spans="1:27">
      <c r="A676" s="147">
        <v>1851</v>
      </c>
      <c r="B676" s="147" t="s">
        <v>60</v>
      </c>
      <c r="C676" s="147" t="s">
        <v>46</v>
      </c>
      <c r="D676" s="148" t="s">
        <v>52</v>
      </c>
      <c r="E676" s="148" t="s">
        <v>30</v>
      </c>
      <c r="F676" s="149">
        <v>2026</v>
      </c>
      <c r="G676" s="148" t="s">
        <v>34</v>
      </c>
      <c r="H676" s="149">
        <v>101</v>
      </c>
      <c r="I676" s="150">
        <v>278695</v>
      </c>
      <c r="J676" s="150">
        <v>1124</v>
      </c>
      <c r="K676" s="150">
        <v>4460819</v>
      </c>
      <c r="L676" s="152"/>
      <c r="M676" s="152">
        <f t="shared" si="10"/>
        <v>0</v>
      </c>
      <c r="N676" s="148"/>
      <c r="O676" s="150">
        <v>1587989</v>
      </c>
      <c r="P676" s="150">
        <v>179593</v>
      </c>
      <c r="Q676" s="154">
        <v>0.664</v>
      </c>
      <c r="R676" s="154">
        <v>0.336</v>
      </c>
      <c r="S676" s="148"/>
      <c r="T676" s="148"/>
      <c r="U676" s="154">
        <v>0.057</v>
      </c>
      <c r="V676" s="154">
        <v>0.351</v>
      </c>
      <c r="W676" s="154">
        <v>0.352</v>
      </c>
      <c r="X676" s="154">
        <v>0.16</v>
      </c>
      <c r="Y676" s="154">
        <v>0.053</v>
      </c>
      <c r="Z676" s="154">
        <v>0.027</v>
      </c>
      <c r="AA676" s="148" t="s">
        <v>45</v>
      </c>
    </row>
    <row r="677" spans="1:27">
      <c r="A677" s="147">
        <v>1852</v>
      </c>
      <c r="B677" s="147" t="s">
        <v>60</v>
      </c>
      <c r="C677" s="147" t="s">
        <v>46</v>
      </c>
      <c r="D677" s="148" t="s">
        <v>52</v>
      </c>
      <c r="E677" s="148" t="s">
        <v>30</v>
      </c>
      <c r="F677" s="149">
        <v>2026</v>
      </c>
      <c r="G677" s="148" t="s">
        <v>35</v>
      </c>
      <c r="H677" s="149">
        <v>123</v>
      </c>
      <c r="I677" s="150">
        <v>279103</v>
      </c>
      <c r="J677" s="150">
        <v>1369</v>
      </c>
      <c r="K677" s="150">
        <v>3940087</v>
      </c>
      <c r="L677" s="152"/>
      <c r="M677" s="152">
        <f t="shared" si="10"/>
        <v>0</v>
      </c>
      <c r="N677" s="148"/>
      <c r="O677" s="150">
        <v>1025295</v>
      </c>
      <c r="P677" s="150">
        <v>101100</v>
      </c>
      <c r="Q677" s="154">
        <v>0.665</v>
      </c>
      <c r="R677" s="154">
        <v>0.335</v>
      </c>
      <c r="S677" s="148"/>
      <c r="T677" s="148"/>
      <c r="U677" s="154">
        <v>0.055</v>
      </c>
      <c r="V677" s="154">
        <v>0.349</v>
      </c>
      <c r="W677" s="154">
        <v>0.353</v>
      </c>
      <c r="X677" s="154">
        <v>0.162</v>
      </c>
      <c r="Y677" s="154">
        <v>0.054</v>
      </c>
      <c r="Z677" s="154">
        <v>0.027</v>
      </c>
      <c r="AA677" s="148" t="s">
        <v>45</v>
      </c>
    </row>
    <row r="678" spans="1:27">
      <c r="A678" s="147">
        <v>1853</v>
      </c>
      <c r="B678" s="147" t="s">
        <v>60</v>
      </c>
      <c r="C678" s="147" t="s">
        <v>46</v>
      </c>
      <c r="D678" s="148" t="s">
        <v>52</v>
      </c>
      <c r="E678" s="148" t="s">
        <v>30</v>
      </c>
      <c r="F678" s="149">
        <v>2026</v>
      </c>
      <c r="G678" s="148" t="s">
        <v>36</v>
      </c>
      <c r="H678" s="149">
        <v>94</v>
      </c>
      <c r="I678" s="150">
        <v>276379</v>
      </c>
      <c r="J678" s="150">
        <v>2017</v>
      </c>
      <c r="K678" s="150">
        <v>7370533</v>
      </c>
      <c r="L678" s="152"/>
      <c r="M678" s="152">
        <f t="shared" si="10"/>
        <v>0</v>
      </c>
      <c r="N678" s="148"/>
      <c r="O678" s="150">
        <v>3331049</v>
      </c>
      <c r="P678" s="150">
        <v>250252</v>
      </c>
      <c r="Q678" s="154">
        <v>0.666</v>
      </c>
      <c r="R678" s="154">
        <v>0.334</v>
      </c>
      <c r="S678" s="148"/>
      <c r="T678" s="148"/>
      <c r="U678" s="154">
        <v>0.055</v>
      </c>
      <c r="V678" s="154">
        <v>0.346</v>
      </c>
      <c r="W678" s="154">
        <v>0.354</v>
      </c>
      <c r="X678" s="154">
        <v>0.164</v>
      </c>
      <c r="Y678" s="154">
        <v>0.054</v>
      </c>
      <c r="Z678" s="154">
        <v>0.027</v>
      </c>
      <c r="AA678" s="148" t="s">
        <v>45</v>
      </c>
    </row>
    <row r="679" spans="1:27">
      <c r="A679" s="147">
        <v>1854</v>
      </c>
      <c r="B679" s="147" t="s">
        <v>60</v>
      </c>
      <c r="C679" s="147" t="s">
        <v>46</v>
      </c>
      <c r="D679" s="148" t="s">
        <v>52</v>
      </c>
      <c r="E679" s="148" t="s">
        <v>30</v>
      </c>
      <c r="F679" s="149">
        <v>2026</v>
      </c>
      <c r="G679" s="148" t="s">
        <v>37</v>
      </c>
      <c r="H679" s="149">
        <v>14</v>
      </c>
      <c r="I679" s="150">
        <v>276250</v>
      </c>
      <c r="J679" s="150">
        <v>1004</v>
      </c>
      <c r="K679" s="150">
        <v>1980091</v>
      </c>
      <c r="L679" s="152"/>
      <c r="M679" s="152">
        <f t="shared" si="10"/>
        <v>0</v>
      </c>
      <c r="N679" s="148"/>
      <c r="O679" s="150">
        <v>821341</v>
      </c>
      <c r="P679" s="150">
        <v>61292</v>
      </c>
      <c r="Q679" s="154">
        <v>0.666</v>
      </c>
      <c r="R679" s="154">
        <v>0.334</v>
      </c>
      <c r="S679" s="148"/>
      <c r="T679" s="148"/>
      <c r="U679" s="154">
        <v>0.054</v>
      </c>
      <c r="V679" s="154">
        <v>0.343</v>
      </c>
      <c r="W679" s="154">
        <v>0.355</v>
      </c>
      <c r="X679" s="154">
        <v>0.165</v>
      </c>
      <c r="Y679" s="154">
        <v>0.056</v>
      </c>
      <c r="Z679" s="154">
        <v>0.027</v>
      </c>
      <c r="AA679" s="148" t="s">
        <v>45</v>
      </c>
    </row>
    <row r="680" spans="1:27">
      <c r="A680" s="147">
        <v>1855</v>
      </c>
      <c r="B680" s="147" t="s">
        <v>60</v>
      </c>
      <c r="C680" s="147" t="s">
        <v>46</v>
      </c>
      <c r="D680" s="148" t="s">
        <v>52</v>
      </c>
      <c r="E680" s="148" t="s">
        <v>30</v>
      </c>
      <c r="F680" s="149">
        <v>2026</v>
      </c>
      <c r="G680" s="148" t="s">
        <v>38</v>
      </c>
      <c r="H680" s="149">
        <v>1</v>
      </c>
      <c r="I680" s="150">
        <v>275940</v>
      </c>
      <c r="J680" s="149">
        <v>582</v>
      </c>
      <c r="K680" s="150">
        <v>422639</v>
      </c>
      <c r="L680" s="152"/>
      <c r="M680" s="152">
        <f t="shared" si="10"/>
        <v>0</v>
      </c>
      <c r="N680" s="148"/>
      <c r="O680" s="150">
        <v>27714</v>
      </c>
      <c r="P680" s="150">
        <v>27586</v>
      </c>
      <c r="Q680" s="154">
        <v>0.666</v>
      </c>
      <c r="R680" s="154">
        <v>0.334</v>
      </c>
      <c r="S680" s="148"/>
      <c r="T680" s="148"/>
      <c r="U680" s="154">
        <v>0.052</v>
      </c>
      <c r="V680" s="154">
        <v>0.342</v>
      </c>
      <c r="W680" s="154">
        <v>0.357</v>
      </c>
      <c r="X680" s="154">
        <v>0.166</v>
      </c>
      <c r="Y680" s="154">
        <v>0.056</v>
      </c>
      <c r="Z680" s="154">
        <v>0.027</v>
      </c>
      <c r="AA680" s="148" t="s">
        <v>45</v>
      </c>
    </row>
    <row r="681" spans="1:27">
      <c r="A681" s="147">
        <v>1856</v>
      </c>
      <c r="B681" s="147" t="s">
        <v>60</v>
      </c>
      <c r="C681" s="147" t="s">
        <v>46</v>
      </c>
      <c r="D681" s="148" t="s">
        <v>52</v>
      </c>
      <c r="E681" s="148" t="s">
        <v>30</v>
      </c>
      <c r="F681" s="149">
        <v>2026</v>
      </c>
      <c r="G681" s="148" t="s">
        <v>39</v>
      </c>
      <c r="H681" s="148"/>
      <c r="I681" s="148"/>
      <c r="J681" s="148"/>
      <c r="K681" s="148"/>
      <c r="L681" s="152"/>
      <c r="M681" s="152">
        <f t="shared" si="10"/>
        <v>0</v>
      </c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</row>
    <row r="682" spans="1:27">
      <c r="A682" s="147">
        <v>1857</v>
      </c>
      <c r="B682" s="147" t="s">
        <v>60</v>
      </c>
      <c r="C682" s="147" t="s">
        <v>46</v>
      </c>
      <c r="D682" s="148" t="s">
        <v>52</v>
      </c>
      <c r="E682" s="148" t="s">
        <v>30</v>
      </c>
      <c r="F682" s="149">
        <v>2026</v>
      </c>
      <c r="G682" s="148" t="s">
        <v>40</v>
      </c>
      <c r="H682" s="148"/>
      <c r="I682" s="148"/>
      <c r="J682" s="148"/>
      <c r="K682" s="148"/>
      <c r="L682" s="152"/>
      <c r="M682" s="152">
        <f t="shared" si="10"/>
        <v>0</v>
      </c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</row>
    <row r="683" spans="1:27">
      <c r="A683" s="147">
        <v>1858</v>
      </c>
      <c r="B683" s="147" t="s">
        <v>60</v>
      </c>
      <c r="C683" s="147" t="s">
        <v>46</v>
      </c>
      <c r="D683" s="148" t="s">
        <v>52</v>
      </c>
      <c r="E683" s="148" t="s">
        <v>30</v>
      </c>
      <c r="F683" s="149">
        <v>2026</v>
      </c>
      <c r="G683" s="148" t="s">
        <v>41</v>
      </c>
      <c r="H683" s="148"/>
      <c r="I683" s="148"/>
      <c r="J683" s="148"/>
      <c r="K683" s="148"/>
      <c r="L683" s="152"/>
      <c r="M683" s="152">
        <f t="shared" si="10"/>
        <v>0</v>
      </c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</row>
    <row r="684" spans="1:27">
      <c r="A684" s="147">
        <v>1859</v>
      </c>
      <c r="B684" s="147" t="s">
        <v>60</v>
      </c>
      <c r="C684" s="147" t="s">
        <v>46</v>
      </c>
      <c r="D684" s="148" t="s">
        <v>52</v>
      </c>
      <c r="E684" s="148" t="s">
        <v>30</v>
      </c>
      <c r="F684" s="149">
        <v>2026</v>
      </c>
      <c r="G684" s="148" t="s">
        <v>42</v>
      </c>
      <c r="H684" s="148"/>
      <c r="I684" s="148"/>
      <c r="J684" s="148"/>
      <c r="K684" s="148"/>
      <c r="L684" s="152"/>
      <c r="M684" s="152">
        <f t="shared" si="10"/>
        <v>0</v>
      </c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</row>
    <row r="685" spans="1:27">
      <c r="A685" s="147">
        <v>1860</v>
      </c>
      <c r="B685" s="147" t="s">
        <v>60</v>
      </c>
      <c r="C685" s="147" t="s">
        <v>46</v>
      </c>
      <c r="D685" s="148" t="s">
        <v>52</v>
      </c>
      <c r="E685" s="148" t="s">
        <v>30</v>
      </c>
      <c r="F685" s="149">
        <v>2026</v>
      </c>
      <c r="G685" s="148" t="s">
        <v>43</v>
      </c>
      <c r="H685" s="148"/>
      <c r="I685" s="148"/>
      <c r="J685" s="148"/>
      <c r="K685" s="148"/>
      <c r="L685" s="152"/>
      <c r="M685" s="152">
        <f t="shared" si="10"/>
        <v>0</v>
      </c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</row>
    <row r="686" spans="1:27">
      <c r="A686" s="147">
        <v>1873</v>
      </c>
      <c r="B686" s="147" t="s">
        <v>60</v>
      </c>
      <c r="C686" s="147" t="s">
        <v>53</v>
      </c>
      <c r="D686" s="148" t="s">
        <v>54</v>
      </c>
      <c r="E686" s="148" t="s">
        <v>30</v>
      </c>
      <c r="F686" s="149">
        <v>2024</v>
      </c>
      <c r="G686" s="148" t="s">
        <v>31</v>
      </c>
      <c r="H686" s="149">
        <v>180</v>
      </c>
      <c r="I686" s="149" t="s">
        <v>44</v>
      </c>
      <c r="J686" s="149" t="s">
        <v>61</v>
      </c>
      <c r="K686" s="149" t="s">
        <v>61</v>
      </c>
      <c r="L686" s="152"/>
      <c r="M686" s="152">
        <f t="shared" si="10"/>
        <v>0</v>
      </c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</row>
    <row r="687" spans="1:27">
      <c r="A687" s="147">
        <v>1874</v>
      </c>
      <c r="B687" s="147" t="s">
        <v>60</v>
      </c>
      <c r="C687" s="147" t="s">
        <v>53</v>
      </c>
      <c r="D687" s="148" t="s">
        <v>54</v>
      </c>
      <c r="E687" s="148" t="s">
        <v>30</v>
      </c>
      <c r="F687" s="149">
        <v>2024</v>
      </c>
      <c r="G687" s="148" t="s">
        <v>33</v>
      </c>
      <c r="H687" s="149">
        <v>157</v>
      </c>
      <c r="I687" s="149" t="s">
        <v>44</v>
      </c>
      <c r="J687" s="149" t="s">
        <v>61</v>
      </c>
      <c r="K687" s="149" t="s">
        <v>61</v>
      </c>
      <c r="L687" s="152"/>
      <c r="M687" s="152">
        <f t="shared" si="10"/>
        <v>0</v>
      </c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</row>
    <row r="688" spans="1:27">
      <c r="A688" s="147">
        <v>1875</v>
      </c>
      <c r="B688" s="147" t="s">
        <v>60</v>
      </c>
      <c r="C688" s="147" t="s">
        <v>53</v>
      </c>
      <c r="D688" s="148" t="s">
        <v>54</v>
      </c>
      <c r="E688" s="148" t="s">
        <v>30</v>
      </c>
      <c r="F688" s="149">
        <v>2024</v>
      </c>
      <c r="G688" s="148" t="s">
        <v>34</v>
      </c>
      <c r="H688" s="149">
        <v>171</v>
      </c>
      <c r="I688" s="149" t="s">
        <v>44</v>
      </c>
      <c r="J688" s="149" t="s">
        <v>61</v>
      </c>
      <c r="K688" s="149" t="s">
        <v>61</v>
      </c>
      <c r="L688" s="152"/>
      <c r="M688" s="152">
        <f t="shared" si="10"/>
        <v>0</v>
      </c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</row>
    <row r="689" spans="1:27">
      <c r="A689" s="147">
        <v>1876</v>
      </c>
      <c r="B689" s="147" t="s">
        <v>60</v>
      </c>
      <c r="C689" s="147" t="s">
        <v>53</v>
      </c>
      <c r="D689" s="148" t="s">
        <v>54</v>
      </c>
      <c r="E689" s="148" t="s">
        <v>30</v>
      </c>
      <c r="F689" s="149">
        <v>2024</v>
      </c>
      <c r="G689" s="148" t="s">
        <v>35</v>
      </c>
      <c r="H689" s="149">
        <v>123</v>
      </c>
      <c r="I689" s="149" t="s">
        <v>44</v>
      </c>
      <c r="J689" s="149" t="s">
        <v>61</v>
      </c>
      <c r="K689" s="149" t="s">
        <v>61</v>
      </c>
      <c r="L689" s="152"/>
      <c r="M689" s="152">
        <f t="shared" si="10"/>
        <v>0</v>
      </c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</row>
    <row r="690" spans="1:27">
      <c r="A690" s="147">
        <v>1877</v>
      </c>
      <c r="B690" s="147" t="s">
        <v>60</v>
      </c>
      <c r="C690" s="147" t="s">
        <v>53</v>
      </c>
      <c r="D690" s="148" t="s">
        <v>54</v>
      </c>
      <c r="E690" s="148" t="s">
        <v>30</v>
      </c>
      <c r="F690" s="149">
        <v>2024</v>
      </c>
      <c r="G690" s="148" t="s">
        <v>36</v>
      </c>
      <c r="H690" s="149">
        <v>152</v>
      </c>
      <c r="I690" s="149" t="s">
        <v>44</v>
      </c>
      <c r="J690" s="149" t="s">
        <v>61</v>
      </c>
      <c r="K690" s="149" t="s">
        <v>61</v>
      </c>
      <c r="L690" s="152"/>
      <c r="M690" s="152">
        <f t="shared" si="10"/>
        <v>0</v>
      </c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</row>
    <row r="691" spans="1:27">
      <c r="A691" s="147">
        <v>1878</v>
      </c>
      <c r="B691" s="147" t="s">
        <v>60</v>
      </c>
      <c r="C691" s="147" t="s">
        <v>53</v>
      </c>
      <c r="D691" s="148" t="s">
        <v>54</v>
      </c>
      <c r="E691" s="148" t="s">
        <v>30</v>
      </c>
      <c r="F691" s="149">
        <v>2024</v>
      </c>
      <c r="G691" s="148" t="s">
        <v>37</v>
      </c>
      <c r="H691" s="149">
        <v>183</v>
      </c>
      <c r="I691" s="149" t="s">
        <v>44</v>
      </c>
      <c r="J691" s="149" t="s">
        <v>61</v>
      </c>
      <c r="K691" s="149" t="s">
        <v>61</v>
      </c>
      <c r="L691" s="152"/>
      <c r="M691" s="152">
        <f t="shared" si="10"/>
        <v>0</v>
      </c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</row>
    <row r="692" spans="1:27">
      <c r="A692" s="147">
        <v>1879</v>
      </c>
      <c r="B692" s="147" t="s">
        <v>60</v>
      </c>
      <c r="C692" s="147" t="s">
        <v>53</v>
      </c>
      <c r="D692" s="148" t="s">
        <v>54</v>
      </c>
      <c r="E692" s="148" t="s">
        <v>30</v>
      </c>
      <c r="F692" s="149">
        <v>2024</v>
      </c>
      <c r="G692" s="148" t="s">
        <v>38</v>
      </c>
      <c r="H692" s="149">
        <v>178</v>
      </c>
      <c r="I692" s="149" t="s">
        <v>44</v>
      </c>
      <c r="J692" s="149" t="s">
        <v>61</v>
      </c>
      <c r="K692" s="149" t="s">
        <v>61</v>
      </c>
      <c r="L692" s="152"/>
      <c r="M692" s="152">
        <f t="shared" si="10"/>
        <v>0</v>
      </c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</row>
    <row r="693" spans="1:27">
      <c r="A693" s="147">
        <v>1880</v>
      </c>
      <c r="B693" s="147" t="s">
        <v>60</v>
      </c>
      <c r="C693" s="147" t="s">
        <v>53</v>
      </c>
      <c r="D693" s="148" t="s">
        <v>54</v>
      </c>
      <c r="E693" s="148" t="s">
        <v>30</v>
      </c>
      <c r="F693" s="149">
        <v>2024</v>
      </c>
      <c r="G693" s="148" t="s">
        <v>39</v>
      </c>
      <c r="H693" s="149">
        <v>150</v>
      </c>
      <c r="I693" s="149" t="s">
        <v>44</v>
      </c>
      <c r="J693" s="149" t="s">
        <v>61</v>
      </c>
      <c r="K693" s="149" t="s">
        <v>61</v>
      </c>
      <c r="L693" s="152"/>
      <c r="M693" s="152">
        <f t="shared" si="10"/>
        <v>0</v>
      </c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</row>
    <row r="694" spans="1:27">
      <c r="A694" s="147">
        <v>1881</v>
      </c>
      <c r="B694" s="147" t="s">
        <v>60</v>
      </c>
      <c r="C694" s="147" t="s">
        <v>53</v>
      </c>
      <c r="D694" s="148" t="s">
        <v>54</v>
      </c>
      <c r="E694" s="148" t="s">
        <v>30</v>
      </c>
      <c r="F694" s="149">
        <v>2024</v>
      </c>
      <c r="G694" s="148" t="s">
        <v>40</v>
      </c>
      <c r="H694" s="149">
        <v>165</v>
      </c>
      <c r="I694" s="150">
        <v>30655</v>
      </c>
      <c r="J694" s="149" t="s">
        <v>61</v>
      </c>
      <c r="K694" s="149" t="s">
        <v>61</v>
      </c>
      <c r="L694" s="152"/>
      <c r="M694" s="152">
        <f t="shared" si="10"/>
        <v>0</v>
      </c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</row>
    <row r="695" spans="1:27">
      <c r="A695" s="147">
        <v>1882</v>
      </c>
      <c r="B695" s="147" t="s">
        <v>60</v>
      </c>
      <c r="C695" s="147" t="s">
        <v>53</v>
      </c>
      <c r="D695" s="148" t="s">
        <v>54</v>
      </c>
      <c r="E695" s="148" t="s">
        <v>30</v>
      </c>
      <c r="F695" s="149">
        <v>2024</v>
      </c>
      <c r="G695" s="148" t="s">
        <v>41</v>
      </c>
      <c r="H695" s="149">
        <v>166</v>
      </c>
      <c r="I695" s="150">
        <v>31013</v>
      </c>
      <c r="J695" s="149">
        <v>358</v>
      </c>
      <c r="K695" s="149" t="s">
        <v>61</v>
      </c>
      <c r="L695" s="152"/>
      <c r="M695" s="152">
        <f t="shared" si="10"/>
        <v>0</v>
      </c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</row>
    <row r="696" spans="1:27">
      <c r="A696" s="147">
        <v>1883</v>
      </c>
      <c r="B696" s="147" t="s">
        <v>60</v>
      </c>
      <c r="C696" s="147" t="s">
        <v>53</v>
      </c>
      <c r="D696" s="148" t="s">
        <v>54</v>
      </c>
      <c r="E696" s="148" t="s">
        <v>30</v>
      </c>
      <c r="F696" s="149">
        <v>2024</v>
      </c>
      <c r="G696" s="148" t="s">
        <v>42</v>
      </c>
      <c r="H696" s="149">
        <v>137</v>
      </c>
      <c r="I696" s="150">
        <v>31522</v>
      </c>
      <c r="J696" s="149">
        <v>509</v>
      </c>
      <c r="K696" s="149" t="s">
        <v>61</v>
      </c>
      <c r="L696" s="152"/>
      <c r="M696" s="152">
        <f t="shared" si="10"/>
        <v>0</v>
      </c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</row>
    <row r="697" spans="1:27">
      <c r="A697" s="147">
        <v>1884</v>
      </c>
      <c r="B697" s="147" t="s">
        <v>60</v>
      </c>
      <c r="C697" s="147" t="s">
        <v>53</v>
      </c>
      <c r="D697" s="148" t="s">
        <v>54</v>
      </c>
      <c r="E697" s="148" t="s">
        <v>30</v>
      </c>
      <c r="F697" s="149">
        <v>2024</v>
      </c>
      <c r="G697" s="148" t="s">
        <v>43</v>
      </c>
      <c r="H697" s="149">
        <v>138</v>
      </c>
      <c r="I697" s="150">
        <v>32358</v>
      </c>
      <c r="J697" s="149">
        <v>836</v>
      </c>
      <c r="K697" s="150">
        <v>22649</v>
      </c>
      <c r="L697" s="152"/>
      <c r="M697" s="152">
        <f t="shared" si="10"/>
        <v>0</v>
      </c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</row>
    <row r="698" spans="1:27">
      <c r="A698" s="147">
        <v>1885</v>
      </c>
      <c r="B698" s="147" t="s">
        <v>60</v>
      </c>
      <c r="C698" s="147" t="s">
        <v>53</v>
      </c>
      <c r="D698" s="148" t="s">
        <v>54</v>
      </c>
      <c r="E698" s="148" t="s">
        <v>30</v>
      </c>
      <c r="F698" s="149">
        <v>2025</v>
      </c>
      <c r="G698" s="148" t="s">
        <v>31</v>
      </c>
      <c r="H698" s="149">
        <v>136</v>
      </c>
      <c r="I698" s="150">
        <v>32894</v>
      </c>
      <c r="J698" s="149">
        <v>536</v>
      </c>
      <c r="K698" s="150">
        <v>475021</v>
      </c>
      <c r="L698" s="152"/>
      <c r="M698" s="152">
        <f t="shared" si="10"/>
        <v>0</v>
      </c>
      <c r="N698" s="148"/>
      <c r="O698" s="150">
        <v>172026</v>
      </c>
      <c r="P698" s="149" t="s">
        <v>48</v>
      </c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</row>
    <row r="699" spans="1:27">
      <c r="A699" s="147">
        <v>1886</v>
      </c>
      <c r="B699" s="147" t="s">
        <v>60</v>
      </c>
      <c r="C699" s="147" t="s">
        <v>53</v>
      </c>
      <c r="D699" s="148" t="s">
        <v>54</v>
      </c>
      <c r="E699" s="148" t="s">
        <v>30</v>
      </c>
      <c r="F699" s="149">
        <v>2025</v>
      </c>
      <c r="G699" s="148" t="s">
        <v>33</v>
      </c>
      <c r="H699" s="149">
        <v>149</v>
      </c>
      <c r="I699" s="150">
        <v>33421</v>
      </c>
      <c r="J699" s="149">
        <v>527</v>
      </c>
      <c r="K699" s="150">
        <v>795112</v>
      </c>
      <c r="L699" s="152"/>
      <c r="M699" s="152">
        <f t="shared" si="10"/>
        <v>0</v>
      </c>
      <c r="N699" s="148"/>
      <c r="O699" s="150">
        <v>358921</v>
      </c>
      <c r="P699" s="149" t="s">
        <v>48</v>
      </c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</row>
    <row r="700" spans="1:27">
      <c r="A700" s="147">
        <v>1887</v>
      </c>
      <c r="B700" s="147" t="s">
        <v>60</v>
      </c>
      <c r="C700" s="147" t="s">
        <v>53</v>
      </c>
      <c r="D700" s="148" t="s">
        <v>54</v>
      </c>
      <c r="E700" s="148" t="s">
        <v>30</v>
      </c>
      <c r="F700" s="149">
        <v>2025</v>
      </c>
      <c r="G700" s="148" t="s">
        <v>34</v>
      </c>
      <c r="H700" s="149">
        <v>161</v>
      </c>
      <c r="I700" s="150">
        <v>33768</v>
      </c>
      <c r="J700" s="149">
        <v>347</v>
      </c>
      <c r="K700" s="150">
        <v>293872</v>
      </c>
      <c r="L700" s="152"/>
      <c r="M700" s="152">
        <f t="shared" si="10"/>
        <v>0</v>
      </c>
      <c r="N700" s="148"/>
      <c r="O700" s="150">
        <v>119123</v>
      </c>
      <c r="P700" s="149" t="s">
        <v>48</v>
      </c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</row>
    <row r="701" spans="1:27">
      <c r="A701" s="147">
        <v>1888</v>
      </c>
      <c r="B701" s="147" t="s">
        <v>60</v>
      </c>
      <c r="C701" s="147" t="s">
        <v>53</v>
      </c>
      <c r="D701" s="148" t="s">
        <v>54</v>
      </c>
      <c r="E701" s="148" t="s">
        <v>30</v>
      </c>
      <c r="F701" s="149">
        <v>2025</v>
      </c>
      <c r="G701" s="148" t="s">
        <v>35</v>
      </c>
      <c r="H701" s="149">
        <v>134</v>
      </c>
      <c r="I701" s="150">
        <v>34142</v>
      </c>
      <c r="J701" s="149">
        <v>374</v>
      </c>
      <c r="K701" s="150">
        <v>333517</v>
      </c>
      <c r="L701" s="152"/>
      <c r="M701" s="152">
        <f t="shared" si="10"/>
        <v>0</v>
      </c>
      <c r="N701" s="148"/>
      <c r="O701" s="150">
        <v>133349</v>
      </c>
      <c r="P701" s="149" t="s">
        <v>48</v>
      </c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</row>
    <row r="702" spans="1:27">
      <c r="A702" s="147">
        <v>1889</v>
      </c>
      <c r="B702" s="147" t="s">
        <v>60</v>
      </c>
      <c r="C702" s="147" t="s">
        <v>53</v>
      </c>
      <c r="D702" s="148" t="s">
        <v>54</v>
      </c>
      <c r="E702" s="148" t="s">
        <v>30</v>
      </c>
      <c r="F702" s="149">
        <v>2025</v>
      </c>
      <c r="G702" s="148" t="s">
        <v>36</v>
      </c>
      <c r="H702" s="149">
        <v>146</v>
      </c>
      <c r="I702" s="150">
        <v>34732</v>
      </c>
      <c r="J702" s="149">
        <v>590</v>
      </c>
      <c r="K702" s="150">
        <v>529577</v>
      </c>
      <c r="L702" s="152"/>
      <c r="M702" s="152">
        <f t="shared" si="10"/>
        <v>0</v>
      </c>
      <c r="N702" s="148"/>
      <c r="O702" s="150">
        <v>269310</v>
      </c>
      <c r="P702" s="149" t="s">
        <v>48</v>
      </c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</row>
    <row r="703" spans="1:27">
      <c r="A703" s="147">
        <v>1890</v>
      </c>
      <c r="B703" s="147" t="s">
        <v>60</v>
      </c>
      <c r="C703" s="147" t="s">
        <v>53</v>
      </c>
      <c r="D703" s="148" t="s">
        <v>54</v>
      </c>
      <c r="E703" s="148" t="s">
        <v>30</v>
      </c>
      <c r="F703" s="149">
        <v>2025</v>
      </c>
      <c r="G703" s="148" t="s">
        <v>37</v>
      </c>
      <c r="H703" s="149">
        <v>136</v>
      </c>
      <c r="I703" s="150">
        <v>35446</v>
      </c>
      <c r="J703" s="149">
        <v>714</v>
      </c>
      <c r="K703" s="150">
        <v>449588</v>
      </c>
      <c r="L703" s="152"/>
      <c r="M703" s="152">
        <f t="shared" si="10"/>
        <v>0</v>
      </c>
      <c r="N703" s="148"/>
      <c r="O703" s="150">
        <v>166455</v>
      </c>
      <c r="P703" s="149" t="s">
        <v>48</v>
      </c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</row>
    <row r="704" spans="1:27">
      <c r="A704" s="147">
        <v>1891</v>
      </c>
      <c r="B704" s="147" t="s">
        <v>60</v>
      </c>
      <c r="C704" s="147" t="s">
        <v>53</v>
      </c>
      <c r="D704" s="148" t="s">
        <v>54</v>
      </c>
      <c r="E704" s="148" t="s">
        <v>30</v>
      </c>
      <c r="F704" s="149">
        <v>2025</v>
      </c>
      <c r="G704" s="148" t="s">
        <v>38</v>
      </c>
      <c r="H704" s="149">
        <v>180</v>
      </c>
      <c r="I704" s="150">
        <v>35600</v>
      </c>
      <c r="J704" s="149">
        <v>743</v>
      </c>
      <c r="K704" s="150">
        <v>834264</v>
      </c>
      <c r="L704" s="152"/>
      <c r="M704" s="152">
        <f t="shared" si="10"/>
        <v>0</v>
      </c>
      <c r="N704" s="148"/>
      <c r="O704" s="150">
        <v>410491</v>
      </c>
      <c r="P704" s="150">
        <v>28295</v>
      </c>
      <c r="Q704" s="154">
        <v>0.451</v>
      </c>
      <c r="R704" s="154">
        <v>0.549</v>
      </c>
      <c r="S704" s="148"/>
      <c r="T704" s="148" t="s">
        <v>44</v>
      </c>
      <c r="U704" s="154">
        <v>0.162</v>
      </c>
      <c r="V704" s="154">
        <v>0.454</v>
      </c>
      <c r="W704" s="154">
        <v>0.264</v>
      </c>
      <c r="X704" s="154">
        <v>0.088</v>
      </c>
      <c r="Y704" s="154">
        <v>0.02</v>
      </c>
      <c r="Z704" s="154">
        <v>0.012</v>
      </c>
      <c r="AA704" s="148" t="s">
        <v>45</v>
      </c>
    </row>
    <row r="705" spans="1:27">
      <c r="A705" s="147">
        <v>1892</v>
      </c>
      <c r="B705" s="147" t="s">
        <v>60</v>
      </c>
      <c r="C705" s="147" t="s">
        <v>53</v>
      </c>
      <c r="D705" s="148" t="s">
        <v>54</v>
      </c>
      <c r="E705" s="148" t="s">
        <v>30</v>
      </c>
      <c r="F705" s="149">
        <v>2025</v>
      </c>
      <c r="G705" s="148" t="s">
        <v>39</v>
      </c>
      <c r="H705" s="149">
        <v>247</v>
      </c>
      <c r="I705" s="150">
        <v>35580</v>
      </c>
      <c r="J705" s="149">
        <v>388</v>
      </c>
      <c r="K705" s="150">
        <v>887070</v>
      </c>
      <c r="L705" s="152"/>
      <c r="M705" s="152">
        <f t="shared" si="10"/>
        <v>0</v>
      </c>
      <c r="N705" s="148"/>
      <c r="O705" s="150">
        <v>376906</v>
      </c>
      <c r="P705" s="150">
        <v>14652</v>
      </c>
      <c r="Q705" s="154">
        <v>0.451</v>
      </c>
      <c r="R705" s="154">
        <v>0.549</v>
      </c>
      <c r="S705" s="148"/>
      <c r="T705" s="148"/>
      <c r="U705" s="154">
        <v>0.158</v>
      </c>
      <c r="V705" s="154">
        <v>0.455</v>
      </c>
      <c r="W705" s="154">
        <v>0.266</v>
      </c>
      <c r="X705" s="154">
        <v>0.089</v>
      </c>
      <c r="Y705" s="154">
        <v>0.02</v>
      </c>
      <c r="Z705" s="154">
        <v>0.012</v>
      </c>
      <c r="AA705" s="148" t="s">
        <v>45</v>
      </c>
    </row>
    <row r="706" spans="1:27">
      <c r="A706" s="147">
        <v>1893</v>
      </c>
      <c r="B706" s="147" t="s">
        <v>60</v>
      </c>
      <c r="C706" s="147" t="s">
        <v>53</v>
      </c>
      <c r="D706" s="148" t="s">
        <v>54</v>
      </c>
      <c r="E706" s="148" t="s">
        <v>30</v>
      </c>
      <c r="F706" s="149">
        <v>2025</v>
      </c>
      <c r="G706" s="148" t="s">
        <v>40</v>
      </c>
      <c r="H706" s="149">
        <v>241</v>
      </c>
      <c r="I706" s="150">
        <v>36205</v>
      </c>
      <c r="J706" s="150">
        <v>1007</v>
      </c>
      <c r="K706" s="150">
        <v>6502864</v>
      </c>
      <c r="L706" s="152"/>
      <c r="M706" s="152">
        <f t="shared" ref="M706:M769" si="11">L706*17000</f>
        <v>0</v>
      </c>
      <c r="N706" s="148"/>
      <c r="O706" s="150">
        <v>4902661</v>
      </c>
      <c r="P706" s="150">
        <v>281943</v>
      </c>
      <c r="Q706" s="154">
        <v>0.547</v>
      </c>
      <c r="R706" s="154">
        <v>0.453</v>
      </c>
      <c r="S706" s="148"/>
      <c r="T706" s="148"/>
      <c r="U706" s="154">
        <v>0.156</v>
      </c>
      <c r="V706" s="154">
        <v>0.456</v>
      </c>
      <c r="W706" s="154">
        <v>0.264</v>
      </c>
      <c r="X706" s="154">
        <v>0.091</v>
      </c>
      <c r="Y706" s="154">
        <v>0.021</v>
      </c>
      <c r="Z706" s="154">
        <v>0.012</v>
      </c>
      <c r="AA706" s="148" t="s">
        <v>45</v>
      </c>
    </row>
    <row r="707" spans="1:27">
      <c r="A707" s="147">
        <v>1894</v>
      </c>
      <c r="B707" s="147" t="s">
        <v>60</v>
      </c>
      <c r="C707" s="147" t="s">
        <v>53</v>
      </c>
      <c r="D707" s="148" t="s">
        <v>54</v>
      </c>
      <c r="E707" s="148" t="s">
        <v>30</v>
      </c>
      <c r="F707" s="149">
        <v>2025</v>
      </c>
      <c r="G707" s="148" t="s">
        <v>41</v>
      </c>
      <c r="H707" s="149">
        <v>297</v>
      </c>
      <c r="I707" s="150">
        <v>36687</v>
      </c>
      <c r="J707" s="149">
        <v>981</v>
      </c>
      <c r="K707" s="150">
        <v>6859095</v>
      </c>
      <c r="L707" s="152"/>
      <c r="M707" s="152">
        <f t="shared" si="11"/>
        <v>0</v>
      </c>
      <c r="N707" s="148"/>
      <c r="O707" s="150">
        <v>4156763</v>
      </c>
      <c r="P707" s="150">
        <v>279967</v>
      </c>
      <c r="Q707" s="154">
        <v>0.548</v>
      </c>
      <c r="R707" s="154">
        <v>0.452</v>
      </c>
      <c r="S707" s="148"/>
      <c r="T707" s="148"/>
      <c r="U707" s="154">
        <v>0.153</v>
      </c>
      <c r="V707" s="154">
        <v>0.455</v>
      </c>
      <c r="W707" s="154">
        <v>0.267</v>
      </c>
      <c r="X707" s="154">
        <v>0.092</v>
      </c>
      <c r="Y707" s="154">
        <v>0.021</v>
      </c>
      <c r="Z707" s="154">
        <v>0.012</v>
      </c>
      <c r="AA707" s="148" t="s">
        <v>45</v>
      </c>
    </row>
    <row r="708" spans="1:27">
      <c r="A708" s="147">
        <v>1895</v>
      </c>
      <c r="B708" s="147" t="s">
        <v>60</v>
      </c>
      <c r="C708" s="147" t="s">
        <v>53</v>
      </c>
      <c r="D708" s="148" t="s">
        <v>54</v>
      </c>
      <c r="E708" s="148" t="s">
        <v>30</v>
      </c>
      <c r="F708" s="149">
        <v>2025</v>
      </c>
      <c r="G708" s="148" t="s">
        <v>42</v>
      </c>
      <c r="H708" s="149">
        <v>245</v>
      </c>
      <c r="I708" s="150">
        <v>37402</v>
      </c>
      <c r="J708" s="150">
        <v>1191</v>
      </c>
      <c r="K708" s="150">
        <v>5582046</v>
      </c>
      <c r="L708" s="152"/>
      <c r="M708" s="152">
        <f t="shared" si="11"/>
        <v>0</v>
      </c>
      <c r="N708" s="148"/>
      <c r="O708" s="150">
        <v>4166632</v>
      </c>
      <c r="P708" s="150">
        <v>195118</v>
      </c>
      <c r="Q708" s="154">
        <v>0.546</v>
      </c>
      <c r="R708" s="154">
        <v>0.454</v>
      </c>
      <c r="S708" s="148"/>
      <c r="T708" s="148"/>
      <c r="U708" s="154">
        <v>0.15</v>
      </c>
      <c r="V708" s="154">
        <v>0.457</v>
      </c>
      <c r="W708" s="154">
        <v>0.267</v>
      </c>
      <c r="X708" s="154">
        <v>0.092</v>
      </c>
      <c r="Y708" s="154">
        <v>0.022</v>
      </c>
      <c r="Z708" s="154">
        <v>0.012</v>
      </c>
      <c r="AA708" s="148" t="s">
        <v>45</v>
      </c>
    </row>
    <row r="709" spans="1:27">
      <c r="A709" s="147">
        <v>1896</v>
      </c>
      <c r="B709" s="147" t="s">
        <v>60</v>
      </c>
      <c r="C709" s="147" t="s">
        <v>53</v>
      </c>
      <c r="D709" s="148" t="s">
        <v>54</v>
      </c>
      <c r="E709" s="148" t="s">
        <v>30</v>
      </c>
      <c r="F709" s="149">
        <v>2025</v>
      </c>
      <c r="G709" s="148" t="s">
        <v>43</v>
      </c>
      <c r="H709" s="149">
        <v>245</v>
      </c>
      <c r="I709" s="150">
        <v>37625</v>
      </c>
      <c r="J709" s="149">
        <v>625</v>
      </c>
      <c r="K709" s="150">
        <v>2770304</v>
      </c>
      <c r="L709" s="152"/>
      <c r="M709" s="152">
        <f t="shared" si="11"/>
        <v>0</v>
      </c>
      <c r="N709" s="148"/>
      <c r="O709" s="150">
        <v>1672448</v>
      </c>
      <c r="P709" s="150">
        <v>182589</v>
      </c>
      <c r="Q709" s="154">
        <v>0.545</v>
      </c>
      <c r="R709" s="154">
        <v>0.455</v>
      </c>
      <c r="S709" s="148"/>
      <c r="T709" s="148"/>
      <c r="U709" s="154">
        <v>0.146</v>
      </c>
      <c r="V709" s="154">
        <v>0.456</v>
      </c>
      <c r="W709" s="154">
        <v>0.27</v>
      </c>
      <c r="X709" s="154">
        <v>0.094</v>
      </c>
      <c r="Y709" s="154">
        <v>0.022</v>
      </c>
      <c r="Z709" s="154">
        <v>0.012</v>
      </c>
      <c r="AA709" s="148" t="s">
        <v>45</v>
      </c>
    </row>
    <row r="710" spans="1:27">
      <c r="A710" s="147">
        <v>1897</v>
      </c>
      <c r="B710" s="147" t="s">
        <v>60</v>
      </c>
      <c r="C710" s="147" t="s">
        <v>53</v>
      </c>
      <c r="D710" s="148" t="s">
        <v>54</v>
      </c>
      <c r="E710" s="148" t="s">
        <v>30</v>
      </c>
      <c r="F710" s="149">
        <v>2026</v>
      </c>
      <c r="G710" s="148" t="s">
        <v>31</v>
      </c>
      <c r="H710" s="149">
        <v>211</v>
      </c>
      <c r="I710" s="150">
        <v>37775</v>
      </c>
      <c r="J710" s="149">
        <v>565</v>
      </c>
      <c r="K710" s="150">
        <v>2059125</v>
      </c>
      <c r="L710" s="152"/>
      <c r="M710" s="152">
        <f t="shared" si="11"/>
        <v>0</v>
      </c>
      <c r="N710" s="148"/>
      <c r="O710" s="150">
        <v>1414190</v>
      </c>
      <c r="P710" s="150">
        <v>142357</v>
      </c>
      <c r="Q710" s="154">
        <v>0.547</v>
      </c>
      <c r="R710" s="154">
        <v>0.453</v>
      </c>
      <c r="S710" s="148"/>
      <c r="T710" s="148"/>
      <c r="U710" s="154">
        <v>0.143</v>
      </c>
      <c r="V710" s="154">
        <v>0.456</v>
      </c>
      <c r="W710" s="154">
        <v>0.271</v>
      </c>
      <c r="X710" s="154">
        <v>0.095</v>
      </c>
      <c r="Y710" s="154">
        <v>0.023</v>
      </c>
      <c r="Z710" s="154">
        <v>0.012</v>
      </c>
      <c r="AA710" s="148" t="s">
        <v>45</v>
      </c>
    </row>
    <row r="711" spans="1:27">
      <c r="A711" s="147">
        <v>1898</v>
      </c>
      <c r="B711" s="147" t="s">
        <v>60</v>
      </c>
      <c r="C711" s="147" t="s">
        <v>53</v>
      </c>
      <c r="D711" s="148" t="s">
        <v>54</v>
      </c>
      <c r="E711" s="148" t="s">
        <v>30</v>
      </c>
      <c r="F711" s="149">
        <v>2026</v>
      </c>
      <c r="G711" s="148" t="s">
        <v>33</v>
      </c>
      <c r="H711" s="149">
        <v>242</v>
      </c>
      <c r="I711" s="150">
        <v>38132</v>
      </c>
      <c r="J711" s="149">
        <v>694</v>
      </c>
      <c r="K711" s="150">
        <v>2303286</v>
      </c>
      <c r="L711" s="152"/>
      <c r="M711" s="152">
        <f t="shared" si="11"/>
        <v>0</v>
      </c>
      <c r="N711" s="148"/>
      <c r="O711" s="150">
        <v>1211096</v>
      </c>
      <c r="P711" s="150">
        <v>134387</v>
      </c>
      <c r="Q711" s="154">
        <v>0.547</v>
      </c>
      <c r="R711" s="154">
        <v>0.453</v>
      </c>
      <c r="S711" s="148"/>
      <c r="T711" s="148"/>
      <c r="U711" s="154">
        <v>0.14</v>
      </c>
      <c r="V711" s="154">
        <v>0.456</v>
      </c>
      <c r="W711" s="154">
        <v>0.274</v>
      </c>
      <c r="X711" s="154">
        <v>0.095</v>
      </c>
      <c r="Y711" s="154">
        <v>0.023</v>
      </c>
      <c r="Z711" s="154">
        <v>0.012</v>
      </c>
      <c r="AA711" s="148" t="s">
        <v>45</v>
      </c>
    </row>
    <row r="712" spans="1:27">
      <c r="A712" s="147">
        <v>1899</v>
      </c>
      <c r="B712" s="147" t="s">
        <v>60</v>
      </c>
      <c r="C712" s="147" t="s">
        <v>53</v>
      </c>
      <c r="D712" s="148" t="s">
        <v>54</v>
      </c>
      <c r="E712" s="148" t="s">
        <v>30</v>
      </c>
      <c r="F712" s="149">
        <v>2026</v>
      </c>
      <c r="G712" s="148" t="s">
        <v>34</v>
      </c>
      <c r="H712" s="149">
        <v>285</v>
      </c>
      <c r="I712" s="150">
        <v>38307</v>
      </c>
      <c r="J712" s="149">
        <v>573</v>
      </c>
      <c r="K712" s="150">
        <v>2637898</v>
      </c>
      <c r="L712" s="152"/>
      <c r="M712" s="152">
        <f t="shared" si="11"/>
        <v>0</v>
      </c>
      <c r="N712" s="148"/>
      <c r="O712" s="150">
        <v>1291118</v>
      </c>
      <c r="P712" s="150">
        <v>187016</v>
      </c>
      <c r="Q712" s="154">
        <v>0.547</v>
      </c>
      <c r="R712" s="154">
        <v>0.453</v>
      </c>
      <c r="S712" s="148"/>
      <c r="T712" s="148"/>
      <c r="U712" s="154">
        <v>0.137</v>
      </c>
      <c r="V712" s="154">
        <v>0.456</v>
      </c>
      <c r="W712" s="154">
        <v>0.276</v>
      </c>
      <c r="X712" s="154">
        <v>0.095</v>
      </c>
      <c r="Y712" s="154">
        <v>0.024</v>
      </c>
      <c r="Z712" s="154">
        <v>0.012</v>
      </c>
      <c r="AA712" s="148" t="s">
        <v>45</v>
      </c>
    </row>
    <row r="713" spans="1:27">
      <c r="A713" s="147">
        <v>1900</v>
      </c>
      <c r="B713" s="147" t="s">
        <v>60</v>
      </c>
      <c r="C713" s="147" t="s">
        <v>53</v>
      </c>
      <c r="D713" s="148" t="s">
        <v>54</v>
      </c>
      <c r="E713" s="148" t="s">
        <v>30</v>
      </c>
      <c r="F713" s="149">
        <v>2026</v>
      </c>
      <c r="G713" s="148" t="s">
        <v>35</v>
      </c>
      <c r="H713" s="149">
        <v>251</v>
      </c>
      <c r="I713" s="150">
        <v>38551</v>
      </c>
      <c r="J713" s="149">
        <v>665</v>
      </c>
      <c r="K713" s="150">
        <v>4064149</v>
      </c>
      <c r="L713" s="152"/>
      <c r="M713" s="152">
        <f t="shared" si="11"/>
        <v>0</v>
      </c>
      <c r="N713" s="148"/>
      <c r="O713" s="150">
        <v>1879011</v>
      </c>
      <c r="P713" s="150">
        <v>162147</v>
      </c>
      <c r="Q713" s="154">
        <v>0.58</v>
      </c>
      <c r="R713" s="154">
        <v>0.42</v>
      </c>
      <c r="S713" s="148"/>
      <c r="T713" s="148"/>
      <c r="U713" s="154">
        <v>0.056</v>
      </c>
      <c r="V713" s="154">
        <v>0.506</v>
      </c>
      <c r="W713" s="154">
        <v>0.323</v>
      </c>
      <c r="X713" s="154">
        <v>0.074</v>
      </c>
      <c r="Y713" s="154">
        <v>0.018</v>
      </c>
      <c r="Z713" s="154">
        <v>0.023</v>
      </c>
      <c r="AA713" s="148" t="s">
        <v>45</v>
      </c>
    </row>
    <row r="714" spans="1:27">
      <c r="A714" s="147">
        <v>1901</v>
      </c>
      <c r="B714" s="147" t="s">
        <v>60</v>
      </c>
      <c r="C714" s="147" t="s">
        <v>53</v>
      </c>
      <c r="D714" s="148" t="s">
        <v>54</v>
      </c>
      <c r="E714" s="148" t="s">
        <v>30</v>
      </c>
      <c r="F714" s="149">
        <v>2026</v>
      </c>
      <c r="G714" s="148" t="s">
        <v>36</v>
      </c>
      <c r="H714" s="149">
        <v>276</v>
      </c>
      <c r="I714" s="150">
        <v>38315</v>
      </c>
      <c r="J714" s="149">
        <v>577</v>
      </c>
      <c r="K714" s="150">
        <v>2012852</v>
      </c>
      <c r="L714" s="152"/>
      <c r="M714" s="152">
        <f t="shared" si="11"/>
        <v>0</v>
      </c>
      <c r="N714" s="148"/>
      <c r="O714" s="150">
        <v>1087183</v>
      </c>
      <c r="P714" s="150">
        <v>131640</v>
      </c>
      <c r="Q714" s="154">
        <v>0.451</v>
      </c>
      <c r="R714" s="154">
        <v>0.549</v>
      </c>
      <c r="S714" s="148"/>
      <c r="T714" s="148"/>
      <c r="U714" s="154">
        <v>0.132</v>
      </c>
      <c r="V714" s="154">
        <v>0.455</v>
      </c>
      <c r="W714" s="154">
        <v>0.278</v>
      </c>
      <c r="X714" s="154">
        <v>0.098</v>
      </c>
      <c r="Y714" s="154">
        <v>0.025</v>
      </c>
      <c r="Z714" s="154">
        <v>0.012</v>
      </c>
      <c r="AA714" s="148" t="s">
        <v>45</v>
      </c>
    </row>
    <row r="715" spans="1:27">
      <c r="A715" s="147">
        <v>1902</v>
      </c>
      <c r="B715" s="147" t="s">
        <v>60</v>
      </c>
      <c r="C715" s="147" t="s">
        <v>53</v>
      </c>
      <c r="D715" s="148" t="s">
        <v>54</v>
      </c>
      <c r="E715" s="148" t="s">
        <v>30</v>
      </c>
      <c r="F715" s="149">
        <v>2026</v>
      </c>
      <c r="G715" s="148" t="s">
        <v>37</v>
      </c>
      <c r="H715" s="149">
        <v>163</v>
      </c>
      <c r="I715" s="150">
        <v>38564</v>
      </c>
      <c r="J715" s="149">
        <v>480</v>
      </c>
      <c r="K715" s="150">
        <v>1905728</v>
      </c>
      <c r="L715" s="152"/>
      <c r="M715" s="152">
        <f t="shared" si="11"/>
        <v>0</v>
      </c>
      <c r="N715" s="148"/>
      <c r="O715" s="150">
        <v>1028688</v>
      </c>
      <c r="P715" s="150">
        <v>112562</v>
      </c>
      <c r="Q715" s="154">
        <v>0.45</v>
      </c>
      <c r="R715" s="154">
        <v>0.55</v>
      </c>
      <c r="S715" s="148"/>
      <c r="T715" s="148"/>
      <c r="U715" s="154">
        <v>0.129</v>
      </c>
      <c r="V715" s="154">
        <v>0.454</v>
      </c>
      <c r="W715" s="154">
        <v>0.28</v>
      </c>
      <c r="X715" s="154">
        <v>0.099</v>
      </c>
      <c r="Y715" s="154">
        <v>0.025</v>
      </c>
      <c r="Z715" s="154">
        <v>0.013</v>
      </c>
      <c r="AA715" s="148" t="s">
        <v>45</v>
      </c>
    </row>
    <row r="716" spans="1:27">
      <c r="A716" s="147">
        <v>1903</v>
      </c>
      <c r="B716" s="147" t="s">
        <v>60</v>
      </c>
      <c r="C716" s="147" t="s">
        <v>53</v>
      </c>
      <c r="D716" s="148" t="s">
        <v>54</v>
      </c>
      <c r="E716" s="148" t="s">
        <v>30</v>
      </c>
      <c r="F716" s="149">
        <v>2026</v>
      </c>
      <c r="G716" s="148" t="s">
        <v>38</v>
      </c>
      <c r="H716" s="149">
        <v>216</v>
      </c>
      <c r="I716" s="150">
        <v>38776</v>
      </c>
      <c r="J716" s="150">
        <v>39198</v>
      </c>
      <c r="K716" s="150">
        <v>1120464</v>
      </c>
      <c r="L716" s="152"/>
      <c r="M716" s="152">
        <f t="shared" si="11"/>
        <v>0</v>
      </c>
      <c r="N716" s="148"/>
      <c r="O716" s="150">
        <v>832266</v>
      </c>
      <c r="P716" s="150">
        <v>122709</v>
      </c>
      <c r="Q716" s="154">
        <v>0.451</v>
      </c>
      <c r="R716" s="154">
        <v>0.549</v>
      </c>
      <c r="S716" s="148"/>
      <c r="T716" s="148"/>
      <c r="U716" s="154">
        <v>0.128</v>
      </c>
      <c r="V716" s="154">
        <v>0.452</v>
      </c>
      <c r="W716" s="154">
        <v>0.281</v>
      </c>
      <c r="X716" s="154">
        <v>0.101</v>
      </c>
      <c r="Y716" s="154">
        <v>0.025</v>
      </c>
      <c r="Z716" s="154">
        <v>0.013</v>
      </c>
      <c r="AA716" s="148" t="s">
        <v>45</v>
      </c>
    </row>
    <row r="717" spans="1:27">
      <c r="A717" s="147">
        <v>1904</v>
      </c>
      <c r="B717" s="147" t="s">
        <v>60</v>
      </c>
      <c r="C717" s="147" t="s">
        <v>53</v>
      </c>
      <c r="D717" s="148" t="s">
        <v>54</v>
      </c>
      <c r="E717" s="148" t="s">
        <v>30</v>
      </c>
      <c r="F717" s="149">
        <v>2026</v>
      </c>
      <c r="G717" s="148" t="s">
        <v>39</v>
      </c>
      <c r="H717" s="148"/>
      <c r="I717" s="148"/>
      <c r="J717" s="148"/>
      <c r="K717" s="148"/>
      <c r="L717" s="152"/>
      <c r="M717" s="152">
        <f t="shared" si="11"/>
        <v>0</v>
      </c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</row>
    <row r="718" spans="1:27">
      <c r="A718" s="147">
        <v>1905</v>
      </c>
      <c r="B718" s="147" t="s">
        <v>60</v>
      </c>
      <c r="C718" s="147" t="s">
        <v>53</v>
      </c>
      <c r="D718" s="148" t="s">
        <v>54</v>
      </c>
      <c r="E718" s="148" t="s">
        <v>30</v>
      </c>
      <c r="F718" s="149">
        <v>2026</v>
      </c>
      <c r="G718" s="148" t="s">
        <v>40</v>
      </c>
      <c r="H718" s="148"/>
      <c r="I718" s="148"/>
      <c r="J718" s="148"/>
      <c r="K718" s="148"/>
      <c r="L718" s="152"/>
      <c r="M718" s="152">
        <f t="shared" si="11"/>
        <v>0</v>
      </c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</row>
    <row r="719" spans="1:27">
      <c r="A719" s="147">
        <v>1906</v>
      </c>
      <c r="B719" s="147" t="s">
        <v>60</v>
      </c>
      <c r="C719" s="147" t="s">
        <v>53</v>
      </c>
      <c r="D719" s="148" t="s">
        <v>54</v>
      </c>
      <c r="E719" s="148" t="s">
        <v>30</v>
      </c>
      <c r="F719" s="149">
        <v>2026</v>
      </c>
      <c r="G719" s="148" t="s">
        <v>41</v>
      </c>
      <c r="H719" s="148"/>
      <c r="I719" s="148"/>
      <c r="J719" s="148"/>
      <c r="K719" s="148"/>
      <c r="L719" s="152"/>
      <c r="M719" s="152">
        <f t="shared" si="11"/>
        <v>0</v>
      </c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</row>
    <row r="720" spans="1:27">
      <c r="A720" s="147">
        <v>1907</v>
      </c>
      <c r="B720" s="147" t="s">
        <v>60</v>
      </c>
      <c r="C720" s="147" t="s">
        <v>53</v>
      </c>
      <c r="D720" s="148" t="s">
        <v>54</v>
      </c>
      <c r="E720" s="148" t="s">
        <v>30</v>
      </c>
      <c r="F720" s="149">
        <v>2026</v>
      </c>
      <c r="G720" s="148" t="s">
        <v>42</v>
      </c>
      <c r="H720" s="148"/>
      <c r="I720" s="148"/>
      <c r="J720" s="148"/>
      <c r="K720" s="148"/>
      <c r="L720" s="152"/>
      <c r="M720" s="152">
        <f t="shared" si="11"/>
        <v>0</v>
      </c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</row>
    <row r="721" spans="1:27">
      <c r="A721" s="147">
        <v>1908</v>
      </c>
      <c r="B721" s="147" t="s">
        <v>60</v>
      </c>
      <c r="C721" s="147" t="s">
        <v>53</v>
      </c>
      <c r="D721" s="148" t="s">
        <v>54</v>
      </c>
      <c r="E721" s="148" t="s">
        <v>30</v>
      </c>
      <c r="F721" s="149">
        <v>2026</v>
      </c>
      <c r="G721" s="148" t="s">
        <v>43</v>
      </c>
      <c r="H721" s="148"/>
      <c r="I721" s="148"/>
      <c r="J721" s="148"/>
      <c r="K721" s="148"/>
      <c r="L721" s="152"/>
      <c r="M721" s="152">
        <f t="shared" si="11"/>
        <v>0</v>
      </c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</row>
    <row r="722" spans="1:27">
      <c r="A722" s="147">
        <v>1921</v>
      </c>
      <c r="B722" s="147" t="s">
        <v>60</v>
      </c>
      <c r="C722" s="147" t="s">
        <v>53</v>
      </c>
      <c r="D722" s="148" t="s">
        <v>53</v>
      </c>
      <c r="E722" s="148" t="s">
        <v>30</v>
      </c>
      <c r="F722" s="149">
        <v>2024</v>
      </c>
      <c r="G722" s="148" t="s">
        <v>31</v>
      </c>
      <c r="H722" s="149">
        <v>988</v>
      </c>
      <c r="I722" s="149" t="s">
        <v>44</v>
      </c>
      <c r="J722" s="149" t="s">
        <v>61</v>
      </c>
      <c r="K722" s="149" t="s">
        <v>61</v>
      </c>
      <c r="L722" s="152"/>
      <c r="M722" s="152">
        <f t="shared" si="11"/>
        <v>0</v>
      </c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</row>
    <row r="723" spans="1:27">
      <c r="A723" s="147">
        <v>1922</v>
      </c>
      <c r="B723" s="147" t="s">
        <v>60</v>
      </c>
      <c r="C723" s="147" t="s">
        <v>53</v>
      </c>
      <c r="D723" s="148" t="s">
        <v>53</v>
      </c>
      <c r="E723" s="148" t="s">
        <v>30</v>
      </c>
      <c r="F723" s="149">
        <v>2024</v>
      </c>
      <c r="G723" s="148" t="s">
        <v>33</v>
      </c>
      <c r="H723" s="149">
        <v>874</v>
      </c>
      <c r="I723" s="149" t="s">
        <v>44</v>
      </c>
      <c r="J723" s="149" t="s">
        <v>61</v>
      </c>
      <c r="K723" s="149" t="s">
        <v>61</v>
      </c>
      <c r="L723" s="152"/>
      <c r="M723" s="152">
        <f t="shared" si="11"/>
        <v>0</v>
      </c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</row>
    <row r="724" spans="1:27">
      <c r="A724" s="147">
        <v>1923</v>
      </c>
      <c r="B724" s="147" t="s">
        <v>60</v>
      </c>
      <c r="C724" s="147" t="s">
        <v>53</v>
      </c>
      <c r="D724" s="148" t="s">
        <v>53</v>
      </c>
      <c r="E724" s="148" t="s">
        <v>30</v>
      </c>
      <c r="F724" s="149">
        <v>2024</v>
      </c>
      <c r="G724" s="148" t="s">
        <v>34</v>
      </c>
      <c r="H724" s="149">
        <v>875</v>
      </c>
      <c r="I724" s="149" t="s">
        <v>44</v>
      </c>
      <c r="J724" s="149" t="s">
        <v>61</v>
      </c>
      <c r="K724" s="149" t="s">
        <v>61</v>
      </c>
      <c r="L724" s="152"/>
      <c r="M724" s="152">
        <f t="shared" si="11"/>
        <v>0</v>
      </c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</row>
    <row r="725" spans="1:27">
      <c r="A725" s="147">
        <v>1924</v>
      </c>
      <c r="B725" s="147" t="s">
        <v>60</v>
      </c>
      <c r="C725" s="147" t="s">
        <v>53</v>
      </c>
      <c r="D725" s="148" t="s">
        <v>53</v>
      </c>
      <c r="E725" s="148" t="s">
        <v>30</v>
      </c>
      <c r="F725" s="149">
        <v>2024</v>
      </c>
      <c r="G725" s="148" t="s">
        <v>35</v>
      </c>
      <c r="H725" s="149">
        <v>722</v>
      </c>
      <c r="I725" s="149" t="s">
        <v>44</v>
      </c>
      <c r="J725" s="149" t="s">
        <v>61</v>
      </c>
      <c r="K725" s="149" t="s">
        <v>61</v>
      </c>
      <c r="L725" s="152"/>
      <c r="M725" s="152">
        <f t="shared" si="11"/>
        <v>0</v>
      </c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</row>
    <row r="726" spans="1:27">
      <c r="A726" s="147">
        <v>1925</v>
      </c>
      <c r="B726" s="147" t="s">
        <v>60</v>
      </c>
      <c r="C726" s="147" t="s">
        <v>53</v>
      </c>
      <c r="D726" s="148" t="s">
        <v>53</v>
      </c>
      <c r="E726" s="148" t="s">
        <v>30</v>
      </c>
      <c r="F726" s="149">
        <v>2024</v>
      </c>
      <c r="G726" s="148" t="s">
        <v>36</v>
      </c>
      <c r="H726" s="149">
        <v>803</v>
      </c>
      <c r="I726" s="149" t="s">
        <v>44</v>
      </c>
      <c r="J726" s="149" t="s">
        <v>61</v>
      </c>
      <c r="K726" s="149" t="s">
        <v>61</v>
      </c>
      <c r="L726" s="152"/>
      <c r="M726" s="152">
        <f t="shared" si="11"/>
        <v>0</v>
      </c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</row>
    <row r="727" spans="1:27">
      <c r="A727" s="147">
        <v>1926</v>
      </c>
      <c r="B727" s="147" t="s">
        <v>60</v>
      </c>
      <c r="C727" s="147" t="s">
        <v>53</v>
      </c>
      <c r="D727" s="148" t="s">
        <v>53</v>
      </c>
      <c r="E727" s="148" t="s">
        <v>30</v>
      </c>
      <c r="F727" s="149">
        <v>2024</v>
      </c>
      <c r="G727" s="148" t="s">
        <v>37</v>
      </c>
      <c r="H727" s="149">
        <v>810</v>
      </c>
      <c r="I727" s="149" t="s">
        <v>44</v>
      </c>
      <c r="J727" s="149" t="s">
        <v>61</v>
      </c>
      <c r="K727" s="149" t="s">
        <v>61</v>
      </c>
      <c r="L727" s="152"/>
      <c r="M727" s="152">
        <f t="shared" si="11"/>
        <v>0</v>
      </c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</row>
    <row r="728" spans="1:27">
      <c r="A728" s="147">
        <v>1927</v>
      </c>
      <c r="B728" s="147" t="s">
        <v>60</v>
      </c>
      <c r="C728" s="147" t="s">
        <v>53</v>
      </c>
      <c r="D728" s="148" t="s">
        <v>53</v>
      </c>
      <c r="E728" s="148" t="s">
        <v>30</v>
      </c>
      <c r="F728" s="149">
        <v>2024</v>
      </c>
      <c r="G728" s="148" t="s">
        <v>38</v>
      </c>
      <c r="H728" s="149">
        <v>948</v>
      </c>
      <c r="I728" s="149" t="s">
        <v>44</v>
      </c>
      <c r="J728" s="149" t="s">
        <v>61</v>
      </c>
      <c r="K728" s="149" t="s">
        <v>61</v>
      </c>
      <c r="L728" s="152"/>
      <c r="M728" s="152">
        <f t="shared" si="11"/>
        <v>0</v>
      </c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</row>
    <row r="729" spans="1:27">
      <c r="A729" s="147">
        <v>1928</v>
      </c>
      <c r="B729" s="147" t="s">
        <v>60</v>
      </c>
      <c r="C729" s="147" t="s">
        <v>53</v>
      </c>
      <c r="D729" s="148" t="s">
        <v>53</v>
      </c>
      <c r="E729" s="148" t="s">
        <v>30</v>
      </c>
      <c r="F729" s="149">
        <v>2024</v>
      </c>
      <c r="G729" s="148" t="s">
        <v>39</v>
      </c>
      <c r="H729" s="149">
        <v>948</v>
      </c>
      <c r="I729" s="149" t="s">
        <v>44</v>
      </c>
      <c r="J729" s="149" t="s">
        <v>61</v>
      </c>
      <c r="K729" s="149" t="s">
        <v>61</v>
      </c>
      <c r="L729" s="152"/>
      <c r="M729" s="152">
        <f t="shared" si="11"/>
        <v>0</v>
      </c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</row>
    <row r="730" spans="1:27">
      <c r="A730" s="147">
        <v>1929</v>
      </c>
      <c r="B730" s="147" t="s">
        <v>60</v>
      </c>
      <c r="C730" s="147" t="s">
        <v>53</v>
      </c>
      <c r="D730" s="148" t="s">
        <v>53</v>
      </c>
      <c r="E730" s="148" t="s">
        <v>30</v>
      </c>
      <c r="F730" s="149">
        <v>2024</v>
      </c>
      <c r="G730" s="148" t="s">
        <v>40</v>
      </c>
      <c r="H730" s="149">
        <v>921</v>
      </c>
      <c r="I730" s="150">
        <v>815219</v>
      </c>
      <c r="J730" s="149" t="s">
        <v>61</v>
      </c>
      <c r="K730" s="149" t="s">
        <v>61</v>
      </c>
      <c r="L730" s="152"/>
      <c r="M730" s="152">
        <f t="shared" si="11"/>
        <v>0</v>
      </c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</row>
    <row r="731" spans="1:27">
      <c r="A731" s="147">
        <v>1930</v>
      </c>
      <c r="B731" s="147" t="s">
        <v>60</v>
      </c>
      <c r="C731" s="147" t="s">
        <v>53</v>
      </c>
      <c r="D731" s="148" t="s">
        <v>53</v>
      </c>
      <c r="E731" s="148" t="s">
        <v>30</v>
      </c>
      <c r="F731" s="149">
        <v>2024</v>
      </c>
      <c r="G731" s="148" t="s">
        <v>41</v>
      </c>
      <c r="H731" s="149">
        <v>985</v>
      </c>
      <c r="I731" s="150">
        <v>822753</v>
      </c>
      <c r="J731" s="150">
        <v>7534</v>
      </c>
      <c r="K731" s="149" t="s">
        <v>61</v>
      </c>
      <c r="L731" s="152"/>
      <c r="M731" s="152">
        <f t="shared" si="11"/>
        <v>0</v>
      </c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</row>
    <row r="732" spans="1:27">
      <c r="A732" s="147">
        <v>1931</v>
      </c>
      <c r="B732" s="147" t="s">
        <v>60</v>
      </c>
      <c r="C732" s="147" t="s">
        <v>53</v>
      </c>
      <c r="D732" s="148" t="s">
        <v>53</v>
      </c>
      <c r="E732" s="148" t="s">
        <v>30</v>
      </c>
      <c r="F732" s="149">
        <v>2024</v>
      </c>
      <c r="G732" s="148" t="s">
        <v>42</v>
      </c>
      <c r="H732" s="149">
        <v>782</v>
      </c>
      <c r="I732" s="150">
        <v>830201</v>
      </c>
      <c r="J732" s="150">
        <v>7448</v>
      </c>
      <c r="K732" s="149" t="s">
        <v>61</v>
      </c>
      <c r="L732" s="152"/>
      <c r="M732" s="152">
        <f t="shared" si="11"/>
        <v>0</v>
      </c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</row>
    <row r="733" spans="1:27">
      <c r="A733" s="147">
        <v>1932</v>
      </c>
      <c r="B733" s="147" t="s">
        <v>60</v>
      </c>
      <c r="C733" s="147" t="s">
        <v>53</v>
      </c>
      <c r="D733" s="148" t="s">
        <v>53</v>
      </c>
      <c r="E733" s="148" t="s">
        <v>30</v>
      </c>
      <c r="F733" s="149">
        <v>2024</v>
      </c>
      <c r="G733" s="148" t="s">
        <v>43</v>
      </c>
      <c r="H733" s="149">
        <v>681</v>
      </c>
      <c r="I733" s="150">
        <v>838201</v>
      </c>
      <c r="J733" s="150">
        <v>8000</v>
      </c>
      <c r="K733" s="150">
        <v>1943867</v>
      </c>
      <c r="L733" s="152"/>
      <c r="M733" s="152">
        <f t="shared" si="11"/>
        <v>0</v>
      </c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</row>
    <row r="734" spans="1:27">
      <c r="A734" s="147">
        <v>1933</v>
      </c>
      <c r="B734" s="147" t="s">
        <v>60</v>
      </c>
      <c r="C734" s="147" t="s">
        <v>53</v>
      </c>
      <c r="D734" s="148" t="s">
        <v>53</v>
      </c>
      <c r="E734" s="148" t="s">
        <v>30</v>
      </c>
      <c r="F734" s="149">
        <v>2025</v>
      </c>
      <c r="G734" s="148" t="s">
        <v>31</v>
      </c>
      <c r="H734" s="149">
        <v>673</v>
      </c>
      <c r="I734" s="150">
        <v>846237</v>
      </c>
      <c r="J734" s="150">
        <v>8036</v>
      </c>
      <c r="K734" s="150">
        <v>13878329</v>
      </c>
      <c r="L734" s="152"/>
      <c r="M734" s="152">
        <f t="shared" si="11"/>
        <v>0</v>
      </c>
      <c r="N734" s="148"/>
      <c r="O734" s="150">
        <v>5120935</v>
      </c>
      <c r="P734" s="149" t="s">
        <v>48</v>
      </c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</row>
    <row r="735" spans="1:27">
      <c r="A735" s="147">
        <v>1934</v>
      </c>
      <c r="B735" s="147" t="s">
        <v>60</v>
      </c>
      <c r="C735" s="147" t="s">
        <v>53</v>
      </c>
      <c r="D735" s="148" t="s">
        <v>53</v>
      </c>
      <c r="E735" s="148" t="s">
        <v>30</v>
      </c>
      <c r="F735" s="149">
        <v>2025</v>
      </c>
      <c r="G735" s="148" t="s">
        <v>33</v>
      </c>
      <c r="H735" s="149">
        <v>611</v>
      </c>
      <c r="I735" s="150">
        <v>853939</v>
      </c>
      <c r="J735" s="150">
        <v>7702</v>
      </c>
      <c r="K735" s="150">
        <v>26139743</v>
      </c>
      <c r="L735" s="152"/>
      <c r="M735" s="152">
        <f t="shared" si="11"/>
        <v>0</v>
      </c>
      <c r="N735" s="148"/>
      <c r="O735" s="150">
        <v>8166211</v>
      </c>
      <c r="P735" s="149" t="s">
        <v>48</v>
      </c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</row>
    <row r="736" spans="1:27">
      <c r="A736" s="147">
        <v>1935</v>
      </c>
      <c r="B736" s="147" t="s">
        <v>60</v>
      </c>
      <c r="C736" s="147" t="s">
        <v>53</v>
      </c>
      <c r="D736" s="148" t="s">
        <v>53</v>
      </c>
      <c r="E736" s="148" t="s">
        <v>30</v>
      </c>
      <c r="F736" s="149">
        <v>2025</v>
      </c>
      <c r="G736" s="148" t="s">
        <v>34</v>
      </c>
      <c r="H736" s="149">
        <v>694</v>
      </c>
      <c r="I736" s="150">
        <v>862039</v>
      </c>
      <c r="J736" s="150">
        <v>8100</v>
      </c>
      <c r="K736" s="150">
        <v>24461096</v>
      </c>
      <c r="L736" s="152"/>
      <c r="M736" s="152">
        <f t="shared" si="11"/>
        <v>0</v>
      </c>
      <c r="N736" s="148"/>
      <c r="O736" s="150">
        <v>7389424</v>
      </c>
      <c r="P736" s="149" t="s">
        <v>48</v>
      </c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</row>
    <row r="737" spans="1:27">
      <c r="A737" s="147">
        <v>1936</v>
      </c>
      <c r="B737" s="147" t="s">
        <v>60</v>
      </c>
      <c r="C737" s="147" t="s">
        <v>53</v>
      </c>
      <c r="D737" s="148" t="s">
        <v>53</v>
      </c>
      <c r="E737" s="148" t="s">
        <v>30</v>
      </c>
      <c r="F737" s="149">
        <v>2025</v>
      </c>
      <c r="G737" s="148" t="s">
        <v>35</v>
      </c>
      <c r="H737" s="149">
        <v>484</v>
      </c>
      <c r="I737" s="150">
        <v>868963</v>
      </c>
      <c r="J737" s="150">
        <v>6924</v>
      </c>
      <c r="K737" s="150">
        <v>21330713</v>
      </c>
      <c r="L737" s="152"/>
      <c r="M737" s="152">
        <f t="shared" si="11"/>
        <v>0</v>
      </c>
      <c r="N737" s="148"/>
      <c r="O737" s="150">
        <v>5629262</v>
      </c>
      <c r="P737" s="149" t="s">
        <v>48</v>
      </c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</row>
    <row r="738" spans="1:27">
      <c r="A738" s="147">
        <v>1937</v>
      </c>
      <c r="B738" s="147" t="s">
        <v>60</v>
      </c>
      <c r="C738" s="147" t="s">
        <v>53</v>
      </c>
      <c r="D738" s="148" t="s">
        <v>53</v>
      </c>
      <c r="E738" s="148" t="s">
        <v>30</v>
      </c>
      <c r="F738" s="149">
        <v>2025</v>
      </c>
      <c r="G738" s="148" t="s">
        <v>36</v>
      </c>
      <c r="H738" s="149">
        <v>627</v>
      </c>
      <c r="I738" s="150">
        <v>875153</v>
      </c>
      <c r="J738" s="150">
        <v>6190</v>
      </c>
      <c r="K738" s="150">
        <v>27549060</v>
      </c>
      <c r="L738" s="152"/>
      <c r="M738" s="152">
        <f t="shared" si="11"/>
        <v>0</v>
      </c>
      <c r="N738" s="148"/>
      <c r="O738" s="150">
        <v>6946875</v>
      </c>
      <c r="P738" s="149" t="s">
        <v>48</v>
      </c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</row>
    <row r="739" spans="1:27">
      <c r="A739" s="147">
        <v>1938</v>
      </c>
      <c r="B739" s="147" t="s">
        <v>60</v>
      </c>
      <c r="C739" s="147" t="s">
        <v>53</v>
      </c>
      <c r="D739" s="148" t="s">
        <v>53</v>
      </c>
      <c r="E739" s="148" t="s">
        <v>30</v>
      </c>
      <c r="F739" s="149">
        <v>2025</v>
      </c>
      <c r="G739" s="148" t="s">
        <v>37</v>
      </c>
      <c r="H739" s="149">
        <v>783</v>
      </c>
      <c r="I739" s="150">
        <v>882091</v>
      </c>
      <c r="J739" s="150">
        <v>6938</v>
      </c>
      <c r="K739" s="150">
        <v>27510026</v>
      </c>
      <c r="L739" s="152"/>
      <c r="M739" s="152">
        <f t="shared" si="11"/>
        <v>0</v>
      </c>
      <c r="N739" s="148"/>
      <c r="O739" s="150">
        <v>5334053</v>
      </c>
      <c r="P739" s="149" t="s">
        <v>48</v>
      </c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</row>
    <row r="740" spans="1:27">
      <c r="A740" s="147">
        <v>1939</v>
      </c>
      <c r="B740" s="147" t="s">
        <v>60</v>
      </c>
      <c r="C740" s="147" t="s">
        <v>53</v>
      </c>
      <c r="D740" s="148" t="s">
        <v>53</v>
      </c>
      <c r="E740" s="148" t="s">
        <v>30</v>
      </c>
      <c r="F740" s="149">
        <v>2025</v>
      </c>
      <c r="G740" s="148" t="s">
        <v>38</v>
      </c>
      <c r="H740" s="149">
        <v>758</v>
      </c>
      <c r="I740" s="150">
        <v>885269</v>
      </c>
      <c r="J740" s="150">
        <v>9127</v>
      </c>
      <c r="K740" s="150">
        <v>33464165</v>
      </c>
      <c r="L740" s="152"/>
      <c r="M740" s="152">
        <f t="shared" si="11"/>
        <v>0</v>
      </c>
      <c r="N740" s="148"/>
      <c r="O740" s="150">
        <v>6946875</v>
      </c>
      <c r="P740" s="150">
        <v>781356</v>
      </c>
      <c r="Q740" s="154">
        <v>0.635</v>
      </c>
      <c r="R740" s="154">
        <v>0.365</v>
      </c>
      <c r="S740" s="148"/>
      <c r="T740" s="148" t="s">
        <v>44</v>
      </c>
      <c r="U740" s="154">
        <v>0.087</v>
      </c>
      <c r="V740" s="154">
        <v>0.378</v>
      </c>
      <c r="W740" s="154">
        <v>0.33</v>
      </c>
      <c r="X740" s="154">
        <v>0.138</v>
      </c>
      <c r="Y740" s="154">
        <v>0.042</v>
      </c>
      <c r="Z740" s="154">
        <v>0.025</v>
      </c>
      <c r="AA740" s="148" t="s">
        <v>45</v>
      </c>
    </row>
    <row r="741" spans="1:27">
      <c r="A741" s="147">
        <v>1940</v>
      </c>
      <c r="B741" s="147" t="s">
        <v>60</v>
      </c>
      <c r="C741" s="147" t="s">
        <v>53</v>
      </c>
      <c r="D741" s="148" t="s">
        <v>53</v>
      </c>
      <c r="E741" s="148" t="s">
        <v>30</v>
      </c>
      <c r="F741" s="149">
        <v>2025</v>
      </c>
      <c r="G741" s="148" t="s">
        <v>39</v>
      </c>
      <c r="H741" s="149">
        <v>795</v>
      </c>
      <c r="I741" s="150">
        <v>897680</v>
      </c>
      <c r="J741" s="150">
        <v>15605</v>
      </c>
      <c r="K741" s="150">
        <v>50810249</v>
      </c>
      <c r="L741" s="152"/>
      <c r="M741" s="152">
        <f t="shared" si="11"/>
        <v>0</v>
      </c>
      <c r="N741" s="148"/>
      <c r="O741" s="150">
        <v>11500330</v>
      </c>
      <c r="P741" s="150">
        <v>1140161</v>
      </c>
      <c r="Q741" s="154">
        <v>0.638</v>
      </c>
      <c r="R741" s="154">
        <v>0.362</v>
      </c>
      <c r="S741" s="148"/>
      <c r="T741" s="148"/>
      <c r="U741" s="154">
        <v>0.084</v>
      </c>
      <c r="V741" s="154">
        <v>0.378</v>
      </c>
      <c r="W741" s="154">
        <v>0.332</v>
      </c>
      <c r="X741" s="154">
        <v>0.14</v>
      </c>
      <c r="Y741" s="154">
        <v>0.042</v>
      </c>
      <c r="Z741" s="154">
        <v>0.024</v>
      </c>
      <c r="AA741" s="148" t="s">
        <v>45</v>
      </c>
    </row>
    <row r="742" spans="1:27">
      <c r="A742" s="147">
        <v>1941</v>
      </c>
      <c r="B742" s="147" t="s">
        <v>60</v>
      </c>
      <c r="C742" s="147" t="s">
        <v>53</v>
      </c>
      <c r="D742" s="148" t="s">
        <v>53</v>
      </c>
      <c r="E742" s="148" t="s">
        <v>30</v>
      </c>
      <c r="F742" s="149">
        <v>2025</v>
      </c>
      <c r="G742" s="148" t="s">
        <v>40</v>
      </c>
      <c r="H742" s="149">
        <v>966</v>
      </c>
      <c r="I742" s="150">
        <v>903214</v>
      </c>
      <c r="J742" s="150">
        <v>10005</v>
      </c>
      <c r="K742" s="150">
        <v>51123361</v>
      </c>
      <c r="L742" s="152"/>
      <c r="M742" s="152">
        <f t="shared" si="11"/>
        <v>0</v>
      </c>
      <c r="N742" s="148"/>
      <c r="O742" s="150">
        <v>8246472</v>
      </c>
      <c r="P742" s="150">
        <v>779424</v>
      </c>
      <c r="Q742" s="154">
        <v>0.638</v>
      </c>
      <c r="R742" s="154">
        <v>0.362</v>
      </c>
      <c r="S742" s="148"/>
      <c r="T742" s="148"/>
      <c r="U742" s="154">
        <v>0.082</v>
      </c>
      <c r="V742" s="154">
        <v>0.376</v>
      </c>
      <c r="W742" s="154">
        <v>0.333</v>
      </c>
      <c r="X742" s="154">
        <v>0.142</v>
      </c>
      <c r="Y742" s="154">
        <v>0.043</v>
      </c>
      <c r="Z742" s="154">
        <v>0.024</v>
      </c>
      <c r="AA742" s="148" t="s">
        <v>45</v>
      </c>
    </row>
    <row r="743" spans="1:27">
      <c r="A743" s="147">
        <v>1942</v>
      </c>
      <c r="B743" s="147" t="s">
        <v>60</v>
      </c>
      <c r="C743" s="147" t="s">
        <v>53</v>
      </c>
      <c r="D743" s="148" t="s">
        <v>53</v>
      </c>
      <c r="E743" s="148" t="s">
        <v>30</v>
      </c>
      <c r="F743" s="149">
        <v>2025</v>
      </c>
      <c r="G743" s="148" t="s">
        <v>41</v>
      </c>
      <c r="H743" s="149">
        <v>339</v>
      </c>
      <c r="I743" s="150">
        <v>916828</v>
      </c>
      <c r="J743" s="150">
        <v>17604</v>
      </c>
      <c r="K743" s="150">
        <v>62089888</v>
      </c>
      <c r="L743" s="152"/>
      <c r="M743" s="152">
        <f t="shared" si="11"/>
        <v>0</v>
      </c>
      <c r="N743" s="148"/>
      <c r="O743" s="150">
        <v>11565837</v>
      </c>
      <c r="P743" s="150">
        <v>1423397</v>
      </c>
      <c r="Q743" s="154">
        <v>0.636</v>
      </c>
      <c r="R743" s="154">
        <v>0.364</v>
      </c>
      <c r="S743" s="148"/>
      <c r="T743" s="148"/>
      <c r="U743" s="154">
        <v>0.078</v>
      </c>
      <c r="V743" s="154">
        <v>0.373</v>
      </c>
      <c r="W743" s="154">
        <v>0.334</v>
      </c>
      <c r="X743" s="154">
        <v>0.145</v>
      </c>
      <c r="Y743" s="154">
        <v>0.044</v>
      </c>
      <c r="Z743" s="154">
        <v>0.026</v>
      </c>
      <c r="AA743" s="148" t="s">
        <v>45</v>
      </c>
    </row>
    <row r="744" spans="1:27">
      <c r="A744" s="147">
        <v>1943</v>
      </c>
      <c r="B744" s="147" t="s">
        <v>60</v>
      </c>
      <c r="C744" s="147" t="s">
        <v>53</v>
      </c>
      <c r="D744" s="148" t="s">
        <v>53</v>
      </c>
      <c r="E744" s="148" t="s">
        <v>30</v>
      </c>
      <c r="F744" s="149">
        <v>2025</v>
      </c>
      <c r="G744" s="148" t="s">
        <v>42</v>
      </c>
      <c r="H744" s="148"/>
      <c r="I744" s="150">
        <v>928693</v>
      </c>
      <c r="J744" s="150">
        <v>15559</v>
      </c>
      <c r="K744" s="150">
        <v>45439368</v>
      </c>
      <c r="L744" s="152"/>
      <c r="M744" s="152">
        <f t="shared" si="11"/>
        <v>0</v>
      </c>
      <c r="N744" s="148"/>
      <c r="O744" s="150">
        <v>8153486</v>
      </c>
      <c r="P744" s="150">
        <v>1093967</v>
      </c>
      <c r="Q744" s="154">
        <v>0.636</v>
      </c>
      <c r="R744" s="154">
        <v>0.364</v>
      </c>
      <c r="S744" s="148"/>
      <c r="T744" s="148"/>
      <c r="U744" s="154">
        <v>0.077</v>
      </c>
      <c r="V744" s="154">
        <v>0.37</v>
      </c>
      <c r="W744" s="154">
        <v>0.335</v>
      </c>
      <c r="X744" s="154">
        <v>0.146</v>
      </c>
      <c r="Y744" s="154">
        <v>0.046</v>
      </c>
      <c r="Z744" s="154">
        <v>0.026</v>
      </c>
      <c r="AA744" s="148" t="s">
        <v>45</v>
      </c>
    </row>
    <row r="745" spans="1:27">
      <c r="A745" s="147">
        <v>1944</v>
      </c>
      <c r="B745" s="147" t="s">
        <v>60</v>
      </c>
      <c r="C745" s="147" t="s">
        <v>53</v>
      </c>
      <c r="D745" s="148" t="s">
        <v>53</v>
      </c>
      <c r="E745" s="148" t="s">
        <v>30</v>
      </c>
      <c r="F745" s="149">
        <v>2025</v>
      </c>
      <c r="G745" s="148" t="s">
        <v>43</v>
      </c>
      <c r="H745" s="150">
        <v>1226</v>
      </c>
      <c r="I745" s="150">
        <v>942494</v>
      </c>
      <c r="J745" s="150">
        <v>18823</v>
      </c>
      <c r="K745" s="150">
        <v>64123829</v>
      </c>
      <c r="L745" s="152"/>
      <c r="M745" s="152">
        <f t="shared" si="11"/>
        <v>0</v>
      </c>
      <c r="N745" s="148"/>
      <c r="O745" s="150">
        <v>9996037</v>
      </c>
      <c r="P745" s="150">
        <v>1485914</v>
      </c>
      <c r="Q745" s="154">
        <v>0.637</v>
      </c>
      <c r="R745" s="154">
        <v>0.363</v>
      </c>
      <c r="S745" s="148"/>
      <c r="T745" s="148"/>
      <c r="U745" s="154">
        <v>0.073</v>
      </c>
      <c r="V745" s="154">
        <v>0.368</v>
      </c>
      <c r="W745" s="154">
        <v>0.337</v>
      </c>
      <c r="X745" s="154">
        <v>0.15</v>
      </c>
      <c r="Y745" s="154">
        <v>0.046</v>
      </c>
      <c r="Z745" s="154">
        <v>0.026</v>
      </c>
      <c r="AA745" s="148" t="s">
        <v>45</v>
      </c>
    </row>
    <row r="746" spans="1:27">
      <c r="A746" s="147">
        <v>1945</v>
      </c>
      <c r="B746" s="147" t="s">
        <v>60</v>
      </c>
      <c r="C746" s="147" t="s">
        <v>53</v>
      </c>
      <c r="D746" s="148" t="s">
        <v>53</v>
      </c>
      <c r="E746" s="148" t="s">
        <v>30</v>
      </c>
      <c r="F746" s="149">
        <v>2026</v>
      </c>
      <c r="G746" s="148" t="s">
        <v>31</v>
      </c>
      <c r="H746" s="150">
        <v>1001</v>
      </c>
      <c r="I746" s="150">
        <v>953502</v>
      </c>
      <c r="J746" s="150">
        <v>13979</v>
      </c>
      <c r="K746" s="150">
        <v>62304917</v>
      </c>
      <c r="L746" s="152"/>
      <c r="M746" s="152">
        <f t="shared" si="11"/>
        <v>0</v>
      </c>
      <c r="N746" s="148"/>
      <c r="O746" s="150">
        <v>9910055</v>
      </c>
      <c r="P746" s="150">
        <v>1272069</v>
      </c>
      <c r="Q746" s="154">
        <v>0.637</v>
      </c>
      <c r="R746" s="154">
        <v>0.363</v>
      </c>
      <c r="S746" s="148"/>
      <c r="T746" s="148"/>
      <c r="U746" s="154">
        <v>0.072</v>
      </c>
      <c r="V746" s="154">
        <v>0.364</v>
      </c>
      <c r="W746" s="154">
        <v>0.338</v>
      </c>
      <c r="X746" s="154">
        <v>0.152</v>
      </c>
      <c r="Y746" s="154">
        <v>0.048</v>
      </c>
      <c r="Z746" s="154">
        <v>0.026</v>
      </c>
      <c r="AA746" s="148" t="s">
        <v>45</v>
      </c>
    </row>
    <row r="747" spans="1:27">
      <c r="A747" s="147">
        <v>1946</v>
      </c>
      <c r="B747" s="147" t="s">
        <v>60</v>
      </c>
      <c r="C747" s="147" t="s">
        <v>53</v>
      </c>
      <c r="D747" s="148" t="s">
        <v>53</v>
      </c>
      <c r="E747" s="148" t="s">
        <v>30</v>
      </c>
      <c r="F747" s="149">
        <v>2026</v>
      </c>
      <c r="G747" s="148" t="s">
        <v>33</v>
      </c>
      <c r="H747" s="150">
        <v>1026</v>
      </c>
      <c r="I747" s="150">
        <v>961768</v>
      </c>
      <c r="J747" s="150">
        <v>12567</v>
      </c>
      <c r="K747" s="150">
        <v>67439421</v>
      </c>
      <c r="L747" s="152"/>
      <c r="M747" s="152">
        <f t="shared" si="11"/>
        <v>0</v>
      </c>
      <c r="N747" s="148"/>
      <c r="O747" s="150">
        <v>11246265</v>
      </c>
      <c r="P747" s="150">
        <v>1543835</v>
      </c>
      <c r="Q747" s="154">
        <v>0.637</v>
      </c>
      <c r="R747" s="154">
        <v>0.363</v>
      </c>
      <c r="S747" s="148"/>
      <c r="T747" s="148"/>
      <c r="U747" s="154">
        <v>0.071</v>
      </c>
      <c r="V747" s="154">
        <v>0.362</v>
      </c>
      <c r="W747" s="154">
        <v>0.339</v>
      </c>
      <c r="X747" s="154">
        <v>0.153</v>
      </c>
      <c r="Y747" s="154">
        <v>0.049</v>
      </c>
      <c r="Z747" s="154">
        <v>0.026</v>
      </c>
      <c r="AA747" s="148" t="s">
        <v>45</v>
      </c>
    </row>
    <row r="748" spans="1:27">
      <c r="A748" s="147">
        <v>1947</v>
      </c>
      <c r="B748" s="147" t="s">
        <v>60</v>
      </c>
      <c r="C748" s="147" t="s">
        <v>53</v>
      </c>
      <c r="D748" s="148" t="s">
        <v>53</v>
      </c>
      <c r="E748" s="148" t="s">
        <v>30</v>
      </c>
      <c r="F748" s="149">
        <v>2026</v>
      </c>
      <c r="G748" s="148" t="s">
        <v>34</v>
      </c>
      <c r="H748" s="149">
        <v>969</v>
      </c>
      <c r="I748" s="150">
        <v>971234</v>
      </c>
      <c r="J748" s="150">
        <v>14004</v>
      </c>
      <c r="K748" s="150">
        <v>76380641</v>
      </c>
      <c r="L748" s="152"/>
      <c r="M748" s="152">
        <f t="shared" si="11"/>
        <v>0</v>
      </c>
      <c r="N748" s="148"/>
      <c r="O748" s="150">
        <v>12774312</v>
      </c>
      <c r="P748" s="150">
        <v>2379826</v>
      </c>
      <c r="Q748" s="154">
        <v>0.639</v>
      </c>
      <c r="R748" s="154">
        <v>0.361</v>
      </c>
      <c r="S748" s="148"/>
      <c r="T748" s="148"/>
      <c r="U748" s="154">
        <v>0.07</v>
      </c>
      <c r="V748" s="154">
        <v>0.36</v>
      </c>
      <c r="W748" s="154">
        <v>0.34</v>
      </c>
      <c r="X748" s="154">
        <v>0.155</v>
      </c>
      <c r="Y748" s="154">
        <v>0.049</v>
      </c>
      <c r="Z748" s="154">
        <v>0.026</v>
      </c>
      <c r="AA748" s="148" t="s">
        <v>45</v>
      </c>
    </row>
    <row r="749" spans="1:27">
      <c r="A749" s="147">
        <v>1948</v>
      </c>
      <c r="B749" s="147" t="s">
        <v>60</v>
      </c>
      <c r="C749" s="147" t="s">
        <v>53</v>
      </c>
      <c r="D749" s="148" t="s">
        <v>53</v>
      </c>
      <c r="E749" s="148" t="s">
        <v>30</v>
      </c>
      <c r="F749" s="149">
        <v>2026</v>
      </c>
      <c r="G749" s="148" t="s">
        <v>35</v>
      </c>
      <c r="H749" s="150">
        <v>1053</v>
      </c>
      <c r="I749" s="150">
        <v>986552</v>
      </c>
      <c r="J749" s="150">
        <v>19610</v>
      </c>
      <c r="K749" s="150">
        <v>76573944</v>
      </c>
      <c r="L749" s="152"/>
      <c r="M749" s="152">
        <f t="shared" si="11"/>
        <v>0</v>
      </c>
      <c r="N749" s="148"/>
      <c r="O749" s="150">
        <v>15131429</v>
      </c>
      <c r="P749" s="150">
        <v>2129800</v>
      </c>
      <c r="Q749" s="154">
        <v>0.637</v>
      </c>
      <c r="R749" s="154">
        <v>0.363</v>
      </c>
      <c r="S749" s="148"/>
      <c r="T749" s="148"/>
      <c r="U749" s="154">
        <v>0.07</v>
      </c>
      <c r="V749" s="154">
        <v>0.357</v>
      </c>
      <c r="W749" s="154">
        <v>0.34</v>
      </c>
      <c r="X749" s="154">
        <v>0.155</v>
      </c>
      <c r="Y749" s="154">
        <v>0.051</v>
      </c>
      <c r="Z749" s="154">
        <v>0.027</v>
      </c>
      <c r="AA749" s="148" t="s">
        <v>45</v>
      </c>
    </row>
    <row r="750" spans="1:27">
      <c r="A750" s="147">
        <v>1949</v>
      </c>
      <c r="B750" s="147" t="s">
        <v>60</v>
      </c>
      <c r="C750" s="147" t="s">
        <v>53</v>
      </c>
      <c r="D750" s="148" t="s">
        <v>53</v>
      </c>
      <c r="E750" s="148" t="s">
        <v>30</v>
      </c>
      <c r="F750" s="149">
        <v>2026</v>
      </c>
      <c r="G750" s="148" t="s">
        <v>36</v>
      </c>
      <c r="H750" s="149">
        <v>986</v>
      </c>
      <c r="I750" s="150">
        <v>990827</v>
      </c>
      <c r="J750" s="150">
        <v>24234</v>
      </c>
      <c r="K750" s="150">
        <v>83702723</v>
      </c>
      <c r="L750" s="152"/>
      <c r="M750" s="152">
        <f t="shared" si="11"/>
        <v>0</v>
      </c>
      <c r="N750" s="148"/>
      <c r="O750" s="150">
        <v>19893987</v>
      </c>
      <c r="P750" s="150">
        <v>3064628</v>
      </c>
      <c r="Q750" s="154">
        <v>0.64</v>
      </c>
      <c r="R750" s="154">
        <v>0.36</v>
      </c>
      <c r="S750" s="148"/>
      <c r="T750" s="148"/>
      <c r="U750" s="154">
        <v>0.069</v>
      </c>
      <c r="V750" s="154">
        <v>0.355</v>
      </c>
      <c r="W750" s="154">
        <v>0.34</v>
      </c>
      <c r="X750" s="154">
        <v>0.158</v>
      </c>
      <c r="Y750" s="154">
        <v>0.051</v>
      </c>
      <c r="Z750" s="154">
        <v>0.027</v>
      </c>
      <c r="AA750" s="148" t="s">
        <v>45</v>
      </c>
    </row>
    <row r="751" spans="1:27">
      <c r="A751" s="147">
        <v>1950</v>
      </c>
      <c r="B751" s="147" t="s">
        <v>60</v>
      </c>
      <c r="C751" s="147" t="s">
        <v>53</v>
      </c>
      <c r="D751" s="148" t="s">
        <v>53</v>
      </c>
      <c r="E751" s="148" t="s">
        <v>30</v>
      </c>
      <c r="F751" s="149">
        <v>2026</v>
      </c>
      <c r="G751" s="148" t="s">
        <v>37</v>
      </c>
      <c r="H751" s="150">
        <v>1007</v>
      </c>
      <c r="I751" s="150">
        <v>1019359</v>
      </c>
      <c r="J751" s="150">
        <v>35166</v>
      </c>
      <c r="K751" s="150">
        <v>136504278</v>
      </c>
      <c r="L751" s="152"/>
      <c r="M751" s="152">
        <f t="shared" si="11"/>
        <v>0</v>
      </c>
      <c r="N751" s="148"/>
      <c r="O751" s="150">
        <v>32088128</v>
      </c>
      <c r="P751" s="150">
        <v>5381128</v>
      </c>
      <c r="Q751" s="154">
        <v>0.639</v>
      </c>
      <c r="R751" s="154">
        <v>0.361</v>
      </c>
      <c r="S751" s="148"/>
      <c r="T751" s="148"/>
      <c r="U751" s="154">
        <v>0.07</v>
      </c>
      <c r="V751" s="154">
        <v>0.352</v>
      </c>
      <c r="W751" s="154">
        <v>0.339</v>
      </c>
      <c r="X751" s="154">
        <v>0.159</v>
      </c>
      <c r="Y751" s="154">
        <v>0.053</v>
      </c>
      <c r="Z751" s="154">
        <v>0.027</v>
      </c>
      <c r="AA751" s="148" t="s">
        <v>45</v>
      </c>
    </row>
    <row r="752" spans="1:27">
      <c r="A752" s="147">
        <v>1951</v>
      </c>
      <c r="B752" s="147" t="s">
        <v>60</v>
      </c>
      <c r="C752" s="147" t="s">
        <v>53</v>
      </c>
      <c r="D752" s="148" t="s">
        <v>53</v>
      </c>
      <c r="E752" s="148" t="s">
        <v>30</v>
      </c>
      <c r="F752" s="149">
        <v>2026</v>
      </c>
      <c r="G752" s="148" t="s">
        <v>38</v>
      </c>
      <c r="H752" s="150">
        <v>1151</v>
      </c>
      <c r="I752" s="150">
        <v>1056545</v>
      </c>
      <c r="J752" s="150">
        <v>44723</v>
      </c>
      <c r="K752" s="150">
        <v>162736155</v>
      </c>
      <c r="L752" s="152"/>
      <c r="M752" s="152">
        <f t="shared" si="11"/>
        <v>0</v>
      </c>
      <c r="N752" s="148"/>
      <c r="O752" s="150">
        <v>36669765</v>
      </c>
      <c r="P752" s="150">
        <v>5361041</v>
      </c>
      <c r="Q752" s="154">
        <v>0.639</v>
      </c>
      <c r="R752" s="154">
        <v>0.361</v>
      </c>
      <c r="S752" s="148"/>
      <c r="T752" s="148"/>
      <c r="U752" s="154">
        <v>0.071</v>
      </c>
      <c r="V752" s="154">
        <v>0.348</v>
      </c>
      <c r="W752" s="154">
        <v>0.337</v>
      </c>
      <c r="X752" s="154">
        <v>0.162</v>
      </c>
      <c r="Y752" s="154">
        <v>0.055</v>
      </c>
      <c r="Z752" s="154">
        <v>0.027</v>
      </c>
      <c r="AA752" s="148" t="s">
        <v>45</v>
      </c>
    </row>
    <row r="753" spans="1:27">
      <c r="A753" s="147">
        <v>1952</v>
      </c>
      <c r="B753" s="147" t="s">
        <v>60</v>
      </c>
      <c r="C753" s="147" t="s">
        <v>53</v>
      </c>
      <c r="D753" s="148" t="s">
        <v>53</v>
      </c>
      <c r="E753" s="148" t="s">
        <v>30</v>
      </c>
      <c r="F753" s="149">
        <v>2026</v>
      </c>
      <c r="G753" s="148" t="s">
        <v>39</v>
      </c>
      <c r="H753" s="148"/>
      <c r="I753" s="148"/>
      <c r="J753" s="148"/>
      <c r="K753" s="148"/>
      <c r="L753" s="152"/>
      <c r="M753" s="152">
        <f t="shared" si="11"/>
        <v>0</v>
      </c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</row>
    <row r="754" spans="1:27">
      <c r="A754" s="147">
        <v>1953</v>
      </c>
      <c r="B754" s="147" t="s">
        <v>60</v>
      </c>
      <c r="C754" s="147" t="s">
        <v>53</v>
      </c>
      <c r="D754" s="148" t="s">
        <v>53</v>
      </c>
      <c r="E754" s="148" t="s">
        <v>30</v>
      </c>
      <c r="F754" s="149">
        <v>2026</v>
      </c>
      <c r="G754" s="148" t="s">
        <v>40</v>
      </c>
      <c r="H754" s="148"/>
      <c r="I754" s="148"/>
      <c r="J754" s="148"/>
      <c r="K754" s="148"/>
      <c r="L754" s="152"/>
      <c r="M754" s="152">
        <f t="shared" si="11"/>
        <v>0</v>
      </c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</row>
    <row r="755" spans="1:27">
      <c r="A755" s="147">
        <v>1954</v>
      </c>
      <c r="B755" s="147" t="s">
        <v>60</v>
      </c>
      <c r="C755" s="147" t="s">
        <v>53</v>
      </c>
      <c r="D755" s="148" t="s">
        <v>53</v>
      </c>
      <c r="E755" s="148" t="s">
        <v>30</v>
      </c>
      <c r="F755" s="149">
        <v>2026</v>
      </c>
      <c r="G755" s="148" t="s">
        <v>41</v>
      </c>
      <c r="H755" s="148"/>
      <c r="I755" s="148"/>
      <c r="J755" s="148"/>
      <c r="K755" s="148"/>
      <c r="L755" s="152"/>
      <c r="M755" s="152">
        <f t="shared" si="11"/>
        <v>0</v>
      </c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</row>
    <row r="756" spans="1:27">
      <c r="A756" s="147">
        <v>1955</v>
      </c>
      <c r="B756" s="147" t="s">
        <v>60</v>
      </c>
      <c r="C756" s="147" t="s">
        <v>53</v>
      </c>
      <c r="D756" s="148" t="s">
        <v>53</v>
      </c>
      <c r="E756" s="148" t="s">
        <v>30</v>
      </c>
      <c r="F756" s="149">
        <v>2026</v>
      </c>
      <c r="G756" s="148" t="s">
        <v>42</v>
      </c>
      <c r="H756" s="148"/>
      <c r="I756" s="148"/>
      <c r="J756" s="148"/>
      <c r="K756" s="148"/>
      <c r="L756" s="152"/>
      <c r="M756" s="152">
        <f t="shared" si="11"/>
        <v>0</v>
      </c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</row>
    <row r="757" spans="1:27">
      <c r="A757" s="147">
        <v>1956</v>
      </c>
      <c r="B757" s="147" t="s">
        <v>60</v>
      </c>
      <c r="C757" s="147" t="s">
        <v>53</v>
      </c>
      <c r="D757" s="148" t="s">
        <v>53</v>
      </c>
      <c r="E757" s="148" t="s">
        <v>30</v>
      </c>
      <c r="F757" s="149">
        <v>2026</v>
      </c>
      <c r="G757" s="148" t="s">
        <v>43</v>
      </c>
      <c r="H757" s="148"/>
      <c r="I757" s="148"/>
      <c r="J757" s="148"/>
      <c r="K757" s="148"/>
      <c r="L757" s="152"/>
      <c r="M757" s="152">
        <f t="shared" si="11"/>
        <v>0</v>
      </c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</row>
    <row r="758" spans="1:27">
      <c r="A758" s="147">
        <v>1969</v>
      </c>
      <c r="B758" s="147" t="s">
        <v>60</v>
      </c>
      <c r="C758" s="147" t="s">
        <v>53</v>
      </c>
      <c r="D758" s="148" t="s">
        <v>63</v>
      </c>
      <c r="E758" s="148" t="s">
        <v>30</v>
      </c>
      <c r="F758" s="149">
        <v>2024</v>
      </c>
      <c r="G758" s="148" t="s">
        <v>31</v>
      </c>
      <c r="H758" s="149">
        <v>67</v>
      </c>
      <c r="I758" s="148" t="s">
        <v>44</v>
      </c>
      <c r="J758" s="148" t="s">
        <v>61</v>
      </c>
      <c r="K758" s="148" t="s">
        <v>61</v>
      </c>
      <c r="L758" s="152"/>
      <c r="M758" s="152">
        <f t="shared" si="11"/>
        <v>0</v>
      </c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</row>
    <row r="759" spans="1:27">
      <c r="A759" s="147">
        <v>1970</v>
      </c>
      <c r="B759" s="147" t="s">
        <v>60</v>
      </c>
      <c r="C759" s="147" t="s">
        <v>53</v>
      </c>
      <c r="D759" s="148" t="s">
        <v>63</v>
      </c>
      <c r="E759" s="148" t="s">
        <v>30</v>
      </c>
      <c r="F759" s="149">
        <v>2024</v>
      </c>
      <c r="G759" s="148" t="s">
        <v>33</v>
      </c>
      <c r="H759" s="149">
        <v>66</v>
      </c>
      <c r="I759" s="148" t="s">
        <v>44</v>
      </c>
      <c r="J759" s="148" t="s">
        <v>61</v>
      </c>
      <c r="K759" s="148" t="s">
        <v>61</v>
      </c>
      <c r="L759" s="152"/>
      <c r="M759" s="152">
        <f t="shared" si="11"/>
        <v>0</v>
      </c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</row>
    <row r="760" spans="1:27">
      <c r="A760" s="147">
        <v>1971</v>
      </c>
      <c r="B760" s="147" t="s">
        <v>60</v>
      </c>
      <c r="C760" s="147" t="s">
        <v>53</v>
      </c>
      <c r="D760" s="148" t="s">
        <v>63</v>
      </c>
      <c r="E760" s="148" t="s">
        <v>30</v>
      </c>
      <c r="F760" s="149">
        <v>2024</v>
      </c>
      <c r="G760" s="148" t="s">
        <v>34</v>
      </c>
      <c r="H760" s="149">
        <v>63</v>
      </c>
      <c r="I760" s="148" t="s">
        <v>44</v>
      </c>
      <c r="J760" s="148" t="s">
        <v>61</v>
      </c>
      <c r="K760" s="148" t="s">
        <v>61</v>
      </c>
      <c r="L760" s="152"/>
      <c r="M760" s="152">
        <f t="shared" si="11"/>
        <v>0</v>
      </c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</row>
    <row r="761" spans="1:27">
      <c r="A761" s="147">
        <v>1972</v>
      </c>
      <c r="B761" s="147" t="s">
        <v>60</v>
      </c>
      <c r="C761" s="147" t="s">
        <v>53</v>
      </c>
      <c r="D761" s="148" t="s">
        <v>63</v>
      </c>
      <c r="E761" s="148" t="s">
        <v>30</v>
      </c>
      <c r="F761" s="149">
        <v>2024</v>
      </c>
      <c r="G761" s="148" t="s">
        <v>35</v>
      </c>
      <c r="H761" s="149">
        <v>63</v>
      </c>
      <c r="I761" s="148" t="s">
        <v>44</v>
      </c>
      <c r="J761" s="148" t="s">
        <v>61</v>
      </c>
      <c r="K761" s="148" t="s">
        <v>61</v>
      </c>
      <c r="L761" s="152"/>
      <c r="M761" s="152">
        <f t="shared" si="11"/>
        <v>0</v>
      </c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</row>
    <row r="762" spans="1:27">
      <c r="A762" s="147">
        <v>1973</v>
      </c>
      <c r="B762" s="147" t="s">
        <v>60</v>
      </c>
      <c r="C762" s="147" t="s">
        <v>53</v>
      </c>
      <c r="D762" s="148" t="s">
        <v>63</v>
      </c>
      <c r="E762" s="148" t="s">
        <v>30</v>
      </c>
      <c r="F762" s="149">
        <v>2024</v>
      </c>
      <c r="G762" s="148" t="s">
        <v>36</v>
      </c>
      <c r="H762" s="149">
        <v>46</v>
      </c>
      <c r="I762" s="148" t="s">
        <v>44</v>
      </c>
      <c r="J762" s="148" t="s">
        <v>61</v>
      </c>
      <c r="K762" s="148" t="s">
        <v>61</v>
      </c>
      <c r="L762" s="152"/>
      <c r="M762" s="152">
        <f t="shared" si="11"/>
        <v>0</v>
      </c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</row>
    <row r="763" spans="1:27">
      <c r="A763" s="147">
        <v>1974</v>
      </c>
      <c r="B763" s="147" t="s">
        <v>60</v>
      </c>
      <c r="C763" s="147" t="s">
        <v>53</v>
      </c>
      <c r="D763" s="148" t="s">
        <v>63</v>
      </c>
      <c r="E763" s="148" t="s">
        <v>30</v>
      </c>
      <c r="F763" s="149">
        <v>2024</v>
      </c>
      <c r="G763" s="148" t="s">
        <v>37</v>
      </c>
      <c r="H763" s="149">
        <v>18</v>
      </c>
      <c r="I763" s="148" t="s">
        <v>44</v>
      </c>
      <c r="J763" s="148" t="s">
        <v>61</v>
      </c>
      <c r="K763" s="148" t="s">
        <v>61</v>
      </c>
      <c r="L763" s="152"/>
      <c r="M763" s="152">
        <f t="shared" si="11"/>
        <v>0</v>
      </c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</row>
    <row r="764" spans="1:27">
      <c r="A764" s="147">
        <v>1975</v>
      </c>
      <c r="B764" s="147" t="s">
        <v>60</v>
      </c>
      <c r="C764" s="147" t="s">
        <v>53</v>
      </c>
      <c r="D764" s="148" t="s">
        <v>63</v>
      </c>
      <c r="E764" s="148" t="s">
        <v>30</v>
      </c>
      <c r="F764" s="149">
        <v>2024</v>
      </c>
      <c r="G764" s="148" t="s">
        <v>38</v>
      </c>
      <c r="H764" s="149">
        <v>96</v>
      </c>
      <c r="I764" s="148" t="s">
        <v>44</v>
      </c>
      <c r="J764" s="148" t="s">
        <v>61</v>
      </c>
      <c r="K764" s="148" t="s">
        <v>61</v>
      </c>
      <c r="L764" s="152"/>
      <c r="M764" s="152">
        <f t="shared" si="11"/>
        <v>0</v>
      </c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</row>
    <row r="765" spans="1:27">
      <c r="A765" s="147">
        <v>1976</v>
      </c>
      <c r="B765" s="147" t="s">
        <v>60</v>
      </c>
      <c r="C765" s="147" t="s">
        <v>53</v>
      </c>
      <c r="D765" s="148" t="s">
        <v>63</v>
      </c>
      <c r="E765" s="148" t="s">
        <v>30</v>
      </c>
      <c r="F765" s="149">
        <v>2024</v>
      </c>
      <c r="G765" s="148" t="s">
        <v>39</v>
      </c>
      <c r="H765" s="149">
        <v>108</v>
      </c>
      <c r="I765" s="148" t="s">
        <v>44</v>
      </c>
      <c r="J765" s="148" t="s">
        <v>61</v>
      </c>
      <c r="K765" s="148" t="s">
        <v>61</v>
      </c>
      <c r="L765" s="152"/>
      <c r="M765" s="152">
        <f t="shared" si="11"/>
        <v>0</v>
      </c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</row>
    <row r="766" spans="1:27">
      <c r="A766" s="147">
        <v>1977</v>
      </c>
      <c r="B766" s="147" t="s">
        <v>60</v>
      </c>
      <c r="C766" s="147" t="s">
        <v>53</v>
      </c>
      <c r="D766" s="148" t="s">
        <v>63</v>
      </c>
      <c r="E766" s="148" t="s">
        <v>30</v>
      </c>
      <c r="F766" s="149">
        <v>2024</v>
      </c>
      <c r="G766" s="148" t="s">
        <v>40</v>
      </c>
      <c r="H766" s="149">
        <v>131</v>
      </c>
      <c r="I766" s="150">
        <v>147072</v>
      </c>
      <c r="J766" s="148" t="s">
        <v>61</v>
      </c>
      <c r="K766" s="148" t="s">
        <v>61</v>
      </c>
      <c r="L766" s="152"/>
      <c r="M766" s="152">
        <f t="shared" si="11"/>
        <v>0</v>
      </c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</row>
    <row r="767" spans="1:27">
      <c r="A767" s="147">
        <v>1978</v>
      </c>
      <c r="B767" s="147" t="s">
        <v>60</v>
      </c>
      <c r="C767" s="147" t="s">
        <v>53</v>
      </c>
      <c r="D767" s="148" t="s">
        <v>63</v>
      </c>
      <c r="E767" s="148" t="s">
        <v>30</v>
      </c>
      <c r="F767" s="149">
        <v>2024</v>
      </c>
      <c r="G767" s="148" t="s">
        <v>41</v>
      </c>
      <c r="H767" s="149">
        <v>88</v>
      </c>
      <c r="I767" s="150">
        <v>148995</v>
      </c>
      <c r="J767" s="150">
        <v>1923</v>
      </c>
      <c r="K767" s="148" t="s">
        <v>61</v>
      </c>
      <c r="L767" s="152"/>
      <c r="M767" s="152">
        <f t="shared" si="11"/>
        <v>0</v>
      </c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</row>
    <row r="768" spans="1:27">
      <c r="A768" s="147">
        <v>1979</v>
      </c>
      <c r="B768" s="147" t="s">
        <v>60</v>
      </c>
      <c r="C768" s="147" t="s">
        <v>53</v>
      </c>
      <c r="D768" s="148" t="s">
        <v>63</v>
      </c>
      <c r="E768" s="148" t="s">
        <v>30</v>
      </c>
      <c r="F768" s="149">
        <v>2024</v>
      </c>
      <c r="G768" s="148" t="s">
        <v>42</v>
      </c>
      <c r="H768" s="149">
        <v>64</v>
      </c>
      <c r="I768" s="150">
        <v>152443</v>
      </c>
      <c r="J768" s="150">
        <v>3448</v>
      </c>
      <c r="K768" s="148" t="s">
        <v>61</v>
      </c>
      <c r="L768" s="152"/>
      <c r="M768" s="152">
        <f t="shared" si="11"/>
        <v>0</v>
      </c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</row>
    <row r="769" spans="1:27">
      <c r="A769" s="147">
        <v>1980</v>
      </c>
      <c r="B769" s="147" t="s">
        <v>60</v>
      </c>
      <c r="C769" s="147" t="s">
        <v>53</v>
      </c>
      <c r="D769" s="148" t="s">
        <v>63</v>
      </c>
      <c r="E769" s="148" t="s">
        <v>30</v>
      </c>
      <c r="F769" s="149">
        <v>2024</v>
      </c>
      <c r="G769" s="148" t="s">
        <v>43</v>
      </c>
      <c r="H769" s="149">
        <v>32</v>
      </c>
      <c r="I769" s="150">
        <v>153827</v>
      </c>
      <c r="J769" s="150">
        <v>1384</v>
      </c>
      <c r="K769" s="150">
        <v>156383</v>
      </c>
      <c r="L769" s="152"/>
      <c r="M769" s="152">
        <f t="shared" si="11"/>
        <v>0</v>
      </c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</row>
    <row r="770" spans="1:27">
      <c r="A770" s="147">
        <v>1981</v>
      </c>
      <c r="B770" s="147" t="s">
        <v>60</v>
      </c>
      <c r="C770" s="147" t="s">
        <v>53</v>
      </c>
      <c r="D770" s="148" t="s">
        <v>63</v>
      </c>
      <c r="E770" s="148" t="s">
        <v>30</v>
      </c>
      <c r="F770" s="149">
        <v>2025</v>
      </c>
      <c r="G770" s="148" t="s">
        <v>31</v>
      </c>
      <c r="H770" s="149">
        <v>52</v>
      </c>
      <c r="I770" s="150">
        <v>154379</v>
      </c>
      <c r="J770" s="149">
        <v>552</v>
      </c>
      <c r="K770" s="150">
        <v>3423130</v>
      </c>
      <c r="L770" s="152"/>
      <c r="M770" s="152">
        <f t="shared" ref="M770:M833" si="12">L770*17000</f>
        <v>0</v>
      </c>
      <c r="N770" s="148"/>
      <c r="O770" s="150">
        <v>2212154</v>
      </c>
      <c r="P770" s="148" t="s">
        <v>48</v>
      </c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</row>
    <row r="771" spans="1:27">
      <c r="A771" s="147">
        <v>1982</v>
      </c>
      <c r="B771" s="147" t="s">
        <v>60</v>
      </c>
      <c r="C771" s="147" t="s">
        <v>53</v>
      </c>
      <c r="D771" s="148" t="s">
        <v>63</v>
      </c>
      <c r="E771" s="148" t="s">
        <v>30</v>
      </c>
      <c r="F771" s="149">
        <v>2025</v>
      </c>
      <c r="G771" s="148" t="s">
        <v>33</v>
      </c>
      <c r="H771" s="149">
        <v>15</v>
      </c>
      <c r="I771" s="150">
        <v>154687</v>
      </c>
      <c r="J771" s="149">
        <v>308</v>
      </c>
      <c r="K771" s="150">
        <v>1084020</v>
      </c>
      <c r="L771" s="152"/>
      <c r="M771" s="152">
        <f t="shared" si="12"/>
        <v>0</v>
      </c>
      <c r="N771" s="148"/>
      <c r="O771" s="150">
        <v>875134</v>
      </c>
      <c r="P771" s="148" t="s">
        <v>48</v>
      </c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</row>
    <row r="772" spans="1:27">
      <c r="A772" s="147">
        <v>1983</v>
      </c>
      <c r="B772" s="147" t="s">
        <v>60</v>
      </c>
      <c r="C772" s="147" t="s">
        <v>53</v>
      </c>
      <c r="D772" s="148" t="s">
        <v>63</v>
      </c>
      <c r="E772" s="148" t="s">
        <v>30</v>
      </c>
      <c r="F772" s="149">
        <v>2025</v>
      </c>
      <c r="G772" s="148" t="s">
        <v>34</v>
      </c>
      <c r="H772" s="149">
        <v>7</v>
      </c>
      <c r="I772" s="150">
        <v>154898</v>
      </c>
      <c r="J772" s="149">
        <v>211</v>
      </c>
      <c r="K772" s="150">
        <v>275505</v>
      </c>
      <c r="L772" s="152"/>
      <c r="M772" s="152">
        <f t="shared" si="12"/>
        <v>0</v>
      </c>
      <c r="N772" s="148"/>
      <c r="O772" s="150">
        <v>221675</v>
      </c>
      <c r="P772" s="148" t="s">
        <v>48</v>
      </c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</row>
    <row r="773" spans="1:27">
      <c r="A773" s="147">
        <v>1984</v>
      </c>
      <c r="B773" s="147" t="s">
        <v>60</v>
      </c>
      <c r="C773" s="147" t="s">
        <v>53</v>
      </c>
      <c r="D773" s="148" t="s">
        <v>63</v>
      </c>
      <c r="E773" s="148" t="s">
        <v>30</v>
      </c>
      <c r="F773" s="149">
        <v>2025</v>
      </c>
      <c r="G773" s="148" t="s">
        <v>35</v>
      </c>
      <c r="H773" s="149">
        <v>6</v>
      </c>
      <c r="I773" s="150">
        <v>155581</v>
      </c>
      <c r="J773" s="149">
        <v>683</v>
      </c>
      <c r="K773" s="150">
        <v>124950</v>
      </c>
      <c r="L773" s="152"/>
      <c r="M773" s="152">
        <f t="shared" si="12"/>
        <v>0</v>
      </c>
      <c r="N773" s="148"/>
      <c r="O773" s="150">
        <v>97987</v>
      </c>
      <c r="P773" s="148" t="s">
        <v>48</v>
      </c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</row>
    <row r="774" spans="1:27">
      <c r="A774" s="147">
        <v>1985</v>
      </c>
      <c r="B774" s="147" t="s">
        <v>60</v>
      </c>
      <c r="C774" s="147" t="s">
        <v>53</v>
      </c>
      <c r="D774" s="148" t="s">
        <v>63</v>
      </c>
      <c r="E774" s="148" t="s">
        <v>30</v>
      </c>
      <c r="F774" s="149">
        <v>2025</v>
      </c>
      <c r="G774" s="148" t="s">
        <v>36</v>
      </c>
      <c r="H774" s="149">
        <v>40</v>
      </c>
      <c r="I774" s="150">
        <v>155811</v>
      </c>
      <c r="J774" s="149">
        <v>230</v>
      </c>
      <c r="K774" s="150">
        <v>279092</v>
      </c>
      <c r="L774" s="152"/>
      <c r="M774" s="152">
        <f t="shared" si="12"/>
        <v>0</v>
      </c>
      <c r="N774" s="148"/>
      <c r="O774" s="150">
        <v>108806</v>
      </c>
      <c r="P774" s="148" t="s">
        <v>48</v>
      </c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</row>
    <row r="775" spans="1:27">
      <c r="A775" s="147">
        <v>1986</v>
      </c>
      <c r="B775" s="147" t="s">
        <v>60</v>
      </c>
      <c r="C775" s="147" t="s">
        <v>53</v>
      </c>
      <c r="D775" s="148" t="s">
        <v>63</v>
      </c>
      <c r="E775" s="148" t="s">
        <v>30</v>
      </c>
      <c r="F775" s="149">
        <v>2025</v>
      </c>
      <c r="G775" s="148" t="s">
        <v>37</v>
      </c>
      <c r="H775" s="149">
        <v>113</v>
      </c>
      <c r="I775" s="150">
        <v>156248</v>
      </c>
      <c r="J775" s="149">
        <v>437</v>
      </c>
      <c r="K775" s="150">
        <v>2196679</v>
      </c>
      <c r="L775" s="152"/>
      <c r="M775" s="152">
        <f t="shared" si="12"/>
        <v>0</v>
      </c>
      <c r="N775" s="148"/>
      <c r="O775" s="150">
        <v>733761</v>
      </c>
      <c r="P775" s="148" t="s">
        <v>48</v>
      </c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</row>
    <row r="776" spans="1:27">
      <c r="A776" s="147">
        <v>1987</v>
      </c>
      <c r="B776" s="147" t="s">
        <v>60</v>
      </c>
      <c r="C776" s="147" t="s">
        <v>53</v>
      </c>
      <c r="D776" s="148" t="s">
        <v>63</v>
      </c>
      <c r="E776" s="148" t="s">
        <v>30</v>
      </c>
      <c r="F776" s="149">
        <v>2025</v>
      </c>
      <c r="G776" s="148" t="s">
        <v>38</v>
      </c>
      <c r="H776" s="149">
        <v>84</v>
      </c>
      <c r="I776" s="150">
        <v>156307</v>
      </c>
      <c r="J776" s="149">
        <v>322</v>
      </c>
      <c r="K776" s="150">
        <v>890637</v>
      </c>
      <c r="L776" s="152"/>
      <c r="M776" s="152">
        <f t="shared" si="12"/>
        <v>0</v>
      </c>
      <c r="N776" s="148"/>
      <c r="O776" s="150">
        <v>359722</v>
      </c>
      <c r="P776" s="150">
        <v>15252</v>
      </c>
      <c r="Q776" s="154">
        <v>0.355</v>
      </c>
      <c r="R776" s="154">
        <v>0.645</v>
      </c>
      <c r="S776" s="148"/>
      <c r="T776" s="148" t="s">
        <v>44</v>
      </c>
      <c r="U776" s="154">
        <v>0.105</v>
      </c>
      <c r="V776" s="154">
        <v>0.446</v>
      </c>
      <c r="W776" s="154">
        <v>0.304</v>
      </c>
      <c r="X776" s="154">
        <v>0.1</v>
      </c>
      <c r="Y776" s="154">
        <v>0.029</v>
      </c>
      <c r="Z776" s="154">
        <v>0.016</v>
      </c>
      <c r="AA776" s="148" t="s">
        <v>45</v>
      </c>
    </row>
    <row r="777" spans="1:27">
      <c r="A777" s="147">
        <v>1988</v>
      </c>
      <c r="B777" s="147" t="s">
        <v>60</v>
      </c>
      <c r="C777" s="147" t="s">
        <v>53</v>
      </c>
      <c r="D777" s="148" t="s">
        <v>63</v>
      </c>
      <c r="E777" s="148" t="s">
        <v>30</v>
      </c>
      <c r="F777" s="149">
        <v>2025</v>
      </c>
      <c r="G777" s="148" t="s">
        <v>39</v>
      </c>
      <c r="H777" s="149">
        <v>133</v>
      </c>
      <c r="I777" s="150">
        <v>156517</v>
      </c>
      <c r="J777" s="149">
        <v>678</v>
      </c>
      <c r="K777" s="150">
        <v>15057550</v>
      </c>
      <c r="L777" s="152"/>
      <c r="M777" s="152">
        <f t="shared" si="12"/>
        <v>0</v>
      </c>
      <c r="N777" s="148"/>
      <c r="O777" s="150">
        <v>3495757</v>
      </c>
      <c r="P777" s="150">
        <v>108928</v>
      </c>
      <c r="Q777" s="154">
        <v>0.356</v>
      </c>
      <c r="R777" s="154">
        <v>0.644</v>
      </c>
      <c r="S777" s="148"/>
      <c r="T777" s="148"/>
      <c r="U777" s="154">
        <v>0.102</v>
      </c>
      <c r="V777" s="154">
        <v>0.446</v>
      </c>
      <c r="W777" s="154">
        <v>0.304</v>
      </c>
      <c r="X777" s="154">
        <v>0.102</v>
      </c>
      <c r="Y777" s="154">
        <v>0.03</v>
      </c>
      <c r="Z777" s="154">
        <v>0.016</v>
      </c>
      <c r="AA777" s="148" t="s">
        <v>45</v>
      </c>
    </row>
    <row r="778" spans="1:27">
      <c r="A778" s="147">
        <v>1989</v>
      </c>
      <c r="B778" s="147" t="s">
        <v>60</v>
      </c>
      <c r="C778" s="147" t="s">
        <v>53</v>
      </c>
      <c r="D778" s="148" t="s">
        <v>63</v>
      </c>
      <c r="E778" s="148" t="s">
        <v>30</v>
      </c>
      <c r="F778" s="149">
        <v>2025</v>
      </c>
      <c r="G778" s="148" t="s">
        <v>40</v>
      </c>
      <c r="H778" s="149">
        <v>207</v>
      </c>
      <c r="I778" s="150">
        <v>156815</v>
      </c>
      <c r="J778" s="149">
        <v>778</v>
      </c>
      <c r="K778" s="150">
        <v>38460161</v>
      </c>
      <c r="L778" s="152"/>
      <c r="M778" s="152">
        <f t="shared" si="12"/>
        <v>0</v>
      </c>
      <c r="N778" s="148"/>
      <c r="O778" s="150">
        <v>4815774</v>
      </c>
      <c r="P778" s="150">
        <v>201709</v>
      </c>
      <c r="Q778" s="154">
        <v>0.356</v>
      </c>
      <c r="R778" s="154">
        <v>0.644</v>
      </c>
      <c r="S778" s="148"/>
      <c r="T778" s="148"/>
      <c r="U778" s="154">
        <v>0.099</v>
      </c>
      <c r="V778" s="154">
        <v>0.445</v>
      </c>
      <c r="W778" s="154">
        <v>0.306</v>
      </c>
      <c r="X778" s="154">
        <v>0.103</v>
      </c>
      <c r="Y778" s="154">
        <v>0.031</v>
      </c>
      <c r="Z778" s="154">
        <v>0.016</v>
      </c>
      <c r="AA778" s="148" t="s">
        <v>45</v>
      </c>
    </row>
    <row r="779" spans="1:27">
      <c r="A779" s="147">
        <v>1990</v>
      </c>
      <c r="B779" s="147" t="s">
        <v>60</v>
      </c>
      <c r="C779" s="147" t="s">
        <v>53</v>
      </c>
      <c r="D779" s="148" t="s">
        <v>63</v>
      </c>
      <c r="E779" s="148" t="s">
        <v>30</v>
      </c>
      <c r="F779" s="149">
        <v>2025</v>
      </c>
      <c r="G779" s="148" t="s">
        <v>41</v>
      </c>
      <c r="H779" s="149">
        <v>29</v>
      </c>
      <c r="I779" s="150">
        <v>157104</v>
      </c>
      <c r="J779" s="149">
        <v>757</v>
      </c>
      <c r="K779" s="150">
        <v>14069816</v>
      </c>
      <c r="L779" s="152"/>
      <c r="M779" s="152">
        <f t="shared" si="12"/>
        <v>0</v>
      </c>
      <c r="N779" s="148"/>
      <c r="O779" s="150">
        <v>2870892</v>
      </c>
      <c r="P779" s="150">
        <v>179590</v>
      </c>
      <c r="Q779" s="154">
        <v>0.356</v>
      </c>
      <c r="R779" s="154">
        <v>0.644</v>
      </c>
      <c r="S779" s="148"/>
      <c r="T779" s="148"/>
      <c r="U779" s="154">
        <v>0.096</v>
      </c>
      <c r="V779" s="154">
        <v>0.443</v>
      </c>
      <c r="W779" s="154">
        <v>0.309</v>
      </c>
      <c r="X779" s="154">
        <v>0.105</v>
      </c>
      <c r="Y779" s="154">
        <v>0.031</v>
      </c>
      <c r="Z779" s="154">
        <v>0.016</v>
      </c>
      <c r="AA779" s="148" t="s">
        <v>45</v>
      </c>
    </row>
    <row r="780" spans="1:27">
      <c r="A780" s="147">
        <v>1991</v>
      </c>
      <c r="B780" s="147" t="s">
        <v>60</v>
      </c>
      <c r="C780" s="147" t="s">
        <v>53</v>
      </c>
      <c r="D780" s="148" t="s">
        <v>63</v>
      </c>
      <c r="E780" s="148" t="s">
        <v>30</v>
      </c>
      <c r="F780" s="149">
        <v>2025</v>
      </c>
      <c r="G780" s="148" t="s">
        <v>42</v>
      </c>
      <c r="H780" s="149">
        <v>154</v>
      </c>
      <c r="I780" s="150">
        <v>157448</v>
      </c>
      <c r="J780" s="149">
        <v>739</v>
      </c>
      <c r="K780" s="150">
        <v>7014403</v>
      </c>
      <c r="L780" s="152"/>
      <c r="M780" s="152">
        <f t="shared" si="12"/>
        <v>0</v>
      </c>
      <c r="N780" s="148"/>
      <c r="O780" s="150">
        <v>1459693</v>
      </c>
      <c r="P780" s="150">
        <v>150964</v>
      </c>
      <c r="Q780" s="154">
        <v>0.355</v>
      </c>
      <c r="R780" s="154">
        <v>0.645</v>
      </c>
      <c r="S780" s="148"/>
      <c r="T780" s="148"/>
      <c r="U780" s="154">
        <v>0.094</v>
      </c>
      <c r="V780" s="154">
        <v>0.443</v>
      </c>
      <c r="W780" s="154">
        <v>0.31</v>
      </c>
      <c r="X780" s="154">
        <v>0.106</v>
      </c>
      <c r="Y780" s="154">
        <v>0.031</v>
      </c>
      <c r="Z780" s="154">
        <v>0.016</v>
      </c>
      <c r="AA780" s="148" t="s">
        <v>45</v>
      </c>
    </row>
    <row r="781" spans="1:27">
      <c r="A781" s="147">
        <v>1992</v>
      </c>
      <c r="B781" s="147" t="s">
        <v>60</v>
      </c>
      <c r="C781" s="147" t="s">
        <v>53</v>
      </c>
      <c r="D781" s="148" t="s">
        <v>63</v>
      </c>
      <c r="E781" s="148" t="s">
        <v>30</v>
      </c>
      <c r="F781" s="149">
        <v>2025</v>
      </c>
      <c r="G781" s="148" t="s">
        <v>43</v>
      </c>
      <c r="H781" s="149">
        <v>174</v>
      </c>
      <c r="I781" s="150">
        <v>157699</v>
      </c>
      <c r="J781" s="149">
        <v>707</v>
      </c>
      <c r="K781" s="150">
        <v>8978300</v>
      </c>
      <c r="L781" s="152"/>
      <c r="M781" s="152">
        <f t="shared" si="12"/>
        <v>0</v>
      </c>
      <c r="N781" s="148"/>
      <c r="O781" s="150">
        <v>1867968</v>
      </c>
      <c r="P781" s="150">
        <v>126984</v>
      </c>
      <c r="Q781" s="154">
        <v>0.645</v>
      </c>
      <c r="R781" s="154">
        <v>0.354</v>
      </c>
      <c r="S781" s="148"/>
      <c r="T781" s="148"/>
      <c r="U781" s="154">
        <v>0.1</v>
      </c>
      <c r="V781" s="154">
        <v>0.441</v>
      </c>
      <c r="W781" s="154">
        <v>0.313</v>
      </c>
      <c r="X781" s="154">
        <v>0.108</v>
      </c>
      <c r="Y781" s="154">
        <v>0.032</v>
      </c>
      <c r="Z781" s="154">
        <v>0.016</v>
      </c>
      <c r="AA781" s="148" t="s">
        <v>45</v>
      </c>
    </row>
    <row r="782" spans="1:27">
      <c r="A782" s="147">
        <v>1993</v>
      </c>
      <c r="B782" s="147" t="s">
        <v>60</v>
      </c>
      <c r="C782" s="147" t="s">
        <v>53</v>
      </c>
      <c r="D782" s="148" t="s">
        <v>63</v>
      </c>
      <c r="E782" s="148" t="s">
        <v>30</v>
      </c>
      <c r="F782" s="149">
        <v>2026</v>
      </c>
      <c r="G782" s="148" t="s">
        <v>31</v>
      </c>
      <c r="H782" s="149">
        <v>122</v>
      </c>
      <c r="I782" s="150">
        <v>158237</v>
      </c>
      <c r="J782" s="149">
        <v>944</v>
      </c>
      <c r="K782" s="150">
        <v>4871662</v>
      </c>
      <c r="L782" s="152"/>
      <c r="M782" s="152">
        <f t="shared" si="12"/>
        <v>0</v>
      </c>
      <c r="N782" s="148"/>
      <c r="O782" s="150">
        <v>1658012</v>
      </c>
      <c r="P782" s="150">
        <v>124154</v>
      </c>
      <c r="Q782" s="154">
        <v>0.355</v>
      </c>
      <c r="R782" s="154">
        <v>0.645</v>
      </c>
      <c r="S782" s="148"/>
      <c r="T782" s="148"/>
      <c r="U782" s="154">
        <v>0.089</v>
      </c>
      <c r="V782" s="154">
        <v>0.438</v>
      </c>
      <c r="W782" s="154">
        <v>0.315</v>
      </c>
      <c r="X782" s="154">
        <v>0.109</v>
      </c>
      <c r="Y782" s="154">
        <v>0.033</v>
      </c>
      <c r="Z782" s="154">
        <v>0.016</v>
      </c>
      <c r="AA782" s="148" t="s">
        <v>45</v>
      </c>
    </row>
    <row r="783" spans="1:27">
      <c r="A783" s="147">
        <v>1994</v>
      </c>
      <c r="B783" s="147" t="s">
        <v>60</v>
      </c>
      <c r="C783" s="147" t="s">
        <v>53</v>
      </c>
      <c r="D783" s="148" t="s">
        <v>63</v>
      </c>
      <c r="E783" s="148" t="s">
        <v>30</v>
      </c>
      <c r="F783" s="149">
        <v>2026</v>
      </c>
      <c r="G783" s="148" t="s">
        <v>33</v>
      </c>
      <c r="H783" s="149">
        <v>161</v>
      </c>
      <c r="I783" s="150">
        <v>158333</v>
      </c>
      <c r="J783" s="149">
        <v>495</v>
      </c>
      <c r="K783" s="150">
        <v>3540418</v>
      </c>
      <c r="L783" s="152"/>
      <c r="M783" s="152">
        <f t="shared" si="12"/>
        <v>0</v>
      </c>
      <c r="N783" s="148"/>
      <c r="O783" s="150">
        <v>1082327</v>
      </c>
      <c r="P783" s="150">
        <v>135295</v>
      </c>
      <c r="Q783" s="154">
        <v>0.645</v>
      </c>
      <c r="R783" s="154">
        <v>0.355</v>
      </c>
      <c r="S783" s="148"/>
      <c r="T783" s="148"/>
      <c r="U783" s="154">
        <v>0.087</v>
      </c>
      <c r="V783" s="154">
        <v>0.436</v>
      </c>
      <c r="W783" s="154">
        <v>0.316</v>
      </c>
      <c r="X783" s="154">
        <v>0.11</v>
      </c>
      <c r="Y783" s="154">
        <v>0.034</v>
      </c>
      <c r="Z783" s="155">
        <v>0.02</v>
      </c>
      <c r="AA783" s="148" t="s">
        <v>45</v>
      </c>
    </row>
    <row r="784" spans="1:27">
      <c r="A784" s="147">
        <v>1995</v>
      </c>
      <c r="B784" s="147" t="s">
        <v>60</v>
      </c>
      <c r="C784" s="147" t="s">
        <v>53</v>
      </c>
      <c r="D784" s="148" t="s">
        <v>63</v>
      </c>
      <c r="E784" s="148" t="s">
        <v>30</v>
      </c>
      <c r="F784" s="149">
        <v>2026</v>
      </c>
      <c r="G784" s="148" t="s">
        <v>34</v>
      </c>
      <c r="H784" s="149">
        <v>163</v>
      </c>
      <c r="I784" s="150">
        <v>158888</v>
      </c>
      <c r="J784" s="149">
        <v>921</v>
      </c>
      <c r="K784" s="150">
        <v>12790886</v>
      </c>
      <c r="L784" s="152"/>
      <c r="M784" s="152">
        <f t="shared" si="12"/>
        <v>0</v>
      </c>
      <c r="N784" s="148"/>
      <c r="O784" s="150">
        <v>5502589</v>
      </c>
      <c r="P784" s="150">
        <v>529724</v>
      </c>
      <c r="Q784" s="154">
        <v>0.644</v>
      </c>
      <c r="R784" s="154">
        <v>0.356</v>
      </c>
      <c r="S784" s="148"/>
      <c r="T784" s="148"/>
      <c r="U784" s="154">
        <v>0.085</v>
      </c>
      <c r="V784" s="154">
        <v>0.435</v>
      </c>
      <c r="W784" s="154">
        <v>0.318</v>
      </c>
      <c r="X784" s="154">
        <v>0.111</v>
      </c>
      <c r="Y784" s="154">
        <v>0.034</v>
      </c>
      <c r="Z784" s="154">
        <v>0.017</v>
      </c>
      <c r="AA784" s="148" t="s">
        <v>45</v>
      </c>
    </row>
    <row r="785" spans="1:27">
      <c r="A785" s="147">
        <v>1996</v>
      </c>
      <c r="B785" s="147" t="s">
        <v>60</v>
      </c>
      <c r="C785" s="147" t="s">
        <v>53</v>
      </c>
      <c r="D785" s="148" t="s">
        <v>63</v>
      </c>
      <c r="E785" s="148" t="s">
        <v>30</v>
      </c>
      <c r="F785" s="149">
        <v>2026</v>
      </c>
      <c r="G785" s="148" t="s">
        <v>35</v>
      </c>
      <c r="H785" s="149">
        <v>113</v>
      </c>
      <c r="I785" s="150">
        <v>160068</v>
      </c>
      <c r="J785" s="150">
        <v>1728</v>
      </c>
      <c r="K785" s="150">
        <v>7276667</v>
      </c>
      <c r="L785" s="152"/>
      <c r="M785" s="152">
        <f t="shared" si="12"/>
        <v>0</v>
      </c>
      <c r="N785" s="148"/>
      <c r="O785" s="150">
        <v>2707267</v>
      </c>
      <c r="P785" s="150">
        <v>201602</v>
      </c>
      <c r="Q785" s="154">
        <v>0.645</v>
      </c>
      <c r="R785" s="154">
        <v>0.355</v>
      </c>
      <c r="S785" s="148"/>
      <c r="T785" s="148"/>
      <c r="U785" s="154">
        <v>0.083</v>
      </c>
      <c r="V785" s="154">
        <v>0.432</v>
      </c>
      <c r="W785" s="154">
        <v>0.319</v>
      </c>
      <c r="X785" s="154">
        <v>0.114</v>
      </c>
      <c r="Y785" s="154">
        <v>0.035</v>
      </c>
      <c r="Z785" s="154">
        <v>0.017</v>
      </c>
      <c r="AA785" s="148" t="s">
        <v>45</v>
      </c>
    </row>
    <row r="786" spans="1:27">
      <c r="A786" s="147">
        <v>1997</v>
      </c>
      <c r="B786" s="147" t="s">
        <v>60</v>
      </c>
      <c r="C786" s="147" t="s">
        <v>53</v>
      </c>
      <c r="D786" s="148" t="s">
        <v>63</v>
      </c>
      <c r="E786" s="148" t="s">
        <v>30</v>
      </c>
      <c r="F786" s="149">
        <v>2026</v>
      </c>
      <c r="G786" s="148" t="s">
        <v>36</v>
      </c>
      <c r="H786" s="149">
        <v>138</v>
      </c>
      <c r="I786" s="150">
        <v>156610</v>
      </c>
      <c r="J786" s="149">
        <v>616</v>
      </c>
      <c r="K786" s="150">
        <v>4355526</v>
      </c>
      <c r="L786" s="152"/>
      <c r="M786" s="152">
        <f t="shared" si="12"/>
        <v>0</v>
      </c>
      <c r="N786" s="148"/>
      <c r="O786" s="150">
        <v>1368268</v>
      </c>
      <c r="P786" s="150">
        <v>94216</v>
      </c>
      <c r="Q786" s="154">
        <v>0.354</v>
      </c>
      <c r="R786" s="154">
        <v>0.646</v>
      </c>
      <c r="S786" s="148"/>
      <c r="T786" s="148"/>
      <c r="U786" s="154">
        <v>0.082</v>
      </c>
      <c r="V786" s="154">
        <v>0.43</v>
      </c>
      <c r="W786" s="154">
        <v>0.321</v>
      </c>
      <c r="X786" s="154">
        <v>0.115</v>
      </c>
      <c r="Y786" s="154">
        <v>0.035</v>
      </c>
      <c r="Z786" s="154">
        <v>0.017</v>
      </c>
      <c r="AA786" s="148" t="s">
        <v>45</v>
      </c>
    </row>
    <row r="787" spans="1:27">
      <c r="A787" s="147">
        <v>1998</v>
      </c>
      <c r="B787" s="147" t="s">
        <v>60</v>
      </c>
      <c r="C787" s="147" t="s">
        <v>53</v>
      </c>
      <c r="D787" s="148" t="s">
        <v>63</v>
      </c>
      <c r="E787" s="148" t="s">
        <v>30</v>
      </c>
      <c r="F787" s="149">
        <v>2026</v>
      </c>
      <c r="G787" s="148" t="s">
        <v>37</v>
      </c>
      <c r="H787" s="149">
        <v>203</v>
      </c>
      <c r="I787" s="150">
        <v>105841</v>
      </c>
      <c r="J787" s="150">
        <v>1953</v>
      </c>
      <c r="K787" s="150">
        <v>12283952</v>
      </c>
      <c r="L787" s="152"/>
      <c r="M787" s="152">
        <f t="shared" si="12"/>
        <v>0</v>
      </c>
      <c r="N787" s="148"/>
      <c r="O787" s="150">
        <v>5178075</v>
      </c>
      <c r="P787" s="150">
        <v>448673</v>
      </c>
      <c r="Q787" s="154">
        <v>0.28</v>
      </c>
      <c r="R787" s="154">
        <v>0.72</v>
      </c>
      <c r="S787" s="148"/>
      <c r="T787" s="148"/>
      <c r="U787" s="154">
        <v>0.083</v>
      </c>
      <c r="V787" s="154">
        <v>0.384</v>
      </c>
      <c r="W787" s="154">
        <v>0.336</v>
      </c>
      <c r="X787" s="154">
        <v>0.13</v>
      </c>
      <c r="Y787" s="154">
        <v>0.047</v>
      </c>
      <c r="Z787" s="154">
        <v>0.02</v>
      </c>
      <c r="AA787" s="148" t="s">
        <v>45</v>
      </c>
    </row>
    <row r="788" spans="1:27">
      <c r="A788" s="147">
        <v>1999</v>
      </c>
      <c r="B788" s="147" t="s">
        <v>60</v>
      </c>
      <c r="C788" s="147" t="s">
        <v>53</v>
      </c>
      <c r="D788" s="148" t="s">
        <v>63</v>
      </c>
      <c r="E788" s="148" t="s">
        <v>30</v>
      </c>
      <c r="F788" s="149">
        <v>2026</v>
      </c>
      <c r="G788" s="148" t="s">
        <v>38</v>
      </c>
      <c r="H788" s="149">
        <v>124</v>
      </c>
      <c r="I788" s="150">
        <v>158332</v>
      </c>
      <c r="J788" s="149">
        <v>967</v>
      </c>
      <c r="K788" s="150">
        <v>3223758</v>
      </c>
      <c r="L788" s="152"/>
      <c r="M788" s="152">
        <f t="shared" si="12"/>
        <v>0</v>
      </c>
      <c r="N788" s="148"/>
      <c r="O788" s="150">
        <v>1342778</v>
      </c>
      <c r="P788" s="150">
        <v>107216</v>
      </c>
      <c r="Q788" s="154">
        <v>0.351</v>
      </c>
      <c r="R788" s="154">
        <v>0.649</v>
      </c>
      <c r="S788" s="148"/>
      <c r="T788" s="148"/>
      <c r="U788" s="154">
        <v>0.08</v>
      </c>
      <c r="V788" s="154">
        <v>0.423</v>
      </c>
      <c r="W788" s="154">
        <v>0.325</v>
      </c>
      <c r="X788" s="154">
        <v>0.119</v>
      </c>
      <c r="Y788" s="154">
        <v>0.036</v>
      </c>
      <c r="Z788" s="154">
        <v>0.017</v>
      </c>
      <c r="AA788" s="148" t="s">
        <v>45</v>
      </c>
    </row>
    <row r="789" spans="1:27">
      <c r="A789" s="147">
        <v>2000</v>
      </c>
      <c r="B789" s="147" t="s">
        <v>60</v>
      </c>
      <c r="C789" s="147" t="s">
        <v>53</v>
      </c>
      <c r="D789" s="148" t="s">
        <v>63</v>
      </c>
      <c r="E789" s="148" t="s">
        <v>30</v>
      </c>
      <c r="F789" s="149">
        <v>2026</v>
      </c>
      <c r="G789" s="148" t="s">
        <v>39</v>
      </c>
      <c r="H789" s="148"/>
      <c r="I789" s="148"/>
      <c r="J789" s="148"/>
      <c r="K789" s="148"/>
      <c r="L789" s="152"/>
      <c r="M789" s="152">
        <f t="shared" si="12"/>
        <v>0</v>
      </c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</row>
    <row r="790" spans="1:27">
      <c r="A790" s="147">
        <v>2001</v>
      </c>
      <c r="B790" s="147" t="s">
        <v>60</v>
      </c>
      <c r="C790" s="147" t="s">
        <v>53</v>
      </c>
      <c r="D790" s="148" t="s">
        <v>63</v>
      </c>
      <c r="E790" s="148" t="s">
        <v>30</v>
      </c>
      <c r="F790" s="149">
        <v>2026</v>
      </c>
      <c r="G790" s="148" t="s">
        <v>40</v>
      </c>
      <c r="H790" s="148"/>
      <c r="I790" s="148"/>
      <c r="J790" s="148"/>
      <c r="K790" s="148"/>
      <c r="L790" s="152"/>
      <c r="M790" s="152">
        <f t="shared" si="12"/>
        <v>0</v>
      </c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</row>
    <row r="791" spans="1:27">
      <c r="A791" s="147">
        <v>2002</v>
      </c>
      <c r="B791" s="147" t="s">
        <v>60</v>
      </c>
      <c r="C791" s="147" t="s">
        <v>53</v>
      </c>
      <c r="D791" s="148" t="s">
        <v>63</v>
      </c>
      <c r="E791" s="148" t="s">
        <v>30</v>
      </c>
      <c r="F791" s="149">
        <v>2026</v>
      </c>
      <c r="G791" s="148" t="s">
        <v>41</v>
      </c>
      <c r="H791" s="148"/>
      <c r="I791" s="148"/>
      <c r="J791" s="148"/>
      <c r="K791" s="148"/>
      <c r="L791" s="152"/>
      <c r="M791" s="152">
        <f t="shared" si="12"/>
        <v>0</v>
      </c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</row>
    <row r="792" spans="1:27">
      <c r="A792" s="147">
        <v>2003</v>
      </c>
      <c r="B792" s="147" t="s">
        <v>60</v>
      </c>
      <c r="C792" s="147" t="s">
        <v>53</v>
      </c>
      <c r="D792" s="148" t="s">
        <v>63</v>
      </c>
      <c r="E792" s="148" t="s">
        <v>30</v>
      </c>
      <c r="F792" s="149">
        <v>2026</v>
      </c>
      <c r="G792" s="148" t="s">
        <v>42</v>
      </c>
      <c r="H792" s="148"/>
      <c r="I792" s="148"/>
      <c r="J792" s="148"/>
      <c r="K792" s="148"/>
      <c r="L792" s="152"/>
      <c r="M792" s="152">
        <f t="shared" si="12"/>
        <v>0</v>
      </c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</row>
    <row r="793" spans="1:27">
      <c r="A793" s="147">
        <v>2004</v>
      </c>
      <c r="B793" s="147" t="s">
        <v>60</v>
      </c>
      <c r="C793" s="147" t="s">
        <v>53</v>
      </c>
      <c r="D793" s="148" t="s">
        <v>63</v>
      </c>
      <c r="E793" s="148" t="s">
        <v>30</v>
      </c>
      <c r="F793" s="149">
        <v>2026</v>
      </c>
      <c r="G793" s="148" t="s">
        <v>43</v>
      </c>
      <c r="H793" s="148"/>
      <c r="I793" s="148"/>
      <c r="J793" s="148"/>
      <c r="K793" s="148"/>
      <c r="L793" s="152"/>
      <c r="M793" s="152">
        <f t="shared" si="12"/>
        <v>0</v>
      </c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</row>
    <row r="794" spans="1:27">
      <c r="A794" s="147">
        <v>2017</v>
      </c>
      <c r="B794" s="147" t="s">
        <v>60</v>
      </c>
      <c r="C794" s="147" t="s">
        <v>53</v>
      </c>
      <c r="D794" s="148" t="s">
        <v>64</v>
      </c>
      <c r="E794" s="148" t="s">
        <v>30</v>
      </c>
      <c r="F794" s="149">
        <v>2024</v>
      </c>
      <c r="G794" s="148" t="s">
        <v>31</v>
      </c>
      <c r="H794" s="149">
        <v>49</v>
      </c>
      <c r="I794" s="149" t="s">
        <v>44</v>
      </c>
      <c r="J794" s="149" t="s">
        <v>61</v>
      </c>
      <c r="K794" s="149" t="s">
        <v>61</v>
      </c>
      <c r="L794" s="152"/>
      <c r="M794" s="152">
        <f t="shared" si="12"/>
        <v>0</v>
      </c>
      <c r="N794" s="148"/>
      <c r="O794" s="150">
        <v>21209</v>
      </c>
      <c r="P794" s="149" t="s">
        <v>61</v>
      </c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</row>
    <row r="795" spans="1:27">
      <c r="A795" s="147">
        <v>2018</v>
      </c>
      <c r="B795" s="147" t="s">
        <v>60</v>
      </c>
      <c r="C795" s="147" t="s">
        <v>53</v>
      </c>
      <c r="D795" s="148" t="s">
        <v>64</v>
      </c>
      <c r="E795" s="148" t="s">
        <v>30</v>
      </c>
      <c r="F795" s="149">
        <v>2024</v>
      </c>
      <c r="G795" s="148" t="s">
        <v>33</v>
      </c>
      <c r="H795" s="149">
        <v>50</v>
      </c>
      <c r="I795" s="149" t="s">
        <v>44</v>
      </c>
      <c r="J795" s="149" t="s">
        <v>61</v>
      </c>
      <c r="K795" s="149" t="s">
        <v>61</v>
      </c>
      <c r="L795" s="152"/>
      <c r="M795" s="152">
        <f t="shared" si="12"/>
        <v>0</v>
      </c>
      <c r="N795" s="148"/>
      <c r="O795" s="150">
        <v>27321</v>
      </c>
      <c r="P795" s="149" t="s">
        <v>61</v>
      </c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</row>
    <row r="796" spans="1:27">
      <c r="A796" s="147">
        <v>2019</v>
      </c>
      <c r="B796" s="147" t="s">
        <v>60</v>
      </c>
      <c r="C796" s="147" t="s">
        <v>53</v>
      </c>
      <c r="D796" s="148" t="s">
        <v>64</v>
      </c>
      <c r="E796" s="148" t="s">
        <v>30</v>
      </c>
      <c r="F796" s="149">
        <v>2024</v>
      </c>
      <c r="G796" s="148" t="s">
        <v>34</v>
      </c>
      <c r="H796" s="149">
        <v>1</v>
      </c>
      <c r="I796" s="149" t="s">
        <v>44</v>
      </c>
      <c r="J796" s="149" t="s">
        <v>61</v>
      </c>
      <c r="K796" s="149" t="s">
        <v>61</v>
      </c>
      <c r="L796" s="152"/>
      <c r="M796" s="152">
        <f t="shared" si="12"/>
        <v>0</v>
      </c>
      <c r="N796" s="148"/>
      <c r="O796" s="150">
        <v>47961</v>
      </c>
      <c r="P796" s="149" t="s">
        <v>61</v>
      </c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</row>
    <row r="797" spans="1:27">
      <c r="A797" s="147">
        <v>2020</v>
      </c>
      <c r="B797" s="147" t="s">
        <v>60</v>
      </c>
      <c r="C797" s="147" t="s">
        <v>53</v>
      </c>
      <c r="D797" s="148" t="s">
        <v>64</v>
      </c>
      <c r="E797" s="148" t="s">
        <v>30</v>
      </c>
      <c r="F797" s="149">
        <v>2024</v>
      </c>
      <c r="G797" s="148" t="s">
        <v>35</v>
      </c>
      <c r="H797" s="149">
        <v>1</v>
      </c>
      <c r="I797" s="149" t="s">
        <v>44</v>
      </c>
      <c r="J797" s="149" t="s">
        <v>61</v>
      </c>
      <c r="K797" s="149" t="s">
        <v>61</v>
      </c>
      <c r="L797" s="152"/>
      <c r="M797" s="152">
        <f t="shared" si="12"/>
        <v>0</v>
      </c>
      <c r="N797" s="148"/>
      <c r="O797" s="150">
        <v>74228</v>
      </c>
      <c r="P797" s="149" t="s">
        <v>61</v>
      </c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</row>
    <row r="798" spans="1:27">
      <c r="A798" s="147">
        <v>2021</v>
      </c>
      <c r="B798" s="147" t="s">
        <v>60</v>
      </c>
      <c r="C798" s="147" t="s">
        <v>53</v>
      </c>
      <c r="D798" s="148" t="s">
        <v>64</v>
      </c>
      <c r="E798" s="148" t="s">
        <v>30</v>
      </c>
      <c r="F798" s="149">
        <v>2024</v>
      </c>
      <c r="G798" s="148" t="s">
        <v>36</v>
      </c>
      <c r="H798" s="149">
        <v>40</v>
      </c>
      <c r="I798" s="149" t="s">
        <v>44</v>
      </c>
      <c r="J798" s="149" t="s">
        <v>61</v>
      </c>
      <c r="K798" s="149" t="s">
        <v>61</v>
      </c>
      <c r="L798" s="152"/>
      <c r="M798" s="152">
        <f t="shared" si="12"/>
        <v>0</v>
      </c>
      <c r="N798" s="148"/>
      <c r="O798" s="150">
        <v>46327</v>
      </c>
      <c r="P798" s="149" t="s">
        <v>61</v>
      </c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</row>
    <row r="799" spans="1:27">
      <c r="A799" s="147">
        <v>2022</v>
      </c>
      <c r="B799" s="147" t="s">
        <v>60</v>
      </c>
      <c r="C799" s="147" t="s">
        <v>53</v>
      </c>
      <c r="D799" s="148" t="s">
        <v>64</v>
      </c>
      <c r="E799" s="148" t="s">
        <v>30</v>
      </c>
      <c r="F799" s="149">
        <v>2024</v>
      </c>
      <c r="G799" s="148" t="s">
        <v>37</v>
      </c>
      <c r="H799" s="149">
        <v>122</v>
      </c>
      <c r="I799" s="149" t="s">
        <v>44</v>
      </c>
      <c r="J799" s="149" t="s">
        <v>61</v>
      </c>
      <c r="K799" s="149" t="s">
        <v>61</v>
      </c>
      <c r="L799" s="152"/>
      <c r="M799" s="152">
        <f t="shared" si="12"/>
        <v>0</v>
      </c>
      <c r="N799" s="148"/>
      <c r="O799" s="150">
        <v>28785</v>
      </c>
      <c r="P799" s="149" t="s">
        <v>61</v>
      </c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</row>
    <row r="800" spans="1:27">
      <c r="A800" s="147">
        <v>2023</v>
      </c>
      <c r="B800" s="147" t="s">
        <v>60</v>
      </c>
      <c r="C800" s="147" t="s">
        <v>53</v>
      </c>
      <c r="D800" s="148" t="s">
        <v>64</v>
      </c>
      <c r="E800" s="148" t="s">
        <v>30</v>
      </c>
      <c r="F800" s="149">
        <v>2024</v>
      </c>
      <c r="G800" s="148" t="s">
        <v>38</v>
      </c>
      <c r="H800" s="149">
        <v>93</v>
      </c>
      <c r="I800" s="149" t="s">
        <v>44</v>
      </c>
      <c r="J800" s="149" t="s">
        <v>61</v>
      </c>
      <c r="K800" s="149" t="s">
        <v>61</v>
      </c>
      <c r="L800" s="152"/>
      <c r="M800" s="152">
        <f t="shared" si="12"/>
        <v>0</v>
      </c>
      <c r="N800" s="148"/>
      <c r="O800" s="150">
        <v>31056</v>
      </c>
      <c r="P800" s="149" t="s">
        <v>61</v>
      </c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</row>
    <row r="801" spans="1:27">
      <c r="A801" s="147">
        <v>2024</v>
      </c>
      <c r="B801" s="147" t="s">
        <v>60</v>
      </c>
      <c r="C801" s="147" t="s">
        <v>53</v>
      </c>
      <c r="D801" s="148" t="s">
        <v>64</v>
      </c>
      <c r="E801" s="148" t="s">
        <v>30</v>
      </c>
      <c r="F801" s="149">
        <v>2024</v>
      </c>
      <c r="G801" s="148" t="s">
        <v>39</v>
      </c>
      <c r="H801" s="149">
        <v>103</v>
      </c>
      <c r="I801" s="148" t="s">
        <v>44</v>
      </c>
      <c r="J801" s="148" t="s">
        <v>61</v>
      </c>
      <c r="K801" s="148" t="s">
        <v>61</v>
      </c>
      <c r="L801" s="152"/>
      <c r="M801" s="152">
        <f t="shared" si="12"/>
        <v>0</v>
      </c>
      <c r="N801" s="148"/>
      <c r="O801" s="150">
        <v>37149</v>
      </c>
      <c r="P801" s="148" t="s">
        <v>61</v>
      </c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</row>
    <row r="802" spans="1:27">
      <c r="A802" s="147">
        <v>2025</v>
      </c>
      <c r="B802" s="147" t="s">
        <v>60</v>
      </c>
      <c r="C802" s="147" t="s">
        <v>53</v>
      </c>
      <c r="D802" s="148" t="s">
        <v>64</v>
      </c>
      <c r="E802" s="148" t="s">
        <v>30</v>
      </c>
      <c r="F802" s="149">
        <v>2024</v>
      </c>
      <c r="G802" s="148" t="s">
        <v>40</v>
      </c>
      <c r="H802" s="149">
        <v>125</v>
      </c>
      <c r="I802" s="148" t="s">
        <v>44</v>
      </c>
      <c r="J802" s="148" t="s">
        <v>61</v>
      </c>
      <c r="K802" s="148" t="s">
        <v>61</v>
      </c>
      <c r="L802" s="152"/>
      <c r="M802" s="152">
        <f t="shared" si="12"/>
        <v>0</v>
      </c>
      <c r="N802" s="148"/>
      <c r="O802" s="150">
        <v>100850</v>
      </c>
      <c r="P802" s="148" t="s">
        <v>61</v>
      </c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</row>
    <row r="803" spans="1:27">
      <c r="A803" s="147">
        <v>2026</v>
      </c>
      <c r="B803" s="147" t="s">
        <v>60</v>
      </c>
      <c r="C803" s="147" t="s">
        <v>53</v>
      </c>
      <c r="D803" s="148" t="s">
        <v>64</v>
      </c>
      <c r="E803" s="148" t="s">
        <v>30</v>
      </c>
      <c r="F803" s="149">
        <v>2024</v>
      </c>
      <c r="G803" s="148" t="s">
        <v>41</v>
      </c>
      <c r="H803" s="149">
        <v>78</v>
      </c>
      <c r="I803" s="148" t="s">
        <v>44</v>
      </c>
      <c r="J803" s="148" t="s">
        <v>61</v>
      </c>
      <c r="K803" s="148" t="s">
        <v>61</v>
      </c>
      <c r="L803" s="152"/>
      <c r="M803" s="152">
        <f t="shared" si="12"/>
        <v>0</v>
      </c>
      <c r="N803" s="148"/>
      <c r="O803" s="150">
        <v>90047</v>
      </c>
      <c r="P803" s="148" t="s">
        <v>61</v>
      </c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</row>
    <row r="804" spans="1:27">
      <c r="A804" s="147">
        <v>2027</v>
      </c>
      <c r="B804" s="147" t="s">
        <v>60</v>
      </c>
      <c r="C804" s="147" t="s">
        <v>53</v>
      </c>
      <c r="D804" s="148" t="s">
        <v>64</v>
      </c>
      <c r="E804" s="148" t="s">
        <v>30</v>
      </c>
      <c r="F804" s="149">
        <v>2024</v>
      </c>
      <c r="G804" s="148" t="s">
        <v>42</v>
      </c>
      <c r="H804" s="149">
        <v>61</v>
      </c>
      <c r="I804" s="148" t="s">
        <v>44</v>
      </c>
      <c r="J804" s="148" t="s">
        <v>61</v>
      </c>
      <c r="K804" s="148" t="s">
        <v>61</v>
      </c>
      <c r="L804" s="152"/>
      <c r="M804" s="152">
        <f t="shared" si="12"/>
        <v>0</v>
      </c>
      <c r="N804" s="148"/>
      <c r="O804" s="150">
        <v>30530</v>
      </c>
      <c r="P804" s="148" t="s">
        <v>61</v>
      </c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</row>
    <row r="805" spans="1:27">
      <c r="A805" s="147">
        <v>2028</v>
      </c>
      <c r="B805" s="147" t="s">
        <v>60</v>
      </c>
      <c r="C805" s="147" t="s">
        <v>53</v>
      </c>
      <c r="D805" s="148" t="s">
        <v>64</v>
      </c>
      <c r="E805" s="148" t="s">
        <v>30</v>
      </c>
      <c r="F805" s="149">
        <v>2024</v>
      </c>
      <c r="G805" s="148" t="s">
        <v>43</v>
      </c>
      <c r="H805" s="149">
        <v>25</v>
      </c>
      <c r="I805" s="147" t="e">
        <v>#VALUE!</v>
      </c>
      <c r="J805" s="148" t="s">
        <v>61</v>
      </c>
      <c r="K805" s="148" t="s">
        <v>61</v>
      </c>
      <c r="L805" s="152"/>
      <c r="M805" s="152">
        <f t="shared" si="12"/>
        <v>0</v>
      </c>
      <c r="N805" s="148"/>
      <c r="O805" s="150">
        <v>29447</v>
      </c>
      <c r="P805" s="148" t="s">
        <v>61</v>
      </c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</row>
    <row r="806" spans="1:27">
      <c r="A806" s="147">
        <v>2029</v>
      </c>
      <c r="B806" s="147" t="s">
        <v>60</v>
      </c>
      <c r="C806" s="147" t="s">
        <v>53</v>
      </c>
      <c r="D806" s="148" t="s">
        <v>64</v>
      </c>
      <c r="E806" s="148" t="s">
        <v>30</v>
      </c>
      <c r="F806" s="149">
        <v>2025</v>
      </c>
      <c r="G806" s="148" t="s">
        <v>31</v>
      </c>
      <c r="H806" s="149">
        <v>20</v>
      </c>
      <c r="I806" s="150">
        <v>73628</v>
      </c>
      <c r="J806" s="149">
        <v>415</v>
      </c>
      <c r="K806" s="148" t="s">
        <v>61</v>
      </c>
      <c r="L806" s="152"/>
      <c r="M806" s="152">
        <f t="shared" si="12"/>
        <v>0</v>
      </c>
      <c r="N806" s="148"/>
      <c r="O806" s="150">
        <v>33978</v>
      </c>
      <c r="P806" s="148" t="s">
        <v>48</v>
      </c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</row>
    <row r="807" spans="1:27">
      <c r="A807" s="147">
        <v>2030</v>
      </c>
      <c r="B807" s="147" t="s">
        <v>60</v>
      </c>
      <c r="C807" s="147" t="s">
        <v>53</v>
      </c>
      <c r="D807" s="148" t="s">
        <v>64</v>
      </c>
      <c r="E807" s="148" t="s">
        <v>30</v>
      </c>
      <c r="F807" s="149">
        <v>2025</v>
      </c>
      <c r="G807" s="148" t="s">
        <v>33</v>
      </c>
      <c r="H807" s="149">
        <v>5</v>
      </c>
      <c r="I807" s="150">
        <v>73213</v>
      </c>
      <c r="J807" s="149">
        <v>430</v>
      </c>
      <c r="K807" s="148" t="s">
        <v>61</v>
      </c>
      <c r="L807" s="152"/>
      <c r="M807" s="152">
        <f t="shared" si="12"/>
        <v>0</v>
      </c>
      <c r="N807" s="148"/>
      <c r="O807" s="150">
        <v>21834</v>
      </c>
      <c r="P807" s="148" t="s">
        <v>48</v>
      </c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</row>
    <row r="808" spans="1:27">
      <c r="A808" s="147">
        <v>2031</v>
      </c>
      <c r="B808" s="147" t="s">
        <v>60</v>
      </c>
      <c r="C808" s="147" t="s">
        <v>53</v>
      </c>
      <c r="D808" s="148" t="s">
        <v>64</v>
      </c>
      <c r="E808" s="148" t="s">
        <v>30</v>
      </c>
      <c r="F808" s="149">
        <v>2025</v>
      </c>
      <c r="G808" s="148" t="s">
        <v>34</v>
      </c>
      <c r="H808" s="149">
        <v>1</v>
      </c>
      <c r="I808" s="150">
        <v>75309</v>
      </c>
      <c r="J808" s="149">
        <v>357</v>
      </c>
      <c r="K808" s="148" t="s">
        <v>61</v>
      </c>
      <c r="L808" s="152"/>
      <c r="M808" s="152">
        <f t="shared" si="12"/>
        <v>0</v>
      </c>
      <c r="N808" s="148"/>
      <c r="O808" s="150">
        <v>19713</v>
      </c>
      <c r="P808" s="148" t="s">
        <v>48</v>
      </c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</row>
    <row r="809" spans="1:27">
      <c r="A809" s="147">
        <v>2032</v>
      </c>
      <c r="B809" s="147" t="s">
        <v>60</v>
      </c>
      <c r="C809" s="147" t="s">
        <v>53</v>
      </c>
      <c r="D809" s="148" t="s">
        <v>64</v>
      </c>
      <c r="E809" s="148" t="s">
        <v>30</v>
      </c>
      <c r="F809" s="149">
        <v>2025</v>
      </c>
      <c r="G809" s="148" t="s">
        <v>35</v>
      </c>
      <c r="H809" s="149">
        <v>1</v>
      </c>
      <c r="I809" s="150">
        <v>75467</v>
      </c>
      <c r="J809" s="149">
        <v>378</v>
      </c>
      <c r="K809" s="150">
        <v>19268</v>
      </c>
      <c r="L809" s="152"/>
      <c r="M809" s="152">
        <f t="shared" si="12"/>
        <v>0</v>
      </c>
      <c r="N809" s="148"/>
      <c r="O809" s="150">
        <v>18656</v>
      </c>
      <c r="P809" s="149">
        <v>99</v>
      </c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</row>
    <row r="810" spans="1:27">
      <c r="A810" s="147">
        <v>2033</v>
      </c>
      <c r="B810" s="147" t="s">
        <v>60</v>
      </c>
      <c r="C810" s="147" t="s">
        <v>53</v>
      </c>
      <c r="D810" s="148" t="s">
        <v>64</v>
      </c>
      <c r="E810" s="148" t="s">
        <v>30</v>
      </c>
      <c r="F810" s="149">
        <v>2025</v>
      </c>
      <c r="G810" s="148" t="s">
        <v>36</v>
      </c>
      <c r="H810" s="149">
        <v>40</v>
      </c>
      <c r="I810" s="150">
        <v>75682</v>
      </c>
      <c r="J810" s="149">
        <v>373</v>
      </c>
      <c r="K810" s="150">
        <v>3198133</v>
      </c>
      <c r="L810" s="152"/>
      <c r="M810" s="152">
        <f t="shared" si="12"/>
        <v>0</v>
      </c>
      <c r="N810" s="148"/>
      <c r="O810" s="150">
        <v>1298240</v>
      </c>
      <c r="P810" s="150">
        <v>57825</v>
      </c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</row>
    <row r="811" spans="1:27">
      <c r="A811" s="147">
        <v>2034</v>
      </c>
      <c r="B811" s="147" t="s">
        <v>60</v>
      </c>
      <c r="C811" s="147" t="s">
        <v>53</v>
      </c>
      <c r="D811" s="148" t="s">
        <v>64</v>
      </c>
      <c r="E811" s="148" t="s">
        <v>30</v>
      </c>
      <c r="F811" s="149">
        <v>2025</v>
      </c>
      <c r="G811" s="148" t="s">
        <v>37</v>
      </c>
      <c r="H811" s="149">
        <v>122</v>
      </c>
      <c r="I811" s="150">
        <v>74952</v>
      </c>
      <c r="J811" s="149">
        <v>599</v>
      </c>
      <c r="K811" s="150">
        <v>15400179</v>
      </c>
      <c r="L811" s="152"/>
      <c r="M811" s="152">
        <f t="shared" si="12"/>
        <v>0</v>
      </c>
      <c r="N811" s="148"/>
      <c r="O811" s="150">
        <v>4664679</v>
      </c>
      <c r="P811" s="150">
        <v>218140</v>
      </c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</row>
    <row r="812" spans="1:27">
      <c r="A812" s="147">
        <v>2035</v>
      </c>
      <c r="B812" s="147" t="s">
        <v>60</v>
      </c>
      <c r="C812" s="147" t="s">
        <v>53</v>
      </c>
      <c r="D812" s="148" t="s">
        <v>64</v>
      </c>
      <c r="E812" s="148" t="s">
        <v>30</v>
      </c>
      <c r="F812" s="149">
        <v>2025</v>
      </c>
      <c r="G812" s="148" t="s">
        <v>38</v>
      </c>
      <c r="H812" s="149">
        <v>136</v>
      </c>
      <c r="I812" s="150">
        <v>74353</v>
      </c>
      <c r="J812" s="149">
        <v>725</v>
      </c>
      <c r="K812" s="150">
        <v>14897104</v>
      </c>
      <c r="L812" s="152"/>
      <c r="M812" s="152">
        <f t="shared" si="12"/>
        <v>0</v>
      </c>
      <c r="N812" s="148"/>
      <c r="O812" s="150">
        <v>3282570</v>
      </c>
      <c r="P812" s="150">
        <v>155362</v>
      </c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</row>
    <row r="813" spans="1:27">
      <c r="A813" s="147">
        <v>2036</v>
      </c>
      <c r="B813" s="147" t="s">
        <v>60</v>
      </c>
      <c r="C813" s="147" t="s">
        <v>53</v>
      </c>
      <c r="D813" s="148" t="s">
        <v>64</v>
      </c>
      <c r="E813" s="148" t="s">
        <v>30</v>
      </c>
      <c r="F813" s="149">
        <v>2025</v>
      </c>
      <c r="G813" s="148" t="s">
        <v>39</v>
      </c>
      <c r="H813" s="149">
        <v>176</v>
      </c>
      <c r="I813" s="150">
        <v>76705</v>
      </c>
      <c r="J813" s="150">
        <v>1238</v>
      </c>
      <c r="K813" s="150">
        <v>21157880</v>
      </c>
      <c r="L813" s="152"/>
      <c r="M813" s="152">
        <f t="shared" si="12"/>
        <v>0</v>
      </c>
      <c r="N813" s="148"/>
      <c r="O813" s="150">
        <v>3187082</v>
      </c>
      <c r="P813" s="150">
        <v>184434</v>
      </c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</row>
    <row r="814" spans="1:27">
      <c r="A814" s="147">
        <v>2037</v>
      </c>
      <c r="B814" s="147" t="s">
        <v>60</v>
      </c>
      <c r="C814" s="147" t="s">
        <v>53</v>
      </c>
      <c r="D814" s="148" t="s">
        <v>64</v>
      </c>
      <c r="E814" s="148" t="s">
        <v>30</v>
      </c>
      <c r="F814" s="149">
        <v>2025</v>
      </c>
      <c r="G814" s="148" t="s">
        <v>40</v>
      </c>
      <c r="H814" s="149">
        <v>215</v>
      </c>
      <c r="I814" s="150">
        <v>89355</v>
      </c>
      <c r="J814" s="149">
        <v>864</v>
      </c>
      <c r="K814" s="150">
        <v>26990000</v>
      </c>
      <c r="L814" s="152"/>
      <c r="M814" s="152">
        <f t="shared" si="12"/>
        <v>0</v>
      </c>
      <c r="N814" s="148"/>
      <c r="O814" s="150">
        <v>3396292</v>
      </c>
      <c r="P814" s="150">
        <v>162752</v>
      </c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</row>
    <row r="815" spans="1:27">
      <c r="A815" s="147">
        <v>2038</v>
      </c>
      <c r="B815" s="147" t="s">
        <v>60</v>
      </c>
      <c r="C815" s="147" t="s">
        <v>53</v>
      </c>
      <c r="D815" s="148" t="s">
        <v>64</v>
      </c>
      <c r="E815" s="148" t="s">
        <v>30</v>
      </c>
      <c r="F815" s="149">
        <v>2025</v>
      </c>
      <c r="G815" s="148" t="s">
        <v>41</v>
      </c>
      <c r="H815" s="149">
        <v>174</v>
      </c>
      <c r="I815" s="150">
        <v>76131</v>
      </c>
      <c r="J815" s="150">
        <v>1091</v>
      </c>
      <c r="K815" s="150">
        <v>19128050</v>
      </c>
      <c r="L815" s="152"/>
      <c r="M815" s="152">
        <f t="shared" si="12"/>
        <v>0</v>
      </c>
      <c r="N815" s="148"/>
      <c r="O815" s="150">
        <v>2467361</v>
      </c>
      <c r="P815" s="150">
        <v>133592</v>
      </c>
      <c r="Q815" s="154">
        <v>0.258</v>
      </c>
      <c r="R815" s="154">
        <v>0.742</v>
      </c>
      <c r="S815" s="148"/>
      <c r="T815" s="148"/>
      <c r="U815" s="154">
        <v>0.097</v>
      </c>
      <c r="V815" s="154">
        <v>0.422</v>
      </c>
      <c r="W815" s="154">
        <v>0.321</v>
      </c>
      <c r="X815" s="154">
        <v>0.108</v>
      </c>
      <c r="Y815" s="154">
        <v>0.036</v>
      </c>
      <c r="Z815" s="154">
        <v>0.016</v>
      </c>
      <c r="AA815" s="148" t="s">
        <v>45</v>
      </c>
    </row>
    <row r="816" spans="1:27">
      <c r="A816" s="147">
        <v>2039</v>
      </c>
      <c r="B816" s="147" t="s">
        <v>60</v>
      </c>
      <c r="C816" s="147" t="s">
        <v>53</v>
      </c>
      <c r="D816" s="148" t="s">
        <v>64</v>
      </c>
      <c r="E816" s="148" t="s">
        <v>30</v>
      </c>
      <c r="F816" s="149">
        <v>2025</v>
      </c>
      <c r="G816" s="148" t="s">
        <v>42</v>
      </c>
      <c r="H816" s="149">
        <v>193</v>
      </c>
      <c r="I816" s="150">
        <v>77334</v>
      </c>
      <c r="J816" s="150">
        <v>1652</v>
      </c>
      <c r="K816" s="150">
        <v>19309711</v>
      </c>
      <c r="L816" s="152"/>
      <c r="M816" s="152">
        <f t="shared" si="12"/>
        <v>0</v>
      </c>
      <c r="N816" s="148"/>
      <c r="O816" s="150">
        <v>3316389</v>
      </c>
      <c r="P816" s="150">
        <v>152960</v>
      </c>
      <c r="Q816" s="154">
        <v>0.262</v>
      </c>
      <c r="R816" s="154">
        <v>0.738</v>
      </c>
      <c r="S816" s="148"/>
      <c r="T816" s="148"/>
      <c r="U816" s="154">
        <v>0.094</v>
      </c>
      <c r="V816" s="154">
        <v>0.418</v>
      </c>
      <c r="W816" s="154">
        <v>0.325</v>
      </c>
      <c r="X816" s="154">
        <v>0.111</v>
      </c>
      <c r="Y816" s="154">
        <v>0.036</v>
      </c>
      <c r="Z816" s="154">
        <v>0.016</v>
      </c>
      <c r="AA816" s="148" t="s">
        <v>45</v>
      </c>
    </row>
    <row r="817" spans="1:27">
      <c r="A817" s="147">
        <v>2040</v>
      </c>
      <c r="B817" s="147" t="s">
        <v>60</v>
      </c>
      <c r="C817" s="147" t="s">
        <v>53</v>
      </c>
      <c r="D817" s="148" t="s">
        <v>64</v>
      </c>
      <c r="E817" s="148" t="s">
        <v>30</v>
      </c>
      <c r="F817" s="149">
        <v>2025</v>
      </c>
      <c r="G817" s="148" t="s">
        <v>43</v>
      </c>
      <c r="H817" s="149">
        <v>172</v>
      </c>
      <c r="I817" s="150">
        <v>79867</v>
      </c>
      <c r="J817" s="150">
        <v>3162</v>
      </c>
      <c r="K817" s="150">
        <v>38605989</v>
      </c>
      <c r="L817" s="152"/>
      <c r="M817" s="152">
        <f t="shared" si="12"/>
        <v>0</v>
      </c>
      <c r="N817" s="148"/>
      <c r="O817" s="150">
        <v>6451871</v>
      </c>
      <c r="P817" s="150">
        <v>401515</v>
      </c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</row>
    <row r="818" spans="1:27">
      <c r="A818" s="147">
        <v>2041</v>
      </c>
      <c r="B818" s="147" t="s">
        <v>60</v>
      </c>
      <c r="C818" s="147" t="s">
        <v>53</v>
      </c>
      <c r="D818" s="148" t="s">
        <v>64</v>
      </c>
      <c r="E818" s="148" t="s">
        <v>30</v>
      </c>
      <c r="F818" s="149">
        <v>2026</v>
      </c>
      <c r="G818" s="148" t="s">
        <v>31</v>
      </c>
      <c r="H818" s="149">
        <v>215</v>
      </c>
      <c r="I818" s="150">
        <v>82908</v>
      </c>
      <c r="J818" s="150">
        <v>3041</v>
      </c>
      <c r="K818" s="150">
        <v>20847384</v>
      </c>
      <c r="L818" s="152"/>
      <c r="M818" s="152">
        <f t="shared" si="12"/>
        <v>0</v>
      </c>
      <c r="N818" s="148"/>
      <c r="O818" s="150">
        <v>4301215</v>
      </c>
      <c r="P818" s="150">
        <v>277439</v>
      </c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</row>
    <row r="819" spans="1:27">
      <c r="A819" s="147">
        <v>2042</v>
      </c>
      <c r="B819" s="147" t="s">
        <v>60</v>
      </c>
      <c r="C819" s="147" t="s">
        <v>53</v>
      </c>
      <c r="D819" s="148" t="s">
        <v>64</v>
      </c>
      <c r="E819" s="148" t="s">
        <v>30</v>
      </c>
      <c r="F819" s="149">
        <v>2026</v>
      </c>
      <c r="G819" s="148" t="s">
        <v>33</v>
      </c>
      <c r="H819" s="149">
        <v>283</v>
      </c>
      <c r="I819" s="150">
        <v>85600</v>
      </c>
      <c r="J819" s="150">
        <v>3746</v>
      </c>
      <c r="K819" s="150">
        <v>36001831</v>
      </c>
      <c r="L819" s="152"/>
      <c r="M819" s="152">
        <f t="shared" si="12"/>
        <v>0</v>
      </c>
      <c r="N819" s="148"/>
      <c r="O819" s="150">
        <v>11486495</v>
      </c>
      <c r="P819" s="150">
        <v>802181</v>
      </c>
      <c r="Q819" s="154">
        <v>0.272</v>
      </c>
      <c r="R819" s="154">
        <v>0.728</v>
      </c>
      <c r="S819" s="148"/>
      <c r="T819" s="148"/>
      <c r="U819" s="154">
        <v>0.088</v>
      </c>
      <c r="V819" s="154">
        <v>0.404</v>
      </c>
      <c r="W819" s="154">
        <v>0.333</v>
      </c>
      <c r="X819" s="154">
        <v>0.118</v>
      </c>
      <c r="Y819" s="154">
        <v>0.039</v>
      </c>
      <c r="Z819" s="154">
        <v>0.018</v>
      </c>
      <c r="AA819" s="148" t="s">
        <v>45</v>
      </c>
    </row>
    <row r="820" spans="1:27">
      <c r="A820" s="147">
        <v>2043</v>
      </c>
      <c r="B820" s="147" t="s">
        <v>60</v>
      </c>
      <c r="C820" s="147" t="s">
        <v>53</v>
      </c>
      <c r="D820" s="148" t="s">
        <v>64</v>
      </c>
      <c r="E820" s="148" t="s">
        <v>30</v>
      </c>
      <c r="F820" s="149">
        <v>2026</v>
      </c>
      <c r="G820" s="148" t="s">
        <v>34</v>
      </c>
      <c r="H820" s="149">
        <v>290</v>
      </c>
      <c r="I820" s="150">
        <v>90130</v>
      </c>
      <c r="J820" s="150">
        <v>5256</v>
      </c>
      <c r="K820" s="150">
        <v>45726168</v>
      </c>
      <c r="L820" s="152"/>
      <c r="M820" s="152">
        <f t="shared" si="12"/>
        <v>0</v>
      </c>
      <c r="N820" s="148"/>
      <c r="O820" s="150">
        <v>13876620</v>
      </c>
      <c r="P820" s="150">
        <v>1244033</v>
      </c>
      <c r="Q820" s="154">
        <v>0.275</v>
      </c>
      <c r="R820" s="154">
        <v>0.725</v>
      </c>
      <c r="S820" s="148"/>
      <c r="T820" s="148"/>
      <c r="U820" s="154">
        <v>0.089</v>
      </c>
      <c r="V820" s="154">
        <v>0.399</v>
      </c>
      <c r="W820" s="154">
        <v>0.332</v>
      </c>
      <c r="X820" s="154">
        <v>0.122</v>
      </c>
      <c r="Y820" s="154">
        <v>0.041</v>
      </c>
      <c r="Z820" s="154">
        <v>0.017</v>
      </c>
      <c r="AA820" s="148" t="s">
        <v>45</v>
      </c>
    </row>
    <row r="821" spans="1:27">
      <c r="A821" s="147">
        <v>2044</v>
      </c>
      <c r="B821" s="147" t="s">
        <v>60</v>
      </c>
      <c r="C821" s="147" t="s">
        <v>53</v>
      </c>
      <c r="D821" s="148" t="s">
        <v>64</v>
      </c>
      <c r="E821" s="148" t="s">
        <v>30</v>
      </c>
      <c r="F821" s="149">
        <v>2026</v>
      </c>
      <c r="G821" s="148" t="s">
        <v>35</v>
      </c>
      <c r="H821" s="149">
        <v>271</v>
      </c>
      <c r="I821" s="150">
        <v>97610</v>
      </c>
      <c r="J821" s="150">
        <v>8255</v>
      </c>
      <c r="K821" s="150">
        <v>44061276</v>
      </c>
      <c r="L821" s="152"/>
      <c r="M821" s="152">
        <f t="shared" si="12"/>
        <v>0</v>
      </c>
      <c r="N821" s="148"/>
      <c r="O821" s="150">
        <v>11983905</v>
      </c>
      <c r="P821" s="150">
        <v>1157859</v>
      </c>
      <c r="Q821" s="154">
        <v>0.271</v>
      </c>
      <c r="R821" s="154">
        <v>0.729</v>
      </c>
      <c r="S821" s="148"/>
      <c r="T821" s="148"/>
      <c r="U821" s="154">
        <v>0.087</v>
      </c>
      <c r="V821" s="154">
        <v>0.393</v>
      </c>
      <c r="W821" s="154">
        <v>0.332</v>
      </c>
      <c r="X821" s="154">
        <v>0.125</v>
      </c>
      <c r="Y821" s="154">
        <v>0.045</v>
      </c>
      <c r="Z821" s="154">
        <v>0.018</v>
      </c>
      <c r="AA821" s="148" t="s">
        <v>45</v>
      </c>
    </row>
    <row r="822" spans="1:27">
      <c r="A822" s="147">
        <v>2045</v>
      </c>
      <c r="B822" s="147" t="s">
        <v>60</v>
      </c>
      <c r="C822" s="147" t="s">
        <v>53</v>
      </c>
      <c r="D822" s="148" t="s">
        <v>64</v>
      </c>
      <c r="E822" s="148" t="s">
        <v>30</v>
      </c>
      <c r="F822" s="149">
        <v>2026</v>
      </c>
      <c r="G822" s="148" t="s">
        <v>36</v>
      </c>
      <c r="H822" s="149">
        <v>250</v>
      </c>
      <c r="I822" s="150">
        <v>99760</v>
      </c>
      <c r="J822" s="150">
        <v>3789</v>
      </c>
      <c r="K822" s="150">
        <v>22954392</v>
      </c>
      <c r="L822" s="152"/>
      <c r="M822" s="152">
        <f t="shared" si="12"/>
        <v>0</v>
      </c>
      <c r="N822" s="148"/>
      <c r="O822" s="150">
        <v>7102011</v>
      </c>
      <c r="P822" s="150">
        <v>503173</v>
      </c>
      <c r="Q822" s="154">
        <v>0.273</v>
      </c>
      <c r="R822" s="154">
        <v>0.727</v>
      </c>
      <c r="S822" s="148"/>
      <c r="T822" s="148"/>
      <c r="U822" s="154">
        <v>0.084</v>
      </c>
      <c r="V822" s="154">
        <v>0.39</v>
      </c>
      <c r="W822" s="154">
        <v>0.332</v>
      </c>
      <c r="X822" s="154">
        <v>0.128</v>
      </c>
      <c r="Y822" s="154">
        <v>0.046</v>
      </c>
      <c r="Z822" s="154">
        <v>0.02</v>
      </c>
      <c r="AA822" s="148" t="s">
        <v>45</v>
      </c>
    </row>
    <row r="823" spans="1:27">
      <c r="A823" s="147">
        <v>2046</v>
      </c>
      <c r="B823" s="147" t="s">
        <v>60</v>
      </c>
      <c r="C823" s="147" t="s">
        <v>53</v>
      </c>
      <c r="D823" s="148" t="s">
        <v>64</v>
      </c>
      <c r="E823" s="148" t="s">
        <v>30</v>
      </c>
      <c r="F823" s="149">
        <v>2026</v>
      </c>
      <c r="G823" s="148" t="s">
        <v>37</v>
      </c>
      <c r="H823" s="149">
        <v>203</v>
      </c>
      <c r="I823" s="150">
        <v>105789</v>
      </c>
      <c r="J823" s="150">
        <v>7095</v>
      </c>
      <c r="K823" s="150">
        <v>35863360</v>
      </c>
      <c r="L823" s="152"/>
      <c r="M823" s="152">
        <f t="shared" si="12"/>
        <v>0</v>
      </c>
      <c r="N823" s="148"/>
      <c r="O823" s="150">
        <v>11316369</v>
      </c>
      <c r="P823" s="150">
        <v>932265</v>
      </c>
      <c r="Q823" s="154">
        <v>0.28</v>
      </c>
      <c r="R823" s="154">
        <v>0.72</v>
      </c>
      <c r="S823" s="148"/>
      <c r="T823" s="148"/>
      <c r="U823" s="154">
        <v>0.083</v>
      </c>
      <c r="V823" s="154">
        <v>0.384</v>
      </c>
      <c r="W823" s="154">
        <v>0.336</v>
      </c>
      <c r="X823" s="154">
        <v>0.13</v>
      </c>
      <c r="Y823" s="154">
        <v>0.047</v>
      </c>
      <c r="Z823" s="154">
        <v>0.02</v>
      </c>
      <c r="AA823" s="148" t="s">
        <v>45</v>
      </c>
    </row>
    <row r="824" spans="1:27">
      <c r="A824" s="147">
        <v>2047</v>
      </c>
      <c r="B824" s="147" t="s">
        <v>60</v>
      </c>
      <c r="C824" s="147" t="s">
        <v>53</v>
      </c>
      <c r="D824" s="148" t="s">
        <v>64</v>
      </c>
      <c r="E824" s="148" t="s">
        <v>30</v>
      </c>
      <c r="F824" s="149">
        <v>2026</v>
      </c>
      <c r="G824" s="148" t="s">
        <v>38</v>
      </c>
      <c r="H824" s="149">
        <v>261</v>
      </c>
      <c r="I824" s="150">
        <v>114631</v>
      </c>
      <c r="J824" s="150">
        <v>10115</v>
      </c>
      <c r="K824" s="150">
        <v>44174255</v>
      </c>
      <c r="L824" s="152"/>
      <c r="M824" s="152">
        <f t="shared" si="12"/>
        <v>0</v>
      </c>
      <c r="N824" s="148"/>
      <c r="O824" s="150">
        <v>17011900</v>
      </c>
      <c r="P824" s="150">
        <v>1782917</v>
      </c>
      <c r="Q824" s="154">
        <v>0.29</v>
      </c>
      <c r="R824" s="154">
        <v>0.71</v>
      </c>
      <c r="S824" s="148"/>
      <c r="T824" s="148"/>
      <c r="U824" s="154">
        <v>0.087</v>
      </c>
      <c r="V824" s="154">
        <v>0.376</v>
      </c>
      <c r="W824" s="154">
        <v>0.335</v>
      </c>
      <c r="X824" s="154">
        <v>0.133</v>
      </c>
      <c r="Y824" s="154">
        <v>0.049</v>
      </c>
      <c r="Z824" s="154">
        <v>0.02</v>
      </c>
      <c r="AA824" s="148" t="s">
        <v>45</v>
      </c>
    </row>
    <row r="825" spans="1:27">
      <c r="A825" s="147">
        <v>2048</v>
      </c>
      <c r="B825" s="147" t="s">
        <v>60</v>
      </c>
      <c r="C825" s="147" t="s">
        <v>53</v>
      </c>
      <c r="D825" s="148" t="s">
        <v>64</v>
      </c>
      <c r="E825" s="148" t="s">
        <v>30</v>
      </c>
      <c r="F825" s="149">
        <v>2026</v>
      </c>
      <c r="G825" s="148" t="s">
        <v>39</v>
      </c>
      <c r="H825" s="148"/>
      <c r="I825" s="148"/>
      <c r="J825" s="148"/>
      <c r="K825" s="148"/>
      <c r="L825" s="152"/>
      <c r="M825" s="152">
        <f t="shared" si="12"/>
        <v>0</v>
      </c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</row>
    <row r="826" spans="1:27">
      <c r="A826" s="147">
        <v>2049</v>
      </c>
      <c r="B826" s="147" t="s">
        <v>60</v>
      </c>
      <c r="C826" s="147" t="s">
        <v>53</v>
      </c>
      <c r="D826" s="148" t="s">
        <v>64</v>
      </c>
      <c r="E826" s="148" t="s">
        <v>30</v>
      </c>
      <c r="F826" s="149">
        <v>2026</v>
      </c>
      <c r="G826" s="148" t="s">
        <v>40</v>
      </c>
      <c r="H826" s="148"/>
      <c r="I826" s="148"/>
      <c r="J826" s="148"/>
      <c r="K826" s="148"/>
      <c r="L826" s="152"/>
      <c r="M826" s="152">
        <f t="shared" si="12"/>
        <v>0</v>
      </c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</row>
    <row r="827" spans="1:27">
      <c r="A827" s="147">
        <v>2050</v>
      </c>
      <c r="B827" s="147" t="s">
        <v>60</v>
      </c>
      <c r="C827" s="147" t="s">
        <v>53</v>
      </c>
      <c r="D827" s="148" t="s">
        <v>64</v>
      </c>
      <c r="E827" s="148" t="s">
        <v>30</v>
      </c>
      <c r="F827" s="149">
        <v>2026</v>
      </c>
      <c r="G827" s="148" t="s">
        <v>41</v>
      </c>
      <c r="H827" s="148"/>
      <c r="I827" s="148"/>
      <c r="J827" s="148"/>
      <c r="K827" s="148"/>
      <c r="L827" s="152"/>
      <c r="M827" s="152">
        <f t="shared" si="12"/>
        <v>0</v>
      </c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</row>
    <row r="828" spans="1:27">
      <c r="A828" s="147">
        <v>2051</v>
      </c>
      <c r="B828" s="147" t="s">
        <v>60</v>
      </c>
      <c r="C828" s="147" t="s">
        <v>53</v>
      </c>
      <c r="D828" s="148" t="s">
        <v>64</v>
      </c>
      <c r="E828" s="148" t="s">
        <v>30</v>
      </c>
      <c r="F828" s="149">
        <v>2026</v>
      </c>
      <c r="G828" s="148" t="s">
        <v>42</v>
      </c>
      <c r="H828" s="148"/>
      <c r="I828" s="148"/>
      <c r="J828" s="148"/>
      <c r="K828" s="148"/>
      <c r="L828" s="152"/>
      <c r="M828" s="152">
        <f t="shared" si="12"/>
        <v>0</v>
      </c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</row>
    <row r="829" spans="1:27">
      <c r="A829" s="147">
        <v>2052</v>
      </c>
      <c r="B829" s="147" t="s">
        <v>60</v>
      </c>
      <c r="C829" s="147" t="s">
        <v>53</v>
      </c>
      <c r="D829" s="148" t="s">
        <v>64</v>
      </c>
      <c r="E829" s="148" t="s">
        <v>30</v>
      </c>
      <c r="F829" s="149">
        <v>2026</v>
      </c>
      <c r="G829" s="148" t="s">
        <v>43</v>
      </c>
      <c r="H829" s="148"/>
      <c r="I829" s="148"/>
      <c r="J829" s="148"/>
      <c r="K829" s="148"/>
      <c r="L829" s="152"/>
      <c r="M829" s="152">
        <f t="shared" si="12"/>
        <v>0</v>
      </c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</row>
    <row r="830" spans="1:27">
      <c r="A830" s="147">
        <v>2065</v>
      </c>
      <c r="B830" s="147" t="s">
        <v>60</v>
      </c>
      <c r="C830" s="147" t="s">
        <v>53</v>
      </c>
      <c r="D830" s="148" t="s">
        <v>56</v>
      </c>
      <c r="E830" s="148" t="s">
        <v>30</v>
      </c>
      <c r="F830" s="149">
        <v>2024</v>
      </c>
      <c r="G830" s="148" t="s">
        <v>31</v>
      </c>
      <c r="H830" s="149">
        <v>150</v>
      </c>
      <c r="I830" s="149" t="s">
        <v>44</v>
      </c>
      <c r="J830" s="149" t="s">
        <v>61</v>
      </c>
      <c r="K830" s="149" t="s">
        <v>61</v>
      </c>
      <c r="L830" s="152"/>
      <c r="M830" s="152">
        <f t="shared" si="12"/>
        <v>0</v>
      </c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</row>
    <row r="831" spans="1:27">
      <c r="A831" s="147">
        <v>2066</v>
      </c>
      <c r="B831" s="147" t="s">
        <v>60</v>
      </c>
      <c r="C831" s="147" t="s">
        <v>53</v>
      </c>
      <c r="D831" s="148" t="s">
        <v>56</v>
      </c>
      <c r="E831" s="148" t="s">
        <v>30</v>
      </c>
      <c r="F831" s="149">
        <v>2024</v>
      </c>
      <c r="G831" s="148" t="s">
        <v>33</v>
      </c>
      <c r="H831" s="149">
        <v>147</v>
      </c>
      <c r="I831" s="149" t="s">
        <v>44</v>
      </c>
      <c r="J831" s="149" t="s">
        <v>61</v>
      </c>
      <c r="K831" s="149" t="s">
        <v>61</v>
      </c>
      <c r="L831" s="152"/>
      <c r="M831" s="152">
        <f t="shared" si="12"/>
        <v>0</v>
      </c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</row>
    <row r="832" spans="1:27">
      <c r="A832" s="147">
        <v>2067</v>
      </c>
      <c r="B832" s="147" t="s">
        <v>60</v>
      </c>
      <c r="C832" s="147" t="s">
        <v>53</v>
      </c>
      <c r="D832" s="148" t="s">
        <v>56</v>
      </c>
      <c r="E832" s="148" t="s">
        <v>30</v>
      </c>
      <c r="F832" s="149">
        <v>2024</v>
      </c>
      <c r="G832" s="148" t="s">
        <v>34</v>
      </c>
      <c r="H832" s="149">
        <v>169</v>
      </c>
      <c r="I832" s="149" t="s">
        <v>44</v>
      </c>
      <c r="J832" s="149" t="s">
        <v>61</v>
      </c>
      <c r="K832" s="149" t="s">
        <v>61</v>
      </c>
      <c r="L832" s="152"/>
      <c r="M832" s="152">
        <f t="shared" si="12"/>
        <v>0</v>
      </c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</row>
    <row r="833" spans="1:27">
      <c r="A833" s="147">
        <v>2068</v>
      </c>
      <c r="B833" s="147" t="s">
        <v>60</v>
      </c>
      <c r="C833" s="147" t="s">
        <v>53</v>
      </c>
      <c r="D833" s="148" t="s">
        <v>56</v>
      </c>
      <c r="E833" s="148" t="s">
        <v>30</v>
      </c>
      <c r="F833" s="149">
        <v>2024</v>
      </c>
      <c r="G833" s="148" t="s">
        <v>35</v>
      </c>
      <c r="H833" s="149">
        <v>130</v>
      </c>
      <c r="I833" s="149" t="s">
        <v>44</v>
      </c>
      <c r="J833" s="149" t="s">
        <v>61</v>
      </c>
      <c r="K833" s="149" t="s">
        <v>61</v>
      </c>
      <c r="L833" s="152"/>
      <c r="M833" s="152">
        <f t="shared" si="12"/>
        <v>0</v>
      </c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</row>
    <row r="834" spans="1:27">
      <c r="A834" s="147">
        <v>2069</v>
      </c>
      <c r="B834" s="147" t="s">
        <v>60</v>
      </c>
      <c r="C834" s="147" t="s">
        <v>53</v>
      </c>
      <c r="D834" s="148" t="s">
        <v>56</v>
      </c>
      <c r="E834" s="148" t="s">
        <v>30</v>
      </c>
      <c r="F834" s="149">
        <v>2024</v>
      </c>
      <c r="G834" s="148" t="s">
        <v>36</v>
      </c>
      <c r="H834" s="149">
        <v>108</v>
      </c>
      <c r="I834" s="149" t="s">
        <v>44</v>
      </c>
      <c r="J834" s="149" t="s">
        <v>61</v>
      </c>
      <c r="K834" s="149" t="s">
        <v>61</v>
      </c>
      <c r="L834" s="152"/>
      <c r="M834" s="152">
        <f t="shared" ref="M834:M897" si="13">L834*17000</f>
        <v>0</v>
      </c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</row>
    <row r="835" spans="1:27">
      <c r="A835" s="147">
        <v>2070</v>
      </c>
      <c r="B835" s="147" t="s">
        <v>60</v>
      </c>
      <c r="C835" s="147" t="s">
        <v>53</v>
      </c>
      <c r="D835" s="148" t="s">
        <v>56</v>
      </c>
      <c r="E835" s="148" t="s">
        <v>30</v>
      </c>
      <c r="F835" s="149">
        <v>2024</v>
      </c>
      <c r="G835" s="148" t="s">
        <v>37</v>
      </c>
      <c r="H835" s="149">
        <v>138</v>
      </c>
      <c r="I835" s="149" t="s">
        <v>44</v>
      </c>
      <c r="J835" s="149" t="s">
        <v>61</v>
      </c>
      <c r="K835" s="149" t="s">
        <v>61</v>
      </c>
      <c r="L835" s="152"/>
      <c r="M835" s="152">
        <f t="shared" si="13"/>
        <v>0</v>
      </c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</row>
    <row r="836" spans="1:27">
      <c r="A836" s="147">
        <v>2071</v>
      </c>
      <c r="B836" s="147" t="s">
        <v>60</v>
      </c>
      <c r="C836" s="147" t="s">
        <v>53</v>
      </c>
      <c r="D836" s="148" t="s">
        <v>56</v>
      </c>
      <c r="E836" s="148" t="s">
        <v>30</v>
      </c>
      <c r="F836" s="149">
        <v>2024</v>
      </c>
      <c r="G836" s="148" t="s">
        <v>38</v>
      </c>
      <c r="H836" s="149">
        <v>189</v>
      </c>
      <c r="I836" s="149" t="s">
        <v>44</v>
      </c>
      <c r="J836" s="149" t="s">
        <v>61</v>
      </c>
      <c r="K836" s="149" t="s">
        <v>61</v>
      </c>
      <c r="L836" s="152"/>
      <c r="M836" s="152">
        <f t="shared" si="13"/>
        <v>0</v>
      </c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</row>
    <row r="837" spans="1:27">
      <c r="A837" s="147">
        <v>2072</v>
      </c>
      <c r="B837" s="147" t="s">
        <v>60</v>
      </c>
      <c r="C837" s="147" t="s">
        <v>53</v>
      </c>
      <c r="D837" s="148" t="s">
        <v>56</v>
      </c>
      <c r="E837" s="148" t="s">
        <v>30</v>
      </c>
      <c r="F837" s="149">
        <v>2024</v>
      </c>
      <c r="G837" s="148" t="s">
        <v>39</v>
      </c>
      <c r="H837" s="149">
        <v>207</v>
      </c>
      <c r="I837" s="149" t="s">
        <v>44</v>
      </c>
      <c r="J837" s="149" t="s">
        <v>61</v>
      </c>
      <c r="K837" s="149" t="s">
        <v>61</v>
      </c>
      <c r="L837" s="152"/>
      <c r="M837" s="152">
        <f t="shared" si="13"/>
        <v>0</v>
      </c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</row>
    <row r="838" spans="1:27">
      <c r="A838" s="147">
        <v>2073</v>
      </c>
      <c r="B838" s="147" t="s">
        <v>60</v>
      </c>
      <c r="C838" s="147" t="s">
        <v>53</v>
      </c>
      <c r="D838" s="148" t="s">
        <v>56</v>
      </c>
      <c r="E838" s="148" t="s">
        <v>30</v>
      </c>
      <c r="F838" s="149">
        <v>2024</v>
      </c>
      <c r="G838" s="148" t="s">
        <v>40</v>
      </c>
      <c r="H838" s="149">
        <v>202</v>
      </c>
      <c r="I838" s="150">
        <v>68728</v>
      </c>
      <c r="J838" s="149" t="s">
        <v>61</v>
      </c>
      <c r="K838" s="149" t="s">
        <v>61</v>
      </c>
      <c r="L838" s="152"/>
      <c r="M838" s="152">
        <f t="shared" si="13"/>
        <v>0</v>
      </c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</row>
    <row r="839" spans="1:27">
      <c r="A839" s="147">
        <v>2074</v>
      </c>
      <c r="B839" s="147" t="s">
        <v>60</v>
      </c>
      <c r="C839" s="147" t="s">
        <v>53</v>
      </c>
      <c r="D839" s="148" t="s">
        <v>56</v>
      </c>
      <c r="E839" s="148" t="s">
        <v>30</v>
      </c>
      <c r="F839" s="149">
        <v>2024</v>
      </c>
      <c r="G839" s="148" t="s">
        <v>41</v>
      </c>
      <c r="H839" s="149">
        <v>238</v>
      </c>
      <c r="I839" s="150">
        <v>69087</v>
      </c>
      <c r="J839" s="149">
        <v>359</v>
      </c>
      <c r="K839" s="149" t="s">
        <v>61</v>
      </c>
      <c r="L839" s="152"/>
      <c r="M839" s="152">
        <f t="shared" si="13"/>
        <v>0</v>
      </c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</row>
    <row r="840" spans="1:27">
      <c r="A840" s="147">
        <v>2075</v>
      </c>
      <c r="B840" s="147" t="s">
        <v>60</v>
      </c>
      <c r="C840" s="147" t="s">
        <v>53</v>
      </c>
      <c r="D840" s="148" t="s">
        <v>56</v>
      </c>
      <c r="E840" s="148" t="s">
        <v>30</v>
      </c>
      <c r="F840" s="149">
        <v>2024</v>
      </c>
      <c r="G840" s="148" t="s">
        <v>42</v>
      </c>
      <c r="H840" s="149">
        <v>167</v>
      </c>
      <c r="I840" s="150">
        <v>69583</v>
      </c>
      <c r="J840" s="149">
        <v>496</v>
      </c>
      <c r="K840" s="149" t="s">
        <v>61</v>
      </c>
      <c r="L840" s="152"/>
      <c r="M840" s="152">
        <f t="shared" si="13"/>
        <v>0</v>
      </c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</row>
    <row r="841" spans="1:27">
      <c r="A841" s="147">
        <v>2076</v>
      </c>
      <c r="B841" s="147" t="s">
        <v>60</v>
      </c>
      <c r="C841" s="147" t="s">
        <v>53</v>
      </c>
      <c r="D841" s="148" t="s">
        <v>56</v>
      </c>
      <c r="E841" s="148" t="s">
        <v>30</v>
      </c>
      <c r="F841" s="149">
        <v>2024</v>
      </c>
      <c r="G841" s="148" t="s">
        <v>43</v>
      </c>
      <c r="H841" s="149">
        <v>154</v>
      </c>
      <c r="I841" s="150">
        <v>69982</v>
      </c>
      <c r="J841" s="149">
        <v>399</v>
      </c>
      <c r="K841" s="150">
        <v>79230</v>
      </c>
      <c r="L841" s="152"/>
      <c r="M841" s="152">
        <f t="shared" si="13"/>
        <v>0</v>
      </c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</row>
    <row r="842" spans="1:27">
      <c r="A842" s="147">
        <v>2077</v>
      </c>
      <c r="B842" s="147" t="s">
        <v>60</v>
      </c>
      <c r="C842" s="147" t="s">
        <v>53</v>
      </c>
      <c r="D842" s="148" t="s">
        <v>56</v>
      </c>
      <c r="E842" s="148" t="s">
        <v>30</v>
      </c>
      <c r="F842" s="149">
        <v>2025</v>
      </c>
      <c r="G842" s="148" t="s">
        <v>31</v>
      </c>
      <c r="H842" s="149">
        <v>185</v>
      </c>
      <c r="I842" s="150">
        <v>70402</v>
      </c>
      <c r="J842" s="149">
        <v>420</v>
      </c>
      <c r="K842" s="150">
        <v>421857</v>
      </c>
      <c r="L842" s="152"/>
      <c r="M842" s="152">
        <f t="shared" si="13"/>
        <v>0</v>
      </c>
      <c r="N842" s="148"/>
      <c r="O842" s="150">
        <v>433338</v>
      </c>
      <c r="P842" s="149" t="s">
        <v>48</v>
      </c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</row>
    <row r="843" spans="1:27">
      <c r="A843" s="147">
        <v>2078</v>
      </c>
      <c r="B843" s="147" t="s">
        <v>60</v>
      </c>
      <c r="C843" s="147" t="s">
        <v>53</v>
      </c>
      <c r="D843" s="148" t="s">
        <v>56</v>
      </c>
      <c r="E843" s="148" t="s">
        <v>30</v>
      </c>
      <c r="F843" s="149">
        <v>2025</v>
      </c>
      <c r="G843" s="148" t="s">
        <v>33</v>
      </c>
      <c r="H843" s="149">
        <v>178</v>
      </c>
      <c r="I843" s="150">
        <v>70726</v>
      </c>
      <c r="J843" s="149">
        <v>324</v>
      </c>
      <c r="K843" s="150">
        <v>1127408</v>
      </c>
      <c r="L843" s="152"/>
      <c r="M843" s="152">
        <f t="shared" si="13"/>
        <v>0</v>
      </c>
      <c r="N843" s="148"/>
      <c r="O843" s="150">
        <v>595863</v>
      </c>
      <c r="P843" s="149" t="s">
        <v>48</v>
      </c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</row>
    <row r="844" spans="1:27">
      <c r="A844" s="147">
        <v>2079</v>
      </c>
      <c r="B844" s="147" t="s">
        <v>60</v>
      </c>
      <c r="C844" s="147" t="s">
        <v>53</v>
      </c>
      <c r="D844" s="148" t="s">
        <v>56</v>
      </c>
      <c r="E844" s="148" t="s">
        <v>30</v>
      </c>
      <c r="F844" s="149">
        <v>2025</v>
      </c>
      <c r="G844" s="148" t="s">
        <v>34</v>
      </c>
      <c r="H844" s="149">
        <v>213</v>
      </c>
      <c r="I844" s="150">
        <v>71190</v>
      </c>
      <c r="J844" s="149">
        <v>464</v>
      </c>
      <c r="K844" s="150">
        <v>1117069</v>
      </c>
      <c r="L844" s="152"/>
      <c r="M844" s="152">
        <f t="shared" si="13"/>
        <v>0</v>
      </c>
      <c r="N844" s="148"/>
      <c r="O844" s="150">
        <v>340568</v>
      </c>
      <c r="P844" s="149" t="s">
        <v>48</v>
      </c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</row>
    <row r="845" spans="1:27">
      <c r="A845" s="147">
        <v>2080</v>
      </c>
      <c r="B845" s="147" t="s">
        <v>60</v>
      </c>
      <c r="C845" s="147" t="s">
        <v>53</v>
      </c>
      <c r="D845" s="148" t="s">
        <v>56</v>
      </c>
      <c r="E845" s="148" t="s">
        <v>30</v>
      </c>
      <c r="F845" s="149">
        <v>2025</v>
      </c>
      <c r="G845" s="148" t="s">
        <v>35</v>
      </c>
      <c r="H845" s="149">
        <v>139</v>
      </c>
      <c r="I845" s="150">
        <v>71601</v>
      </c>
      <c r="J845" s="149">
        <v>411</v>
      </c>
      <c r="K845" s="150">
        <v>950324</v>
      </c>
      <c r="L845" s="152"/>
      <c r="M845" s="152">
        <f t="shared" si="13"/>
        <v>0</v>
      </c>
      <c r="N845" s="148"/>
      <c r="O845" s="150">
        <v>557754</v>
      </c>
      <c r="P845" s="149" t="s">
        <v>48</v>
      </c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</row>
    <row r="846" spans="1:27">
      <c r="A846" s="147">
        <v>2081</v>
      </c>
      <c r="B846" s="147" t="s">
        <v>60</v>
      </c>
      <c r="C846" s="147" t="s">
        <v>53</v>
      </c>
      <c r="D846" s="148" t="s">
        <v>56</v>
      </c>
      <c r="E846" s="148" t="s">
        <v>30</v>
      </c>
      <c r="F846" s="149">
        <v>2025</v>
      </c>
      <c r="G846" s="148" t="s">
        <v>36</v>
      </c>
      <c r="H846" s="149">
        <v>171</v>
      </c>
      <c r="I846" s="150">
        <v>72107</v>
      </c>
      <c r="J846" s="149">
        <v>506</v>
      </c>
      <c r="K846" s="150">
        <v>1555034</v>
      </c>
      <c r="L846" s="152"/>
      <c r="M846" s="152">
        <f t="shared" si="13"/>
        <v>0</v>
      </c>
      <c r="N846" s="148"/>
      <c r="O846" s="150">
        <v>832775</v>
      </c>
      <c r="P846" s="149" t="s">
        <v>48</v>
      </c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</row>
    <row r="847" spans="1:27">
      <c r="A847" s="147">
        <v>2082</v>
      </c>
      <c r="B847" s="147" t="s">
        <v>60</v>
      </c>
      <c r="C847" s="147" t="s">
        <v>53</v>
      </c>
      <c r="D847" s="148" t="s">
        <v>56</v>
      </c>
      <c r="E847" s="148" t="s">
        <v>30</v>
      </c>
      <c r="F847" s="149">
        <v>2025</v>
      </c>
      <c r="G847" s="148" t="s">
        <v>37</v>
      </c>
      <c r="H847" s="149">
        <v>228</v>
      </c>
      <c r="I847" s="150">
        <v>72725</v>
      </c>
      <c r="J847" s="149">
        <v>618</v>
      </c>
      <c r="K847" s="150">
        <v>1336553</v>
      </c>
      <c r="L847" s="152"/>
      <c r="M847" s="152">
        <f t="shared" si="13"/>
        <v>0</v>
      </c>
      <c r="N847" s="148"/>
      <c r="O847" s="150">
        <v>570188</v>
      </c>
      <c r="P847" s="149" t="s">
        <v>48</v>
      </c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</row>
    <row r="848" spans="1:27">
      <c r="A848" s="147">
        <v>2083</v>
      </c>
      <c r="B848" s="147" t="s">
        <v>60</v>
      </c>
      <c r="C848" s="147" t="s">
        <v>53</v>
      </c>
      <c r="D848" s="148" t="s">
        <v>56</v>
      </c>
      <c r="E848" s="148" t="s">
        <v>30</v>
      </c>
      <c r="F848" s="149">
        <v>2025</v>
      </c>
      <c r="G848" s="148" t="s">
        <v>38</v>
      </c>
      <c r="H848" s="149">
        <v>219</v>
      </c>
      <c r="I848" s="150">
        <v>74400</v>
      </c>
      <c r="J848" s="150">
        <v>2095</v>
      </c>
      <c r="K848" s="150">
        <v>5844109</v>
      </c>
      <c r="L848" s="152"/>
      <c r="M848" s="152">
        <f t="shared" si="13"/>
        <v>0</v>
      </c>
      <c r="N848" s="148"/>
      <c r="O848" s="150">
        <v>3247848</v>
      </c>
      <c r="P848" s="150">
        <v>329994</v>
      </c>
      <c r="Q848" s="154">
        <v>0.545</v>
      </c>
      <c r="R848" s="154">
        <v>0.455</v>
      </c>
      <c r="S848" s="148"/>
      <c r="T848" s="148" t="s">
        <v>44</v>
      </c>
      <c r="U848" s="154">
        <v>0.08</v>
      </c>
      <c r="V848" s="154">
        <v>0.457</v>
      </c>
      <c r="W848" s="154">
        <v>0.315</v>
      </c>
      <c r="X848" s="154">
        <v>0.104</v>
      </c>
      <c r="Y848" s="154">
        <v>0.025</v>
      </c>
      <c r="Z848" s="154">
        <v>0.019</v>
      </c>
      <c r="AA848" s="148" t="s">
        <v>45</v>
      </c>
    </row>
    <row r="849" spans="1:27">
      <c r="A849" s="147">
        <v>2084</v>
      </c>
      <c r="B849" s="147" t="s">
        <v>60</v>
      </c>
      <c r="C849" s="147" t="s">
        <v>53</v>
      </c>
      <c r="D849" s="148" t="s">
        <v>56</v>
      </c>
      <c r="E849" s="148" t="s">
        <v>30</v>
      </c>
      <c r="F849" s="149">
        <v>2025</v>
      </c>
      <c r="G849" s="148" t="s">
        <v>39</v>
      </c>
      <c r="H849" s="149">
        <v>253</v>
      </c>
      <c r="I849" s="150">
        <v>76500</v>
      </c>
      <c r="J849" s="150">
        <v>2422</v>
      </c>
      <c r="K849" s="150">
        <v>12402269</v>
      </c>
      <c r="L849" s="152"/>
      <c r="M849" s="152">
        <f t="shared" si="13"/>
        <v>0</v>
      </c>
      <c r="N849" s="148"/>
      <c r="O849" s="150">
        <v>6509496</v>
      </c>
      <c r="P849" s="150">
        <v>446331</v>
      </c>
      <c r="Q849" s="154">
        <v>0.539</v>
      </c>
      <c r="R849" s="154">
        <v>0.461</v>
      </c>
      <c r="S849" s="148"/>
      <c r="T849" s="148"/>
      <c r="U849" s="154">
        <v>0.08</v>
      </c>
      <c r="V849" s="154">
        <v>0.452</v>
      </c>
      <c r="W849" s="154">
        <v>0.315</v>
      </c>
      <c r="X849" s="154">
        <v>0.107</v>
      </c>
      <c r="Y849" s="154">
        <v>0.027</v>
      </c>
      <c r="Z849" s="154">
        <v>0.019</v>
      </c>
      <c r="AA849" s="148" t="s">
        <v>45</v>
      </c>
    </row>
    <row r="850" spans="1:27">
      <c r="A850" s="147">
        <v>2085</v>
      </c>
      <c r="B850" s="147" t="s">
        <v>60</v>
      </c>
      <c r="C850" s="147" t="s">
        <v>53</v>
      </c>
      <c r="D850" s="148" t="s">
        <v>56</v>
      </c>
      <c r="E850" s="148" t="s">
        <v>30</v>
      </c>
      <c r="F850" s="149">
        <v>2025</v>
      </c>
      <c r="G850" s="148" t="s">
        <v>40</v>
      </c>
      <c r="H850" s="149">
        <v>250</v>
      </c>
      <c r="I850" s="150">
        <v>78188</v>
      </c>
      <c r="J850" s="150">
        <v>2034</v>
      </c>
      <c r="K850" s="150">
        <v>6528637</v>
      </c>
      <c r="L850" s="152"/>
      <c r="M850" s="152">
        <f t="shared" si="13"/>
        <v>0</v>
      </c>
      <c r="N850" s="148"/>
      <c r="O850" s="150">
        <v>3591487</v>
      </c>
      <c r="P850" s="150">
        <v>165863</v>
      </c>
      <c r="Q850" s="154">
        <v>0.533</v>
      </c>
      <c r="R850" s="154">
        <v>0.467</v>
      </c>
      <c r="S850" s="148"/>
      <c r="T850" s="148"/>
      <c r="U850" s="154">
        <v>0.078</v>
      </c>
      <c r="V850" s="154">
        <v>0.449</v>
      </c>
      <c r="W850" s="154">
        <v>0.317</v>
      </c>
      <c r="X850" s="154">
        <v>0.11</v>
      </c>
      <c r="Y850" s="154">
        <v>0.028</v>
      </c>
      <c r="Z850" s="154">
        <v>0.018</v>
      </c>
      <c r="AA850" s="148" t="s">
        <v>45</v>
      </c>
    </row>
    <row r="851" spans="1:27">
      <c r="A851" s="147">
        <v>2086</v>
      </c>
      <c r="B851" s="147" t="s">
        <v>60</v>
      </c>
      <c r="C851" s="147" t="s">
        <v>53</v>
      </c>
      <c r="D851" s="148" t="s">
        <v>56</v>
      </c>
      <c r="E851" s="148" t="s">
        <v>30</v>
      </c>
      <c r="F851" s="149">
        <v>2025</v>
      </c>
      <c r="G851" s="148" t="s">
        <v>41</v>
      </c>
      <c r="H851" s="149">
        <v>105</v>
      </c>
      <c r="I851" s="150">
        <v>80241</v>
      </c>
      <c r="J851" s="150">
        <v>2363</v>
      </c>
      <c r="K851" s="150">
        <v>9440212</v>
      </c>
      <c r="L851" s="152"/>
      <c r="M851" s="152">
        <f t="shared" si="13"/>
        <v>0</v>
      </c>
      <c r="N851" s="148"/>
      <c r="O851" s="150">
        <v>5431464</v>
      </c>
      <c r="P851" s="150">
        <v>319595</v>
      </c>
      <c r="Q851" s="154">
        <v>0.528</v>
      </c>
      <c r="R851" s="154">
        <v>0.472</v>
      </c>
      <c r="S851" s="148"/>
      <c r="T851" s="148"/>
      <c r="U851" s="154">
        <v>0.078</v>
      </c>
      <c r="V851" s="154">
        <v>0.442</v>
      </c>
      <c r="W851" s="154">
        <v>0.318</v>
      </c>
      <c r="X851" s="154">
        <v>0.112</v>
      </c>
      <c r="Y851" s="154">
        <v>0.031</v>
      </c>
      <c r="Z851" s="154">
        <v>0.019</v>
      </c>
      <c r="AA851" s="148" t="s">
        <v>45</v>
      </c>
    </row>
    <row r="852" spans="1:27">
      <c r="A852" s="147">
        <v>2087</v>
      </c>
      <c r="B852" s="147" t="s">
        <v>60</v>
      </c>
      <c r="C852" s="147" t="s">
        <v>53</v>
      </c>
      <c r="D852" s="148" t="s">
        <v>56</v>
      </c>
      <c r="E852" s="148" t="s">
        <v>30</v>
      </c>
      <c r="F852" s="149">
        <v>2025</v>
      </c>
      <c r="G852" s="148" t="s">
        <v>42</v>
      </c>
      <c r="H852" s="149">
        <v>204</v>
      </c>
      <c r="I852" s="150">
        <v>81979</v>
      </c>
      <c r="J852" s="150">
        <v>2091</v>
      </c>
      <c r="K852" s="150">
        <v>5340140</v>
      </c>
      <c r="L852" s="152"/>
      <c r="M852" s="152">
        <f t="shared" si="13"/>
        <v>0</v>
      </c>
      <c r="N852" s="148"/>
      <c r="O852" s="150">
        <v>3091113</v>
      </c>
      <c r="P852" s="150">
        <v>234013</v>
      </c>
      <c r="Q852" s="154">
        <v>0.526</v>
      </c>
      <c r="R852" s="154">
        <v>0.474</v>
      </c>
      <c r="S852" s="148"/>
      <c r="T852" s="148"/>
      <c r="U852" s="154">
        <v>0.078</v>
      </c>
      <c r="V852" s="154">
        <v>0.438</v>
      </c>
      <c r="W852" s="154">
        <v>0.318</v>
      </c>
      <c r="X852" s="154">
        <v>0.114</v>
      </c>
      <c r="Y852" s="154">
        <v>0.033</v>
      </c>
      <c r="Z852" s="154">
        <v>0.019</v>
      </c>
      <c r="AA852" s="148" t="s">
        <v>45</v>
      </c>
    </row>
    <row r="853" spans="1:27">
      <c r="A853" s="147">
        <v>2088</v>
      </c>
      <c r="B853" s="147" t="s">
        <v>60</v>
      </c>
      <c r="C853" s="147" t="s">
        <v>53</v>
      </c>
      <c r="D853" s="148" t="s">
        <v>56</v>
      </c>
      <c r="E853" s="148" t="s">
        <v>30</v>
      </c>
      <c r="F853" s="149">
        <v>2025</v>
      </c>
      <c r="G853" s="148" t="s">
        <v>43</v>
      </c>
      <c r="H853" s="149">
        <v>187</v>
      </c>
      <c r="I853" s="150">
        <v>83159</v>
      </c>
      <c r="J853" s="150">
        <v>1872</v>
      </c>
      <c r="K853" s="150">
        <v>10484273</v>
      </c>
      <c r="L853" s="152"/>
      <c r="M853" s="152">
        <f t="shared" si="13"/>
        <v>0</v>
      </c>
      <c r="N853" s="148"/>
      <c r="O853" s="150">
        <v>6079511</v>
      </c>
      <c r="P853" s="150">
        <v>363772</v>
      </c>
      <c r="Q853" s="154">
        <v>0.523</v>
      </c>
      <c r="R853" s="154">
        <v>0.477</v>
      </c>
      <c r="S853" s="148"/>
      <c r="T853" s="148"/>
      <c r="U853" s="154">
        <v>0.076</v>
      </c>
      <c r="V853" s="154">
        <v>0.436</v>
      </c>
      <c r="W853" s="154">
        <v>0.32</v>
      </c>
      <c r="X853" s="154">
        <v>0.115</v>
      </c>
      <c r="Y853" s="154">
        <v>0.033</v>
      </c>
      <c r="Z853" s="154">
        <v>0.02</v>
      </c>
      <c r="AA853" s="148" t="s">
        <v>45</v>
      </c>
    </row>
    <row r="854" spans="1:27">
      <c r="A854" s="147">
        <v>2089</v>
      </c>
      <c r="B854" s="147" t="s">
        <v>60</v>
      </c>
      <c r="C854" s="147" t="s">
        <v>53</v>
      </c>
      <c r="D854" s="148" t="s">
        <v>56</v>
      </c>
      <c r="E854" s="148" t="s">
        <v>30</v>
      </c>
      <c r="F854" s="149">
        <v>2026</v>
      </c>
      <c r="G854" s="148" t="s">
        <v>31</v>
      </c>
      <c r="H854" s="149">
        <v>174</v>
      </c>
      <c r="I854" s="150">
        <v>84486</v>
      </c>
      <c r="J854" s="150">
        <v>1448</v>
      </c>
      <c r="K854" s="150">
        <v>6123880</v>
      </c>
      <c r="L854" s="152"/>
      <c r="M854" s="152">
        <f t="shared" si="13"/>
        <v>0</v>
      </c>
      <c r="N854" s="148"/>
      <c r="O854" s="150">
        <v>3239807</v>
      </c>
      <c r="P854" s="150">
        <v>159579</v>
      </c>
      <c r="Q854" s="154">
        <v>0.521</v>
      </c>
      <c r="R854" s="154">
        <v>0.479</v>
      </c>
      <c r="S854" s="148"/>
      <c r="T854" s="148"/>
      <c r="U854" s="154">
        <v>0.076</v>
      </c>
      <c r="V854" s="154">
        <v>0.429</v>
      </c>
      <c r="W854" s="154">
        <v>0.322</v>
      </c>
      <c r="X854" s="154">
        <v>0.118</v>
      </c>
      <c r="Y854" s="154">
        <v>0.035</v>
      </c>
      <c r="Z854" s="154">
        <v>0.02</v>
      </c>
      <c r="AA854" s="148" t="s">
        <v>45</v>
      </c>
    </row>
    <row r="855" spans="1:27">
      <c r="A855" s="147">
        <v>2090</v>
      </c>
      <c r="B855" s="147" t="s">
        <v>60</v>
      </c>
      <c r="C855" s="147" t="s">
        <v>53</v>
      </c>
      <c r="D855" s="148" t="s">
        <v>56</v>
      </c>
      <c r="E855" s="148" t="s">
        <v>30</v>
      </c>
      <c r="F855" s="149">
        <v>2026</v>
      </c>
      <c r="G855" s="148" t="s">
        <v>33</v>
      </c>
      <c r="H855" s="149">
        <v>207</v>
      </c>
      <c r="I855" s="150">
        <v>86071</v>
      </c>
      <c r="J855" s="150">
        <v>1586</v>
      </c>
      <c r="K855" s="150">
        <v>5151335</v>
      </c>
      <c r="L855" s="152"/>
      <c r="M855" s="152">
        <f t="shared" si="13"/>
        <v>0</v>
      </c>
      <c r="N855" s="148"/>
      <c r="O855" s="150">
        <v>2583999</v>
      </c>
      <c r="P855" s="150">
        <v>225731</v>
      </c>
      <c r="Q855" s="154">
        <v>0.516</v>
      </c>
      <c r="R855" s="154">
        <v>0.484</v>
      </c>
      <c r="S855" s="148"/>
      <c r="T855" s="148"/>
      <c r="U855" s="154">
        <v>0.076</v>
      </c>
      <c r="V855" s="154">
        <v>0.425</v>
      </c>
      <c r="W855" s="154">
        <v>0.323</v>
      </c>
      <c r="X855" s="154">
        <v>0.12</v>
      </c>
      <c r="Y855" s="154">
        <v>0.036</v>
      </c>
      <c r="Z855" s="154">
        <v>0.02</v>
      </c>
      <c r="AA855" s="148" t="s">
        <v>45</v>
      </c>
    </row>
    <row r="856" spans="1:27">
      <c r="A856" s="147">
        <v>2091</v>
      </c>
      <c r="B856" s="147" t="s">
        <v>60</v>
      </c>
      <c r="C856" s="147" t="s">
        <v>53</v>
      </c>
      <c r="D856" s="148" t="s">
        <v>56</v>
      </c>
      <c r="E856" s="148" t="s">
        <v>30</v>
      </c>
      <c r="F856" s="149">
        <v>2026</v>
      </c>
      <c r="G856" s="148" t="s">
        <v>34</v>
      </c>
      <c r="H856" s="149">
        <v>232</v>
      </c>
      <c r="I856" s="150">
        <v>89243</v>
      </c>
      <c r="J856" s="150">
        <v>3673</v>
      </c>
      <c r="K856" s="150">
        <v>22705936</v>
      </c>
      <c r="L856" s="152"/>
      <c r="M856" s="152">
        <f t="shared" si="13"/>
        <v>0</v>
      </c>
      <c r="N856" s="148"/>
      <c r="O856" s="150">
        <v>11633461</v>
      </c>
      <c r="P856" s="150">
        <v>1094792</v>
      </c>
      <c r="Q856" s="154">
        <v>0.511</v>
      </c>
      <c r="R856" s="154">
        <v>0.489</v>
      </c>
      <c r="S856" s="148"/>
      <c r="T856" s="148"/>
      <c r="U856" s="154">
        <v>0.079</v>
      </c>
      <c r="V856" s="154">
        <v>0.423</v>
      </c>
      <c r="W856" s="154">
        <v>0.321</v>
      </c>
      <c r="X856" s="154">
        <v>0.121</v>
      </c>
      <c r="Y856" s="154">
        <v>0.036</v>
      </c>
      <c r="Z856" s="154">
        <v>0.02</v>
      </c>
      <c r="AA856" s="148" t="s">
        <v>45</v>
      </c>
    </row>
    <row r="857" spans="1:27">
      <c r="A857" s="147">
        <v>2092</v>
      </c>
      <c r="B857" s="147" t="s">
        <v>60</v>
      </c>
      <c r="C857" s="147" t="s">
        <v>53</v>
      </c>
      <c r="D857" s="148" t="s">
        <v>56</v>
      </c>
      <c r="E857" s="148" t="s">
        <v>30</v>
      </c>
      <c r="F857" s="149">
        <v>2026</v>
      </c>
      <c r="G857" s="148" t="s">
        <v>35</v>
      </c>
      <c r="H857" s="149">
        <v>203</v>
      </c>
      <c r="I857" s="150">
        <v>90574</v>
      </c>
      <c r="J857" s="150">
        <v>1711</v>
      </c>
      <c r="K857" s="150">
        <v>16366327</v>
      </c>
      <c r="L857" s="152"/>
      <c r="M857" s="152">
        <f t="shared" si="13"/>
        <v>0</v>
      </c>
      <c r="N857" s="148"/>
      <c r="O857" s="150">
        <v>7952030</v>
      </c>
      <c r="P857" s="150">
        <v>499430</v>
      </c>
      <c r="Q857" s="154">
        <v>0.508</v>
      </c>
      <c r="R857" s="154">
        <v>0.492</v>
      </c>
      <c r="S857" s="148"/>
      <c r="T857" s="148"/>
      <c r="U857" s="154">
        <v>0.078</v>
      </c>
      <c r="V857" s="154">
        <v>0.42</v>
      </c>
      <c r="W857" s="154">
        <v>0.324</v>
      </c>
      <c r="X857" s="154">
        <v>0.121</v>
      </c>
      <c r="Y857" s="154">
        <v>0.036</v>
      </c>
      <c r="Z857" s="154">
        <v>0.02</v>
      </c>
      <c r="AA857" s="148" t="s">
        <v>45</v>
      </c>
    </row>
    <row r="858" spans="1:27">
      <c r="A858" s="147">
        <v>2093</v>
      </c>
      <c r="B858" s="147" t="s">
        <v>60</v>
      </c>
      <c r="C858" s="147" t="s">
        <v>53</v>
      </c>
      <c r="D858" s="148" t="s">
        <v>56</v>
      </c>
      <c r="E858" s="148" t="s">
        <v>30</v>
      </c>
      <c r="F858" s="149">
        <v>2026</v>
      </c>
      <c r="G858" s="148" t="s">
        <v>36</v>
      </c>
      <c r="H858" s="149">
        <v>197</v>
      </c>
      <c r="I858" s="150">
        <v>89170</v>
      </c>
      <c r="J858" s="150">
        <v>1087</v>
      </c>
      <c r="K858" s="150">
        <v>5521348</v>
      </c>
      <c r="L858" s="152"/>
      <c r="M858" s="152">
        <f t="shared" si="13"/>
        <v>0</v>
      </c>
      <c r="N858" s="148"/>
      <c r="O858" s="150">
        <v>2914482</v>
      </c>
      <c r="P858" s="150">
        <v>239786</v>
      </c>
      <c r="Q858" s="154">
        <v>0.505</v>
      </c>
      <c r="R858" s="154">
        <v>0.495</v>
      </c>
      <c r="S858" s="148"/>
      <c r="T858" s="148"/>
      <c r="U858" s="154">
        <v>0.077</v>
      </c>
      <c r="V858" s="154">
        <v>0.418</v>
      </c>
      <c r="W858" s="154">
        <v>0.325</v>
      </c>
      <c r="X858" s="154">
        <v>0.123</v>
      </c>
      <c r="Y858" s="154">
        <v>0.037</v>
      </c>
      <c r="Z858" s="154">
        <v>0.02</v>
      </c>
      <c r="AA858" s="148" t="s">
        <v>45</v>
      </c>
    </row>
    <row r="859" spans="1:27">
      <c r="A859" s="147">
        <v>2094</v>
      </c>
      <c r="B859" s="147" t="s">
        <v>60</v>
      </c>
      <c r="C859" s="147" t="s">
        <v>53</v>
      </c>
      <c r="D859" s="148" t="s">
        <v>56</v>
      </c>
      <c r="E859" s="148" t="s">
        <v>30</v>
      </c>
      <c r="F859" s="149">
        <v>2026</v>
      </c>
      <c r="G859" s="148" t="s">
        <v>37</v>
      </c>
      <c r="H859" s="149">
        <v>198</v>
      </c>
      <c r="I859" s="150">
        <v>89787</v>
      </c>
      <c r="J859" s="150">
        <v>1013</v>
      </c>
      <c r="K859" s="150">
        <v>5316221</v>
      </c>
      <c r="L859" s="152"/>
      <c r="M859" s="152">
        <f t="shared" si="13"/>
        <v>0</v>
      </c>
      <c r="N859" s="148"/>
      <c r="O859" s="150">
        <v>2450240</v>
      </c>
      <c r="P859" s="150">
        <v>179028</v>
      </c>
      <c r="Q859" s="154">
        <v>0.495</v>
      </c>
      <c r="R859" s="154">
        <v>0.505</v>
      </c>
      <c r="S859" s="148"/>
      <c r="T859" s="148"/>
      <c r="U859" s="154">
        <v>0.077</v>
      </c>
      <c r="V859" s="154">
        <v>0.414</v>
      </c>
      <c r="W859" s="154">
        <v>0.328</v>
      </c>
      <c r="X859" s="154">
        <v>0.124</v>
      </c>
      <c r="Y859" s="154">
        <v>0.037</v>
      </c>
      <c r="Z859" s="154">
        <v>0.02</v>
      </c>
      <c r="AA859" s="148" t="s">
        <v>45</v>
      </c>
    </row>
    <row r="860" spans="1:27">
      <c r="A860" s="147">
        <v>2095</v>
      </c>
      <c r="B860" s="147" t="s">
        <v>60</v>
      </c>
      <c r="C860" s="147" t="s">
        <v>53</v>
      </c>
      <c r="D860" s="148" t="s">
        <v>56</v>
      </c>
      <c r="E860" s="148" t="s">
        <v>30</v>
      </c>
      <c r="F860" s="149">
        <v>2026</v>
      </c>
      <c r="G860" s="148" t="s">
        <v>38</v>
      </c>
      <c r="H860" s="149">
        <v>205</v>
      </c>
      <c r="I860" s="150">
        <v>91385</v>
      </c>
      <c r="J860" s="150">
        <v>2068</v>
      </c>
      <c r="K860" s="150">
        <v>6899749</v>
      </c>
      <c r="L860" s="152"/>
      <c r="M860" s="152">
        <f t="shared" si="13"/>
        <v>0</v>
      </c>
      <c r="N860" s="148"/>
      <c r="O860" s="150">
        <v>3990325</v>
      </c>
      <c r="P860" s="150">
        <v>307589</v>
      </c>
      <c r="Q860" s="154">
        <v>0.506</v>
      </c>
      <c r="R860" s="154">
        <v>0.494</v>
      </c>
      <c r="S860" s="148"/>
      <c r="T860" s="148"/>
      <c r="U860" s="154">
        <v>0.076</v>
      </c>
      <c r="V860" s="154">
        <v>0.411</v>
      </c>
      <c r="W860" s="154">
        <v>0.329</v>
      </c>
      <c r="X860" s="154">
        <v>0.125</v>
      </c>
      <c r="Y860" s="154">
        <v>0.039</v>
      </c>
      <c r="Z860" s="154">
        <v>0.02</v>
      </c>
      <c r="AA860" s="148" t="s">
        <v>45</v>
      </c>
    </row>
    <row r="861" spans="1:27">
      <c r="A861" s="147">
        <v>2096</v>
      </c>
      <c r="B861" s="147" t="s">
        <v>60</v>
      </c>
      <c r="C861" s="147" t="s">
        <v>53</v>
      </c>
      <c r="D861" s="148" t="s">
        <v>56</v>
      </c>
      <c r="E861" s="148" t="s">
        <v>30</v>
      </c>
      <c r="F861" s="149">
        <v>2026</v>
      </c>
      <c r="G861" s="148" t="s">
        <v>39</v>
      </c>
      <c r="H861" s="148"/>
      <c r="I861" s="148"/>
      <c r="J861" s="148"/>
      <c r="K861" s="148"/>
      <c r="L861" s="152"/>
      <c r="M861" s="152">
        <f t="shared" si="13"/>
        <v>0</v>
      </c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</row>
    <row r="862" spans="1:27">
      <c r="A862" s="147">
        <v>2097</v>
      </c>
      <c r="B862" s="147" t="s">
        <v>60</v>
      </c>
      <c r="C862" s="147" t="s">
        <v>53</v>
      </c>
      <c r="D862" s="148" t="s">
        <v>56</v>
      </c>
      <c r="E862" s="148" t="s">
        <v>30</v>
      </c>
      <c r="F862" s="149">
        <v>2026</v>
      </c>
      <c r="G862" s="148" t="s">
        <v>40</v>
      </c>
      <c r="H862" s="148"/>
      <c r="I862" s="148"/>
      <c r="J862" s="148"/>
      <c r="K862" s="148"/>
      <c r="L862" s="152"/>
      <c r="M862" s="152">
        <f t="shared" si="13"/>
        <v>0</v>
      </c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</row>
    <row r="863" spans="1:27">
      <c r="A863" s="147">
        <v>2098</v>
      </c>
      <c r="B863" s="147" t="s">
        <v>60</v>
      </c>
      <c r="C863" s="147" t="s">
        <v>53</v>
      </c>
      <c r="D863" s="148" t="s">
        <v>56</v>
      </c>
      <c r="E863" s="148" t="s">
        <v>30</v>
      </c>
      <c r="F863" s="149">
        <v>2026</v>
      </c>
      <c r="G863" s="148" t="s">
        <v>41</v>
      </c>
      <c r="H863" s="148"/>
      <c r="I863" s="148"/>
      <c r="J863" s="148"/>
      <c r="K863" s="148"/>
      <c r="L863" s="152"/>
      <c r="M863" s="152">
        <f t="shared" si="13"/>
        <v>0</v>
      </c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</row>
    <row r="864" spans="1:27">
      <c r="A864" s="147">
        <v>2099</v>
      </c>
      <c r="B864" s="147" t="s">
        <v>60</v>
      </c>
      <c r="C864" s="147" t="s">
        <v>53</v>
      </c>
      <c r="D864" s="148" t="s">
        <v>56</v>
      </c>
      <c r="E864" s="148" t="s">
        <v>30</v>
      </c>
      <c r="F864" s="149">
        <v>2026</v>
      </c>
      <c r="G864" s="148" t="s">
        <v>42</v>
      </c>
      <c r="H864" s="148"/>
      <c r="I864" s="148"/>
      <c r="J864" s="148"/>
      <c r="K864" s="148"/>
      <c r="L864" s="152"/>
      <c r="M864" s="152">
        <f t="shared" si="13"/>
        <v>0</v>
      </c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</row>
    <row r="865" spans="1:27">
      <c r="A865" s="147">
        <v>2100</v>
      </c>
      <c r="B865" s="147" t="s">
        <v>60</v>
      </c>
      <c r="C865" s="147" t="s">
        <v>53</v>
      </c>
      <c r="D865" s="148" t="s">
        <v>56</v>
      </c>
      <c r="E865" s="148" t="s">
        <v>30</v>
      </c>
      <c r="F865" s="149">
        <v>2026</v>
      </c>
      <c r="G865" s="148" t="s">
        <v>43</v>
      </c>
      <c r="H865" s="148"/>
      <c r="I865" s="148"/>
      <c r="J865" s="148"/>
      <c r="K865" s="148"/>
      <c r="L865" s="152"/>
      <c r="M865" s="152">
        <f t="shared" si="13"/>
        <v>0</v>
      </c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</row>
    <row r="866" spans="1:27">
      <c r="A866" s="147">
        <v>2113</v>
      </c>
      <c r="B866" s="147" t="s">
        <v>60</v>
      </c>
      <c r="C866" s="147" t="s">
        <v>53</v>
      </c>
      <c r="D866" s="148" t="s">
        <v>57</v>
      </c>
      <c r="E866" s="148" t="s">
        <v>30</v>
      </c>
      <c r="F866" s="149">
        <v>2024</v>
      </c>
      <c r="G866" s="148" t="s">
        <v>31</v>
      </c>
      <c r="H866" s="149">
        <v>162</v>
      </c>
      <c r="I866" s="149" t="s">
        <v>44</v>
      </c>
      <c r="J866" s="149" t="s">
        <v>61</v>
      </c>
      <c r="K866" s="149" t="s">
        <v>61</v>
      </c>
      <c r="L866" s="152"/>
      <c r="M866" s="152">
        <f t="shared" si="13"/>
        <v>0</v>
      </c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</row>
    <row r="867" spans="1:27">
      <c r="A867" s="147">
        <v>2114</v>
      </c>
      <c r="B867" s="147" t="s">
        <v>60</v>
      </c>
      <c r="C867" s="147" t="s">
        <v>53</v>
      </c>
      <c r="D867" s="148" t="s">
        <v>57</v>
      </c>
      <c r="E867" s="148" t="s">
        <v>30</v>
      </c>
      <c r="F867" s="149">
        <v>2024</v>
      </c>
      <c r="G867" s="148" t="s">
        <v>33</v>
      </c>
      <c r="H867" s="149">
        <v>165</v>
      </c>
      <c r="I867" s="149" t="s">
        <v>44</v>
      </c>
      <c r="J867" s="149" t="s">
        <v>61</v>
      </c>
      <c r="K867" s="149" t="s">
        <v>61</v>
      </c>
      <c r="L867" s="152"/>
      <c r="M867" s="152">
        <f t="shared" si="13"/>
        <v>0</v>
      </c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</row>
    <row r="868" spans="1:27">
      <c r="A868" s="147">
        <v>2115</v>
      </c>
      <c r="B868" s="147" t="s">
        <v>60</v>
      </c>
      <c r="C868" s="147" t="s">
        <v>53</v>
      </c>
      <c r="D868" s="148" t="s">
        <v>57</v>
      </c>
      <c r="E868" s="148" t="s">
        <v>30</v>
      </c>
      <c r="F868" s="149">
        <v>2024</v>
      </c>
      <c r="G868" s="148" t="s">
        <v>34</v>
      </c>
      <c r="H868" s="149">
        <v>139</v>
      </c>
      <c r="I868" s="149" t="s">
        <v>44</v>
      </c>
      <c r="J868" s="149" t="s">
        <v>61</v>
      </c>
      <c r="K868" s="149" t="s">
        <v>61</v>
      </c>
      <c r="L868" s="152"/>
      <c r="M868" s="152">
        <f t="shared" si="13"/>
        <v>0</v>
      </c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</row>
    <row r="869" spans="1:27">
      <c r="A869" s="147">
        <v>2116</v>
      </c>
      <c r="B869" s="147" t="s">
        <v>60</v>
      </c>
      <c r="C869" s="147" t="s">
        <v>53</v>
      </c>
      <c r="D869" s="148" t="s">
        <v>57</v>
      </c>
      <c r="E869" s="148" t="s">
        <v>30</v>
      </c>
      <c r="F869" s="149">
        <v>2024</v>
      </c>
      <c r="G869" s="148" t="s">
        <v>35</v>
      </c>
      <c r="H869" s="149">
        <v>104</v>
      </c>
      <c r="I869" s="149" t="s">
        <v>44</v>
      </c>
      <c r="J869" s="149" t="s">
        <v>61</v>
      </c>
      <c r="K869" s="149" t="s">
        <v>61</v>
      </c>
      <c r="L869" s="152"/>
      <c r="M869" s="152">
        <f t="shared" si="13"/>
        <v>0</v>
      </c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</row>
    <row r="870" spans="1:27">
      <c r="A870" s="147">
        <v>2117</v>
      </c>
      <c r="B870" s="147" t="s">
        <v>60</v>
      </c>
      <c r="C870" s="147" t="s">
        <v>53</v>
      </c>
      <c r="D870" s="148" t="s">
        <v>57</v>
      </c>
      <c r="E870" s="148" t="s">
        <v>30</v>
      </c>
      <c r="F870" s="149">
        <v>2024</v>
      </c>
      <c r="G870" s="148" t="s">
        <v>36</v>
      </c>
      <c r="H870" s="149">
        <v>130</v>
      </c>
      <c r="I870" s="149" t="s">
        <v>44</v>
      </c>
      <c r="J870" s="149" t="s">
        <v>61</v>
      </c>
      <c r="K870" s="149" t="s">
        <v>61</v>
      </c>
      <c r="L870" s="152"/>
      <c r="M870" s="152">
        <f t="shared" si="13"/>
        <v>0</v>
      </c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</row>
    <row r="871" spans="1:27">
      <c r="A871" s="147">
        <v>2118</v>
      </c>
      <c r="B871" s="147" t="s">
        <v>60</v>
      </c>
      <c r="C871" s="147" t="s">
        <v>53</v>
      </c>
      <c r="D871" s="148" t="s">
        <v>57</v>
      </c>
      <c r="E871" s="148" t="s">
        <v>30</v>
      </c>
      <c r="F871" s="149">
        <v>2024</v>
      </c>
      <c r="G871" s="148" t="s">
        <v>37</v>
      </c>
      <c r="H871" s="149">
        <v>148</v>
      </c>
      <c r="I871" s="149" t="s">
        <v>44</v>
      </c>
      <c r="J871" s="149" t="s">
        <v>61</v>
      </c>
      <c r="K871" s="149" t="s">
        <v>61</v>
      </c>
      <c r="L871" s="152"/>
      <c r="M871" s="152">
        <f t="shared" si="13"/>
        <v>0</v>
      </c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</row>
    <row r="872" spans="1:27">
      <c r="A872" s="147">
        <v>2119</v>
      </c>
      <c r="B872" s="147" t="s">
        <v>60</v>
      </c>
      <c r="C872" s="147" t="s">
        <v>53</v>
      </c>
      <c r="D872" s="148" t="s">
        <v>57</v>
      </c>
      <c r="E872" s="148" t="s">
        <v>30</v>
      </c>
      <c r="F872" s="149">
        <v>2024</v>
      </c>
      <c r="G872" s="148" t="s">
        <v>38</v>
      </c>
      <c r="H872" s="149">
        <v>154</v>
      </c>
      <c r="I872" s="149" t="s">
        <v>44</v>
      </c>
      <c r="J872" s="149" t="s">
        <v>61</v>
      </c>
      <c r="K872" s="149" t="s">
        <v>61</v>
      </c>
      <c r="L872" s="152"/>
      <c r="M872" s="152">
        <f t="shared" si="13"/>
        <v>0</v>
      </c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</row>
    <row r="873" spans="1:27">
      <c r="A873" s="147">
        <v>2120</v>
      </c>
      <c r="B873" s="147" t="s">
        <v>60</v>
      </c>
      <c r="C873" s="147" t="s">
        <v>53</v>
      </c>
      <c r="D873" s="148" t="s">
        <v>57</v>
      </c>
      <c r="E873" s="148" t="s">
        <v>30</v>
      </c>
      <c r="F873" s="149">
        <v>2024</v>
      </c>
      <c r="G873" s="148" t="s">
        <v>39</v>
      </c>
      <c r="H873" s="149">
        <v>113</v>
      </c>
      <c r="I873" s="149" t="s">
        <v>44</v>
      </c>
      <c r="J873" s="149" t="s">
        <v>61</v>
      </c>
      <c r="K873" s="149" t="s">
        <v>61</v>
      </c>
      <c r="L873" s="152"/>
      <c r="M873" s="152">
        <f t="shared" si="13"/>
        <v>0</v>
      </c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</row>
    <row r="874" spans="1:27">
      <c r="A874" s="147">
        <v>2121</v>
      </c>
      <c r="B874" s="147" t="s">
        <v>60</v>
      </c>
      <c r="C874" s="147" t="s">
        <v>53</v>
      </c>
      <c r="D874" s="148" t="s">
        <v>57</v>
      </c>
      <c r="E874" s="148" t="s">
        <v>30</v>
      </c>
      <c r="F874" s="149">
        <v>2024</v>
      </c>
      <c r="G874" s="148" t="s">
        <v>40</v>
      </c>
      <c r="H874" s="149">
        <v>129</v>
      </c>
      <c r="I874" s="150">
        <v>55491</v>
      </c>
      <c r="J874" s="149" t="s">
        <v>61</v>
      </c>
      <c r="K874" s="149" t="s">
        <v>61</v>
      </c>
      <c r="L874" s="152"/>
      <c r="M874" s="152">
        <f t="shared" si="13"/>
        <v>0</v>
      </c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</row>
    <row r="875" spans="1:27">
      <c r="A875" s="147">
        <v>2122</v>
      </c>
      <c r="B875" s="147" t="s">
        <v>60</v>
      </c>
      <c r="C875" s="147" t="s">
        <v>53</v>
      </c>
      <c r="D875" s="148" t="s">
        <v>57</v>
      </c>
      <c r="E875" s="148" t="s">
        <v>30</v>
      </c>
      <c r="F875" s="149">
        <v>2024</v>
      </c>
      <c r="G875" s="148" t="s">
        <v>41</v>
      </c>
      <c r="H875" s="149">
        <v>135</v>
      </c>
      <c r="I875" s="150">
        <v>55794</v>
      </c>
      <c r="J875" s="149">
        <v>303</v>
      </c>
      <c r="K875" s="149" t="s">
        <v>61</v>
      </c>
      <c r="L875" s="152"/>
      <c r="M875" s="152">
        <f t="shared" si="13"/>
        <v>0</v>
      </c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</row>
    <row r="876" spans="1:27">
      <c r="A876" s="147">
        <v>2123</v>
      </c>
      <c r="B876" s="147" t="s">
        <v>60</v>
      </c>
      <c r="C876" s="147" t="s">
        <v>53</v>
      </c>
      <c r="D876" s="148" t="s">
        <v>57</v>
      </c>
      <c r="E876" s="148" t="s">
        <v>30</v>
      </c>
      <c r="F876" s="149">
        <v>2024</v>
      </c>
      <c r="G876" s="148" t="s">
        <v>42</v>
      </c>
      <c r="H876" s="149">
        <v>136</v>
      </c>
      <c r="I876" s="150">
        <v>56145</v>
      </c>
      <c r="J876" s="149">
        <v>351</v>
      </c>
      <c r="K876" s="149" t="s">
        <v>61</v>
      </c>
      <c r="L876" s="152"/>
      <c r="M876" s="152">
        <f t="shared" si="13"/>
        <v>0</v>
      </c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</row>
    <row r="877" spans="1:27">
      <c r="A877" s="147">
        <v>2124</v>
      </c>
      <c r="B877" s="147" t="s">
        <v>60</v>
      </c>
      <c r="C877" s="147" t="s">
        <v>53</v>
      </c>
      <c r="D877" s="148" t="s">
        <v>57</v>
      </c>
      <c r="E877" s="148" t="s">
        <v>30</v>
      </c>
      <c r="F877" s="149">
        <v>2024</v>
      </c>
      <c r="G877" s="148" t="s">
        <v>43</v>
      </c>
      <c r="H877" s="149">
        <v>121</v>
      </c>
      <c r="I877" s="150">
        <v>56639</v>
      </c>
      <c r="J877" s="149">
        <v>494</v>
      </c>
      <c r="K877" s="150">
        <v>29318</v>
      </c>
      <c r="L877" s="152"/>
      <c r="M877" s="152">
        <f t="shared" si="13"/>
        <v>0</v>
      </c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</row>
    <row r="878" spans="1:27">
      <c r="A878" s="147">
        <v>2125</v>
      </c>
      <c r="B878" s="147" t="s">
        <v>60</v>
      </c>
      <c r="C878" s="147" t="s">
        <v>53</v>
      </c>
      <c r="D878" s="148" t="s">
        <v>57</v>
      </c>
      <c r="E878" s="148" t="s">
        <v>30</v>
      </c>
      <c r="F878" s="149">
        <v>2025</v>
      </c>
      <c r="G878" s="148" t="s">
        <v>31</v>
      </c>
      <c r="H878" s="149">
        <v>96</v>
      </c>
      <c r="I878" s="150">
        <v>57103</v>
      </c>
      <c r="J878" s="149">
        <v>464</v>
      </c>
      <c r="K878" s="150">
        <v>524077</v>
      </c>
      <c r="L878" s="152"/>
      <c r="M878" s="152">
        <f t="shared" si="13"/>
        <v>0</v>
      </c>
      <c r="N878" s="148"/>
      <c r="O878" s="150">
        <v>429971</v>
      </c>
      <c r="P878" s="148" t="s">
        <v>48</v>
      </c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</row>
    <row r="879" spans="1:27">
      <c r="A879" s="147">
        <v>2126</v>
      </c>
      <c r="B879" s="147" t="s">
        <v>60</v>
      </c>
      <c r="C879" s="147" t="s">
        <v>53</v>
      </c>
      <c r="D879" s="148" t="s">
        <v>57</v>
      </c>
      <c r="E879" s="148" t="s">
        <v>30</v>
      </c>
      <c r="F879" s="149">
        <v>2025</v>
      </c>
      <c r="G879" s="148" t="s">
        <v>33</v>
      </c>
      <c r="H879" s="149">
        <v>78</v>
      </c>
      <c r="I879" s="150">
        <v>57662</v>
      </c>
      <c r="J879" s="149">
        <v>559</v>
      </c>
      <c r="K879" s="150">
        <v>1605441</v>
      </c>
      <c r="L879" s="152"/>
      <c r="M879" s="152">
        <f t="shared" si="13"/>
        <v>0</v>
      </c>
      <c r="N879" s="148"/>
      <c r="O879" s="150">
        <v>844354</v>
      </c>
      <c r="P879" s="148" t="s">
        <v>48</v>
      </c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</row>
    <row r="880" spans="1:27">
      <c r="A880" s="147">
        <v>2127</v>
      </c>
      <c r="B880" s="147" t="s">
        <v>60</v>
      </c>
      <c r="C880" s="147" t="s">
        <v>53</v>
      </c>
      <c r="D880" s="148" t="s">
        <v>57</v>
      </c>
      <c r="E880" s="148" t="s">
        <v>30</v>
      </c>
      <c r="F880" s="149">
        <v>2025</v>
      </c>
      <c r="G880" s="148" t="s">
        <v>34</v>
      </c>
      <c r="H880" s="149">
        <v>98</v>
      </c>
      <c r="I880" s="150">
        <v>58070</v>
      </c>
      <c r="J880" s="149">
        <v>408</v>
      </c>
      <c r="K880" s="150">
        <v>511590</v>
      </c>
      <c r="L880" s="152"/>
      <c r="M880" s="152">
        <f t="shared" si="13"/>
        <v>0</v>
      </c>
      <c r="N880" s="148"/>
      <c r="O880" s="150">
        <v>247288</v>
      </c>
      <c r="P880" s="148" t="s">
        <v>48</v>
      </c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</row>
    <row r="881" spans="1:27">
      <c r="A881" s="147">
        <v>2128</v>
      </c>
      <c r="B881" s="147" t="s">
        <v>60</v>
      </c>
      <c r="C881" s="147" t="s">
        <v>53</v>
      </c>
      <c r="D881" s="148" t="s">
        <v>57</v>
      </c>
      <c r="E881" s="148" t="s">
        <v>30</v>
      </c>
      <c r="F881" s="149">
        <v>2025</v>
      </c>
      <c r="G881" s="148" t="s">
        <v>35</v>
      </c>
      <c r="H881" s="149">
        <v>92</v>
      </c>
      <c r="I881" s="150">
        <v>58445</v>
      </c>
      <c r="J881" s="149">
        <v>375</v>
      </c>
      <c r="K881" s="150">
        <v>345225</v>
      </c>
      <c r="L881" s="152"/>
      <c r="M881" s="152">
        <f t="shared" si="13"/>
        <v>0</v>
      </c>
      <c r="N881" s="148"/>
      <c r="O881" s="150">
        <v>103004</v>
      </c>
      <c r="P881" s="148" t="s">
        <v>48</v>
      </c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</row>
    <row r="882" spans="1:27">
      <c r="A882" s="147">
        <v>2129</v>
      </c>
      <c r="B882" s="147" t="s">
        <v>60</v>
      </c>
      <c r="C882" s="147" t="s">
        <v>53</v>
      </c>
      <c r="D882" s="148" t="s">
        <v>57</v>
      </c>
      <c r="E882" s="148" t="s">
        <v>30</v>
      </c>
      <c r="F882" s="149">
        <v>2025</v>
      </c>
      <c r="G882" s="148" t="s">
        <v>36</v>
      </c>
      <c r="H882" s="149">
        <v>99</v>
      </c>
      <c r="I882" s="150">
        <v>58746</v>
      </c>
      <c r="J882" s="149">
        <v>301</v>
      </c>
      <c r="K882" s="150">
        <v>772282</v>
      </c>
      <c r="L882" s="152"/>
      <c r="M882" s="152">
        <f t="shared" si="13"/>
        <v>0</v>
      </c>
      <c r="N882" s="148"/>
      <c r="O882" s="150">
        <v>389598</v>
      </c>
      <c r="P882" s="149" t="s">
        <v>48</v>
      </c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</row>
    <row r="883" spans="1:27">
      <c r="A883" s="147">
        <v>2130</v>
      </c>
      <c r="B883" s="147" t="s">
        <v>60</v>
      </c>
      <c r="C883" s="147" t="s">
        <v>53</v>
      </c>
      <c r="D883" s="148" t="s">
        <v>57</v>
      </c>
      <c r="E883" s="148" t="s">
        <v>30</v>
      </c>
      <c r="F883" s="149">
        <v>2025</v>
      </c>
      <c r="G883" s="148" t="s">
        <v>37</v>
      </c>
      <c r="H883" s="149">
        <v>102</v>
      </c>
      <c r="I883" s="150">
        <v>59059</v>
      </c>
      <c r="J883" s="149">
        <v>313</v>
      </c>
      <c r="K883" s="150">
        <v>418551</v>
      </c>
      <c r="L883" s="152"/>
      <c r="M883" s="152">
        <f t="shared" si="13"/>
        <v>0</v>
      </c>
      <c r="N883" s="148"/>
      <c r="O883" s="150">
        <v>130679</v>
      </c>
      <c r="P883" s="148" t="s">
        <v>48</v>
      </c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</row>
    <row r="884" spans="1:27">
      <c r="A884" s="147">
        <v>2131</v>
      </c>
      <c r="B884" s="147" t="s">
        <v>60</v>
      </c>
      <c r="C884" s="147" t="s">
        <v>53</v>
      </c>
      <c r="D884" s="148" t="s">
        <v>57</v>
      </c>
      <c r="E884" s="148" t="s">
        <v>30</v>
      </c>
      <c r="F884" s="149">
        <v>2025</v>
      </c>
      <c r="G884" s="148" t="s">
        <v>38</v>
      </c>
      <c r="H884" s="149">
        <v>143</v>
      </c>
      <c r="I884" s="150">
        <v>59074</v>
      </c>
      <c r="J884" s="149">
        <v>288</v>
      </c>
      <c r="K884" s="150">
        <v>560771</v>
      </c>
      <c r="L884" s="152"/>
      <c r="M884" s="152">
        <f t="shared" si="13"/>
        <v>0</v>
      </c>
      <c r="N884" s="148"/>
      <c r="O884" s="150">
        <v>108334</v>
      </c>
      <c r="P884" s="150">
        <v>7726</v>
      </c>
      <c r="Q884" s="154">
        <v>0.281</v>
      </c>
      <c r="R884" s="154">
        <v>0.719</v>
      </c>
      <c r="S884" s="148"/>
      <c r="T884" s="148" t="s">
        <v>44</v>
      </c>
      <c r="U884" s="154">
        <v>0.086</v>
      </c>
      <c r="V884" s="154">
        <v>0.385</v>
      </c>
      <c r="W884" s="154">
        <v>0.334</v>
      </c>
      <c r="X884" s="154">
        <v>0.144</v>
      </c>
      <c r="Y884" s="154">
        <v>0.036</v>
      </c>
      <c r="Z884" s="154">
        <v>0.015</v>
      </c>
      <c r="AA884" s="148" t="s">
        <v>45</v>
      </c>
    </row>
    <row r="885" spans="1:27">
      <c r="A885" s="147">
        <v>2132</v>
      </c>
      <c r="B885" s="147" t="s">
        <v>60</v>
      </c>
      <c r="C885" s="147" t="s">
        <v>53</v>
      </c>
      <c r="D885" s="148" t="s">
        <v>57</v>
      </c>
      <c r="E885" s="148" t="s">
        <v>30</v>
      </c>
      <c r="F885" s="149">
        <v>2025</v>
      </c>
      <c r="G885" s="148" t="s">
        <v>39</v>
      </c>
      <c r="H885" s="149">
        <v>185</v>
      </c>
      <c r="I885" s="150">
        <v>59035</v>
      </c>
      <c r="J885" s="149">
        <v>314</v>
      </c>
      <c r="K885" s="150">
        <v>1007733</v>
      </c>
      <c r="L885" s="152"/>
      <c r="M885" s="152">
        <f t="shared" si="13"/>
        <v>0</v>
      </c>
      <c r="N885" s="148"/>
      <c r="O885" s="150">
        <v>146527</v>
      </c>
      <c r="P885" s="150">
        <v>8518</v>
      </c>
      <c r="Q885" s="154">
        <v>0.281</v>
      </c>
      <c r="R885" s="154">
        <v>0.719</v>
      </c>
      <c r="S885" s="148"/>
      <c r="T885" s="148"/>
      <c r="U885" s="154">
        <v>0.083</v>
      </c>
      <c r="V885" s="154">
        <v>0.385</v>
      </c>
      <c r="W885" s="154">
        <v>0.335</v>
      </c>
      <c r="X885" s="154">
        <v>0.146</v>
      </c>
      <c r="Y885" s="154">
        <v>0.036</v>
      </c>
      <c r="Z885" s="154">
        <v>0.015</v>
      </c>
      <c r="AA885" s="148" t="s">
        <v>45</v>
      </c>
    </row>
    <row r="886" spans="1:27">
      <c r="A886" s="147">
        <v>2133</v>
      </c>
      <c r="B886" s="147" t="s">
        <v>60</v>
      </c>
      <c r="C886" s="147" t="s">
        <v>53</v>
      </c>
      <c r="D886" s="148" t="s">
        <v>57</v>
      </c>
      <c r="E886" s="148" t="s">
        <v>30</v>
      </c>
      <c r="F886" s="149">
        <v>2025</v>
      </c>
      <c r="G886" s="148" t="s">
        <v>40</v>
      </c>
      <c r="H886" s="149">
        <v>176</v>
      </c>
      <c r="I886" s="150">
        <v>59060</v>
      </c>
      <c r="J886" s="149">
        <v>392</v>
      </c>
      <c r="K886" s="150">
        <v>1613227</v>
      </c>
      <c r="L886" s="152"/>
      <c r="M886" s="152">
        <f t="shared" si="13"/>
        <v>0</v>
      </c>
      <c r="N886" s="148"/>
      <c r="O886" s="150">
        <v>180348</v>
      </c>
      <c r="P886" s="150">
        <v>10933</v>
      </c>
      <c r="Q886" s="154">
        <v>0.281</v>
      </c>
      <c r="R886" s="154">
        <v>0.719</v>
      </c>
      <c r="S886" s="148"/>
      <c r="T886" s="148"/>
      <c r="U886" s="154">
        <v>0.08</v>
      </c>
      <c r="V886" s="154">
        <v>0.385</v>
      </c>
      <c r="W886" s="154">
        <v>0.336</v>
      </c>
      <c r="X886" s="154">
        <v>0.147</v>
      </c>
      <c r="Y886" s="154">
        <v>0.037</v>
      </c>
      <c r="Z886" s="154">
        <v>0.015</v>
      </c>
      <c r="AA886" s="148" t="s">
        <v>45</v>
      </c>
    </row>
    <row r="887" spans="1:27">
      <c r="A887" s="147">
        <v>2134</v>
      </c>
      <c r="B887" s="147" t="s">
        <v>60</v>
      </c>
      <c r="C887" s="147" t="s">
        <v>53</v>
      </c>
      <c r="D887" s="148" t="s">
        <v>57</v>
      </c>
      <c r="E887" s="148" t="s">
        <v>30</v>
      </c>
      <c r="F887" s="149">
        <v>2025</v>
      </c>
      <c r="G887" s="148" t="s">
        <v>41</v>
      </c>
      <c r="H887" s="149">
        <v>185</v>
      </c>
      <c r="I887" s="150">
        <v>58990</v>
      </c>
      <c r="J887" s="149">
        <v>291</v>
      </c>
      <c r="K887" s="150">
        <v>1507117</v>
      </c>
      <c r="L887" s="152"/>
      <c r="M887" s="152">
        <f t="shared" si="13"/>
        <v>0</v>
      </c>
      <c r="N887" s="148"/>
      <c r="O887" s="150">
        <v>217146</v>
      </c>
      <c r="P887" s="150">
        <v>11606</v>
      </c>
      <c r="Q887" s="154">
        <v>0.282</v>
      </c>
      <c r="R887" s="154">
        <v>0.718</v>
      </c>
      <c r="S887" s="148"/>
      <c r="T887" s="148"/>
      <c r="U887" s="154">
        <v>0.079</v>
      </c>
      <c r="V887" s="154">
        <v>0.382</v>
      </c>
      <c r="W887" s="154">
        <v>0.336</v>
      </c>
      <c r="X887" s="154">
        <v>0.149</v>
      </c>
      <c r="Y887" s="154">
        <v>0.039</v>
      </c>
      <c r="Z887" s="154">
        <v>0.015</v>
      </c>
      <c r="AA887" s="148" t="s">
        <v>45</v>
      </c>
    </row>
    <row r="888" spans="1:27">
      <c r="A888" s="147">
        <v>2135</v>
      </c>
      <c r="B888" s="147" t="s">
        <v>60</v>
      </c>
      <c r="C888" s="147" t="s">
        <v>53</v>
      </c>
      <c r="D888" s="148" t="s">
        <v>57</v>
      </c>
      <c r="E888" s="148" t="s">
        <v>30</v>
      </c>
      <c r="F888" s="149">
        <v>2025</v>
      </c>
      <c r="G888" s="148" t="s">
        <v>42</v>
      </c>
      <c r="H888" s="149">
        <v>207</v>
      </c>
      <c r="I888" s="150">
        <v>58980</v>
      </c>
      <c r="J888" s="149">
        <v>320</v>
      </c>
      <c r="K888" s="150">
        <v>996620</v>
      </c>
      <c r="L888" s="152"/>
      <c r="M888" s="152">
        <f t="shared" si="13"/>
        <v>0</v>
      </c>
      <c r="N888" s="148"/>
      <c r="O888" s="150">
        <v>170503</v>
      </c>
      <c r="P888" s="150">
        <v>10088</v>
      </c>
      <c r="Q888" s="154">
        <v>0.283</v>
      </c>
      <c r="R888" s="154">
        <v>0.717</v>
      </c>
      <c r="S888" s="148"/>
      <c r="T888" s="148"/>
      <c r="U888" s="154">
        <v>0.077</v>
      </c>
      <c r="V888" s="154">
        <v>0.381</v>
      </c>
      <c r="W888" s="154">
        <v>0.339</v>
      </c>
      <c r="X888" s="154">
        <v>0.149</v>
      </c>
      <c r="Y888" s="154">
        <v>0.039</v>
      </c>
      <c r="Z888" s="154">
        <v>0.015</v>
      </c>
      <c r="AA888" s="148" t="s">
        <v>45</v>
      </c>
    </row>
    <row r="889" spans="1:27">
      <c r="A889" s="147">
        <v>2136</v>
      </c>
      <c r="B889" s="147" t="s">
        <v>60</v>
      </c>
      <c r="C889" s="147" t="s">
        <v>53</v>
      </c>
      <c r="D889" s="148" t="s">
        <v>57</v>
      </c>
      <c r="E889" s="148" t="s">
        <v>30</v>
      </c>
      <c r="F889" s="149">
        <v>2025</v>
      </c>
      <c r="G889" s="148" t="s">
        <v>43</v>
      </c>
      <c r="H889" s="149">
        <v>143</v>
      </c>
      <c r="I889" s="150">
        <v>58930</v>
      </c>
      <c r="J889" s="149">
        <v>272</v>
      </c>
      <c r="K889" s="150">
        <v>998031</v>
      </c>
      <c r="L889" s="152"/>
      <c r="M889" s="152">
        <f t="shared" si="13"/>
        <v>0</v>
      </c>
      <c r="N889" s="148"/>
      <c r="O889" s="150">
        <v>306654</v>
      </c>
      <c r="P889" s="150">
        <v>9168</v>
      </c>
      <c r="Q889" s="154">
        <v>0.718</v>
      </c>
      <c r="R889" s="154">
        <v>0.282</v>
      </c>
      <c r="S889" s="148"/>
      <c r="T889" s="148"/>
      <c r="U889" s="154">
        <v>0.075</v>
      </c>
      <c r="V889" s="154">
        <v>0.379</v>
      </c>
      <c r="W889" s="154">
        <v>0.34</v>
      </c>
      <c r="X889" s="154">
        <v>0.151</v>
      </c>
      <c r="Y889" s="154">
        <v>0.039</v>
      </c>
      <c r="Z889" s="154">
        <v>0.016</v>
      </c>
      <c r="AA889" s="148" t="s">
        <v>45</v>
      </c>
    </row>
    <row r="890" spans="1:27">
      <c r="A890" s="147">
        <v>2137</v>
      </c>
      <c r="B890" s="147" t="s">
        <v>60</v>
      </c>
      <c r="C890" s="147" t="s">
        <v>53</v>
      </c>
      <c r="D890" s="148" t="s">
        <v>57</v>
      </c>
      <c r="E890" s="148" t="s">
        <v>30</v>
      </c>
      <c r="F890" s="149">
        <v>2026</v>
      </c>
      <c r="G890" s="148" t="s">
        <v>31</v>
      </c>
      <c r="H890" s="149">
        <v>114</v>
      </c>
      <c r="I890" s="150">
        <v>58919</v>
      </c>
      <c r="J890" s="149">
        <v>281</v>
      </c>
      <c r="K890" s="150">
        <v>1367533</v>
      </c>
      <c r="L890" s="152"/>
      <c r="M890" s="152">
        <f t="shared" si="13"/>
        <v>0</v>
      </c>
      <c r="N890" s="148"/>
      <c r="O890" s="150">
        <v>550084</v>
      </c>
      <c r="P890" s="150">
        <v>13394</v>
      </c>
      <c r="Q890" s="154">
        <v>0.282</v>
      </c>
      <c r="R890" s="154">
        <v>0.718</v>
      </c>
      <c r="S890" s="148"/>
      <c r="T890" s="148"/>
      <c r="U890" s="154">
        <v>0.074</v>
      </c>
      <c r="V890" s="154">
        <v>0.377</v>
      </c>
      <c r="W890" s="154">
        <v>0.34</v>
      </c>
      <c r="X890" s="154">
        <v>0.153</v>
      </c>
      <c r="Y890" s="154">
        <v>0.04</v>
      </c>
      <c r="Z890" s="154">
        <v>0.016</v>
      </c>
      <c r="AA890" s="148" t="s">
        <v>45</v>
      </c>
    </row>
    <row r="891" spans="1:27">
      <c r="A891" s="147">
        <v>2138</v>
      </c>
      <c r="B891" s="147" t="s">
        <v>60</v>
      </c>
      <c r="C891" s="147" t="s">
        <v>53</v>
      </c>
      <c r="D891" s="148" t="s">
        <v>57</v>
      </c>
      <c r="E891" s="148" t="s">
        <v>30</v>
      </c>
      <c r="F891" s="149">
        <v>2026</v>
      </c>
      <c r="G891" s="148" t="s">
        <v>33</v>
      </c>
      <c r="H891" s="149">
        <v>181</v>
      </c>
      <c r="I891" s="150">
        <v>59236</v>
      </c>
      <c r="J891" s="149">
        <v>587</v>
      </c>
      <c r="K891" s="150">
        <v>2552865</v>
      </c>
      <c r="L891" s="152"/>
      <c r="M891" s="152">
        <f t="shared" si="13"/>
        <v>0</v>
      </c>
      <c r="N891" s="148"/>
      <c r="O891" s="150">
        <v>653143</v>
      </c>
      <c r="P891" s="150">
        <v>104312</v>
      </c>
      <c r="Q891" s="154">
        <v>0.718</v>
      </c>
      <c r="R891" s="154">
        <v>0.282</v>
      </c>
      <c r="S891" s="148"/>
      <c r="T891" s="148"/>
      <c r="U891" s="154">
        <v>0.073</v>
      </c>
      <c r="V891" s="154">
        <v>0.376</v>
      </c>
      <c r="W891" s="154">
        <v>0.341</v>
      </c>
      <c r="X891" s="154">
        <v>0.153</v>
      </c>
      <c r="Y891" s="154">
        <v>0.041</v>
      </c>
      <c r="Z891" s="154">
        <v>0.016</v>
      </c>
      <c r="AA891" s="148" t="s">
        <v>45</v>
      </c>
    </row>
    <row r="892" spans="1:27">
      <c r="A892" s="147">
        <v>2139</v>
      </c>
      <c r="B892" s="147" t="s">
        <v>60</v>
      </c>
      <c r="C892" s="147" t="s">
        <v>53</v>
      </c>
      <c r="D892" s="148" t="s">
        <v>57</v>
      </c>
      <c r="E892" s="148" t="s">
        <v>30</v>
      </c>
      <c r="F892" s="149">
        <v>2026</v>
      </c>
      <c r="G892" s="148" t="s">
        <v>34</v>
      </c>
      <c r="H892" s="149">
        <v>185</v>
      </c>
      <c r="I892" s="150">
        <v>59351</v>
      </c>
      <c r="J892" s="149">
        <v>411</v>
      </c>
      <c r="K892" s="150">
        <v>1519519</v>
      </c>
      <c r="L892" s="152"/>
      <c r="M892" s="152">
        <f t="shared" si="13"/>
        <v>0</v>
      </c>
      <c r="N892" s="148"/>
      <c r="O892" s="150">
        <v>559706</v>
      </c>
      <c r="P892" s="150">
        <v>40564</v>
      </c>
      <c r="Q892" s="154">
        <v>0.719</v>
      </c>
      <c r="R892" s="154">
        <v>0.281</v>
      </c>
      <c r="S892" s="148"/>
      <c r="T892" s="148"/>
      <c r="U892" s="154">
        <v>0.072</v>
      </c>
      <c r="V892" s="154">
        <v>0.375</v>
      </c>
      <c r="W892" s="154">
        <v>0.342</v>
      </c>
      <c r="X892" s="154">
        <v>0.154</v>
      </c>
      <c r="Y892" s="154">
        <v>0.041</v>
      </c>
      <c r="Z892" s="154">
        <v>0.016</v>
      </c>
      <c r="AA892" s="148" t="s">
        <v>45</v>
      </c>
    </row>
    <row r="893" spans="1:27">
      <c r="A893" s="147">
        <v>2140</v>
      </c>
      <c r="B893" s="147" t="s">
        <v>60</v>
      </c>
      <c r="C893" s="147" t="s">
        <v>53</v>
      </c>
      <c r="D893" s="148" t="s">
        <v>57</v>
      </c>
      <c r="E893" s="148" t="s">
        <v>30</v>
      </c>
      <c r="F893" s="149">
        <v>2026</v>
      </c>
      <c r="G893" s="148" t="s">
        <v>35</v>
      </c>
      <c r="H893" s="149">
        <v>198</v>
      </c>
      <c r="I893" s="150">
        <v>59630</v>
      </c>
      <c r="J893" s="149">
        <v>634</v>
      </c>
      <c r="K893" s="150">
        <v>3642483</v>
      </c>
      <c r="L893" s="152"/>
      <c r="M893" s="152">
        <f t="shared" si="13"/>
        <v>0</v>
      </c>
      <c r="N893" s="148"/>
      <c r="O893" s="150">
        <v>1504345</v>
      </c>
      <c r="P893" s="150">
        <v>175070</v>
      </c>
      <c r="Q893" s="154">
        <v>0.718</v>
      </c>
      <c r="R893" s="154">
        <v>0.282</v>
      </c>
      <c r="S893" s="148"/>
      <c r="T893" s="148"/>
      <c r="U893" s="154">
        <v>0.07</v>
      </c>
      <c r="V893" s="154">
        <v>0.373</v>
      </c>
      <c r="W893" s="154">
        <v>0.343</v>
      </c>
      <c r="X893" s="154">
        <v>0.156</v>
      </c>
      <c r="Y893" s="154">
        <v>0.042</v>
      </c>
      <c r="Z893" s="154">
        <v>0.016</v>
      </c>
      <c r="AA893" s="148" t="s">
        <v>45</v>
      </c>
    </row>
    <row r="894" spans="1:27">
      <c r="A894" s="147">
        <v>2141</v>
      </c>
      <c r="B894" s="147" t="s">
        <v>60</v>
      </c>
      <c r="C894" s="147" t="s">
        <v>53</v>
      </c>
      <c r="D894" s="148" t="s">
        <v>57</v>
      </c>
      <c r="E894" s="148" t="s">
        <v>30</v>
      </c>
      <c r="F894" s="149">
        <v>2026</v>
      </c>
      <c r="G894" s="148" t="s">
        <v>36</v>
      </c>
      <c r="H894" s="149">
        <v>235</v>
      </c>
      <c r="I894" s="150">
        <v>59395</v>
      </c>
      <c r="J894" s="149">
        <v>724</v>
      </c>
      <c r="K894" s="150">
        <v>3812493</v>
      </c>
      <c r="L894" s="152"/>
      <c r="M894" s="152">
        <f t="shared" si="13"/>
        <v>0</v>
      </c>
      <c r="N894" s="148"/>
      <c r="O894" s="150">
        <v>1902619</v>
      </c>
      <c r="P894" s="150">
        <v>101227</v>
      </c>
      <c r="Q894" s="154">
        <v>0.281</v>
      </c>
      <c r="R894" s="154">
        <v>0.719</v>
      </c>
      <c r="S894" s="148"/>
      <c r="T894" s="148"/>
      <c r="U894" s="154">
        <v>0.07</v>
      </c>
      <c r="V894" s="154">
        <v>0.37</v>
      </c>
      <c r="W894" s="154">
        <v>0.344</v>
      </c>
      <c r="X894" s="154">
        <v>0.158</v>
      </c>
      <c r="Y894" s="154">
        <v>0.042</v>
      </c>
      <c r="Z894" s="154">
        <v>0.016</v>
      </c>
      <c r="AA894" s="148" t="s">
        <v>45</v>
      </c>
    </row>
    <row r="895" spans="1:27">
      <c r="A895" s="147">
        <v>2142</v>
      </c>
      <c r="B895" s="147" t="s">
        <v>60</v>
      </c>
      <c r="C895" s="147" t="s">
        <v>53</v>
      </c>
      <c r="D895" s="148" t="s">
        <v>57</v>
      </c>
      <c r="E895" s="148" t="s">
        <v>30</v>
      </c>
      <c r="F895" s="149">
        <v>2026</v>
      </c>
      <c r="G895" s="148" t="s">
        <v>37</v>
      </c>
      <c r="H895" s="149">
        <v>213</v>
      </c>
      <c r="I895" s="150">
        <v>59929</v>
      </c>
      <c r="J895" s="149">
        <v>945</v>
      </c>
      <c r="K895" s="150">
        <v>8922976</v>
      </c>
      <c r="L895" s="152"/>
      <c r="M895" s="152">
        <f t="shared" si="13"/>
        <v>0</v>
      </c>
      <c r="N895" s="148"/>
      <c r="O895" s="150">
        <v>5061028</v>
      </c>
      <c r="P895" s="150">
        <v>438144</v>
      </c>
      <c r="Q895" s="154">
        <v>0.281</v>
      </c>
      <c r="R895" s="154">
        <v>0.719</v>
      </c>
      <c r="S895" s="148"/>
      <c r="T895" s="148"/>
      <c r="U895" s="154">
        <v>0.069</v>
      </c>
      <c r="V895" s="154">
        <v>0.369</v>
      </c>
      <c r="W895" s="154">
        <v>0.345</v>
      </c>
      <c r="X895" s="154">
        <v>0.158</v>
      </c>
      <c r="Y895" s="154">
        <v>0.043</v>
      </c>
      <c r="Z895" s="154">
        <v>0.016</v>
      </c>
      <c r="AA895" s="148" t="s">
        <v>45</v>
      </c>
    </row>
    <row r="896" spans="1:27">
      <c r="A896" s="147">
        <v>2143</v>
      </c>
      <c r="B896" s="147" t="s">
        <v>60</v>
      </c>
      <c r="C896" s="147" t="s">
        <v>53</v>
      </c>
      <c r="D896" s="148" t="s">
        <v>57</v>
      </c>
      <c r="E896" s="148" t="s">
        <v>30</v>
      </c>
      <c r="F896" s="149">
        <v>2026</v>
      </c>
      <c r="G896" s="148" t="s">
        <v>38</v>
      </c>
      <c r="H896" s="149">
        <v>206</v>
      </c>
      <c r="I896" s="150">
        <v>60210</v>
      </c>
      <c r="J896" s="149">
        <v>619</v>
      </c>
      <c r="K896" s="150">
        <v>3341000</v>
      </c>
      <c r="L896" s="152"/>
      <c r="M896" s="152">
        <f t="shared" si="13"/>
        <v>0</v>
      </c>
      <c r="N896" s="148"/>
      <c r="O896" s="150">
        <v>1741040</v>
      </c>
      <c r="P896" s="150">
        <v>132710</v>
      </c>
      <c r="Q896" s="154">
        <v>0.282</v>
      </c>
      <c r="R896" s="154">
        <v>0.718</v>
      </c>
      <c r="S896" s="148"/>
      <c r="T896" s="148"/>
      <c r="U896" s="154">
        <v>0.069</v>
      </c>
      <c r="V896" s="154">
        <v>0.367</v>
      </c>
      <c r="W896" s="154">
        <v>0.345</v>
      </c>
      <c r="X896" s="154">
        <v>0.16</v>
      </c>
      <c r="Y896" s="154">
        <v>0.043</v>
      </c>
      <c r="Z896" s="154">
        <v>0.016</v>
      </c>
      <c r="AA896" s="148" t="s">
        <v>45</v>
      </c>
    </row>
    <row r="897" spans="1:27">
      <c r="A897" s="147">
        <v>2144</v>
      </c>
      <c r="B897" s="147" t="s">
        <v>60</v>
      </c>
      <c r="C897" s="147" t="s">
        <v>53</v>
      </c>
      <c r="D897" s="148" t="s">
        <v>57</v>
      </c>
      <c r="E897" s="148" t="s">
        <v>30</v>
      </c>
      <c r="F897" s="149">
        <v>2026</v>
      </c>
      <c r="G897" s="148" t="s">
        <v>39</v>
      </c>
      <c r="H897" s="148"/>
      <c r="I897" s="148"/>
      <c r="J897" s="148"/>
      <c r="K897" s="148"/>
      <c r="L897" s="152"/>
      <c r="M897" s="152">
        <f t="shared" si="13"/>
        <v>0</v>
      </c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</row>
    <row r="898" spans="1:27">
      <c r="A898" s="147">
        <v>2145</v>
      </c>
      <c r="B898" s="147" t="s">
        <v>60</v>
      </c>
      <c r="C898" s="147" t="s">
        <v>53</v>
      </c>
      <c r="D898" s="148" t="s">
        <v>57</v>
      </c>
      <c r="E898" s="148" t="s">
        <v>30</v>
      </c>
      <c r="F898" s="149">
        <v>2026</v>
      </c>
      <c r="G898" s="148" t="s">
        <v>40</v>
      </c>
      <c r="H898" s="148"/>
      <c r="I898" s="148"/>
      <c r="J898" s="148"/>
      <c r="K898" s="148"/>
      <c r="L898" s="152"/>
      <c r="M898" s="152">
        <f t="shared" ref="M898:M961" si="14">L898*17000</f>
        <v>0</v>
      </c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</row>
    <row r="899" spans="1:27">
      <c r="A899" s="147">
        <v>2146</v>
      </c>
      <c r="B899" s="147" t="s">
        <v>60</v>
      </c>
      <c r="C899" s="147" t="s">
        <v>53</v>
      </c>
      <c r="D899" s="148" t="s">
        <v>57</v>
      </c>
      <c r="E899" s="148" t="s">
        <v>30</v>
      </c>
      <c r="F899" s="149">
        <v>2026</v>
      </c>
      <c r="G899" s="148" t="s">
        <v>41</v>
      </c>
      <c r="H899" s="148"/>
      <c r="I899" s="148"/>
      <c r="J899" s="148"/>
      <c r="K899" s="148"/>
      <c r="L899" s="152"/>
      <c r="M899" s="152">
        <f t="shared" si="14"/>
        <v>0</v>
      </c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</row>
    <row r="900" spans="1:27">
      <c r="A900" s="147">
        <v>2147</v>
      </c>
      <c r="B900" s="147" t="s">
        <v>60</v>
      </c>
      <c r="C900" s="147" t="s">
        <v>53</v>
      </c>
      <c r="D900" s="148" t="s">
        <v>57</v>
      </c>
      <c r="E900" s="148" t="s">
        <v>30</v>
      </c>
      <c r="F900" s="149">
        <v>2026</v>
      </c>
      <c r="G900" s="148" t="s">
        <v>42</v>
      </c>
      <c r="H900" s="148"/>
      <c r="I900" s="148"/>
      <c r="J900" s="148"/>
      <c r="K900" s="148"/>
      <c r="L900" s="152"/>
      <c r="M900" s="152">
        <f t="shared" si="14"/>
        <v>0</v>
      </c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</row>
    <row r="901" spans="1:27">
      <c r="A901" s="147">
        <v>2148</v>
      </c>
      <c r="B901" s="147" t="s">
        <v>60</v>
      </c>
      <c r="C901" s="147" t="s">
        <v>53</v>
      </c>
      <c r="D901" s="148" t="s">
        <v>57</v>
      </c>
      <c r="E901" s="148" t="s">
        <v>30</v>
      </c>
      <c r="F901" s="149">
        <v>2026</v>
      </c>
      <c r="G901" s="148" t="s">
        <v>43</v>
      </c>
      <c r="H901" s="148"/>
      <c r="I901" s="148"/>
      <c r="J901" s="148"/>
      <c r="K901" s="148"/>
      <c r="L901" s="152"/>
      <c r="M901" s="152">
        <f t="shared" si="14"/>
        <v>0</v>
      </c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</row>
    <row r="902" spans="1:27">
      <c r="A902" s="147">
        <v>2161</v>
      </c>
      <c r="B902" s="147" t="s">
        <v>60</v>
      </c>
      <c r="C902" s="147" t="s">
        <v>58</v>
      </c>
      <c r="D902" s="148" t="s">
        <v>65</v>
      </c>
      <c r="E902" s="148" t="s">
        <v>30</v>
      </c>
      <c r="F902" s="149">
        <v>2024</v>
      </c>
      <c r="G902" s="148" t="s">
        <v>31</v>
      </c>
      <c r="H902" s="148"/>
      <c r="I902" s="148"/>
      <c r="J902" s="148"/>
      <c r="K902" s="148"/>
      <c r="L902" s="152"/>
      <c r="M902" s="152">
        <f t="shared" si="14"/>
        <v>0</v>
      </c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</row>
    <row r="903" spans="1:27">
      <c r="A903" s="147">
        <v>2162</v>
      </c>
      <c r="B903" s="147" t="s">
        <v>60</v>
      </c>
      <c r="C903" s="147" t="s">
        <v>58</v>
      </c>
      <c r="D903" s="148" t="s">
        <v>65</v>
      </c>
      <c r="E903" s="148" t="s">
        <v>30</v>
      </c>
      <c r="F903" s="149">
        <v>2024</v>
      </c>
      <c r="G903" s="148" t="s">
        <v>33</v>
      </c>
      <c r="H903" s="148"/>
      <c r="I903" s="148"/>
      <c r="J903" s="148"/>
      <c r="K903" s="148"/>
      <c r="L903" s="152"/>
      <c r="M903" s="152">
        <f t="shared" si="14"/>
        <v>0</v>
      </c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</row>
    <row r="904" spans="1:27">
      <c r="A904" s="147">
        <v>2163</v>
      </c>
      <c r="B904" s="147" t="s">
        <v>60</v>
      </c>
      <c r="C904" s="147" t="s">
        <v>58</v>
      </c>
      <c r="D904" s="148" t="s">
        <v>65</v>
      </c>
      <c r="E904" s="148" t="s">
        <v>30</v>
      </c>
      <c r="F904" s="149">
        <v>2024</v>
      </c>
      <c r="G904" s="148" t="s">
        <v>34</v>
      </c>
      <c r="H904" s="148"/>
      <c r="I904" s="148"/>
      <c r="J904" s="148"/>
      <c r="K904" s="148"/>
      <c r="L904" s="152"/>
      <c r="M904" s="152">
        <f t="shared" si="14"/>
        <v>0</v>
      </c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</row>
    <row r="905" spans="1:27">
      <c r="A905" s="147">
        <v>2164</v>
      </c>
      <c r="B905" s="147" t="s">
        <v>60</v>
      </c>
      <c r="C905" s="147" t="s">
        <v>58</v>
      </c>
      <c r="D905" s="148" t="s">
        <v>65</v>
      </c>
      <c r="E905" s="148" t="s">
        <v>30</v>
      </c>
      <c r="F905" s="149">
        <v>2024</v>
      </c>
      <c r="G905" s="148" t="s">
        <v>35</v>
      </c>
      <c r="H905" s="148"/>
      <c r="I905" s="148"/>
      <c r="J905" s="148"/>
      <c r="K905" s="148"/>
      <c r="L905" s="152"/>
      <c r="M905" s="152">
        <f t="shared" si="14"/>
        <v>0</v>
      </c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</row>
    <row r="906" spans="1:27">
      <c r="A906" s="147">
        <v>2165</v>
      </c>
      <c r="B906" s="147" t="s">
        <v>60</v>
      </c>
      <c r="C906" s="147" t="s">
        <v>58</v>
      </c>
      <c r="D906" s="148" t="s">
        <v>65</v>
      </c>
      <c r="E906" s="148" t="s">
        <v>30</v>
      </c>
      <c r="F906" s="149">
        <v>2024</v>
      </c>
      <c r="G906" s="148" t="s">
        <v>36</v>
      </c>
      <c r="H906" s="148"/>
      <c r="I906" s="148"/>
      <c r="J906" s="148"/>
      <c r="K906" s="148"/>
      <c r="L906" s="152"/>
      <c r="M906" s="152">
        <f t="shared" si="14"/>
        <v>0</v>
      </c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</row>
    <row r="907" spans="1:27">
      <c r="A907" s="147">
        <v>2166</v>
      </c>
      <c r="B907" s="147" t="s">
        <v>60</v>
      </c>
      <c r="C907" s="147" t="s">
        <v>58</v>
      </c>
      <c r="D907" s="148" t="s">
        <v>65</v>
      </c>
      <c r="E907" s="148" t="s">
        <v>30</v>
      </c>
      <c r="F907" s="149">
        <v>2024</v>
      </c>
      <c r="G907" s="148" t="s">
        <v>37</v>
      </c>
      <c r="H907" s="148"/>
      <c r="I907" s="148"/>
      <c r="J907" s="148"/>
      <c r="K907" s="148"/>
      <c r="L907" s="152"/>
      <c r="M907" s="152">
        <f t="shared" si="14"/>
        <v>0</v>
      </c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</row>
    <row r="908" spans="1:27">
      <c r="A908" s="147">
        <v>2167</v>
      </c>
      <c r="B908" s="147" t="s">
        <v>60</v>
      </c>
      <c r="C908" s="147" t="s">
        <v>58</v>
      </c>
      <c r="D908" s="148" t="s">
        <v>65</v>
      </c>
      <c r="E908" s="148" t="s">
        <v>30</v>
      </c>
      <c r="F908" s="149">
        <v>2024</v>
      </c>
      <c r="G908" s="148" t="s">
        <v>38</v>
      </c>
      <c r="H908" s="148"/>
      <c r="I908" s="148"/>
      <c r="J908" s="148"/>
      <c r="K908" s="148"/>
      <c r="L908" s="152"/>
      <c r="M908" s="152">
        <f t="shared" si="14"/>
        <v>0</v>
      </c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</row>
    <row r="909" spans="1:27">
      <c r="A909" s="147">
        <v>2168</v>
      </c>
      <c r="B909" s="147" t="s">
        <v>60</v>
      </c>
      <c r="C909" s="147" t="s">
        <v>58</v>
      </c>
      <c r="D909" s="148" t="s">
        <v>65</v>
      </c>
      <c r="E909" s="148" t="s">
        <v>30</v>
      </c>
      <c r="F909" s="149">
        <v>2024</v>
      </c>
      <c r="G909" s="148" t="s">
        <v>39</v>
      </c>
      <c r="H909" s="148"/>
      <c r="I909" s="148"/>
      <c r="J909" s="148"/>
      <c r="K909" s="148"/>
      <c r="L909" s="152"/>
      <c r="M909" s="152">
        <f t="shared" si="14"/>
        <v>0</v>
      </c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</row>
    <row r="910" spans="1:27">
      <c r="A910" s="147">
        <v>2169</v>
      </c>
      <c r="B910" s="147" t="s">
        <v>60</v>
      </c>
      <c r="C910" s="147" t="s">
        <v>58</v>
      </c>
      <c r="D910" s="148" t="s">
        <v>65</v>
      </c>
      <c r="E910" s="148" t="s">
        <v>30</v>
      </c>
      <c r="F910" s="149">
        <v>2024</v>
      </c>
      <c r="G910" s="148" t="s">
        <v>40</v>
      </c>
      <c r="H910" s="148"/>
      <c r="I910" s="148"/>
      <c r="J910" s="148"/>
      <c r="K910" s="148"/>
      <c r="L910" s="152"/>
      <c r="M910" s="152">
        <f t="shared" si="14"/>
        <v>0</v>
      </c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</row>
    <row r="911" spans="1:27">
      <c r="A911" s="147">
        <v>2170</v>
      </c>
      <c r="B911" s="147" t="s">
        <v>60</v>
      </c>
      <c r="C911" s="147" t="s">
        <v>58</v>
      </c>
      <c r="D911" s="148" t="s">
        <v>65</v>
      </c>
      <c r="E911" s="148" t="s">
        <v>30</v>
      </c>
      <c r="F911" s="149">
        <v>2024</v>
      </c>
      <c r="G911" s="148" t="s">
        <v>41</v>
      </c>
      <c r="H911" s="148"/>
      <c r="I911" s="148"/>
      <c r="J911" s="148"/>
      <c r="K911" s="148"/>
      <c r="L911" s="152"/>
      <c r="M911" s="152">
        <f t="shared" si="14"/>
        <v>0</v>
      </c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</row>
    <row r="912" spans="1:27">
      <c r="A912" s="147">
        <v>2171</v>
      </c>
      <c r="B912" s="147" t="s">
        <v>60</v>
      </c>
      <c r="C912" s="147" t="s">
        <v>58</v>
      </c>
      <c r="D912" s="148" t="s">
        <v>65</v>
      </c>
      <c r="E912" s="148" t="s">
        <v>30</v>
      </c>
      <c r="F912" s="149">
        <v>2024</v>
      </c>
      <c r="G912" s="148" t="s">
        <v>42</v>
      </c>
      <c r="H912" s="148"/>
      <c r="I912" s="148"/>
      <c r="J912" s="148"/>
      <c r="K912" s="148"/>
      <c r="L912" s="152"/>
      <c r="M912" s="152">
        <f t="shared" si="14"/>
        <v>0</v>
      </c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</row>
    <row r="913" spans="1:27">
      <c r="A913" s="147">
        <v>2172</v>
      </c>
      <c r="B913" s="147" t="s">
        <v>60</v>
      </c>
      <c r="C913" s="147" t="s">
        <v>58</v>
      </c>
      <c r="D913" s="148" t="s">
        <v>65</v>
      </c>
      <c r="E913" s="148" t="s">
        <v>30</v>
      </c>
      <c r="F913" s="149">
        <v>2024</v>
      </c>
      <c r="G913" s="148" t="s">
        <v>43</v>
      </c>
      <c r="H913" s="148"/>
      <c r="I913" s="148"/>
      <c r="J913" s="148"/>
      <c r="K913" s="148"/>
      <c r="L913" s="152"/>
      <c r="M913" s="152">
        <f t="shared" si="14"/>
        <v>0</v>
      </c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</row>
    <row r="914" spans="1:27">
      <c r="A914" s="147">
        <v>2173</v>
      </c>
      <c r="B914" s="147" t="s">
        <v>60</v>
      </c>
      <c r="C914" s="147" t="s">
        <v>58</v>
      </c>
      <c r="D914" s="148" t="s">
        <v>65</v>
      </c>
      <c r="E914" s="148" t="s">
        <v>30</v>
      </c>
      <c r="F914" s="149">
        <v>2025</v>
      </c>
      <c r="G914" s="148" t="s">
        <v>31</v>
      </c>
      <c r="H914" s="149">
        <v>0</v>
      </c>
      <c r="I914" s="150">
        <v>5164</v>
      </c>
      <c r="J914" s="149">
        <v>11</v>
      </c>
      <c r="K914" s="149" t="s">
        <v>48</v>
      </c>
      <c r="L914" s="152"/>
      <c r="M914" s="152">
        <f t="shared" si="14"/>
        <v>0</v>
      </c>
      <c r="N914" s="148"/>
      <c r="O914" s="149">
        <v>417</v>
      </c>
      <c r="P914" s="148" t="s">
        <v>48</v>
      </c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</row>
    <row r="915" spans="1:27">
      <c r="A915" s="147">
        <v>2174</v>
      </c>
      <c r="B915" s="147" t="s">
        <v>60</v>
      </c>
      <c r="C915" s="147" t="s">
        <v>58</v>
      </c>
      <c r="D915" s="148" t="s">
        <v>65</v>
      </c>
      <c r="E915" s="148" t="s">
        <v>30</v>
      </c>
      <c r="F915" s="149">
        <v>2025</v>
      </c>
      <c r="G915" s="148" t="s">
        <v>33</v>
      </c>
      <c r="H915" s="149">
        <v>0</v>
      </c>
      <c r="I915" s="150">
        <v>5153</v>
      </c>
      <c r="J915" s="149">
        <v>23</v>
      </c>
      <c r="K915" s="149" t="s">
        <v>48</v>
      </c>
      <c r="L915" s="152"/>
      <c r="M915" s="152">
        <f t="shared" si="14"/>
        <v>0</v>
      </c>
      <c r="N915" s="148"/>
      <c r="O915" s="149">
        <v>312</v>
      </c>
      <c r="P915" s="148" t="s">
        <v>48</v>
      </c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</row>
    <row r="916" spans="1:27">
      <c r="A916" s="147">
        <v>2175</v>
      </c>
      <c r="B916" s="147" t="s">
        <v>60</v>
      </c>
      <c r="C916" s="147" t="s">
        <v>58</v>
      </c>
      <c r="D916" s="148" t="s">
        <v>65</v>
      </c>
      <c r="E916" s="148" t="s">
        <v>30</v>
      </c>
      <c r="F916" s="149">
        <v>2025</v>
      </c>
      <c r="G916" s="148" t="s">
        <v>34</v>
      </c>
      <c r="H916" s="149">
        <v>0</v>
      </c>
      <c r="I916" s="150">
        <v>5236</v>
      </c>
      <c r="J916" s="149">
        <v>25</v>
      </c>
      <c r="K916" s="149" t="s">
        <v>48</v>
      </c>
      <c r="L916" s="152"/>
      <c r="M916" s="152">
        <f t="shared" si="14"/>
        <v>0</v>
      </c>
      <c r="N916" s="148"/>
      <c r="O916" s="149">
        <v>281</v>
      </c>
      <c r="P916" s="148" t="s">
        <v>48</v>
      </c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</row>
    <row r="917" spans="1:27">
      <c r="A917" s="147">
        <v>2176</v>
      </c>
      <c r="B917" s="147" t="s">
        <v>60</v>
      </c>
      <c r="C917" s="147" t="s">
        <v>58</v>
      </c>
      <c r="D917" s="148" t="s">
        <v>65</v>
      </c>
      <c r="E917" s="148" t="s">
        <v>30</v>
      </c>
      <c r="F917" s="149">
        <v>2025</v>
      </c>
      <c r="G917" s="148" t="s">
        <v>35</v>
      </c>
      <c r="H917" s="149">
        <v>0</v>
      </c>
      <c r="I917" s="150">
        <v>5195</v>
      </c>
      <c r="J917" s="149">
        <v>39</v>
      </c>
      <c r="K917" s="149" t="s">
        <v>48</v>
      </c>
      <c r="L917" s="152"/>
      <c r="M917" s="152">
        <f t="shared" si="14"/>
        <v>0</v>
      </c>
      <c r="N917" s="148"/>
      <c r="O917" s="149">
        <v>223</v>
      </c>
      <c r="P917" s="148" t="s">
        <v>48</v>
      </c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</row>
    <row r="918" spans="1:27">
      <c r="A918" s="147">
        <v>2177</v>
      </c>
      <c r="B918" s="147" t="s">
        <v>60</v>
      </c>
      <c r="C918" s="147" t="s">
        <v>58</v>
      </c>
      <c r="D918" s="148" t="s">
        <v>65</v>
      </c>
      <c r="E918" s="148" t="s">
        <v>30</v>
      </c>
      <c r="F918" s="149">
        <v>2025</v>
      </c>
      <c r="G918" s="148" t="s">
        <v>36</v>
      </c>
      <c r="H918" s="149">
        <v>0</v>
      </c>
      <c r="I918" s="150">
        <v>5259</v>
      </c>
      <c r="J918" s="149">
        <v>23</v>
      </c>
      <c r="K918" s="149">
        <v>364</v>
      </c>
      <c r="L918" s="152"/>
      <c r="M918" s="152">
        <f t="shared" si="14"/>
        <v>0</v>
      </c>
      <c r="N918" s="148"/>
      <c r="O918" s="149">
        <v>272</v>
      </c>
      <c r="P918" s="149">
        <v>4</v>
      </c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</row>
    <row r="919" spans="1:27">
      <c r="A919" s="147">
        <v>2178</v>
      </c>
      <c r="B919" s="147" t="s">
        <v>60</v>
      </c>
      <c r="C919" s="147" t="s">
        <v>58</v>
      </c>
      <c r="D919" s="148" t="s">
        <v>65</v>
      </c>
      <c r="E919" s="148" t="s">
        <v>30</v>
      </c>
      <c r="F919" s="149">
        <v>2025</v>
      </c>
      <c r="G919" s="148" t="s">
        <v>37</v>
      </c>
      <c r="H919" s="149">
        <v>0</v>
      </c>
      <c r="I919" s="150">
        <v>5211</v>
      </c>
      <c r="J919" s="149">
        <v>24</v>
      </c>
      <c r="K919" s="150">
        <v>1673</v>
      </c>
      <c r="L919" s="152"/>
      <c r="M919" s="152">
        <f t="shared" si="14"/>
        <v>0</v>
      </c>
      <c r="N919" s="148"/>
      <c r="O919" s="149">
        <v>259</v>
      </c>
      <c r="P919" s="149">
        <v>23</v>
      </c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</row>
    <row r="920" spans="1:27">
      <c r="A920" s="147">
        <v>2179</v>
      </c>
      <c r="B920" s="147" t="s">
        <v>60</v>
      </c>
      <c r="C920" s="147" t="s">
        <v>58</v>
      </c>
      <c r="D920" s="148" t="s">
        <v>65</v>
      </c>
      <c r="E920" s="148" t="s">
        <v>30</v>
      </c>
      <c r="F920" s="149">
        <v>2025</v>
      </c>
      <c r="G920" s="148" t="s">
        <v>38</v>
      </c>
      <c r="H920" s="149">
        <v>0</v>
      </c>
      <c r="I920" s="150">
        <v>5187</v>
      </c>
      <c r="J920" s="149">
        <v>23</v>
      </c>
      <c r="K920" s="150">
        <v>1869</v>
      </c>
      <c r="L920" s="152"/>
      <c r="M920" s="152">
        <f t="shared" si="14"/>
        <v>0</v>
      </c>
      <c r="N920" s="148"/>
      <c r="O920" s="149">
        <v>221</v>
      </c>
      <c r="P920" s="149">
        <v>2</v>
      </c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</row>
    <row r="921" spans="1:27">
      <c r="A921" s="147">
        <v>2180</v>
      </c>
      <c r="B921" s="147" t="s">
        <v>60</v>
      </c>
      <c r="C921" s="147" t="s">
        <v>58</v>
      </c>
      <c r="D921" s="148" t="s">
        <v>65</v>
      </c>
      <c r="E921" s="148" t="s">
        <v>30</v>
      </c>
      <c r="F921" s="149">
        <v>2025</v>
      </c>
      <c r="G921" s="148" t="s">
        <v>39</v>
      </c>
      <c r="H921" s="149">
        <v>0</v>
      </c>
      <c r="I921" s="150">
        <v>5218</v>
      </c>
      <c r="J921" s="149">
        <v>23</v>
      </c>
      <c r="K921" s="150">
        <v>4840</v>
      </c>
      <c r="L921" s="152"/>
      <c r="M921" s="152">
        <f t="shared" si="14"/>
        <v>0</v>
      </c>
      <c r="N921" s="148"/>
      <c r="O921" s="149">
        <v>263</v>
      </c>
      <c r="P921" s="149">
        <v>5</v>
      </c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</row>
    <row r="922" spans="1:27">
      <c r="A922" s="147">
        <v>2181</v>
      </c>
      <c r="B922" s="147" t="s">
        <v>60</v>
      </c>
      <c r="C922" s="147" t="s">
        <v>58</v>
      </c>
      <c r="D922" s="148" t="s">
        <v>65</v>
      </c>
      <c r="E922" s="148" t="s">
        <v>30</v>
      </c>
      <c r="F922" s="149">
        <v>2025</v>
      </c>
      <c r="G922" s="148" t="s">
        <v>40</v>
      </c>
      <c r="H922" s="149">
        <v>0</v>
      </c>
      <c r="I922" s="150">
        <v>5485</v>
      </c>
      <c r="J922" s="149">
        <v>17</v>
      </c>
      <c r="K922" s="150">
        <v>10128</v>
      </c>
      <c r="L922" s="152"/>
      <c r="M922" s="152">
        <f t="shared" si="14"/>
        <v>0</v>
      </c>
      <c r="N922" s="148"/>
      <c r="O922" s="149">
        <v>199</v>
      </c>
      <c r="P922" s="149">
        <v>6</v>
      </c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</row>
    <row r="923" spans="1:27">
      <c r="A923" s="147">
        <v>2182</v>
      </c>
      <c r="B923" s="147" t="s">
        <v>60</v>
      </c>
      <c r="C923" s="147" t="s">
        <v>58</v>
      </c>
      <c r="D923" s="148" t="s">
        <v>65</v>
      </c>
      <c r="E923" s="148" t="s">
        <v>30</v>
      </c>
      <c r="F923" s="149">
        <v>2025</v>
      </c>
      <c r="G923" s="148" t="s">
        <v>41</v>
      </c>
      <c r="H923" s="149">
        <v>0</v>
      </c>
      <c r="I923" s="150">
        <v>5468</v>
      </c>
      <c r="J923" s="149">
        <v>9</v>
      </c>
      <c r="K923" s="150">
        <v>5265</v>
      </c>
      <c r="L923" s="152"/>
      <c r="M923" s="152">
        <f t="shared" si="14"/>
        <v>0</v>
      </c>
      <c r="N923" s="148"/>
      <c r="O923" s="149">
        <v>193</v>
      </c>
      <c r="P923" s="149">
        <v>12</v>
      </c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</row>
    <row r="924" spans="1:27">
      <c r="A924" s="147">
        <v>2183</v>
      </c>
      <c r="B924" s="147" t="s">
        <v>60</v>
      </c>
      <c r="C924" s="147" t="s">
        <v>58</v>
      </c>
      <c r="D924" s="148" t="s">
        <v>65</v>
      </c>
      <c r="E924" s="148" t="s">
        <v>30</v>
      </c>
      <c r="F924" s="149">
        <v>2025</v>
      </c>
      <c r="G924" s="148" t="s">
        <v>42</v>
      </c>
      <c r="H924" s="149">
        <v>18</v>
      </c>
      <c r="I924" s="150">
        <v>5274</v>
      </c>
      <c r="J924" s="149">
        <v>15</v>
      </c>
      <c r="K924" s="150">
        <v>9282</v>
      </c>
      <c r="L924" s="152"/>
      <c r="M924" s="152">
        <f t="shared" si="14"/>
        <v>0</v>
      </c>
      <c r="N924" s="148"/>
      <c r="O924" s="150">
        <v>1162</v>
      </c>
      <c r="P924" s="149">
        <v>44</v>
      </c>
      <c r="Q924" s="154">
        <v>0.692</v>
      </c>
      <c r="R924" s="154">
        <v>0.308</v>
      </c>
      <c r="S924" s="148"/>
      <c r="T924" s="148"/>
      <c r="U924" s="154">
        <v>0.096</v>
      </c>
      <c r="V924" s="154">
        <v>0.321</v>
      </c>
      <c r="W924" s="154">
        <v>0.315</v>
      </c>
      <c r="X924" s="154">
        <v>0.181</v>
      </c>
      <c r="Y924" s="154">
        <v>0.06</v>
      </c>
      <c r="Z924" s="154">
        <v>0.027</v>
      </c>
      <c r="AA924" s="148" t="s">
        <v>45</v>
      </c>
    </row>
    <row r="925" spans="1:27">
      <c r="A925" s="147">
        <v>2184</v>
      </c>
      <c r="B925" s="147" t="s">
        <v>60</v>
      </c>
      <c r="C925" s="147" t="s">
        <v>58</v>
      </c>
      <c r="D925" s="148" t="s">
        <v>65</v>
      </c>
      <c r="E925" s="148" t="s">
        <v>30</v>
      </c>
      <c r="F925" s="149">
        <v>2025</v>
      </c>
      <c r="G925" s="148" t="s">
        <v>43</v>
      </c>
      <c r="H925" s="149">
        <v>52</v>
      </c>
      <c r="I925" s="150">
        <v>5396</v>
      </c>
      <c r="J925" s="149">
        <v>178</v>
      </c>
      <c r="K925" s="150">
        <v>1123</v>
      </c>
      <c r="L925" s="152"/>
      <c r="M925" s="152">
        <f t="shared" si="14"/>
        <v>0</v>
      </c>
      <c r="N925" s="148"/>
      <c r="O925" s="149">
        <v>169</v>
      </c>
      <c r="P925" s="149">
        <v>10</v>
      </c>
      <c r="Q925" s="154">
        <v>0.697</v>
      </c>
      <c r="R925" s="154">
        <v>0.303</v>
      </c>
      <c r="S925" s="148"/>
      <c r="T925" s="148"/>
      <c r="U925" s="154">
        <v>0.093</v>
      </c>
      <c r="V925" s="154">
        <v>0.316</v>
      </c>
      <c r="W925" s="154">
        <v>0.316</v>
      </c>
      <c r="X925" s="154">
        <v>0.186</v>
      </c>
      <c r="Y925" s="154">
        <v>0.062</v>
      </c>
      <c r="Z925" s="154">
        <v>0.027</v>
      </c>
      <c r="AA925" s="148" t="s">
        <v>45</v>
      </c>
    </row>
    <row r="926" spans="1:27">
      <c r="A926" s="147">
        <v>2185</v>
      </c>
      <c r="B926" s="147" t="s">
        <v>60</v>
      </c>
      <c r="C926" s="147" t="s">
        <v>58</v>
      </c>
      <c r="D926" s="148" t="s">
        <v>65</v>
      </c>
      <c r="E926" s="148" t="s">
        <v>30</v>
      </c>
      <c r="F926" s="149">
        <v>2026</v>
      </c>
      <c r="G926" s="148" t="s">
        <v>31</v>
      </c>
      <c r="H926" s="149">
        <v>27</v>
      </c>
      <c r="I926" s="150">
        <v>5442</v>
      </c>
      <c r="J926" s="149">
        <v>70</v>
      </c>
      <c r="K926" s="149">
        <v>145</v>
      </c>
      <c r="L926" s="152"/>
      <c r="M926" s="152">
        <f t="shared" si="14"/>
        <v>0</v>
      </c>
      <c r="N926" s="148"/>
      <c r="O926" s="149">
        <v>49</v>
      </c>
      <c r="P926" s="149">
        <v>2</v>
      </c>
      <c r="Q926" s="154">
        <v>0.701</v>
      </c>
      <c r="R926" s="154">
        <v>0.299</v>
      </c>
      <c r="S926" s="148"/>
      <c r="T926" s="148"/>
      <c r="U926" s="154">
        <v>0.091</v>
      </c>
      <c r="V926" s="154">
        <v>0.314</v>
      </c>
      <c r="W926" s="154">
        <v>0.315</v>
      </c>
      <c r="X926" s="154">
        <v>0.19</v>
      </c>
      <c r="Y926" s="154">
        <v>0.063</v>
      </c>
      <c r="Z926" s="154">
        <v>0.027</v>
      </c>
      <c r="AA926" s="148" t="s">
        <v>45</v>
      </c>
    </row>
    <row r="927" spans="1:27">
      <c r="A927" s="147">
        <v>2186</v>
      </c>
      <c r="B927" s="147" t="s">
        <v>60</v>
      </c>
      <c r="C927" s="147" t="s">
        <v>58</v>
      </c>
      <c r="D927" s="148" t="s">
        <v>65</v>
      </c>
      <c r="E927" s="148" t="s">
        <v>30</v>
      </c>
      <c r="F927" s="149">
        <v>2026</v>
      </c>
      <c r="G927" s="148" t="s">
        <v>33</v>
      </c>
      <c r="H927" s="149">
        <v>52</v>
      </c>
      <c r="I927" s="150">
        <v>5463</v>
      </c>
      <c r="J927" s="149">
        <v>42</v>
      </c>
      <c r="K927" s="150">
        <v>337292</v>
      </c>
      <c r="L927" s="152"/>
      <c r="M927" s="152">
        <f t="shared" si="14"/>
        <v>0</v>
      </c>
      <c r="N927" s="148"/>
      <c r="O927" s="150">
        <v>131207</v>
      </c>
      <c r="P927" s="150">
        <v>4351</v>
      </c>
      <c r="Q927" s="154">
        <v>0.703</v>
      </c>
      <c r="R927" s="154">
        <v>0.297</v>
      </c>
      <c r="S927" s="148"/>
      <c r="T927" s="148"/>
      <c r="U927" s="154">
        <v>0.089</v>
      </c>
      <c r="V927" s="154">
        <v>0.314</v>
      </c>
      <c r="W927" s="154">
        <v>0.315</v>
      </c>
      <c r="X927" s="154">
        <v>0.192</v>
      </c>
      <c r="Y927" s="154">
        <v>0.062</v>
      </c>
      <c r="Z927" s="154">
        <v>0.028</v>
      </c>
      <c r="AA927" s="148" t="s">
        <v>45</v>
      </c>
    </row>
    <row r="928" spans="1:27">
      <c r="A928" s="147">
        <v>2187</v>
      </c>
      <c r="B928" s="147" t="s">
        <v>60</v>
      </c>
      <c r="C928" s="147" t="s">
        <v>58</v>
      </c>
      <c r="D928" s="148" t="s">
        <v>65</v>
      </c>
      <c r="E928" s="148" t="s">
        <v>30</v>
      </c>
      <c r="F928" s="149">
        <v>2026</v>
      </c>
      <c r="G928" s="148" t="s">
        <v>34</v>
      </c>
      <c r="H928" s="149">
        <v>23</v>
      </c>
      <c r="I928" s="150">
        <v>5517</v>
      </c>
      <c r="J928" s="149">
        <v>54</v>
      </c>
      <c r="K928" s="150">
        <v>311134</v>
      </c>
      <c r="L928" s="152"/>
      <c r="M928" s="152">
        <f t="shared" si="14"/>
        <v>0</v>
      </c>
      <c r="N928" s="148"/>
      <c r="O928" s="150">
        <v>132518</v>
      </c>
      <c r="P928" s="150">
        <v>6563</v>
      </c>
      <c r="Q928" s="154">
        <v>0.706</v>
      </c>
      <c r="R928" s="154">
        <v>0.294</v>
      </c>
      <c r="S928" s="148"/>
      <c r="T928" s="148"/>
      <c r="U928" s="154">
        <v>0.09</v>
      </c>
      <c r="V928" s="154">
        <v>0.314</v>
      </c>
      <c r="W928" s="154">
        <v>0.314</v>
      </c>
      <c r="X928" s="154">
        <v>0.19</v>
      </c>
      <c r="Y928" s="154">
        <v>0.064</v>
      </c>
      <c r="Z928" s="154">
        <v>0.028</v>
      </c>
      <c r="AA928" s="148" t="s">
        <v>45</v>
      </c>
    </row>
    <row r="929" spans="1:27">
      <c r="A929" s="147">
        <v>2188</v>
      </c>
      <c r="B929" s="147" t="s">
        <v>60</v>
      </c>
      <c r="C929" s="147" t="s">
        <v>58</v>
      </c>
      <c r="D929" s="148" t="s">
        <v>65</v>
      </c>
      <c r="E929" s="148" t="s">
        <v>30</v>
      </c>
      <c r="F929" s="149">
        <v>2026</v>
      </c>
      <c r="G929" s="148" t="s">
        <v>35</v>
      </c>
      <c r="H929" s="149">
        <v>39</v>
      </c>
      <c r="I929" s="150">
        <v>5700</v>
      </c>
      <c r="J929" s="149">
        <v>215</v>
      </c>
      <c r="K929" s="150">
        <v>1353233</v>
      </c>
      <c r="L929" s="152"/>
      <c r="M929" s="152">
        <f t="shared" si="14"/>
        <v>0</v>
      </c>
      <c r="N929" s="148"/>
      <c r="O929" s="150">
        <v>129534</v>
      </c>
      <c r="P929" s="150">
        <v>42176</v>
      </c>
      <c r="Q929" s="154">
        <v>0.71</v>
      </c>
      <c r="R929" s="154">
        <v>0.29</v>
      </c>
      <c r="S929" s="148"/>
      <c r="T929" s="148"/>
      <c r="U929" s="154">
        <v>0.084</v>
      </c>
      <c r="V929" s="154">
        <v>0.31</v>
      </c>
      <c r="W929" s="154">
        <v>0.319</v>
      </c>
      <c r="X929" s="154">
        <v>0.195</v>
      </c>
      <c r="Y929" s="154">
        <v>0.064</v>
      </c>
      <c r="Z929" s="154">
        <v>0.028</v>
      </c>
      <c r="AA929" s="148" t="s">
        <v>45</v>
      </c>
    </row>
    <row r="930" spans="1:27">
      <c r="A930" s="147">
        <v>2189</v>
      </c>
      <c r="B930" s="147" t="s">
        <v>60</v>
      </c>
      <c r="C930" s="147" t="s">
        <v>58</v>
      </c>
      <c r="D930" s="148" t="s">
        <v>65</v>
      </c>
      <c r="E930" s="148" t="s">
        <v>30</v>
      </c>
      <c r="F930" s="149">
        <v>2026</v>
      </c>
      <c r="G930" s="148" t="s">
        <v>36</v>
      </c>
      <c r="H930" s="149">
        <v>36</v>
      </c>
      <c r="I930" s="150">
        <v>5745</v>
      </c>
      <c r="J930" s="149">
        <v>145</v>
      </c>
      <c r="K930" s="150">
        <v>510649</v>
      </c>
      <c r="L930" s="152"/>
      <c r="M930" s="152">
        <f t="shared" si="14"/>
        <v>0</v>
      </c>
      <c r="N930" s="148"/>
      <c r="O930" s="150">
        <v>14508</v>
      </c>
      <c r="P930" s="150">
        <v>28927</v>
      </c>
      <c r="Q930" s="154">
        <v>0.714</v>
      </c>
      <c r="R930" s="154">
        <v>0.286</v>
      </c>
      <c r="S930" s="148"/>
      <c r="T930" s="148"/>
      <c r="U930" s="154">
        <v>0.082</v>
      </c>
      <c r="V930" s="154">
        <v>0.309</v>
      </c>
      <c r="W930" s="154">
        <v>0.321</v>
      </c>
      <c r="X930" s="154">
        <v>0.194</v>
      </c>
      <c r="Y930" s="154">
        <v>0.066</v>
      </c>
      <c r="Z930" s="154">
        <v>0.028</v>
      </c>
      <c r="AA930" s="148" t="s">
        <v>45</v>
      </c>
    </row>
    <row r="931" spans="1:27">
      <c r="A931" s="147">
        <v>2190</v>
      </c>
      <c r="B931" s="147" t="s">
        <v>60</v>
      </c>
      <c r="C931" s="147" t="s">
        <v>58</v>
      </c>
      <c r="D931" s="148" t="s">
        <v>65</v>
      </c>
      <c r="E931" s="148" t="s">
        <v>30</v>
      </c>
      <c r="F931" s="149">
        <v>2026</v>
      </c>
      <c r="G931" s="148" t="s">
        <v>37</v>
      </c>
      <c r="H931" s="149">
        <v>3</v>
      </c>
      <c r="I931" s="150">
        <v>5748</v>
      </c>
      <c r="J931" s="149">
        <v>45</v>
      </c>
      <c r="K931" s="150">
        <v>59896</v>
      </c>
      <c r="L931" s="152"/>
      <c r="M931" s="152">
        <f t="shared" si="14"/>
        <v>0</v>
      </c>
      <c r="N931" s="148"/>
      <c r="O931" s="149">
        <v>474</v>
      </c>
      <c r="P931" s="150">
        <v>3018</v>
      </c>
      <c r="Q931" s="154">
        <v>0.716</v>
      </c>
      <c r="R931" s="154">
        <v>0.284</v>
      </c>
      <c r="S931" s="148"/>
      <c r="T931" s="148"/>
      <c r="U931" s="154">
        <v>0.08</v>
      </c>
      <c r="V931" s="154">
        <v>0.308</v>
      </c>
      <c r="W931" s="154">
        <v>0.323</v>
      </c>
      <c r="X931" s="154">
        <v>0.195</v>
      </c>
      <c r="Y931" s="154">
        <v>0.066</v>
      </c>
      <c r="Z931" s="154">
        <v>0.028</v>
      </c>
      <c r="AA931" s="148" t="s">
        <v>45</v>
      </c>
    </row>
    <row r="932" spans="1:27">
      <c r="A932" s="147">
        <v>2191</v>
      </c>
      <c r="B932" s="147" t="s">
        <v>60</v>
      </c>
      <c r="C932" s="147" t="s">
        <v>58</v>
      </c>
      <c r="D932" s="148" t="s">
        <v>65</v>
      </c>
      <c r="E932" s="148" t="s">
        <v>30</v>
      </c>
      <c r="F932" s="149">
        <v>2026</v>
      </c>
      <c r="G932" s="148" t="s">
        <v>38</v>
      </c>
      <c r="H932" s="149">
        <v>24</v>
      </c>
      <c r="I932" s="150">
        <v>5810</v>
      </c>
      <c r="J932" s="149">
        <v>90</v>
      </c>
      <c r="K932" s="150">
        <v>81318</v>
      </c>
      <c r="L932" s="152"/>
      <c r="M932" s="152">
        <f t="shared" si="14"/>
        <v>0</v>
      </c>
      <c r="N932" s="148"/>
      <c r="O932" s="150">
        <v>8925</v>
      </c>
      <c r="P932" s="150">
        <v>3052</v>
      </c>
      <c r="Q932" s="154">
        <v>0.72</v>
      </c>
      <c r="R932" s="154">
        <v>0.28</v>
      </c>
      <c r="S932" s="148"/>
      <c r="T932" s="148"/>
      <c r="U932" s="154">
        <v>0.079</v>
      </c>
      <c r="V932" s="154">
        <v>0.304</v>
      </c>
      <c r="W932" s="154">
        <v>0.325</v>
      </c>
      <c r="X932" s="154">
        <v>0.197</v>
      </c>
      <c r="Y932" s="154">
        <v>0.067</v>
      </c>
      <c r="Z932" s="154">
        <v>0.028</v>
      </c>
      <c r="AA932" s="148" t="s">
        <v>45</v>
      </c>
    </row>
    <row r="933" spans="1:27">
      <c r="A933" s="147">
        <v>2192</v>
      </c>
      <c r="B933" s="147" t="s">
        <v>60</v>
      </c>
      <c r="C933" s="147" t="s">
        <v>58</v>
      </c>
      <c r="D933" s="148" t="s">
        <v>65</v>
      </c>
      <c r="E933" s="148" t="s">
        <v>30</v>
      </c>
      <c r="F933" s="149">
        <v>2026</v>
      </c>
      <c r="G933" s="148" t="s">
        <v>39</v>
      </c>
      <c r="H933" s="148"/>
      <c r="I933" s="148"/>
      <c r="J933" s="148"/>
      <c r="K933" s="148"/>
      <c r="L933" s="152"/>
      <c r="M933" s="152">
        <f t="shared" si="14"/>
        <v>0</v>
      </c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</row>
    <row r="934" spans="1:27">
      <c r="A934" s="147">
        <v>2193</v>
      </c>
      <c r="B934" s="147" t="s">
        <v>60</v>
      </c>
      <c r="C934" s="147" t="s">
        <v>58</v>
      </c>
      <c r="D934" s="148" t="s">
        <v>65</v>
      </c>
      <c r="E934" s="148" t="s">
        <v>30</v>
      </c>
      <c r="F934" s="149">
        <v>2026</v>
      </c>
      <c r="G934" s="148" t="s">
        <v>40</v>
      </c>
      <c r="H934" s="148"/>
      <c r="I934" s="148"/>
      <c r="J934" s="148"/>
      <c r="K934" s="148"/>
      <c r="L934" s="152"/>
      <c r="M934" s="152">
        <f t="shared" si="14"/>
        <v>0</v>
      </c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</row>
    <row r="935" spans="1:27">
      <c r="A935" s="147">
        <v>2194</v>
      </c>
      <c r="B935" s="147" t="s">
        <v>60</v>
      </c>
      <c r="C935" s="147" t="s">
        <v>58</v>
      </c>
      <c r="D935" s="148" t="s">
        <v>65</v>
      </c>
      <c r="E935" s="148" t="s">
        <v>30</v>
      </c>
      <c r="F935" s="149">
        <v>2026</v>
      </c>
      <c r="G935" s="148" t="s">
        <v>41</v>
      </c>
      <c r="H935" s="148"/>
      <c r="I935" s="148"/>
      <c r="J935" s="148"/>
      <c r="K935" s="148"/>
      <c r="L935" s="152"/>
      <c r="M935" s="152">
        <f t="shared" si="14"/>
        <v>0</v>
      </c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</row>
    <row r="936" spans="1:27">
      <c r="A936" s="147">
        <v>2195</v>
      </c>
      <c r="B936" s="147" t="s">
        <v>60</v>
      </c>
      <c r="C936" s="147" t="s">
        <v>58</v>
      </c>
      <c r="D936" s="148" t="s">
        <v>65</v>
      </c>
      <c r="E936" s="148" t="s">
        <v>30</v>
      </c>
      <c r="F936" s="149">
        <v>2026</v>
      </c>
      <c r="G936" s="148" t="s">
        <v>42</v>
      </c>
      <c r="H936" s="148"/>
      <c r="I936" s="148"/>
      <c r="J936" s="148"/>
      <c r="K936" s="148"/>
      <c r="L936" s="152"/>
      <c r="M936" s="152">
        <f t="shared" si="14"/>
        <v>0</v>
      </c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</row>
    <row r="937" spans="1:27">
      <c r="A937" s="147">
        <v>2196</v>
      </c>
      <c r="B937" s="147" t="s">
        <v>60</v>
      </c>
      <c r="C937" s="147" t="s">
        <v>58</v>
      </c>
      <c r="D937" s="148" t="s">
        <v>65</v>
      </c>
      <c r="E937" s="148" t="s">
        <v>30</v>
      </c>
      <c r="F937" s="149">
        <v>2026</v>
      </c>
      <c r="G937" s="148" t="s">
        <v>43</v>
      </c>
      <c r="H937" s="148"/>
      <c r="I937" s="148"/>
      <c r="J937" s="148"/>
      <c r="K937" s="148"/>
      <c r="L937" s="152"/>
      <c r="M937" s="152">
        <f t="shared" si="14"/>
        <v>0</v>
      </c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</row>
    <row r="938" spans="1:27">
      <c r="A938" s="147">
        <v>2209</v>
      </c>
      <c r="B938" s="147" t="s">
        <v>60</v>
      </c>
      <c r="C938" s="147" t="s">
        <v>58</v>
      </c>
      <c r="D938" s="148" t="s">
        <v>59</v>
      </c>
      <c r="E938" s="148" t="s">
        <v>30</v>
      </c>
      <c r="F938" s="149">
        <v>2024</v>
      </c>
      <c r="G938" s="148" t="s">
        <v>31</v>
      </c>
      <c r="H938" s="149">
        <v>850</v>
      </c>
      <c r="I938" s="149" t="s">
        <v>44</v>
      </c>
      <c r="J938" s="149" t="s">
        <v>61</v>
      </c>
      <c r="K938" s="149" t="s">
        <v>61</v>
      </c>
      <c r="L938" s="152"/>
      <c r="M938" s="152">
        <f t="shared" si="14"/>
        <v>0</v>
      </c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</row>
    <row r="939" spans="1:27">
      <c r="A939" s="147">
        <v>2210</v>
      </c>
      <c r="B939" s="147" t="s">
        <v>60</v>
      </c>
      <c r="C939" s="147" t="s">
        <v>58</v>
      </c>
      <c r="D939" s="148" t="s">
        <v>59</v>
      </c>
      <c r="E939" s="148" t="s">
        <v>30</v>
      </c>
      <c r="F939" s="149">
        <v>2024</v>
      </c>
      <c r="G939" s="148" t="s">
        <v>33</v>
      </c>
      <c r="H939" s="149">
        <v>770</v>
      </c>
      <c r="I939" s="149" t="s">
        <v>44</v>
      </c>
      <c r="J939" s="149" t="s">
        <v>61</v>
      </c>
      <c r="K939" s="149" t="s">
        <v>61</v>
      </c>
      <c r="L939" s="152"/>
      <c r="M939" s="152">
        <f t="shared" si="14"/>
        <v>0</v>
      </c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</row>
    <row r="940" spans="1:27">
      <c r="A940" s="147">
        <v>2211</v>
      </c>
      <c r="B940" s="147" t="s">
        <v>60</v>
      </c>
      <c r="C940" s="147" t="s">
        <v>58</v>
      </c>
      <c r="D940" s="148" t="s">
        <v>59</v>
      </c>
      <c r="E940" s="148" t="s">
        <v>30</v>
      </c>
      <c r="F940" s="149">
        <v>2024</v>
      </c>
      <c r="G940" s="148" t="s">
        <v>34</v>
      </c>
      <c r="H940" s="149">
        <v>681</v>
      </c>
      <c r="I940" s="149" t="s">
        <v>44</v>
      </c>
      <c r="J940" s="149" t="s">
        <v>61</v>
      </c>
      <c r="K940" s="149" t="s">
        <v>61</v>
      </c>
      <c r="L940" s="152"/>
      <c r="M940" s="152">
        <f t="shared" si="14"/>
        <v>0</v>
      </c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</row>
    <row r="941" spans="1:27">
      <c r="A941" s="147">
        <v>2212</v>
      </c>
      <c r="B941" s="147" t="s">
        <v>60</v>
      </c>
      <c r="C941" s="147" t="s">
        <v>58</v>
      </c>
      <c r="D941" s="148" t="s">
        <v>59</v>
      </c>
      <c r="E941" s="148" t="s">
        <v>30</v>
      </c>
      <c r="F941" s="149">
        <v>2024</v>
      </c>
      <c r="G941" s="148" t="s">
        <v>35</v>
      </c>
      <c r="H941" s="149">
        <v>582</v>
      </c>
      <c r="I941" s="149" t="s">
        <v>44</v>
      </c>
      <c r="J941" s="149" t="s">
        <v>61</v>
      </c>
      <c r="K941" s="149" t="s">
        <v>61</v>
      </c>
      <c r="L941" s="152"/>
      <c r="M941" s="152">
        <f t="shared" si="14"/>
        <v>0</v>
      </c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</row>
    <row r="942" spans="1:27">
      <c r="A942" s="147">
        <v>2213</v>
      </c>
      <c r="B942" s="147" t="s">
        <v>60</v>
      </c>
      <c r="C942" s="147" t="s">
        <v>58</v>
      </c>
      <c r="D942" s="148" t="s">
        <v>59</v>
      </c>
      <c r="E942" s="148" t="s">
        <v>30</v>
      </c>
      <c r="F942" s="149">
        <v>2024</v>
      </c>
      <c r="G942" s="148" t="s">
        <v>36</v>
      </c>
      <c r="H942" s="149">
        <v>634</v>
      </c>
      <c r="I942" s="149" t="s">
        <v>44</v>
      </c>
      <c r="J942" s="149" t="s">
        <v>61</v>
      </c>
      <c r="K942" s="149" t="s">
        <v>61</v>
      </c>
      <c r="L942" s="152"/>
      <c r="M942" s="152">
        <f t="shared" si="14"/>
        <v>0</v>
      </c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</row>
    <row r="943" spans="1:27">
      <c r="A943" s="147">
        <v>2214</v>
      </c>
      <c r="B943" s="147" t="s">
        <v>60</v>
      </c>
      <c r="C943" s="147" t="s">
        <v>58</v>
      </c>
      <c r="D943" s="148" t="s">
        <v>59</v>
      </c>
      <c r="E943" s="148" t="s">
        <v>30</v>
      </c>
      <c r="F943" s="149">
        <v>2024</v>
      </c>
      <c r="G943" s="148" t="s">
        <v>37</v>
      </c>
      <c r="H943" s="149">
        <v>639</v>
      </c>
      <c r="I943" s="149" t="s">
        <v>44</v>
      </c>
      <c r="J943" s="149" t="s">
        <v>61</v>
      </c>
      <c r="K943" s="149" t="s">
        <v>61</v>
      </c>
      <c r="L943" s="152"/>
      <c r="M943" s="152">
        <f t="shared" si="14"/>
        <v>0</v>
      </c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</row>
    <row r="944" spans="1:27">
      <c r="A944" s="147">
        <v>2215</v>
      </c>
      <c r="B944" s="147" t="s">
        <v>60</v>
      </c>
      <c r="C944" s="147" t="s">
        <v>58</v>
      </c>
      <c r="D944" s="148" t="s">
        <v>59</v>
      </c>
      <c r="E944" s="148" t="s">
        <v>30</v>
      </c>
      <c r="F944" s="149">
        <v>2024</v>
      </c>
      <c r="G944" s="148" t="s">
        <v>38</v>
      </c>
      <c r="H944" s="149">
        <v>840</v>
      </c>
      <c r="I944" s="149" t="s">
        <v>44</v>
      </c>
      <c r="J944" s="149" t="s">
        <v>61</v>
      </c>
      <c r="K944" s="149" t="s">
        <v>61</v>
      </c>
      <c r="L944" s="152"/>
      <c r="M944" s="152">
        <f t="shared" si="14"/>
        <v>0</v>
      </c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</row>
    <row r="945" spans="1:27">
      <c r="A945" s="147">
        <v>2216</v>
      </c>
      <c r="B945" s="147" t="s">
        <v>60</v>
      </c>
      <c r="C945" s="147" t="s">
        <v>58</v>
      </c>
      <c r="D945" s="148" t="s">
        <v>59</v>
      </c>
      <c r="E945" s="148" t="s">
        <v>30</v>
      </c>
      <c r="F945" s="149">
        <v>2024</v>
      </c>
      <c r="G945" s="148" t="s">
        <v>39</v>
      </c>
      <c r="H945" s="149">
        <v>925</v>
      </c>
      <c r="I945" s="148" t="s">
        <v>44</v>
      </c>
      <c r="J945" s="148" t="s">
        <v>61</v>
      </c>
      <c r="K945" s="148" t="s">
        <v>61</v>
      </c>
      <c r="L945" s="152"/>
      <c r="M945" s="152">
        <f t="shared" si="14"/>
        <v>0</v>
      </c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</row>
    <row r="946" spans="1:27">
      <c r="A946" s="147">
        <v>2217</v>
      </c>
      <c r="B946" s="147" t="s">
        <v>60</v>
      </c>
      <c r="C946" s="147" t="s">
        <v>58</v>
      </c>
      <c r="D946" s="148" t="s">
        <v>59</v>
      </c>
      <c r="E946" s="148" t="s">
        <v>30</v>
      </c>
      <c r="F946" s="149">
        <v>2024</v>
      </c>
      <c r="G946" s="148" t="s">
        <v>40</v>
      </c>
      <c r="H946" s="149">
        <v>783</v>
      </c>
      <c r="I946" s="150">
        <v>422573</v>
      </c>
      <c r="J946" s="148" t="s">
        <v>61</v>
      </c>
      <c r="K946" s="148" t="s">
        <v>61</v>
      </c>
      <c r="L946" s="152"/>
      <c r="M946" s="152">
        <f t="shared" si="14"/>
        <v>0</v>
      </c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</row>
    <row r="947" spans="1:27">
      <c r="A947" s="147">
        <v>2218</v>
      </c>
      <c r="B947" s="147" t="s">
        <v>60</v>
      </c>
      <c r="C947" s="147" t="s">
        <v>58</v>
      </c>
      <c r="D947" s="148" t="s">
        <v>59</v>
      </c>
      <c r="E947" s="148" t="s">
        <v>30</v>
      </c>
      <c r="F947" s="149">
        <v>2024</v>
      </c>
      <c r="G947" s="148" t="s">
        <v>41</v>
      </c>
      <c r="H947" s="149">
        <v>931</v>
      </c>
      <c r="I947" s="150">
        <v>426442</v>
      </c>
      <c r="J947" s="150">
        <v>3869</v>
      </c>
      <c r="K947" s="148" t="s">
        <v>61</v>
      </c>
      <c r="L947" s="152"/>
      <c r="M947" s="152">
        <f t="shared" si="14"/>
        <v>0</v>
      </c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</row>
    <row r="948" spans="1:27">
      <c r="A948" s="147">
        <v>2219</v>
      </c>
      <c r="B948" s="147" t="s">
        <v>60</v>
      </c>
      <c r="C948" s="147" t="s">
        <v>58</v>
      </c>
      <c r="D948" s="148" t="s">
        <v>59</v>
      </c>
      <c r="E948" s="148" t="s">
        <v>30</v>
      </c>
      <c r="F948" s="149">
        <v>2024</v>
      </c>
      <c r="G948" s="148" t="s">
        <v>42</v>
      </c>
      <c r="H948" s="149">
        <v>754</v>
      </c>
      <c r="I948" s="150">
        <v>430982</v>
      </c>
      <c r="J948" s="150">
        <v>4540</v>
      </c>
      <c r="K948" s="148" t="s">
        <v>61</v>
      </c>
      <c r="L948" s="152"/>
      <c r="M948" s="152">
        <f t="shared" si="14"/>
        <v>0</v>
      </c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</row>
    <row r="949" spans="1:27">
      <c r="A949" s="147">
        <v>2220</v>
      </c>
      <c r="B949" s="147" t="s">
        <v>60</v>
      </c>
      <c r="C949" s="147" t="s">
        <v>58</v>
      </c>
      <c r="D949" s="148" t="s">
        <v>59</v>
      </c>
      <c r="E949" s="148" t="s">
        <v>30</v>
      </c>
      <c r="F949" s="149">
        <v>2024</v>
      </c>
      <c r="G949" s="148" t="s">
        <v>43</v>
      </c>
      <c r="H949" s="149">
        <v>560</v>
      </c>
      <c r="I949" s="150">
        <v>435100</v>
      </c>
      <c r="J949" s="150">
        <v>4118</v>
      </c>
      <c r="K949" s="150">
        <v>888362</v>
      </c>
      <c r="L949" s="152"/>
      <c r="M949" s="152">
        <f t="shared" si="14"/>
        <v>0</v>
      </c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</row>
    <row r="950" spans="1:27">
      <c r="A950" s="147">
        <v>2221</v>
      </c>
      <c r="B950" s="147" t="s">
        <v>60</v>
      </c>
      <c r="C950" s="147" t="s">
        <v>58</v>
      </c>
      <c r="D950" s="148" t="s">
        <v>59</v>
      </c>
      <c r="E950" s="148" t="s">
        <v>30</v>
      </c>
      <c r="F950" s="149">
        <v>2025</v>
      </c>
      <c r="G950" s="148" t="s">
        <v>31</v>
      </c>
      <c r="H950" s="149">
        <v>579</v>
      </c>
      <c r="I950" s="150">
        <v>446434</v>
      </c>
      <c r="J950" s="150">
        <v>11334</v>
      </c>
      <c r="K950" s="150">
        <v>18776654</v>
      </c>
      <c r="L950" s="152"/>
      <c r="M950" s="152">
        <f t="shared" si="14"/>
        <v>0</v>
      </c>
      <c r="N950" s="148"/>
      <c r="O950" s="150">
        <v>5537335</v>
      </c>
      <c r="P950" s="148" t="s">
        <v>48</v>
      </c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</row>
    <row r="951" spans="1:27">
      <c r="A951" s="147">
        <v>2222</v>
      </c>
      <c r="B951" s="147" t="s">
        <v>60</v>
      </c>
      <c r="C951" s="147" t="s">
        <v>58</v>
      </c>
      <c r="D951" s="148" t="s">
        <v>59</v>
      </c>
      <c r="E951" s="148" t="s">
        <v>30</v>
      </c>
      <c r="F951" s="149">
        <v>2025</v>
      </c>
      <c r="G951" s="148" t="s">
        <v>33</v>
      </c>
      <c r="H951" s="149">
        <v>572</v>
      </c>
      <c r="I951" s="150">
        <v>451015</v>
      </c>
      <c r="J951" s="150">
        <v>4581</v>
      </c>
      <c r="K951" s="150">
        <v>9510301</v>
      </c>
      <c r="L951" s="152"/>
      <c r="M951" s="152">
        <f t="shared" si="14"/>
        <v>0</v>
      </c>
      <c r="N951" s="148"/>
      <c r="O951" s="150">
        <v>1781977</v>
      </c>
      <c r="P951" s="148" t="s">
        <v>48</v>
      </c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</row>
    <row r="952" spans="1:27">
      <c r="A952" s="147">
        <v>2223</v>
      </c>
      <c r="B952" s="147" t="s">
        <v>60</v>
      </c>
      <c r="C952" s="147" t="s">
        <v>58</v>
      </c>
      <c r="D952" s="148" t="s">
        <v>59</v>
      </c>
      <c r="E952" s="148" t="s">
        <v>30</v>
      </c>
      <c r="F952" s="149">
        <v>2025</v>
      </c>
      <c r="G952" s="148" t="s">
        <v>34</v>
      </c>
      <c r="H952" s="149">
        <v>534</v>
      </c>
      <c r="I952" s="150">
        <v>454658</v>
      </c>
      <c r="J952" s="150">
        <v>3643</v>
      </c>
      <c r="K952" s="150">
        <v>7795579</v>
      </c>
      <c r="L952" s="152"/>
      <c r="M952" s="152">
        <f t="shared" si="14"/>
        <v>0</v>
      </c>
      <c r="N952" s="148"/>
      <c r="O952" s="150">
        <v>1176321</v>
      </c>
      <c r="P952" s="148" t="s">
        <v>48</v>
      </c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</row>
    <row r="953" spans="1:27">
      <c r="A953" s="147">
        <v>2224</v>
      </c>
      <c r="B953" s="147" t="s">
        <v>60</v>
      </c>
      <c r="C953" s="147" t="s">
        <v>58</v>
      </c>
      <c r="D953" s="148" t="s">
        <v>59</v>
      </c>
      <c r="E953" s="148" t="s">
        <v>30</v>
      </c>
      <c r="F953" s="149">
        <v>2025</v>
      </c>
      <c r="G953" s="148" t="s">
        <v>35</v>
      </c>
      <c r="H953" s="149">
        <v>378</v>
      </c>
      <c r="I953" s="150">
        <v>458320</v>
      </c>
      <c r="J953" s="150">
        <v>3662</v>
      </c>
      <c r="K953" s="150">
        <v>7688758</v>
      </c>
      <c r="L953" s="152"/>
      <c r="M953" s="152">
        <f t="shared" si="14"/>
        <v>0</v>
      </c>
      <c r="N953" s="148"/>
      <c r="O953" s="150">
        <v>1177567</v>
      </c>
      <c r="P953" s="148" t="s">
        <v>48</v>
      </c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</row>
    <row r="954" spans="1:27">
      <c r="A954" s="147">
        <v>2225</v>
      </c>
      <c r="B954" s="147" t="s">
        <v>60</v>
      </c>
      <c r="C954" s="147" t="s">
        <v>58</v>
      </c>
      <c r="D954" s="148" t="s">
        <v>59</v>
      </c>
      <c r="E954" s="148" t="s">
        <v>30</v>
      </c>
      <c r="F954" s="149">
        <v>2025</v>
      </c>
      <c r="G954" s="148" t="s">
        <v>36</v>
      </c>
      <c r="H954" s="149">
        <v>559</v>
      </c>
      <c r="I954" s="150">
        <v>464305</v>
      </c>
      <c r="J954" s="150">
        <v>5985</v>
      </c>
      <c r="K954" s="150">
        <v>14531877</v>
      </c>
      <c r="L954" s="152"/>
      <c r="M954" s="152">
        <f t="shared" si="14"/>
        <v>0</v>
      </c>
      <c r="N954" s="148"/>
      <c r="O954" s="150">
        <v>3791891</v>
      </c>
      <c r="P954" s="148" t="s">
        <v>48</v>
      </c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</row>
    <row r="955" spans="1:27">
      <c r="A955" s="147">
        <v>2226</v>
      </c>
      <c r="B955" s="147" t="s">
        <v>60</v>
      </c>
      <c r="C955" s="147" t="s">
        <v>58</v>
      </c>
      <c r="D955" s="148" t="s">
        <v>59</v>
      </c>
      <c r="E955" s="148" t="s">
        <v>30</v>
      </c>
      <c r="F955" s="149">
        <v>2025</v>
      </c>
      <c r="G955" s="148" t="s">
        <v>37</v>
      </c>
      <c r="H955" s="149">
        <v>895</v>
      </c>
      <c r="I955" s="150">
        <v>476478</v>
      </c>
      <c r="J955" s="150">
        <v>12173</v>
      </c>
      <c r="K955" s="150">
        <v>34534670</v>
      </c>
      <c r="L955" s="152"/>
      <c r="M955" s="152">
        <f t="shared" si="14"/>
        <v>0</v>
      </c>
      <c r="N955" s="148"/>
      <c r="O955" s="150">
        <v>5431537</v>
      </c>
      <c r="P955" s="148" t="s">
        <v>48</v>
      </c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</row>
    <row r="956" spans="1:27">
      <c r="A956" s="147">
        <v>2227</v>
      </c>
      <c r="B956" s="147" t="s">
        <v>60</v>
      </c>
      <c r="C956" s="147" t="s">
        <v>58</v>
      </c>
      <c r="D956" s="148" t="s">
        <v>59</v>
      </c>
      <c r="E956" s="148" t="s">
        <v>30</v>
      </c>
      <c r="F956" s="149">
        <v>2025</v>
      </c>
      <c r="G956" s="148" t="s">
        <v>38</v>
      </c>
      <c r="H956" s="149">
        <v>670</v>
      </c>
      <c r="I956" s="150">
        <v>480493</v>
      </c>
      <c r="J956" s="150">
        <v>7940</v>
      </c>
      <c r="K956" s="150">
        <v>24382404</v>
      </c>
      <c r="L956" s="152"/>
      <c r="M956" s="152">
        <f t="shared" si="14"/>
        <v>0</v>
      </c>
      <c r="N956" s="148"/>
      <c r="O956" s="150">
        <v>4623278</v>
      </c>
      <c r="P956" s="150">
        <v>497545</v>
      </c>
      <c r="Q956" s="154">
        <v>0.696</v>
      </c>
      <c r="R956" s="154">
        <v>0.304</v>
      </c>
      <c r="S956" s="148"/>
      <c r="T956" s="148" t="s">
        <v>44</v>
      </c>
      <c r="U956" s="154">
        <v>0.077</v>
      </c>
      <c r="V956" s="154">
        <v>0.34</v>
      </c>
      <c r="W956" s="154">
        <v>0.342</v>
      </c>
      <c r="X956" s="154">
        <v>0.161</v>
      </c>
      <c r="Y956" s="154">
        <v>0.053</v>
      </c>
      <c r="Z956" s="154">
        <v>0.027</v>
      </c>
      <c r="AA956" s="148" t="s">
        <v>45</v>
      </c>
    </row>
    <row r="957" spans="1:27">
      <c r="A957" s="147">
        <v>2228</v>
      </c>
      <c r="B957" s="147" t="s">
        <v>60</v>
      </c>
      <c r="C957" s="147" t="s">
        <v>58</v>
      </c>
      <c r="D957" s="148" t="s">
        <v>59</v>
      </c>
      <c r="E957" s="148" t="s">
        <v>30</v>
      </c>
      <c r="F957" s="149">
        <v>2025</v>
      </c>
      <c r="G957" s="148" t="s">
        <v>39</v>
      </c>
      <c r="H957" s="149">
        <v>685</v>
      </c>
      <c r="I957" s="150">
        <v>489225</v>
      </c>
      <c r="J957" s="150">
        <v>9965</v>
      </c>
      <c r="K957" s="150">
        <v>34197892</v>
      </c>
      <c r="L957" s="152"/>
      <c r="M957" s="152">
        <f t="shared" si="14"/>
        <v>0</v>
      </c>
      <c r="N957" s="148"/>
      <c r="O957" s="150">
        <v>5542382</v>
      </c>
      <c r="P957" s="150">
        <v>550297</v>
      </c>
      <c r="Q957" s="154">
        <v>0.697</v>
      </c>
      <c r="R957" s="154">
        <v>0.303</v>
      </c>
      <c r="S957" s="148"/>
      <c r="T957" s="148" t="s">
        <v>44</v>
      </c>
      <c r="U957" s="154">
        <v>0.074</v>
      </c>
      <c r="V957" s="154">
        <v>0.339</v>
      </c>
      <c r="W957" s="154">
        <v>0.343</v>
      </c>
      <c r="X957" s="154">
        <v>0.163</v>
      </c>
      <c r="Y957" s="154">
        <v>0.054</v>
      </c>
      <c r="Z957" s="154">
        <v>0.027</v>
      </c>
      <c r="AA957" s="148" t="s">
        <v>45</v>
      </c>
    </row>
    <row r="958" spans="1:27">
      <c r="A958" s="147">
        <v>2229</v>
      </c>
      <c r="B958" s="147" t="s">
        <v>60</v>
      </c>
      <c r="C958" s="147" t="s">
        <v>58</v>
      </c>
      <c r="D958" s="148" t="s">
        <v>59</v>
      </c>
      <c r="E958" s="148" t="s">
        <v>30</v>
      </c>
      <c r="F958" s="149">
        <v>2025</v>
      </c>
      <c r="G958" s="148" t="s">
        <v>40</v>
      </c>
      <c r="H958" s="149">
        <v>671</v>
      </c>
      <c r="I958" s="150">
        <v>500646</v>
      </c>
      <c r="J958" s="150">
        <v>14612</v>
      </c>
      <c r="K958" s="150">
        <v>41272199</v>
      </c>
      <c r="L958" s="152"/>
      <c r="M958" s="152">
        <f t="shared" si="14"/>
        <v>0</v>
      </c>
      <c r="N958" s="148"/>
      <c r="O958" s="150">
        <v>5502909</v>
      </c>
      <c r="P958" s="150">
        <v>605585</v>
      </c>
      <c r="Q958" s="154">
        <v>0.699</v>
      </c>
      <c r="R958" s="154">
        <v>0.301</v>
      </c>
      <c r="S958" s="148"/>
      <c r="T958" s="148" t="s">
        <v>44</v>
      </c>
      <c r="U958" s="154">
        <v>0.072</v>
      </c>
      <c r="V958" s="154">
        <v>0.335</v>
      </c>
      <c r="W958" s="154">
        <v>0.344</v>
      </c>
      <c r="X958" s="154">
        <v>0.167</v>
      </c>
      <c r="Y958" s="154">
        <v>0.055</v>
      </c>
      <c r="Z958" s="154">
        <v>0.027</v>
      </c>
      <c r="AA958" s="148" t="s">
        <v>45</v>
      </c>
    </row>
    <row r="959" spans="1:27">
      <c r="A959" s="147">
        <v>2230</v>
      </c>
      <c r="B959" s="147" t="s">
        <v>60</v>
      </c>
      <c r="C959" s="147" t="s">
        <v>58</v>
      </c>
      <c r="D959" s="148" t="s">
        <v>59</v>
      </c>
      <c r="E959" s="148" t="s">
        <v>30</v>
      </c>
      <c r="F959" s="149">
        <v>2025</v>
      </c>
      <c r="G959" s="148" t="s">
        <v>41</v>
      </c>
      <c r="H959" s="149">
        <v>796</v>
      </c>
      <c r="I959" s="150">
        <v>509487</v>
      </c>
      <c r="J959" s="150">
        <v>11866</v>
      </c>
      <c r="K959" s="150">
        <v>39597017</v>
      </c>
      <c r="L959" s="152"/>
      <c r="M959" s="152">
        <f t="shared" si="14"/>
        <v>0</v>
      </c>
      <c r="N959" s="148"/>
      <c r="O959" s="150">
        <v>7409984</v>
      </c>
      <c r="P959" s="150">
        <v>670848</v>
      </c>
      <c r="Q959" s="154">
        <v>0.698</v>
      </c>
      <c r="R959" s="154">
        <v>0.302</v>
      </c>
      <c r="S959" s="148"/>
      <c r="T959" s="148" t="s">
        <v>44</v>
      </c>
      <c r="U959" s="154">
        <v>0.069</v>
      </c>
      <c r="V959" s="154">
        <v>0.333</v>
      </c>
      <c r="W959" s="154">
        <v>0.345</v>
      </c>
      <c r="X959" s="154">
        <v>0.17</v>
      </c>
      <c r="Y959" s="154">
        <v>0.056</v>
      </c>
      <c r="Z959" s="154">
        <v>0.027</v>
      </c>
      <c r="AA959" s="148" t="s">
        <v>45</v>
      </c>
    </row>
    <row r="960" spans="1:27">
      <c r="A960" s="147">
        <v>2231</v>
      </c>
      <c r="B960" s="147" t="s">
        <v>60</v>
      </c>
      <c r="C960" s="147" t="s">
        <v>58</v>
      </c>
      <c r="D960" s="148" t="s">
        <v>59</v>
      </c>
      <c r="E960" s="148" t="s">
        <v>30</v>
      </c>
      <c r="F960" s="149">
        <v>2025</v>
      </c>
      <c r="G960" s="148" t="s">
        <v>42</v>
      </c>
      <c r="H960" s="149">
        <v>860</v>
      </c>
      <c r="I960" s="150">
        <v>515942</v>
      </c>
      <c r="J960" s="150">
        <v>9138</v>
      </c>
      <c r="K960" s="150">
        <v>28451483</v>
      </c>
      <c r="L960" s="152"/>
      <c r="M960" s="152">
        <f t="shared" si="14"/>
        <v>0</v>
      </c>
      <c r="N960" s="148"/>
      <c r="O960" s="150">
        <v>4790241</v>
      </c>
      <c r="P960" s="150">
        <v>555749</v>
      </c>
      <c r="Q960" s="154">
        <v>0.698</v>
      </c>
      <c r="R960" s="154">
        <v>0.302</v>
      </c>
      <c r="S960" s="148"/>
      <c r="T960" s="148"/>
      <c r="U960" s="154">
        <v>0.067</v>
      </c>
      <c r="V960" s="154">
        <v>0.33</v>
      </c>
      <c r="W960" s="154">
        <v>0.346</v>
      </c>
      <c r="X960" s="154">
        <v>0.172</v>
      </c>
      <c r="Y960" s="154">
        <v>0.057</v>
      </c>
      <c r="Z960" s="154">
        <v>0.028</v>
      </c>
      <c r="AA960" s="148" t="s">
        <v>45</v>
      </c>
    </row>
    <row r="961" spans="1:27">
      <c r="A961" s="147">
        <v>2232</v>
      </c>
      <c r="B961" s="147" t="s">
        <v>60</v>
      </c>
      <c r="C961" s="147" t="s">
        <v>58</v>
      </c>
      <c r="D961" s="148" t="s">
        <v>59</v>
      </c>
      <c r="E961" s="148" t="s">
        <v>30</v>
      </c>
      <c r="F961" s="149">
        <v>2025</v>
      </c>
      <c r="G961" s="148" t="s">
        <v>43</v>
      </c>
      <c r="H961" s="150">
        <v>1147</v>
      </c>
      <c r="I961" s="150">
        <v>527001</v>
      </c>
      <c r="J961" s="150">
        <v>14795</v>
      </c>
      <c r="K961" s="150">
        <v>37713762</v>
      </c>
      <c r="L961" s="152"/>
      <c r="M961" s="152">
        <f t="shared" si="14"/>
        <v>0</v>
      </c>
      <c r="N961" s="148"/>
      <c r="O961" s="150">
        <v>8232895</v>
      </c>
      <c r="P961" s="150">
        <v>1287201</v>
      </c>
      <c r="Q961" s="154">
        <v>0.695</v>
      </c>
      <c r="R961" s="154">
        <v>0.305</v>
      </c>
      <c r="S961" s="148"/>
      <c r="T961" s="148"/>
      <c r="U961" s="154">
        <v>0.063</v>
      </c>
      <c r="V961" s="154">
        <v>0.329</v>
      </c>
      <c r="W961" s="154">
        <v>0.346</v>
      </c>
      <c r="X961" s="154">
        <v>0.174</v>
      </c>
      <c r="Y961" s="154">
        <v>0.059</v>
      </c>
      <c r="Z961" s="154">
        <v>0.028</v>
      </c>
      <c r="AA961" s="148" t="s">
        <v>45</v>
      </c>
    </row>
    <row r="962" spans="1:27">
      <c r="A962" s="147">
        <v>2233</v>
      </c>
      <c r="B962" s="147" t="s">
        <v>60</v>
      </c>
      <c r="C962" s="147" t="s">
        <v>58</v>
      </c>
      <c r="D962" s="148" t="s">
        <v>59</v>
      </c>
      <c r="E962" s="148" t="s">
        <v>30</v>
      </c>
      <c r="F962" s="149">
        <v>2026</v>
      </c>
      <c r="G962" s="148" t="s">
        <v>31</v>
      </c>
      <c r="H962" s="150">
        <v>1430</v>
      </c>
      <c r="I962" s="150">
        <v>543989</v>
      </c>
      <c r="J962" s="150">
        <v>18684</v>
      </c>
      <c r="K962" s="150">
        <v>47382723</v>
      </c>
      <c r="L962" s="152"/>
      <c r="M962" s="152">
        <f t="shared" ref="M962:M1025" si="15">L962*17000</f>
        <v>0</v>
      </c>
      <c r="N962" s="148"/>
      <c r="O962" s="150">
        <v>7889687</v>
      </c>
      <c r="P962" s="150">
        <v>1394834</v>
      </c>
      <c r="Q962" s="154">
        <v>0.695</v>
      </c>
      <c r="R962" s="154">
        <v>0.305</v>
      </c>
      <c r="S962" s="148"/>
      <c r="T962" s="148"/>
      <c r="U962" s="154">
        <v>0.063</v>
      </c>
      <c r="V962" s="154">
        <v>0.327</v>
      </c>
      <c r="W962" s="154">
        <v>0.348</v>
      </c>
      <c r="X962" s="154">
        <v>0.175</v>
      </c>
      <c r="Y962" s="154">
        <v>0.059</v>
      </c>
      <c r="Z962" s="154">
        <v>0.028</v>
      </c>
      <c r="AA962" s="148" t="s">
        <v>45</v>
      </c>
    </row>
    <row r="963" spans="1:27">
      <c r="A963" s="147">
        <v>2234</v>
      </c>
      <c r="B963" s="147" t="s">
        <v>60</v>
      </c>
      <c r="C963" s="147" t="s">
        <v>58</v>
      </c>
      <c r="D963" s="148" t="s">
        <v>59</v>
      </c>
      <c r="E963" s="148" t="s">
        <v>30</v>
      </c>
      <c r="F963" s="149">
        <v>2026</v>
      </c>
      <c r="G963" s="148" t="s">
        <v>33</v>
      </c>
      <c r="H963" s="150">
        <v>1389</v>
      </c>
      <c r="I963" s="150">
        <v>555457</v>
      </c>
      <c r="J963" s="150">
        <v>14491</v>
      </c>
      <c r="K963" s="150">
        <v>49113145</v>
      </c>
      <c r="L963" s="152"/>
      <c r="M963" s="152">
        <f t="shared" si="15"/>
        <v>0</v>
      </c>
      <c r="N963" s="148"/>
      <c r="O963" s="150">
        <v>7838903</v>
      </c>
      <c r="P963" s="150">
        <v>2213769</v>
      </c>
      <c r="Q963" s="154">
        <v>0.694</v>
      </c>
      <c r="R963" s="154">
        <v>0.306</v>
      </c>
      <c r="S963" s="148"/>
      <c r="T963" s="148"/>
      <c r="U963" s="154">
        <v>0.063</v>
      </c>
      <c r="V963" s="154">
        <v>0.325</v>
      </c>
      <c r="W963" s="154">
        <v>0.348</v>
      </c>
      <c r="X963" s="154">
        <v>0.177</v>
      </c>
      <c r="Y963" s="154">
        <v>0.059</v>
      </c>
      <c r="Z963" s="154">
        <v>0.028</v>
      </c>
      <c r="AA963" s="148" t="s">
        <v>45</v>
      </c>
    </row>
    <row r="964" spans="1:27">
      <c r="A964" s="147">
        <v>2235</v>
      </c>
      <c r="B964" s="147" t="s">
        <v>60</v>
      </c>
      <c r="C964" s="147" t="s">
        <v>58</v>
      </c>
      <c r="D964" s="148" t="s">
        <v>59</v>
      </c>
      <c r="E964" s="148" t="s">
        <v>30</v>
      </c>
      <c r="F964" s="149">
        <v>2026</v>
      </c>
      <c r="G964" s="148" t="s">
        <v>34</v>
      </c>
      <c r="H964" s="150">
        <v>1550</v>
      </c>
      <c r="I964" s="150">
        <v>568332</v>
      </c>
      <c r="J964" s="150">
        <v>15883</v>
      </c>
      <c r="K964" s="150">
        <v>71681000</v>
      </c>
      <c r="L964" s="152"/>
      <c r="M964" s="152">
        <f t="shared" si="15"/>
        <v>0</v>
      </c>
      <c r="N964" s="148"/>
      <c r="O964" s="150">
        <v>7609668</v>
      </c>
      <c r="P964" s="150">
        <v>2009968</v>
      </c>
      <c r="Q964" s="154">
        <v>0.696</v>
      </c>
      <c r="R964" s="154">
        <v>0.304</v>
      </c>
      <c r="S964" s="148"/>
      <c r="T964" s="148"/>
      <c r="U964" s="154">
        <v>0.061</v>
      </c>
      <c r="V964" s="154">
        <v>0.322</v>
      </c>
      <c r="W964" s="154">
        <v>0.35</v>
      </c>
      <c r="X964" s="154">
        <v>0.179</v>
      </c>
      <c r="Y964" s="154">
        <v>0.06</v>
      </c>
      <c r="Z964" s="154">
        <v>0.028</v>
      </c>
      <c r="AA964" s="148" t="s">
        <v>45</v>
      </c>
    </row>
    <row r="965" spans="1:27">
      <c r="A965" s="147">
        <v>2236</v>
      </c>
      <c r="B965" s="147" t="s">
        <v>60</v>
      </c>
      <c r="C965" s="147" t="s">
        <v>58</v>
      </c>
      <c r="D965" s="148" t="s">
        <v>59</v>
      </c>
      <c r="E965" s="148" t="s">
        <v>30</v>
      </c>
      <c r="F965" s="149">
        <v>2026</v>
      </c>
      <c r="G965" s="148" t="s">
        <v>35</v>
      </c>
      <c r="H965" s="150">
        <v>1633</v>
      </c>
      <c r="I965" s="150">
        <v>575190</v>
      </c>
      <c r="J965" s="150">
        <v>10574</v>
      </c>
      <c r="K965" s="150">
        <v>51458766</v>
      </c>
      <c r="L965" s="152"/>
      <c r="M965" s="152">
        <f t="shared" si="15"/>
        <v>0</v>
      </c>
      <c r="N965" s="148"/>
      <c r="O965" s="150">
        <v>6288469</v>
      </c>
      <c r="P965" s="150">
        <v>1418428</v>
      </c>
      <c r="Q965" s="154">
        <v>0.697</v>
      </c>
      <c r="R965" s="154">
        <v>0.303</v>
      </c>
      <c r="S965" s="148"/>
      <c r="T965" s="148"/>
      <c r="U965" s="154">
        <v>0.061</v>
      </c>
      <c r="V965" s="154">
        <v>0.319</v>
      </c>
      <c r="W965" s="154">
        <v>0.351</v>
      </c>
      <c r="X965" s="154">
        <v>0.18</v>
      </c>
      <c r="Y965" s="154">
        <v>0.061</v>
      </c>
      <c r="Z965" s="154">
        <v>0.028</v>
      </c>
      <c r="AA965" s="148" t="s">
        <v>45</v>
      </c>
    </row>
    <row r="966" spans="1:27">
      <c r="A966" s="147">
        <v>2237</v>
      </c>
      <c r="B966" s="147" t="s">
        <v>60</v>
      </c>
      <c r="C966" s="147" t="s">
        <v>58</v>
      </c>
      <c r="D966" s="148" t="s">
        <v>59</v>
      </c>
      <c r="E966" s="148" t="s">
        <v>30</v>
      </c>
      <c r="F966" s="149">
        <v>2026</v>
      </c>
      <c r="G966" s="148" t="s">
        <v>36</v>
      </c>
      <c r="H966" s="150">
        <v>1520</v>
      </c>
      <c r="I966" s="150">
        <v>575992</v>
      </c>
      <c r="J966" s="150">
        <v>10529</v>
      </c>
      <c r="K966" s="150">
        <v>38898710</v>
      </c>
      <c r="L966" s="152"/>
      <c r="M966" s="152">
        <f t="shared" si="15"/>
        <v>0</v>
      </c>
      <c r="N966" s="148"/>
      <c r="O966" s="150">
        <v>5656237</v>
      </c>
      <c r="P966" s="150">
        <v>1194302</v>
      </c>
      <c r="Q966" s="154">
        <v>0.697</v>
      </c>
      <c r="R966" s="154">
        <v>0.303</v>
      </c>
      <c r="S966" s="148"/>
      <c r="T966" s="148"/>
      <c r="U966" s="154">
        <v>0.059</v>
      </c>
      <c r="V966" s="154">
        <v>0.318</v>
      </c>
      <c r="W966" s="154">
        <v>0.351</v>
      </c>
      <c r="X966" s="154">
        <v>0.182</v>
      </c>
      <c r="Y966" s="154">
        <v>0.062</v>
      </c>
      <c r="Z966" s="154">
        <v>0.028</v>
      </c>
      <c r="AA966" s="148" t="s">
        <v>45</v>
      </c>
    </row>
    <row r="967" spans="1:27">
      <c r="A967" s="147">
        <v>2238</v>
      </c>
      <c r="B967" s="147" t="s">
        <v>60</v>
      </c>
      <c r="C967" s="147" t="s">
        <v>58</v>
      </c>
      <c r="D967" s="148" t="s">
        <v>59</v>
      </c>
      <c r="E967" s="148" t="s">
        <v>30</v>
      </c>
      <c r="F967" s="149">
        <v>2026</v>
      </c>
      <c r="G967" s="148" t="s">
        <v>37</v>
      </c>
      <c r="H967" s="150">
        <v>1303</v>
      </c>
      <c r="I967" s="150">
        <v>584298</v>
      </c>
      <c r="J967" s="150">
        <v>12157</v>
      </c>
      <c r="K967" s="150">
        <v>47983815</v>
      </c>
      <c r="L967" s="152"/>
      <c r="M967" s="152">
        <f t="shared" si="15"/>
        <v>0</v>
      </c>
      <c r="N967" s="148"/>
      <c r="O967" s="150">
        <v>10872728</v>
      </c>
      <c r="P967" s="150">
        <v>1344730</v>
      </c>
      <c r="Q967" s="154">
        <v>0.698</v>
      </c>
      <c r="R967" s="154">
        <v>0.302</v>
      </c>
      <c r="S967" s="148"/>
      <c r="T967" s="148"/>
      <c r="U967" s="154">
        <v>0.059</v>
      </c>
      <c r="V967" s="154">
        <v>0.315</v>
      </c>
      <c r="W967" s="154">
        <v>0.349</v>
      </c>
      <c r="X967" s="154">
        <v>0.185</v>
      </c>
      <c r="Y967" s="154">
        <v>0.063</v>
      </c>
      <c r="Z967" s="154">
        <v>0.029</v>
      </c>
      <c r="AA967" s="148" t="s">
        <v>45</v>
      </c>
    </row>
    <row r="968" spans="1:27">
      <c r="A968" s="147">
        <v>2239</v>
      </c>
      <c r="B968" s="147" t="s">
        <v>60</v>
      </c>
      <c r="C968" s="147" t="s">
        <v>58</v>
      </c>
      <c r="D968" s="148" t="s">
        <v>59</v>
      </c>
      <c r="E968" s="148" t="s">
        <v>30</v>
      </c>
      <c r="F968" s="149">
        <v>2026</v>
      </c>
      <c r="G968" s="148" t="s">
        <v>38</v>
      </c>
      <c r="H968" s="150">
        <v>1477</v>
      </c>
      <c r="I968" s="150">
        <v>594262</v>
      </c>
      <c r="J968" s="150">
        <v>13464</v>
      </c>
      <c r="K968" s="150">
        <v>45732353</v>
      </c>
      <c r="L968" s="152"/>
      <c r="M968" s="152">
        <f t="shared" si="15"/>
        <v>0</v>
      </c>
      <c r="N968" s="148"/>
      <c r="O968" s="150">
        <v>8489968</v>
      </c>
      <c r="P968" s="150">
        <v>1655652</v>
      </c>
      <c r="Q968" s="154">
        <v>0.696</v>
      </c>
      <c r="R968" s="154">
        <v>0.304</v>
      </c>
      <c r="S968" s="148"/>
      <c r="T968" s="148"/>
      <c r="U968" s="154">
        <v>0.058</v>
      </c>
      <c r="V968" s="154">
        <v>0.313</v>
      </c>
      <c r="W968" s="154">
        <v>0.35</v>
      </c>
      <c r="X968" s="154">
        <v>0.186</v>
      </c>
      <c r="Y968" s="154">
        <v>0.064</v>
      </c>
      <c r="Z968" s="154">
        <v>0.029</v>
      </c>
      <c r="AA968" s="148" t="s">
        <v>45</v>
      </c>
    </row>
    <row r="969" spans="1:27">
      <c r="A969" s="147">
        <v>2240</v>
      </c>
      <c r="B969" s="147" t="s">
        <v>60</v>
      </c>
      <c r="C969" s="147" t="s">
        <v>58</v>
      </c>
      <c r="D969" s="148" t="s">
        <v>59</v>
      </c>
      <c r="E969" s="148" t="s">
        <v>30</v>
      </c>
      <c r="F969" s="149">
        <v>2026</v>
      </c>
      <c r="G969" s="148" t="s">
        <v>39</v>
      </c>
      <c r="H969" s="148"/>
      <c r="I969" s="148"/>
      <c r="J969" s="148"/>
      <c r="K969" s="148"/>
      <c r="L969" s="152"/>
      <c r="M969" s="152">
        <f t="shared" si="15"/>
        <v>0</v>
      </c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</row>
    <row r="970" spans="1:27">
      <c r="A970" s="147">
        <v>2241</v>
      </c>
      <c r="B970" s="147" t="s">
        <v>60</v>
      </c>
      <c r="C970" s="147" t="s">
        <v>58</v>
      </c>
      <c r="D970" s="148" t="s">
        <v>59</v>
      </c>
      <c r="E970" s="148" t="s">
        <v>30</v>
      </c>
      <c r="F970" s="149">
        <v>2026</v>
      </c>
      <c r="G970" s="148" t="s">
        <v>40</v>
      </c>
      <c r="H970" s="148"/>
      <c r="I970" s="148"/>
      <c r="J970" s="148"/>
      <c r="K970" s="148"/>
      <c r="L970" s="152"/>
      <c r="M970" s="152">
        <f t="shared" si="15"/>
        <v>0</v>
      </c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</row>
    <row r="971" spans="1:27">
      <c r="A971" s="147">
        <v>2242</v>
      </c>
      <c r="B971" s="147" t="s">
        <v>60</v>
      </c>
      <c r="C971" s="147" t="s">
        <v>58</v>
      </c>
      <c r="D971" s="148" t="s">
        <v>59</v>
      </c>
      <c r="E971" s="148" t="s">
        <v>30</v>
      </c>
      <c r="F971" s="149">
        <v>2026</v>
      </c>
      <c r="G971" s="148" t="s">
        <v>41</v>
      </c>
      <c r="H971" s="148"/>
      <c r="I971" s="148"/>
      <c r="J971" s="148"/>
      <c r="K971" s="148"/>
      <c r="L971" s="152"/>
      <c r="M971" s="152">
        <f t="shared" si="15"/>
        <v>0</v>
      </c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</row>
    <row r="972" spans="1:27">
      <c r="A972" s="147">
        <v>2243</v>
      </c>
      <c r="B972" s="147" t="s">
        <v>60</v>
      </c>
      <c r="C972" s="147" t="s">
        <v>58</v>
      </c>
      <c r="D972" s="148" t="s">
        <v>59</v>
      </c>
      <c r="E972" s="148" t="s">
        <v>30</v>
      </c>
      <c r="F972" s="149">
        <v>2026</v>
      </c>
      <c r="G972" s="148" t="s">
        <v>42</v>
      </c>
      <c r="H972" s="148"/>
      <c r="I972" s="148"/>
      <c r="J972" s="148"/>
      <c r="K972" s="148"/>
      <c r="L972" s="152"/>
      <c r="M972" s="152">
        <f t="shared" si="15"/>
        <v>0</v>
      </c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</row>
    <row r="973" spans="1:27">
      <c r="A973" s="147">
        <v>2244</v>
      </c>
      <c r="B973" s="147" t="s">
        <v>60</v>
      </c>
      <c r="C973" s="147" t="s">
        <v>58</v>
      </c>
      <c r="D973" s="148" t="s">
        <v>59</v>
      </c>
      <c r="E973" s="148" t="s">
        <v>30</v>
      </c>
      <c r="F973" s="149">
        <v>2026</v>
      </c>
      <c r="G973" s="148" t="s">
        <v>43</v>
      </c>
      <c r="H973" s="148"/>
      <c r="I973" s="148"/>
      <c r="J973" s="148"/>
      <c r="K973" s="148"/>
      <c r="L973" s="152"/>
      <c r="M973" s="152">
        <f t="shared" si="15"/>
        <v>0</v>
      </c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</row>
    <row r="974" spans="1:27">
      <c r="A974" s="147">
        <v>2257</v>
      </c>
      <c r="B974" s="147" t="s">
        <v>66</v>
      </c>
      <c r="C974" s="147" t="s">
        <v>28</v>
      </c>
      <c r="D974" s="148" t="s">
        <v>29</v>
      </c>
      <c r="E974" s="148" t="s">
        <v>30</v>
      </c>
      <c r="F974" s="149">
        <v>2024</v>
      </c>
      <c r="G974" s="148" t="s">
        <v>31</v>
      </c>
      <c r="H974" s="149">
        <v>150</v>
      </c>
      <c r="I974" s="149" t="s">
        <v>44</v>
      </c>
      <c r="J974" s="149" t="s">
        <v>48</v>
      </c>
      <c r="K974" s="149" t="s">
        <v>48</v>
      </c>
      <c r="L974" s="152"/>
      <c r="M974" s="152">
        <f t="shared" si="15"/>
        <v>0</v>
      </c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</row>
    <row r="975" spans="1:27">
      <c r="A975" s="147">
        <v>2258</v>
      </c>
      <c r="B975" s="147" t="s">
        <v>66</v>
      </c>
      <c r="C975" s="147" t="s">
        <v>28</v>
      </c>
      <c r="D975" s="148" t="s">
        <v>29</v>
      </c>
      <c r="E975" s="148" t="s">
        <v>30</v>
      </c>
      <c r="F975" s="149">
        <v>2024</v>
      </c>
      <c r="G975" s="148" t="s">
        <v>33</v>
      </c>
      <c r="H975" s="149">
        <v>161</v>
      </c>
      <c r="I975" s="149" t="s">
        <v>44</v>
      </c>
      <c r="J975" s="149" t="s">
        <v>48</v>
      </c>
      <c r="K975" s="149" t="s">
        <v>48</v>
      </c>
      <c r="L975" s="152"/>
      <c r="M975" s="152">
        <f t="shared" si="15"/>
        <v>0</v>
      </c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</row>
    <row r="976" spans="1:27">
      <c r="A976" s="147">
        <v>2259</v>
      </c>
      <c r="B976" s="147" t="s">
        <v>66</v>
      </c>
      <c r="C976" s="147" t="s">
        <v>28</v>
      </c>
      <c r="D976" s="148" t="s">
        <v>29</v>
      </c>
      <c r="E976" s="148" t="s">
        <v>30</v>
      </c>
      <c r="F976" s="149">
        <v>2024</v>
      </c>
      <c r="G976" s="148" t="s">
        <v>34</v>
      </c>
      <c r="H976" s="149">
        <v>138</v>
      </c>
      <c r="I976" s="149" t="s">
        <v>44</v>
      </c>
      <c r="J976" s="149" t="s">
        <v>48</v>
      </c>
      <c r="K976" s="149" t="s">
        <v>48</v>
      </c>
      <c r="L976" s="152"/>
      <c r="M976" s="152">
        <f t="shared" si="15"/>
        <v>0</v>
      </c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</row>
    <row r="977" spans="1:27">
      <c r="A977" s="147">
        <v>2260</v>
      </c>
      <c r="B977" s="147" t="s">
        <v>66</v>
      </c>
      <c r="C977" s="147" t="s">
        <v>28</v>
      </c>
      <c r="D977" s="148" t="s">
        <v>29</v>
      </c>
      <c r="E977" s="148" t="s">
        <v>30</v>
      </c>
      <c r="F977" s="149">
        <v>2024</v>
      </c>
      <c r="G977" s="148" t="s">
        <v>35</v>
      </c>
      <c r="H977" s="149">
        <v>122</v>
      </c>
      <c r="I977" s="149" t="s">
        <v>44</v>
      </c>
      <c r="J977" s="149" t="s">
        <v>48</v>
      </c>
      <c r="K977" s="149" t="s">
        <v>48</v>
      </c>
      <c r="L977" s="152"/>
      <c r="M977" s="152">
        <f t="shared" si="15"/>
        <v>0</v>
      </c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</row>
    <row r="978" spans="1:27">
      <c r="A978" s="147">
        <v>2261</v>
      </c>
      <c r="B978" s="147" t="s">
        <v>66</v>
      </c>
      <c r="C978" s="147" t="s">
        <v>28</v>
      </c>
      <c r="D978" s="148" t="s">
        <v>29</v>
      </c>
      <c r="E978" s="148" t="s">
        <v>30</v>
      </c>
      <c r="F978" s="149">
        <v>2024</v>
      </c>
      <c r="G978" s="148" t="s">
        <v>36</v>
      </c>
      <c r="H978" s="149">
        <v>87</v>
      </c>
      <c r="I978" s="150">
        <v>995334</v>
      </c>
      <c r="J978" s="149" t="s">
        <v>48</v>
      </c>
      <c r="K978" s="149" t="s">
        <v>48</v>
      </c>
      <c r="L978" s="152"/>
      <c r="M978" s="152">
        <f t="shared" si="15"/>
        <v>0</v>
      </c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</row>
    <row r="979" spans="1:27">
      <c r="A979" s="147">
        <v>2262</v>
      </c>
      <c r="B979" s="147" t="s">
        <v>66</v>
      </c>
      <c r="C979" s="147" t="s">
        <v>28</v>
      </c>
      <c r="D979" s="148" t="s">
        <v>29</v>
      </c>
      <c r="E979" s="148" t="s">
        <v>30</v>
      </c>
      <c r="F979" s="149">
        <v>2024</v>
      </c>
      <c r="G979" s="148" t="s">
        <v>37</v>
      </c>
      <c r="H979" s="149">
        <v>131</v>
      </c>
      <c r="I979" s="150">
        <v>995435</v>
      </c>
      <c r="J979" s="149">
        <v>101</v>
      </c>
      <c r="K979" s="150">
        <v>4941809</v>
      </c>
      <c r="L979" s="152"/>
      <c r="M979" s="152">
        <f t="shared" si="15"/>
        <v>0</v>
      </c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</row>
    <row r="980" spans="1:27">
      <c r="A980" s="147">
        <v>2263</v>
      </c>
      <c r="B980" s="147" t="s">
        <v>66</v>
      </c>
      <c r="C980" s="147" t="s">
        <v>28</v>
      </c>
      <c r="D980" s="148" t="s">
        <v>29</v>
      </c>
      <c r="E980" s="148" t="s">
        <v>30</v>
      </c>
      <c r="F980" s="149">
        <v>2024</v>
      </c>
      <c r="G980" s="148" t="s">
        <v>38</v>
      </c>
      <c r="H980" s="149">
        <v>143</v>
      </c>
      <c r="I980" s="150">
        <v>995604</v>
      </c>
      <c r="J980" s="149">
        <v>169</v>
      </c>
      <c r="K980" s="150">
        <v>6595554</v>
      </c>
      <c r="L980" s="152"/>
      <c r="M980" s="152">
        <f t="shared" si="15"/>
        <v>0</v>
      </c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</row>
    <row r="981" spans="1:27">
      <c r="A981" s="147">
        <v>2264</v>
      </c>
      <c r="B981" s="147" t="s">
        <v>66</v>
      </c>
      <c r="C981" s="147" t="s">
        <v>28</v>
      </c>
      <c r="D981" s="148" t="s">
        <v>29</v>
      </c>
      <c r="E981" s="148" t="s">
        <v>30</v>
      </c>
      <c r="F981" s="149">
        <v>2024</v>
      </c>
      <c r="G981" s="148" t="s">
        <v>39</v>
      </c>
      <c r="H981" s="149">
        <v>131</v>
      </c>
      <c r="I981" s="150">
        <v>997321</v>
      </c>
      <c r="J981" s="150">
        <v>1717</v>
      </c>
      <c r="K981" s="150">
        <v>4737731</v>
      </c>
      <c r="L981" s="152"/>
      <c r="M981" s="152">
        <f t="shared" si="15"/>
        <v>0</v>
      </c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</row>
    <row r="982" spans="1:27">
      <c r="A982" s="147">
        <v>2265</v>
      </c>
      <c r="B982" s="147" t="s">
        <v>66</v>
      </c>
      <c r="C982" s="147" t="s">
        <v>28</v>
      </c>
      <c r="D982" s="148" t="s">
        <v>29</v>
      </c>
      <c r="E982" s="148" t="s">
        <v>30</v>
      </c>
      <c r="F982" s="149">
        <v>2024</v>
      </c>
      <c r="G982" s="148" t="s">
        <v>40</v>
      </c>
      <c r="H982" s="149">
        <v>165</v>
      </c>
      <c r="I982" s="150">
        <v>1005203</v>
      </c>
      <c r="J982" s="150">
        <v>7882</v>
      </c>
      <c r="K982" s="150">
        <v>11802684</v>
      </c>
      <c r="L982" s="152"/>
      <c r="M982" s="152">
        <f t="shared" si="15"/>
        <v>0</v>
      </c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</row>
    <row r="983" spans="1:27">
      <c r="A983" s="147">
        <v>2266</v>
      </c>
      <c r="B983" s="147" t="s">
        <v>66</v>
      </c>
      <c r="C983" s="147" t="s">
        <v>28</v>
      </c>
      <c r="D983" s="148" t="s">
        <v>29</v>
      </c>
      <c r="E983" s="148" t="s">
        <v>30</v>
      </c>
      <c r="F983" s="149">
        <v>2024</v>
      </c>
      <c r="G983" s="148" t="s">
        <v>41</v>
      </c>
      <c r="H983" s="149">
        <v>319</v>
      </c>
      <c r="I983" s="150">
        <v>1029150</v>
      </c>
      <c r="J983" s="150">
        <v>23947</v>
      </c>
      <c r="K983" s="150">
        <v>35831194</v>
      </c>
      <c r="L983" s="152"/>
      <c r="M983" s="152">
        <f t="shared" si="15"/>
        <v>0</v>
      </c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</row>
    <row r="984" spans="1:27">
      <c r="A984" s="147">
        <v>2267</v>
      </c>
      <c r="B984" s="147" t="s">
        <v>66</v>
      </c>
      <c r="C984" s="147" t="s">
        <v>28</v>
      </c>
      <c r="D984" s="148" t="s">
        <v>29</v>
      </c>
      <c r="E984" s="148" t="s">
        <v>30</v>
      </c>
      <c r="F984" s="149">
        <v>2024</v>
      </c>
      <c r="G984" s="148" t="s">
        <v>42</v>
      </c>
      <c r="H984" s="149">
        <v>227</v>
      </c>
      <c r="I984" s="150">
        <v>1070303</v>
      </c>
      <c r="J984" s="150">
        <v>41153</v>
      </c>
      <c r="K984" s="150">
        <v>52236652</v>
      </c>
      <c r="L984" s="152"/>
      <c r="M984" s="152">
        <f t="shared" si="15"/>
        <v>0</v>
      </c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</row>
    <row r="985" spans="1:27">
      <c r="A985" s="147">
        <v>2268</v>
      </c>
      <c r="B985" s="147" t="s">
        <v>66</v>
      </c>
      <c r="C985" s="147" t="s">
        <v>28</v>
      </c>
      <c r="D985" s="148" t="s">
        <v>29</v>
      </c>
      <c r="E985" s="148" t="s">
        <v>30</v>
      </c>
      <c r="F985" s="149">
        <v>2024</v>
      </c>
      <c r="G985" s="148" t="s">
        <v>43</v>
      </c>
      <c r="H985" s="149">
        <v>183</v>
      </c>
      <c r="I985" s="150">
        <v>1092292</v>
      </c>
      <c r="J985" s="150">
        <v>21989</v>
      </c>
      <c r="K985" s="150">
        <v>20717184</v>
      </c>
      <c r="L985" s="152"/>
      <c r="M985" s="152">
        <f t="shared" si="15"/>
        <v>0</v>
      </c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</row>
    <row r="986" spans="1:27">
      <c r="A986" s="147">
        <v>2269</v>
      </c>
      <c r="B986" s="147" t="s">
        <v>66</v>
      </c>
      <c r="C986" s="147" t="s">
        <v>28</v>
      </c>
      <c r="D986" s="148" t="s">
        <v>29</v>
      </c>
      <c r="E986" s="148" t="s">
        <v>30</v>
      </c>
      <c r="F986" s="149">
        <v>2025</v>
      </c>
      <c r="G986" s="148" t="s">
        <v>31</v>
      </c>
      <c r="H986" s="149">
        <v>136</v>
      </c>
      <c r="I986" s="150">
        <v>1116399</v>
      </c>
      <c r="J986" s="150">
        <v>24107</v>
      </c>
      <c r="K986" s="150">
        <v>29557689</v>
      </c>
      <c r="L986" s="152"/>
      <c r="M986" s="152">
        <f t="shared" si="15"/>
        <v>0</v>
      </c>
      <c r="N986" s="148"/>
      <c r="O986" s="150">
        <v>26612939</v>
      </c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</row>
    <row r="987" spans="1:27">
      <c r="A987" s="147">
        <v>2270</v>
      </c>
      <c r="B987" s="147" t="s">
        <v>66</v>
      </c>
      <c r="C987" s="147" t="s">
        <v>28</v>
      </c>
      <c r="D987" s="148" t="s">
        <v>29</v>
      </c>
      <c r="E987" s="148" t="s">
        <v>30</v>
      </c>
      <c r="F987" s="149">
        <v>2025</v>
      </c>
      <c r="G987" s="148" t="s">
        <v>33</v>
      </c>
      <c r="H987" s="149">
        <v>99</v>
      </c>
      <c r="I987" s="150">
        <v>1145650</v>
      </c>
      <c r="J987" s="150">
        <v>29251</v>
      </c>
      <c r="K987" s="150">
        <v>29098106</v>
      </c>
      <c r="L987" s="152"/>
      <c r="M987" s="152">
        <f t="shared" si="15"/>
        <v>0</v>
      </c>
      <c r="N987" s="148"/>
      <c r="O987" s="150">
        <v>26957468</v>
      </c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</row>
    <row r="988" spans="1:27">
      <c r="A988" s="147">
        <v>2271</v>
      </c>
      <c r="B988" s="147" t="s">
        <v>66</v>
      </c>
      <c r="C988" s="147" t="s">
        <v>28</v>
      </c>
      <c r="D988" s="148" t="s">
        <v>29</v>
      </c>
      <c r="E988" s="148" t="s">
        <v>30</v>
      </c>
      <c r="F988" s="149">
        <v>2025</v>
      </c>
      <c r="G988" s="148" t="s">
        <v>34</v>
      </c>
      <c r="H988" s="149">
        <v>89</v>
      </c>
      <c r="I988" s="150">
        <v>1148407</v>
      </c>
      <c r="J988" s="150">
        <v>2757</v>
      </c>
      <c r="K988" s="150">
        <v>5400568</v>
      </c>
      <c r="L988" s="152"/>
      <c r="M988" s="152">
        <f t="shared" si="15"/>
        <v>0</v>
      </c>
      <c r="N988" s="148"/>
      <c r="O988" s="150">
        <v>4486226</v>
      </c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</row>
    <row r="989" spans="1:27">
      <c r="A989" s="147">
        <v>2272</v>
      </c>
      <c r="B989" s="147" t="s">
        <v>66</v>
      </c>
      <c r="C989" s="147" t="s">
        <v>28</v>
      </c>
      <c r="D989" s="148" t="s">
        <v>29</v>
      </c>
      <c r="E989" s="148" t="s">
        <v>30</v>
      </c>
      <c r="F989" s="149">
        <v>2025</v>
      </c>
      <c r="G989" s="148" t="s">
        <v>35</v>
      </c>
      <c r="H989" s="149">
        <v>120</v>
      </c>
      <c r="I989" s="150">
        <v>1158456</v>
      </c>
      <c r="J989" s="150">
        <v>10049</v>
      </c>
      <c r="K989" s="150">
        <v>15486710</v>
      </c>
      <c r="L989" s="152"/>
      <c r="M989" s="152">
        <f t="shared" si="15"/>
        <v>0</v>
      </c>
      <c r="N989" s="148"/>
      <c r="O989" s="150">
        <v>14520879</v>
      </c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</row>
    <row r="990" spans="1:27">
      <c r="A990" s="147">
        <v>2273</v>
      </c>
      <c r="B990" s="147" t="s">
        <v>66</v>
      </c>
      <c r="C990" s="147" t="s">
        <v>28</v>
      </c>
      <c r="D990" s="148" t="s">
        <v>29</v>
      </c>
      <c r="E990" s="148" t="s">
        <v>30</v>
      </c>
      <c r="F990" s="149">
        <v>2025</v>
      </c>
      <c r="G990" s="148" t="s">
        <v>36</v>
      </c>
      <c r="H990" s="149">
        <v>202</v>
      </c>
      <c r="I990" s="150">
        <v>1179753</v>
      </c>
      <c r="J990" s="150">
        <v>21297</v>
      </c>
      <c r="K990" s="150">
        <v>13165114</v>
      </c>
      <c r="L990" s="152"/>
      <c r="M990" s="152">
        <f t="shared" si="15"/>
        <v>0</v>
      </c>
      <c r="N990" s="148"/>
      <c r="O990" s="150">
        <v>12037657</v>
      </c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</row>
    <row r="991" spans="1:27">
      <c r="A991" s="147">
        <v>2274</v>
      </c>
      <c r="B991" s="147" t="s">
        <v>66</v>
      </c>
      <c r="C991" s="147" t="s">
        <v>28</v>
      </c>
      <c r="D991" s="148" t="s">
        <v>29</v>
      </c>
      <c r="E991" s="148" t="s">
        <v>30</v>
      </c>
      <c r="F991" s="149">
        <v>2025</v>
      </c>
      <c r="G991" s="148" t="s">
        <v>37</v>
      </c>
      <c r="H991" s="149">
        <v>220</v>
      </c>
      <c r="I991" s="150">
        <v>1184249</v>
      </c>
      <c r="J991" s="150">
        <v>4496</v>
      </c>
      <c r="K991" s="150">
        <v>10684430</v>
      </c>
      <c r="L991" s="152"/>
      <c r="M991" s="152">
        <f t="shared" si="15"/>
        <v>0</v>
      </c>
      <c r="N991" s="148"/>
      <c r="O991" s="150">
        <v>9162894</v>
      </c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</row>
    <row r="992" spans="1:27">
      <c r="A992" s="147">
        <v>2275</v>
      </c>
      <c r="B992" s="147" t="s">
        <v>66</v>
      </c>
      <c r="C992" s="147" t="s">
        <v>28</v>
      </c>
      <c r="D992" s="148" t="s">
        <v>29</v>
      </c>
      <c r="E992" s="148" t="s">
        <v>30</v>
      </c>
      <c r="F992" s="149">
        <v>2025</v>
      </c>
      <c r="G992" s="148" t="s">
        <v>38</v>
      </c>
      <c r="H992" s="149">
        <v>220</v>
      </c>
      <c r="I992" s="150">
        <v>1219976</v>
      </c>
      <c r="J992" s="150">
        <v>38261</v>
      </c>
      <c r="K992" s="150">
        <v>17064252</v>
      </c>
      <c r="L992" s="152"/>
      <c r="M992" s="152">
        <f t="shared" si="15"/>
        <v>0</v>
      </c>
      <c r="N992" s="148"/>
      <c r="O992" s="150">
        <v>15985301</v>
      </c>
      <c r="P992" s="150">
        <v>547125</v>
      </c>
      <c r="Q992" s="154">
        <v>0.6</v>
      </c>
      <c r="R992" s="154">
        <v>0.35</v>
      </c>
      <c r="S992" s="154">
        <v>0.05</v>
      </c>
      <c r="T992" s="148" t="s">
        <v>44</v>
      </c>
      <c r="U992" s="154">
        <v>0.232</v>
      </c>
      <c r="V992" s="154">
        <v>0.49</v>
      </c>
      <c r="W992" s="154">
        <v>0.186</v>
      </c>
      <c r="X992" s="154">
        <v>0.066</v>
      </c>
      <c r="Y992" s="154">
        <v>0.026</v>
      </c>
      <c r="Z992" s="148" t="s">
        <v>44</v>
      </c>
      <c r="AA992" s="148" t="s">
        <v>45</v>
      </c>
    </row>
    <row r="993" spans="1:27">
      <c r="A993" s="147">
        <v>2276</v>
      </c>
      <c r="B993" s="147" t="s">
        <v>66</v>
      </c>
      <c r="C993" s="147" t="s">
        <v>28</v>
      </c>
      <c r="D993" s="148" t="s">
        <v>29</v>
      </c>
      <c r="E993" s="148" t="s">
        <v>30</v>
      </c>
      <c r="F993" s="149">
        <v>2025</v>
      </c>
      <c r="G993" s="148" t="s">
        <v>39</v>
      </c>
      <c r="H993" s="149">
        <v>263</v>
      </c>
      <c r="I993" s="150">
        <v>1262930</v>
      </c>
      <c r="J993" s="150">
        <v>42353</v>
      </c>
      <c r="K993" s="150">
        <v>34332801</v>
      </c>
      <c r="L993" s="152"/>
      <c r="M993" s="152">
        <f t="shared" si="15"/>
        <v>0</v>
      </c>
      <c r="N993" s="148"/>
      <c r="O993" s="150">
        <v>29732250</v>
      </c>
      <c r="P993" s="150">
        <v>1024520</v>
      </c>
      <c r="Q993" s="154">
        <v>0.6</v>
      </c>
      <c r="R993" s="154">
        <v>0.35</v>
      </c>
      <c r="S993" s="154">
        <v>0.05</v>
      </c>
      <c r="T993" s="148" t="s">
        <v>44</v>
      </c>
      <c r="U993" s="154">
        <v>0.229</v>
      </c>
      <c r="V993" s="154">
        <v>0.486</v>
      </c>
      <c r="W993" s="154">
        <v>0.187</v>
      </c>
      <c r="X993" s="154">
        <v>0.069</v>
      </c>
      <c r="Y993" s="154">
        <v>0.029</v>
      </c>
      <c r="Z993" s="148" t="s">
        <v>44</v>
      </c>
      <c r="AA993" s="148" t="s">
        <v>45</v>
      </c>
    </row>
    <row r="994" spans="1:27">
      <c r="A994" s="147">
        <v>2277</v>
      </c>
      <c r="B994" s="147" t="s">
        <v>66</v>
      </c>
      <c r="C994" s="147" t="s">
        <v>28</v>
      </c>
      <c r="D994" s="148" t="s">
        <v>29</v>
      </c>
      <c r="E994" s="148" t="s">
        <v>30</v>
      </c>
      <c r="F994" s="149">
        <v>2025</v>
      </c>
      <c r="G994" s="148" t="s">
        <v>40</v>
      </c>
      <c r="H994" s="149">
        <v>140</v>
      </c>
      <c r="I994" s="150">
        <v>1289403</v>
      </c>
      <c r="J994" s="150">
        <v>27471</v>
      </c>
      <c r="K994" s="150">
        <v>18949295</v>
      </c>
      <c r="L994" s="152"/>
      <c r="M994" s="152">
        <f t="shared" si="15"/>
        <v>0</v>
      </c>
      <c r="N994" s="148"/>
      <c r="O994" s="150">
        <v>16738630</v>
      </c>
      <c r="P994" s="150">
        <v>750345</v>
      </c>
      <c r="Q994" s="154">
        <v>0.6</v>
      </c>
      <c r="R994" s="154">
        <v>0.35</v>
      </c>
      <c r="S994" s="154">
        <v>0.05</v>
      </c>
      <c r="T994" s="148" t="s">
        <v>44</v>
      </c>
      <c r="U994" s="154">
        <v>0.23</v>
      </c>
      <c r="V994" s="154">
        <v>0.486</v>
      </c>
      <c r="W994" s="154">
        <v>0.186</v>
      </c>
      <c r="X994" s="154">
        <v>0.069</v>
      </c>
      <c r="Y994" s="154">
        <v>0.029</v>
      </c>
      <c r="Z994" s="148" t="s">
        <v>44</v>
      </c>
      <c r="AA994" s="148" t="s">
        <v>45</v>
      </c>
    </row>
    <row r="995" spans="1:27">
      <c r="A995" s="147">
        <v>2278</v>
      </c>
      <c r="B995" s="147" t="s">
        <v>66</v>
      </c>
      <c r="C995" s="147" t="s">
        <v>28</v>
      </c>
      <c r="D995" s="148" t="s">
        <v>29</v>
      </c>
      <c r="E995" s="148" t="s">
        <v>30</v>
      </c>
      <c r="F995" s="149">
        <v>2025</v>
      </c>
      <c r="G995" s="148" t="s">
        <v>41</v>
      </c>
      <c r="H995" s="149">
        <v>155</v>
      </c>
      <c r="I995" s="150">
        <v>1311711</v>
      </c>
      <c r="J995" s="150">
        <v>18193</v>
      </c>
      <c r="K995" s="150">
        <v>19985152</v>
      </c>
      <c r="L995" s="152"/>
      <c r="M995" s="152">
        <f t="shared" si="15"/>
        <v>0</v>
      </c>
      <c r="N995" s="148"/>
      <c r="O995" s="150">
        <v>19712660</v>
      </c>
      <c r="P995" s="150">
        <v>493236</v>
      </c>
      <c r="Q995" s="154">
        <v>0.6</v>
      </c>
      <c r="R995" s="154">
        <v>0.35</v>
      </c>
      <c r="S995" s="154">
        <v>0.05</v>
      </c>
      <c r="T995" s="148" t="s">
        <v>44</v>
      </c>
      <c r="U995" s="154">
        <v>0.227</v>
      </c>
      <c r="V995" s="154">
        <v>0.488</v>
      </c>
      <c r="W995" s="154">
        <v>0.186</v>
      </c>
      <c r="X995" s="154">
        <v>0.069</v>
      </c>
      <c r="Y995" s="154">
        <v>0.03</v>
      </c>
      <c r="Z995" s="148" t="s">
        <v>44</v>
      </c>
      <c r="AA995" s="148" t="s">
        <v>45</v>
      </c>
    </row>
    <row r="996" spans="1:27">
      <c r="A996" s="147">
        <v>2279</v>
      </c>
      <c r="B996" s="147" t="s">
        <v>66</v>
      </c>
      <c r="C996" s="147" t="s">
        <v>28</v>
      </c>
      <c r="D996" s="148" t="s">
        <v>29</v>
      </c>
      <c r="E996" s="148" t="s">
        <v>30</v>
      </c>
      <c r="F996" s="149">
        <v>2025</v>
      </c>
      <c r="G996" s="148" t="s">
        <v>42</v>
      </c>
      <c r="H996" s="149">
        <v>137</v>
      </c>
      <c r="I996" s="150">
        <v>1317860</v>
      </c>
      <c r="J996" s="150">
        <v>6042</v>
      </c>
      <c r="K996" s="150">
        <v>5469041</v>
      </c>
      <c r="L996" s="152"/>
      <c r="M996" s="152">
        <f t="shared" si="15"/>
        <v>0</v>
      </c>
      <c r="N996" s="148"/>
      <c r="O996" s="150">
        <v>4457640</v>
      </c>
      <c r="P996" s="150">
        <v>102216</v>
      </c>
      <c r="Q996" s="154">
        <v>0.6</v>
      </c>
      <c r="R996" s="154">
        <v>0.35</v>
      </c>
      <c r="S996" s="154">
        <v>0.05</v>
      </c>
      <c r="T996" s="148" t="s">
        <v>44</v>
      </c>
      <c r="U996" s="154">
        <v>0.225</v>
      </c>
      <c r="V996" s="154">
        <v>0.489</v>
      </c>
      <c r="W996" s="154">
        <v>0.186</v>
      </c>
      <c r="X996" s="154">
        <v>0.07</v>
      </c>
      <c r="Y996" s="154">
        <v>0.03</v>
      </c>
      <c r="Z996" s="148" t="s">
        <v>44</v>
      </c>
      <c r="AA996" s="148" t="s">
        <v>45</v>
      </c>
    </row>
    <row r="997" spans="1:27">
      <c r="A997" s="147">
        <v>2280</v>
      </c>
      <c r="B997" s="147" t="s">
        <v>66</v>
      </c>
      <c r="C997" s="147" t="s">
        <v>28</v>
      </c>
      <c r="D997" s="148" t="s">
        <v>29</v>
      </c>
      <c r="E997" s="148" t="s">
        <v>30</v>
      </c>
      <c r="F997" s="149">
        <v>2025</v>
      </c>
      <c r="G997" s="148" t="s">
        <v>43</v>
      </c>
      <c r="H997" s="149">
        <v>118</v>
      </c>
      <c r="I997" s="150">
        <v>1337439</v>
      </c>
      <c r="J997" s="150">
        <v>19579</v>
      </c>
      <c r="K997" s="150">
        <v>8533218</v>
      </c>
      <c r="L997" s="152"/>
      <c r="M997" s="152">
        <f t="shared" si="15"/>
        <v>0</v>
      </c>
      <c r="N997" s="148"/>
      <c r="O997" s="150">
        <v>8233617</v>
      </c>
      <c r="P997" s="150">
        <v>312505</v>
      </c>
      <c r="Q997" s="154">
        <v>0.61</v>
      </c>
      <c r="R997" s="154">
        <v>0.34</v>
      </c>
      <c r="S997" s="154">
        <v>0.05</v>
      </c>
      <c r="T997" s="148" t="s">
        <v>44</v>
      </c>
      <c r="U997" s="154">
        <v>0.224</v>
      </c>
      <c r="V997" s="154">
        <v>0.492</v>
      </c>
      <c r="W997" s="154">
        <v>0.185</v>
      </c>
      <c r="X997" s="154">
        <v>0.069</v>
      </c>
      <c r="Y997" s="154">
        <v>0.03</v>
      </c>
      <c r="Z997" s="148" t="s">
        <v>44</v>
      </c>
      <c r="AA997" s="148" t="s">
        <v>45</v>
      </c>
    </row>
    <row r="998" spans="1:27">
      <c r="A998" s="147">
        <v>2281</v>
      </c>
      <c r="B998" s="147" t="s">
        <v>66</v>
      </c>
      <c r="C998" s="147" t="s">
        <v>28</v>
      </c>
      <c r="D998" s="148" t="s">
        <v>29</v>
      </c>
      <c r="E998" s="148" t="s">
        <v>30</v>
      </c>
      <c r="F998" s="149">
        <v>2026</v>
      </c>
      <c r="G998" s="148" t="s">
        <v>31</v>
      </c>
      <c r="H998" s="149">
        <v>187</v>
      </c>
      <c r="I998" s="150">
        <v>1381436</v>
      </c>
      <c r="J998" s="150">
        <v>43997</v>
      </c>
      <c r="K998" s="150">
        <v>17585398</v>
      </c>
      <c r="L998" s="152"/>
      <c r="M998" s="152">
        <f t="shared" si="15"/>
        <v>0</v>
      </c>
      <c r="N998" s="148"/>
      <c r="O998" s="150">
        <v>17245241</v>
      </c>
      <c r="P998" s="150">
        <v>630337</v>
      </c>
      <c r="Q998" s="154">
        <v>0.62</v>
      </c>
      <c r="R998" s="154">
        <v>0.34</v>
      </c>
      <c r="S998" s="154">
        <v>0.04</v>
      </c>
      <c r="T998" s="148" t="s">
        <v>44</v>
      </c>
      <c r="U998" s="154">
        <v>0.225</v>
      </c>
      <c r="V998" s="154">
        <v>0.492</v>
      </c>
      <c r="W998" s="154">
        <v>0.184</v>
      </c>
      <c r="X998" s="154">
        <v>0.069</v>
      </c>
      <c r="Y998" s="154">
        <v>0.03</v>
      </c>
      <c r="Z998" s="148" t="s">
        <v>44</v>
      </c>
      <c r="AA998" s="148" t="s">
        <v>45</v>
      </c>
    </row>
    <row r="999" spans="1:27">
      <c r="A999" s="147">
        <v>2282</v>
      </c>
      <c r="B999" s="147" t="s">
        <v>66</v>
      </c>
      <c r="C999" s="147" t="s">
        <v>28</v>
      </c>
      <c r="D999" s="148" t="s">
        <v>29</v>
      </c>
      <c r="E999" s="148" t="s">
        <v>30</v>
      </c>
      <c r="F999" s="149">
        <v>2026</v>
      </c>
      <c r="G999" s="148" t="s">
        <v>33</v>
      </c>
      <c r="H999" s="149">
        <v>228</v>
      </c>
      <c r="I999" s="150">
        <v>1394044</v>
      </c>
      <c r="J999" s="150">
        <v>12608</v>
      </c>
      <c r="K999" s="150">
        <v>14410363</v>
      </c>
      <c r="L999" s="152"/>
      <c r="M999" s="152">
        <f t="shared" si="15"/>
        <v>0</v>
      </c>
      <c r="N999" s="148"/>
      <c r="O999" s="150">
        <v>14042448</v>
      </c>
      <c r="P999" s="150">
        <v>378779</v>
      </c>
      <c r="Q999" s="154">
        <v>0.62</v>
      </c>
      <c r="R999" s="154">
        <v>0.34</v>
      </c>
      <c r="S999" s="154">
        <v>0.04</v>
      </c>
      <c r="T999" s="148" t="s">
        <v>44</v>
      </c>
      <c r="U999" s="154">
        <v>0.223</v>
      </c>
      <c r="V999" s="154">
        <v>0.493</v>
      </c>
      <c r="W999" s="154">
        <v>0.185</v>
      </c>
      <c r="X999" s="154">
        <v>0.069</v>
      </c>
      <c r="Y999" s="154">
        <v>0.03</v>
      </c>
      <c r="Z999" s="148" t="s">
        <v>44</v>
      </c>
      <c r="AA999" s="148" t="s">
        <v>45</v>
      </c>
    </row>
    <row r="1000" spans="1:27">
      <c r="A1000" s="147">
        <v>2283</v>
      </c>
      <c r="B1000" s="147" t="s">
        <v>66</v>
      </c>
      <c r="C1000" s="147" t="s">
        <v>28</v>
      </c>
      <c r="D1000" s="148" t="s">
        <v>29</v>
      </c>
      <c r="E1000" s="148" t="s">
        <v>30</v>
      </c>
      <c r="F1000" s="149">
        <v>2026</v>
      </c>
      <c r="G1000" s="148" t="s">
        <v>34</v>
      </c>
      <c r="H1000" s="149">
        <v>297</v>
      </c>
      <c r="I1000" s="150">
        <v>1418092</v>
      </c>
      <c r="J1000" s="150">
        <v>24048</v>
      </c>
      <c r="K1000" s="150">
        <v>49006334</v>
      </c>
      <c r="L1000" s="152"/>
      <c r="M1000" s="152">
        <f t="shared" si="15"/>
        <v>0</v>
      </c>
      <c r="N1000" s="148"/>
      <c r="O1000" s="150">
        <v>48531268</v>
      </c>
      <c r="P1000" s="150">
        <v>1305895</v>
      </c>
      <c r="Q1000" s="154">
        <v>0.62</v>
      </c>
      <c r="R1000" s="154">
        <v>0.34</v>
      </c>
      <c r="S1000" s="154">
        <v>0.04</v>
      </c>
      <c r="T1000" s="148" t="s">
        <v>44</v>
      </c>
      <c r="U1000" s="154">
        <v>0.219</v>
      </c>
      <c r="V1000" s="154">
        <v>0.492</v>
      </c>
      <c r="W1000" s="154">
        <v>0.187</v>
      </c>
      <c r="X1000" s="154">
        <v>0.071</v>
      </c>
      <c r="Y1000" s="154">
        <v>0.031</v>
      </c>
      <c r="Z1000" s="148" t="s">
        <v>44</v>
      </c>
      <c r="AA1000" s="148" t="s">
        <v>45</v>
      </c>
    </row>
    <row r="1001" spans="1:27">
      <c r="A1001" s="147">
        <v>2284</v>
      </c>
      <c r="B1001" s="147" t="s">
        <v>66</v>
      </c>
      <c r="C1001" s="147" t="s">
        <v>28</v>
      </c>
      <c r="D1001" s="148" t="s">
        <v>29</v>
      </c>
      <c r="E1001" s="148" t="s">
        <v>30</v>
      </c>
      <c r="F1001" s="149">
        <v>2026</v>
      </c>
      <c r="G1001" s="148" t="s">
        <v>35</v>
      </c>
      <c r="H1001" s="149">
        <v>307</v>
      </c>
      <c r="I1001" s="150">
        <v>1438168</v>
      </c>
      <c r="J1001" s="150">
        <v>20076</v>
      </c>
      <c r="K1001" s="150">
        <v>38555214</v>
      </c>
      <c r="L1001" s="152"/>
      <c r="M1001" s="152">
        <f t="shared" si="15"/>
        <v>0</v>
      </c>
      <c r="N1001" s="148"/>
      <c r="O1001" s="150">
        <v>38093329</v>
      </c>
      <c r="P1001" s="150">
        <v>1232078</v>
      </c>
      <c r="Q1001" s="154">
        <v>0.62</v>
      </c>
      <c r="R1001" s="154">
        <v>0.34</v>
      </c>
      <c r="S1001" s="154">
        <v>0.04</v>
      </c>
      <c r="T1001" s="148" t="s">
        <v>44</v>
      </c>
      <c r="U1001" s="154">
        <v>0.218</v>
      </c>
      <c r="V1001" s="154">
        <v>0.492</v>
      </c>
      <c r="W1001" s="154">
        <v>0.187</v>
      </c>
      <c r="X1001" s="154">
        <v>0.071</v>
      </c>
      <c r="Y1001" s="154">
        <v>0.032</v>
      </c>
      <c r="Z1001" s="148" t="s">
        <v>44</v>
      </c>
      <c r="AA1001" s="148" t="s">
        <v>45</v>
      </c>
    </row>
    <row r="1002" spans="1:27">
      <c r="A1002" s="147">
        <v>2285</v>
      </c>
      <c r="B1002" s="147" t="s">
        <v>66</v>
      </c>
      <c r="C1002" s="147" t="s">
        <v>28</v>
      </c>
      <c r="D1002" s="148" t="s">
        <v>29</v>
      </c>
      <c r="E1002" s="148" t="s">
        <v>30</v>
      </c>
      <c r="F1002" s="149">
        <v>2026</v>
      </c>
      <c r="G1002" s="148" t="s">
        <v>36</v>
      </c>
      <c r="H1002" s="149">
        <v>299</v>
      </c>
      <c r="I1002" s="150">
        <v>1446375</v>
      </c>
      <c r="J1002" s="150">
        <v>8207</v>
      </c>
      <c r="K1002" s="150">
        <v>18137564</v>
      </c>
      <c r="L1002" s="152"/>
      <c r="M1002" s="152">
        <f t="shared" si="15"/>
        <v>0</v>
      </c>
      <c r="N1002" s="148"/>
      <c r="O1002" s="150">
        <v>17566474</v>
      </c>
      <c r="P1002" s="150">
        <v>421007</v>
      </c>
      <c r="Q1002" s="154">
        <v>0.62</v>
      </c>
      <c r="R1002" s="154">
        <v>0.34</v>
      </c>
      <c r="S1002" s="154">
        <v>0.04</v>
      </c>
      <c r="T1002" s="148" t="s">
        <v>44</v>
      </c>
      <c r="U1002" s="154">
        <v>0.216</v>
      </c>
      <c r="V1002" s="154">
        <v>0.494</v>
      </c>
      <c r="W1002" s="154">
        <v>0.187</v>
      </c>
      <c r="X1002" s="154">
        <v>0.071</v>
      </c>
      <c r="Y1002" s="154">
        <v>0.032</v>
      </c>
      <c r="Z1002" s="148" t="s">
        <v>44</v>
      </c>
      <c r="AA1002" s="148" t="s">
        <v>45</v>
      </c>
    </row>
    <row r="1003" spans="1:27">
      <c r="A1003" s="147">
        <v>2286</v>
      </c>
      <c r="B1003" s="147" t="s">
        <v>66</v>
      </c>
      <c r="C1003" s="147" t="s">
        <v>28</v>
      </c>
      <c r="D1003" s="148" t="s">
        <v>29</v>
      </c>
      <c r="E1003" s="148" t="s">
        <v>30</v>
      </c>
      <c r="F1003" s="149">
        <v>2026</v>
      </c>
      <c r="G1003" s="148" t="s">
        <v>37</v>
      </c>
      <c r="H1003" s="149">
        <v>256</v>
      </c>
      <c r="I1003" s="150">
        <v>1456527</v>
      </c>
      <c r="J1003" s="150">
        <v>9898</v>
      </c>
      <c r="K1003" s="150">
        <v>22750581</v>
      </c>
      <c r="L1003" s="152"/>
      <c r="M1003" s="152">
        <f t="shared" si="15"/>
        <v>0</v>
      </c>
      <c r="N1003" s="148"/>
      <c r="O1003" s="150">
        <v>22248627</v>
      </c>
      <c r="P1003" s="150">
        <v>772731</v>
      </c>
      <c r="Q1003" s="154">
        <v>0.63</v>
      </c>
      <c r="R1003" s="154">
        <v>0.33</v>
      </c>
      <c r="S1003" s="154">
        <v>0.04</v>
      </c>
      <c r="T1003" s="148" t="s">
        <v>44</v>
      </c>
      <c r="U1003" s="154">
        <v>0.214</v>
      </c>
      <c r="V1003" s="154">
        <v>0.494</v>
      </c>
      <c r="W1003" s="154">
        <v>0.188</v>
      </c>
      <c r="X1003" s="154">
        <v>0.072</v>
      </c>
      <c r="Y1003" s="154">
        <v>0.032</v>
      </c>
      <c r="Z1003" s="148" t="s">
        <v>44</v>
      </c>
      <c r="AA1003" s="148" t="s">
        <v>45</v>
      </c>
    </row>
    <row r="1004" spans="1:27">
      <c r="A1004" s="147">
        <v>2287</v>
      </c>
      <c r="B1004" s="147" t="s">
        <v>66</v>
      </c>
      <c r="C1004" s="147" t="s">
        <v>28</v>
      </c>
      <c r="D1004" s="148" t="s">
        <v>29</v>
      </c>
      <c r="E1004" s="148" t="s">
        <v>30</v>
      </c>
      <c r="F1004" s="149">
        <v>2026</v>
      </c>
      <c r="G1004" s="148" t="s">
        <v>38</v>
      </c>
      <c r="H1004" s="149">
        <v>376</v>
      </c>
      <c r="I1004" s="150">
        <v>1471384</v>
      </c>
      <c r="J1004" s="150">
        <v>14857</v>
      </c>
      <c r="K1004" s="150">
        <v>23746932</v>
      </c>
      <c r="L1004" s="152"/>
      <c r="M1004" s="152">
        <f t="shared" si="15"/>
        <v>0</v>
      </c>
      <c r="N1004" s="148"/>
      <c r="O1004" s="150">
        <v>23171847</v>
      </c>
      <c r="P1004" s="150">
        <v>832385</v>
      </c>
      <c r="Q1004" s="154">
        <v>0.63</v>
      </c>
      <c r="R1004" s="154">
        <v>0.33</v>
      </c>
      <c r="S1004" s="154">
        <v>0.04</v>
      </c>
      <c r="T1004" s="148" t="s">
        <v>44</v>
      </c>
      <c r="U1004" s="154">
        <v>0.213</v>
      </c>
      <c r="V1004" s="154">
        <v>0.493</v>
      </c>
      <c r="W1004" s="154">
        <v>0.189</v>
      </c>
      <c r="X1004" s="154">
        <v>0.072</v>
      </c>
      <c r="Y1004" s="154">
        <v>0.033</v>
      </c>
      <c r="Z1004" s="148" t="s">
        <v>44</v>
      </c>
      <c r="AA1004" s="148" t="s">
        <v>45</v>
      </c>
    </row>
    <row r="1005" spans="1:27">
      <c r="A1005" s="147">
        <v>2288</v>
      </c>
      <c r="B1005" s="147" t="s">
        <v>66</v>
      </c>
      <c r="C1005" s="147" t="s">
        <v>28</v>
      </c>
      <c r="D1005" s="148" t="s">
        <v>29</v>
      </c>
      <c r="E1005" s="148" t="s">
        <v>30</v>
      </c>
      <c r="F1005" s="149">
        <v>2026</v>
      </c>
      <c r="G1005" s="148" t="s">
        <v>39</v>
      </c>
      <c r="H1005" s="148"/>
      <c r="I1005" s="148"/>
      <c r="J1005" s="148"/>
      <c r="K1005" s="148"/>
      <c r="L1005" s="152"/>
      <c r="M1005" s="152">
        <f t="shared" si="15"/>
        <v>0</v>
      </c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</row>
    <row r="1006" spans="1:27">
      <c r="A1006" s="147">
        <v>2289</v>
      </c>
      <c r="B1006" s="147" t="s">
        <v>66</v>
      </c>
      <c r="C1006" s="147" t="s">
        <v>28</v>
      </c>
      <c r="D1006" s="148" t="s">
        <v>29</v>
      </c>
      <c r="E1006" s="148" t="s">
        <v>30</v>
      </c>
      <c r="F1006" s="149">
        <v>2026</v>
      </c>
      <c r="G1006" s="148" t="s">
        <v>40</v>
      </c>
      <c r="H1006" s="148"/>
      <c r="I1006" s="148"/>
      <c r="J1006" s="148"/>
      <c r="K1006" s="148"/>
      <c r="L1006" s="152"/>
      <c r="M1006" s="152">
        <f t="shared" si="15"/>
        <v>0</v>
      </c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</row>
    <row r="1007" spans="1:27">
      <c r="A1007" s="147">
        <v>2290</v>
      </c>
      <c r="B1007" s="147" t="s">
        <v>66</v>
      </c>
      <c r="C1007" s="147" t="s">
        <v>28</v>
      </c>
      <c r="D1007" s="148" t="s">
        <v>29</v>
      </c>
      <c r="E1007" s="148" t="s">
        <v>30</v>
      </c>
      <c r="F1007" s="149">
        <v>2026</v>
      </c>
      <c r="G1007" s="148" t="s">
        <v>41</v>
      </c>
      <c r="H1007" s="148"/>
      <c r="I1007" s="148"/>
      <c r="J1007" s="148"/>
      <c r="K1007" s="148"/>
      <c r="L1007" s="152"/>
      <c r="M1007" s="152">
        <f t="shared" si="15"/>
        <v>0</v>
      </c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</row>
    <row r="1008" spans="1:27">
      <c r="A1008" s="147">
        <v>2291</v>
      </c>
      <c r="B1008" s="147" t="s">
        <v>66</v>
      </c>
      <c r="C1008" s="147" t="s">
        <v>28</v>
      </c>
      <c r="D1008" s="148" t="s">
        <v>29</v>
      </c>
      <c r="E1008" s="148" t="s">
        <v>30</v>
      </c>
      <c r="F1008" s="149">
        <v>2026</v>
      </c>
      <c r="G1008" s="148" t="s">
        <v>42</v>
      </c>
      <c r="H1008" s="148"/>
      <c r="I1008" s="148"/>
      <c r="J1008" s="148"/>
      <c r="K1008" s="148"/>
      <c r="L1008" s="152"/>
      <c r="M1008" s="152">
        <f t="shared" si="15"/>
        <v>0</v>
      </c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</row>
    <row r="1009" spans="1:27">
      <c r="A1009" s="147">
        <v>2292</v>
      </c>
      <c r="B1009" s="147" t="s">
        <v>66</v>
      </c>
      <c r="C1009" s="147" t="s">
        <v>28</v>
      </c>
      <c r="D1009" s="148" t="s">
        <v>29</v>
      </c>
      <c r="E1009" s="148" t="s">
        <v>30</v>
      </c>
      <c r="F1009" s="149">
        <v>2026</v>
      </c>
      <c r="G1009" s="148" t="s">
        <v>43</v>
      </c>
      <c r="H1009" s="148"/>
      <c r="I1009" s="148"/>
      <c r="J1009" s="148"/>
      <c r="K1009" s="148"/>
      <c r="L1009" s="152"/>
      <c r="M1009" s="152">
        <f t="shared" si="15"/>
        <v>0</v>
      </c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  <c r="Z1009" s="148"/>
      <c r="AA1009" s="148"/>
    </row>
    <row r="1010" spans="1:27">
      <c r="A1010" s="147">
        <v>2305</v>
      </c>
      <c r="B1010" s="147" t="s">
        <v>66</v>
      </c>
      <c r="C1010" s="147" t="s">
        <v>46</v>
      </c>
      <c r="D1010" s="148" t="s">
        <v>67</v>
      </c>
      <c r="E1010" s="148" t="s">
        <v>30</v>
      </c>
      <c r="F1010" s="149">
        <v>2024</v>
      </c>
      <c r="G1010" s="148" t="s">
        <v>31</v>
      </c>
      <c r="H1010" s="149" t="s">
        <v>44</v>
      </c>
      <c r="I1010" s="150">
        <v>1595299</v>
      </c>
      <c r="J1010" s="150">
        <v>-3438</v>
      </c>
      <c r="K1010" s="150">
        <v>4136629</v>
      </c>
      <c r="L1010" s="152"/>
      <c r="M1010" s="152">
        <f t="shared" si="15"/>
        <v>0</v>
      </c>
      <c r="N1010" s="148"/>
      <c r="O1010" s="148"/>
      <c r="P1010" s="148"/>
      <c r="Q1010" s="148"/>
      <c r="R1010" s="148"/>
      <c r="S1010" s="148"/>
      <c r="T1010" s="148"/>
      <c r="U1010" s="148"/>
      <c r="V1010" s="148"/>
      <c r="W1010" s="148"/>
      <c r="X1010" s="148"/>
      <c r="Y1010" s="148"/>
      <c r="Z1010" s="148"/>
      <c r="AA1010" s="148"/>
    </row>
    <row r="1011" spans="1:27">
      <c r="A1011" s="147">
        <v>2306</v>
      </c>
      <c r="B1011" s="147" t="s">
        <v>66</v>
      </c>
      <c r="C1011" s="147" t="s">
        <v>46</v>
      </c>
      <c r="D1011" s="148" t="s">
        <v>67</v>
      </c>
      <c r="E1011" s="148" t="s">
        <v>30</v>
      </c>
      <c r="F1011" s="149">
        <v>2024</v>
      </c>
      <c r="G1011" s="148" t="s">
        <v>33</v>
      </c>
      <c r="H1011" s="149">
        <v>1</v>
      </c>
      <c r="I1011" s="150">
        <v>1592527</v>
      </c>
      <c r="J1011" s="150">
        <v>-2772</v>
      </c>
      <c r="K1011" s="150">
        <v>4319261</v>
      </c>
      <c r="L1011" s="152"/>
      <c r="M1011" s="152">
        <f t="shared" si="15"/>
        <v>0</v>
      </c>
      <c r="N1011" s="148"/>
      <c r="O1011" s="148"/>
      <c r="P1011" s="148"/>
      <c r="Q1011" s="148"/>
      <c r="R1011" s="148"/>
      <c r="S1011" s="148"/>
      <c r="T1011" s="148"/>
      <c r="U1011" s="148"/>
      <c r="V1011" s="148"/>
      <c r="W1011" s="148"/>
      <c r="X1011" s="148"/>
      <c r="Y1011" s="148"/>
      <c r="Z1011" s="148"/>
      <c r="AA1011" s="148"/>
    </row>
    <row r="1012" spans="1:27">
      <c r="A1012" s="147">
        <v>2307</v>
      </c>
      <c r="B1012" s="147" t="s">
        <v>66</v>
      </c>
      <c r="C1012" s="147" t="s">
        <v>46</v>
      </c>
      <c r="D1012" s="148" t="s">
        <v>67</v>
      </c>
      <c r="E1012" s="148" t="s">
        <v>30</v>
      </c>
      <c r="F1012" s="149">
        <v>2024</v>
      </c>
      <c r="G1012" s="148" t="s">
        <v>34</v>
      </c>
      <c r="H1012" s="149" t="s">
        <v>44</v>
      </c>
      <c r="I1012" s="150">
        <v>1589250</v>
      </c>
      <c r="J1012" s="150">
        <v>-3277</v>
      </c>
      <c r="K1012" s="150">
        <v>4635310</v>
      </c>
      <c r="L1012" s="152"/>
      <c r="M1012" s="152">
        <f t="shared" si="15"/>
        <v>0</v>
      </c>
      <c r="N1012" s="148"/>
      <c r="O1012" s="148"/>
      <c r="P1012" s="148"/>
      <c r="Q1012" s="148"/>
      <c r="R1012" s="148"/>
      <c r="S1012" s="148"/>
      <c r="T1012" s="148"/>
      <c r="U1012" s="148"/>
      <c r="V1012" s="148"/>
      <c r="W1012" s="148"/>
      <c r="X1012" s="148"/>
      <c r="Y1012" s="148"/>
      <c r="Z1012" s="148"/>
      <c r="AA1012" s="148"/>
    </row>
    <row r="1013" spans="1:27">
      <c r="A1013" s="147">
        <v>2308</v>
      </c>
      <c r="B1013" s="147" t="s">
        <v>66</v>
      </c>
      <c r="C1013" s="147" t="s">
        <v>46</v>
      </c>
      <c r="D1013" s="148" t="s">
        <v>67</v>
      </c>
      <c r="E1013" s="148" t="s">
        <v>30</v>
      </c>
      <c r="F1013" s="149">
        <v>2024</v>
      </c>
      <c r="G1013" s="148" t="s">
        <v>35</v>
      </c>
      <c r="H1013" s="149" t="s">
        <v>44</v>
      </c>
      <c r="I1013" s="150">
        <v>1585417</v>
      </c>
      <c r="J1013" s="150">
        <v>-3833</v>
      </c>
      <c r="K1013" s="150">
        <v>6490697</v>
      </c>
      <c r="L1013" s="152"/>
      <c r="M1013" s="152">
        <f t="shared" si="15"/>
        <v>0</v>
      </c>
      <c r="N1013" s="148"/>
      <c r="O1013" s="148"/>
      <c r="P1013" s="148"/>
      <c r="Q1013" s="148"/>
      <c r="R1013" s="148"/>
      <c r="S1013" s="148"/>
      <c r="T1013" s="148"/>
      <c r="U1013" s="148"/>
      <c r="V1013" s="148"/>
      <c r="W1013" s="148"/>
      <c r="X1013" s="148"/>
      <c r="Y1013" s="148"/>
      <c r="Z1013" s="148"/>
      <c r="AA1013" s="148"/>
    </row>
    <row r="1014" spans="1:27">
      <c r="A1014" s="147">
        <v>2309</v>
      </c>
      <c r="B1014" s="147" t="s">
        <v>66</v>
      </c>
      <c r="C1014" s="147" t="s">
        <v>46</v>
      </c>
      <c r="D1014" s="148" t="s">
        <v>67</v>
      </c>
      <c r="E1014" s="148" t="s">
        <v>30</v>
      </c>
      <c r="F1014" s="149">
        <v>2024</v>
      </c>
      <c r="G1014" s="148" t="s">
        <v>36</v>
      </c>
      <c r="H1014" s="149" t="s">
        <v>44</v>
      </c>
      <c r="I1014" s="150">
        <v>1573260</v>
      </c>
      <c r="J1014" s="150">
        <v>-12157</v>
      </c>
      <c r="K1014" s="150">
        <v>4334591</v>
      </c>
      <c r="L1014" s="152"/>
      <c r="M1014" s="152">
        <f t="shared" si="15"/>
        <v>0</v>
      </c>
      <c r="N1014" s="148"/>
      <c r="O1014" s="148"/>
      <c r="P1014" s="148"/>
      <c r="Q1014" s="148"/>
      <c r="R1014" s="148"/>
      <c r="S1014" s="148"/>
      <c r="T1014" s="148"/>
      <c r="U1014" s="148"/>
      <c r="V1014" s="148"/>
      <c r="W1014" s="148"/>
      <c r="X1014" s="148"/>
      <c r="Y1014" s="148"/>
      <c r="Z1014" s="148"/>
      <c r="AA1014" s="148"/>
    </row>
    <row r="1015" spans="1:27">
      <c r="A1015" s="147">
        <v>2310</v>
      </c>
      <c r="B1015" s="147" t="s">
        <v>66</v>
      </c>
      <c r="C1015" s="147" t="s">
        <v>46</v>
      </c>
      <c r="D1015" s="148" t="s">
        <v>67</v>
      </c>
      <c r="E1015" s="148" t="s">
        <v>30</v>
      </c>
      <c r="F1015" s="149">
        <v>2024</v>
      </c>
      <c r="G1015" s="148" t="s">
        <v>37</v>
      </c>
      <c r="H1015" s="149">
        <v>1</v>
      </c>
      <c r="I1015" s="150">
        <v>1564815</v>
      </c>
      <c r="J1015" s="150">
        <v>-8445</v>
      </c>
      <c r="K1015" s="150">
        <v>4731057</v>
      </c>
      <c r="L1015" s="152"/>
      <c r="M1015" s="152">
        <f t="shared" si="15"/>
        <v>0</v>
      </c>
      <c r="N1015" s="148"/>
      <c r="O1015" s="148"/>
      <c r="P1015" s="148"/>
      <c r="Q1015" s="148"/>
      <c r="R1015" s="148"/>
      <c r="S1015" s="148"/>
      <c r="T1015" s="148"/>
      <c r="U1015" s="148"/>
      <c r="V1015" s="148"/>
      <c r="W1015" s="148"/>
      <c r="X1015" s="148"/>
      <c r="Y1015" s="148"/>
      <c r="Z1015" s="148"/>
      <c r="AA1015" s="148"/>
    </row>
    <row r="1016" spans="1:27">
      <c r="A1016" s="147">
        <v>2311</v>
      </c>
      <c r="B1016" s="147" t="s">
        <v>66</v>
      </c>
      <c r="C1016" s="147" t="s">
        <v>46</v>
      </c>
      <c r="D1016" s="148" t="s">
        <v>67</v>
      </c>
      <c r="E1016" s="148" t="s">
        <v>30</v>
      </c>
      <c r="F1016" s="149">
        <v>2024</v>
      </c>
      <c r="G1016" s="148" t="s">
        <v>38</v>
      </c>
      <c r="H1016" s="149" t="s">
        <v>44</v>
      </c>
      <c r="I1016" s="150">
        <v>1559077</v>
      </c>
      <c r="J1016" s="150">
        <v>-5738</v>
      </c>
      <c r="K1016" s="150">
        <v>898276</v>
      </c>
      <c r="L1016" s="152"/>
      <c r="M1016" s="152">
        <f t="shared" si="15"/>
        <v>0</v>
      </c>
      <c r="N1016" s="148"/>
      <c r="O1016" s="148"/>
      <c r="P1016" s="148"/>
      <c r="Q1016" s="148"/>
      <c r="R1016" s="148"/>
      <c r="S1016" s="148"/>
      <c r="T1016" s="148"/>
      <c r="U1016" s="148"/>
      <c r="V1016" s="148"/>
      <c r="W1016" s="148"/>
      <c r="X1016" s="148"/>
      <c r="Y1016" s="148"/>
      <c r="Z1016" s="148"/>
      <c r="AA1016" s="148"/>
    </row>
    <row r="1017" spans="1:27">
      <c r="A1017" s="147">
        <v>2312</v>
      </c>
      <c r="B1017" s="147" t="s">
        <v>66</v>
      </c>
      <c r="C1017" s="147" t="s">
        <v>46</v>
      </c>
      <c r="D1017" s="148" t="s">
        <v>67</v>
      </c>
      <c r="E1017" s="148" t="s">
        <v>30</v>
      </c>
      <c r="F1017" s="149">
        <v>2024</v>
      </c>
      <c r="G1017" s="148" t="s">
        <v>39</v>
      </c>
      <c r="H1017" s="149" t="s">
        <v>44</v>
      </c>
      <c r="I1017" s="150">
        <v>1554843</v>
      </c>
      <c r="J1017" s="150">
        <v>-4234</v>
      </c>
      <c r="K1017" s="150">
        <v>1610934</v>
      </c>
      <c r="L1017" s="152"/>
      <c r="M1017" s="152">
        <f t="shared" si="15"/>
        <v>0</v>
      </c>
      <c r="N1017" s="148"/>
      <c r="O1017" s="148"/>
      <c r="P1017" s="148"/>
      <c r="Q1017" s="148"/>
      <c r="R1017" s="148"/>
      <c r="S1017" s="148"/>
      <c r="T1017" s="148"/>
      <c r="U1017" s="148"/>
      <c r="V1017" s="148"/>
      <c r="W1017" s="148"/>
      <c r="X1017" s="148"/>
      <c r="Y1017" s="148"/>
      <c r="Z1017" s="148"/>
      <c r="AA1017" s="148"/>
    </row>
    <row r="1018" spans="1:27">
      <c r="A1018" s="147">
        <v>2313</v>
      </c>
      <c r="B1018" s="147" t="s">
        <v>66</v>
      </c>
      <c r="C1018" s="147" t="s">
        <v>46</v>
      </c>
      <c r="D1018" s="148" t="s">
        <v>67</v>
      </c>
      <c r="E1018" s="148" t="s">
        <v>30</v>
      </c>
      <c r="F1018" s="149">
        <v>2024</v>
      </c>
      <c r="G1018" s="148" t="s">
        <v>40</v>
      </c>
      <c r="H1018" s="149">
        <v>37</v>
      </c>
      <c r="I1018" s="150">
        <v>1551541</v>
      </c>
      <c r="J1018" s="150">
        <v>-3302</v>
      </c>
      <c r="K1018" s="150">
        <v>5591125</v>
      </c>
      <c r="L1018" s="152"/>
      <c r="M1018" s="152">
        <f t="shared" si="15"/>
        <v>0</v>
      </c>
      <c r="N1018" s="148"/>
      <c r="O1018" s="148"/>
      <c r="P1018" s="148"/>
      <c r="Q1018" s="148"/>
      <c r="R1018" s="148"/>
      <c r="S1018" s="148"/>
      <c r="T1018" s="148"/>
      <c r="U1018" s="148"/>
      <c r="V1018" s="148"/>
      <c r="W1018" s="148"/>
      <c r="X1018" s="148"/>
      <c r="Y1018" s="148"/>
      <c r="Z1018" s="148"/>
      <c r="AA1018" s="148"/>
    </row>
    <row r="1019" spans="1:27">
      <c r="A1019" s="147">
        <v>2314</v>
      </c>
      <c r="B1019" s="147" t="s">
        <v>66</v>
      </c>
      <c r="C1019" s="147" t="s">
        <v>46</v>
      </c>
      <c r="D1019" s="148" t="s">
        <v>67</v>
      </c>
      <c r="E1019" s="148" t="s">
        <v>30</v>
      </c>
      <c r="F1019" s="149">
        <v>2024</v>
      </c>
      <c r="G1019" s="148" t="s">
        <v>41</v>
      </c>
      <c r="H1019" s="149">
        <v>7</v>
      </c>
      <c r="I1019" s="150">
        <v>1547055</v>
      </c>
      <c r="J1019" s="150">
        <v>-4486</v>
      </c>
      <c r="K1019" s="150">
        <v>2501247</v>
      </c>
      <c r="L1019" s="152"/>
      <c r="M1019" s="152">
        <f t="shared" si="15"/>
        <v>0</v>
      </c>
      <c r="N1019" s="148"/>
      <c r="O1019" s="148"/>
      <c r="P1019" s="148"/>
      <c r="Q1019" s="148"/>
      <c r="R1019" s="148"/>
      <c r="S1019" s="148"/>
      <c r="T1019" s="148"/>
      <c r="U1019" s="148"/>
      <c r="V1019" s="148"/>
      <c r="W1019" s="148"/>
      <c r="X1019" s="148"/>
      <c r="Y1019" s="148"/>
      <c r="Z1019" s="148"/>
      <c r="AA1019" s="148"/>
    </row>
    <row r="1020" spans="1:27">
      <c r="A1020" s="147">
        <v>2315</v>
      </c>
      <c r="B1020" s="147" t="s">
        <v>66</v>
      </c>
      <c r="C1020" s="147" t="s">
        <v>46</v>
      </c>
      <c r="D1020" s="148" t="s">
        <v>67</v>
      </c>
      <c r="E1020" s="148" t="s">
        <v>30</v>
      </c>
      <c r="F1020" s="149">
        <v>2024</v>
      </c>
      <c r="G1020" s="148" t="s">
        <v>42</v>
      </c>
      <c r="H1020" s="149">
        <v>7</v>
      </c>
      <c r="I1020" s="150">
        <v>1542579</v>
      </c>
      <c r="J1020" s="150">
        <v>-4476</v>
      </c>
      <c r="K1020" s="150">
        <v>2392934</v>
      </c>
      <c r="L1020" s="152"/>
      <c r="M1020" s="152">
        <f t="shared" si="15"/>
        <v>0</v>
      </c>
      <c r="N1020" s="148"/>
      <c r="O1020" s="148"/>
      <c r="P1020" s="148"/>
      <c r="Q1020" s="148"/>
      <c r="R1020" s="148"/>
      <c r="S1020" s="148"/>
      <c r="T1020" s="148"/>
      <c r="U1020" s="148"/>
      <c r="V1020" s="148"/>
      <c r="W1020" s="148"/>
      <c r="X1020" s="148"/>
      <c r="Y1020" s="148"/>
      <c r="Z1020" s="148"/>
      <c r="AA1020" s="148"/>
    </row>
    <row r="1021" spans="1:27">
      <c r="A1021" s="147">
        <v>2316</v>
      </c>
      <c r="B1021" s="147" t="s">
        <v>66</v>
      </c>
      <c r="C1021" s="147" t="s">
        <v>46</v>
      </c>
      <c r="D1021" s="148" t="s">
        <v>67</v>
      </c>
      <c r="E1021" s="148" t="s">
        <v>30</v>
      </c>
      <c r="F1021" s="149">
        <v>2024</v>
      </c>
      <c r="G1021" s="148" t="s">
        <v>43</v>
      </c>
      <c r="H1021" s="149">
        <v>37</v>
      </c>
      <c r="I1021" s="150">
        <v>1538534</v>
      </c>
      <c r="J1021" s="150">
        <v>-4045</v>
      </c>
      <c r="K1021" s="150">
        <v>3940747</v>
      </c>
      <c r="L1021" s="152"/>
      <c r="M1021" s="152">
        <f t="shared" si="15"/>
        <v>0</v>
      </c>
      <c r="N1021" s="148"/>
      <c r="O1021" s="148"/>
      <c r="P1021" s="148"/>
      <c r="Q1021" s="148"/>
      <c r="R1021" s="148"/>
      <c r="S1021" s="148"/>
      <c r="T1021" s="148"/>
      <c r="U1021" s="148"/>
      <c r="V1021" s="148"/>
      <c r="W1021" s="148"/>
      <c r="X1021" s="148"/>
      <c r="Y1021" s="148"/>
      <c r="Z1021" s="148"/>
      <c r="AA1021" s="148"/>
    </row>
    <row r="1022" spans="1:27">
      <c r="A1022" s="147">
        <v>2317</v>
      </c>
      <c r="B1022" s="147" t="s">
        <v>66</v>
      </c>
      <c r="C1022" s="147" t="s">
        <v>46</v>
      </c>
      <c r="D1022" s="148" t="s">
        <v>67</v>
      </c>
      <c r="E1022" s="148" t="s">
        <v>30</v>
      </c>
      <c r="F1022" s="149">
        <v>2025</v>
      </c>
      <c r="G1022" s="148" t="s">
        <v>31</v>
      </c>
      <c r="H1022" s="149">
        <v>22</v>
      </c>
      <c r="I1022" s="150">
        <v>1534692</v>
      </c>
      <c r="J1022" s="150">
        <v>-3842</v>
      </c>
      <c r="K1022" s="150">
        <v>3005434</v>
      </c>
      <c r="L1022" s="152"/>
      <c r="M1022" s="152">
        <f t="shared" si="15"/>
        <v>0</v>
      </c>
      <c r="N1022" s="148"/>
      <c r="O1022" s="148"/>
      <c r="P1022" s="148"/>
      <c r="Q1022" s="148"/>
      <c r="R1022" s="148"/>
      <c r="S1022" s="148"/>
      <c r="T1022" s="148"/>
      <c r="U1022" s="148"/>
      <c r="V1022" s="148"/>
      <c r="W1022" s="148"/>
      <c r="X1022" s="148"/>
      <c r="Y1022" s="148"/>
      <c r="Z1022" s="148"/>
      <c r="AA1022" s="148"/>
    </row>
    <row r="1023" spans="1:27">
      <c r="A1023" s="147">
        <v>2318</v>
      </c>
      <c r="B1023" s="147" t="s">
        <v>66</v>
      </c>
      <c r="C1023" s="147" t="s">
        <v>46</v>
      </c>
      <c r="D1023" s="148" t="s">
        <v>67</v>
      </c>
      <c r="E1023" s="148" t="s">
        <v>30</v>
      </c>
      <c r="F1023" s="149">
        <v>2025</v>
      </c>
      <c r="G1023" s="148" t="s">
        <v>33</v>
      </c>
      <c r="H1023" s="149">
        <v>3</v>
      </c>
      <c r="I1023" s="150">
        <v>1531778</v>
      </c>
      <c r="J1023" s="150">
        <v>-2914</v>
      </c>
      <c r="K1023" s="150">
        <v>3021331</v>
      </c>
      <c r="L1023" s="152"/>
      <c r="M1023" s="152">
        <f t="shared" si="15"/>
        <v>0</v>
      </c>
      <c r="N1023" s="148"/>
      <c r="O1023" s="148"/>
      <c r="P1023" s="148"/>
      <c r="Q1023" s="148"/>
      <c r="R1023" s="148"/>
      <c r="S1023" s="148"/>
      <c r="T1023" s="148"/>
      <c r="U1023" s="148"/>
      <c r="V1023" s="148"/>
      <c r="W1023" s="148"/>
      <c r="X1023" s="148"/>
      <c r="Y1023" s="148"/>
      <c r="Z1023" s="148"/>
      <c r="AA1023" s="148"/>
    </row>
    <row r="1024" spans="1:27">
      <c r="A1024" s="147">
        <v>2319</v>
      </c>
      <c r="B1024" s="147" t="s">
        <v>66</v>
      </c>
      <c r="C1024" s="147" t="s">
        <v>46</v>
      </c>
      <c r="D1024" s="148" t="s">
        <v>67</v>
      </c>
      <c r="E1024" s="148" t="s">
        <v>30</v>
      </c>
      <c r="F1024" s="149">
        <v>2025</v>
      </c>
      <c r="G1024" s="148" t="s">
        <v>34</v>
      </c>
      <c r="H1024" s="149" t="s">
        <v>44</v>
      </c>
      <c r="I1024" s="150">
        <v>1528228</v>
      </c>
      <c r="J1024" s="150">
        <v>-3550</v>
      </c>
      <c r="K1024" s="153">
        <v>2337395</v>
      </c>
      <c r="L1024" s="152"/>
      <c r="M1024" s="152">
        <f t="shared" si="15"/>
        <v>0</v>
      </c>
      <c r="N1024" s="148"/>
      <c r="O1024" s="148"/>
      <c r="P1024" s="148"/>
      <c r="Q1024" s="148"/>
      <c r="R1024" s="148"/>
      <c r="S1024" s="148"/>
      <c r="T1024" s="148"/>
      <c r="U1024" s="148"/>
      <c r="V1024" s="148"/>
      <c r="W1024" s="148"/>
      <c r="X1024" s="148"/>
      <c r="Y1024" s="148"/>
      <c r="Z1024" s="148"/>
      <c r="AA1024" s="148"/>
    </row>
    <row r="1025" spans="1:27">
      <c r="A1025" s="147">
        <v>2320</v>
      </c>
      <c r="B1025" s="147" t="s">
        <v>66</v>
      </c>
      <c r="C1025" s="147" t="s">
        <v>46</v>
      </c>
      <c r="D1025" s="148" t="s">
        <v>67</v>
      </c>
      <c r="E1025" s="148" t="s">
        <v>30</v>
      </c>
      <c r="F1025" s="149">
        <v>2025</v>
      </c>
      <c r="G1025" s="148" t="s">
        <v>35</v>
      </c>
      <c r="H1025" s="149" t="s">
        <v>44</v>
      </c>
      <c r="I1025" s="150">
        <v>1525031</v>
      </c>
      <c r="J1025" s="150">
        <v>-3197</v>
      </c>
      <c r="K1025" s="150">
        <v>2215093</v>
      </c>
      <c r="L1025" s="152"/>
      <c r="M1025" s="152">
        <f t="shared" si="15"/>
        <v>0</v>
      </c>
      <c r="N1025" s="148"/>
      <c r="O1025" s="148"/>
      <c r="P1025" s="148"/>
      <c r="Q1025" s="148"/>
      <c r="R1025" s="148"/>
      <c r="S1025" s="148"/>
      <c r="T1025" s="148"/>
      <c r="U1025" s="148"/>
      <c r="V1025" s="148"/>
      <c r="W1025" s="148"/>
      <c r="X1025" s="148"/>
      <c r="Y1025" s="148"/>
      <c r="Z1025" s="148"/>
      <c r="AA1025" s="148"/>
    </row>
    <row r="1026" spans="1:27">
      <c r="A1026" s="147">
        <v>2321</v>
      </c>
      <c r="B1026" s="147" t="s">
        <v>66</v>
      </c>
      <c r="C1026" s="147" t="s">
        <v>46</v>
      </c>
      <c r="D1026" s="148" t="s">
        <v>67</v>
      </c>
      <c r="E1026" s="148" t="s">
        <v>30</v>
      </c>
      <c r="F1026" s="149">
        <v>2025</v>
      </c>
      <c r="G1026" s="148" t="s">
        <v>36</v>
      </c>
      <c r="H1026" s="149" t="s">
        <v>44</v>
      </c>
      <c r="I1026" s="150">
        <v>1521635</v>
      </c>
      <c r="J1026" s="150">
        <v>-3396</v>
      </c>
      <c r="K1026" s="150">
        <v>2254057</v>
      </c>
      <c r="L1026" s="152"/>
      <c r="M1026" s="152">
        <f t="shared" ref="M1026:M1089" si="16">L1026*17000</f>
        <v>0</v>
      </c>
      <c r="N1026" s="148"/>
      <c r="O1026" s="148"/>
      <c r="P1026" s="148"/>
      <c r="Q1026" s="148"/>
      <c r="R1026" s="148"/>
      <c r="S1026" s="148"/>
      <c r="T1026" s="148"/>
      <c r="U1026" s="148"/>
      <c r="V1026" s="148"/>
      <c r="W1026" s="148"/>
      <c r="X1026" s="148"/>
      <c r="Y1026" s="148"/>
      <c r="Z1026" s="148"/>
      <c r="AA1026" s="148"/>
    </row>
    <row r="1027" spans="1:27">
      <c r="A1027" s="147">
        <v>2322</v>
      </c>
      <c r="B1027" s="147" t="s">
        <v>66</v>
      </c>
      <c r="C1027" s="147" t="s">
        <v>46</v>
      </c>
      <c r="D1027" s="148" t="s">
        <v>67</v>
      </c>
      <c r="E1027" s="148" t="s">
        <v>30</v>
      </c>
      <c r="F1027" s="149">
        <v>2025</v>
      </c>
      <c r="G1027" s="148" t="s">
        <v>37</v>
      </c>
      <c r="H1027" s="149" t="s">
        <v>44</v>
      </c>
      <c r="I1027" s="150">
        <v>1518517</v>
      </c>
      <c r="J1027" s="150">
        <v>-3118</v>
      </c>
      <c r="K1027" s="150">
        <v>1975628</v>
      </c>
      <c r="L1027" s="152"/>
      <c r="M1027" s="152">
        <f t="shared" si="16"/>
        <v>0</v>
      </c>
      <c r="N1027" s="148"/>
      <c r="O1027" s="148"/>
      <c r="P1027" s="148"/>
      <c r="Q1027" s="148"/>
      <c r="R1027" s="148"/>
      <c r="S1027" s="148"/>
      <c r="T1027" s="148"/>
      <c r="U1027" s="148"/>
      <c r="V1027" s="148"/>
      <c r="W1027" s="148"/>
      <c r="X1027" s="148"/>
      <c r="Y1027" s="148"/>
      <c r="Z1027" s="148"/>
      <c r="AA1027" s="148"/>
    </row>
    <row r="1028" spans="1:27">
      <c r="A1028" s="147">
        <v>2323</v>
      </c>
      <c r="B1028" s="147" t="s">
        <v>66</v>
      </c>
      <c r="C1028" s="147" t="s">
        <v>46</v>
      </c>
      <c r="D1028" s="148" t="s">
        <v>67</v>
      </c>
      <c r="E1028" s="148" t="s">
        <v>30</v>
      </c>
      <c r="F1028" s="149">
        <v>2025</v>
      </c>
      <c r="G1028" s="148" t="s">
        <v>38</v>
      </c>
      <c r="H1028" s="149">
        <v>0</v>
      </c>
      <c r="I1028" s="150">
        <v>1516395</v>
      </c>
      <c r="J1028" s="150">
        <v>-1778</v>
      </c>
      <c r="K1028" s="150">
        <v>2618624</v>
      </c>
      <c r="L1028" s="152"/>
      <c r="M1028" s="152">
        <f t="shared" si="16"/>
        <v>0</v>
      </c>
      <c r="N1028" s="148"/>
      <c r="O1028" s="150">
        <v>2172804</v>
      </c>
      <c r="P1028" s="150">
        <v>22753</v>
      </c>
      <c r="Q1028" s="154">
        <v>0.5</v>
      </c>
      <c r="R1028" s="154">
        <v>0.44</v>
      </c>
      <c r="S1028" s="154">
        <v>0.06</v>
      </c>
      <c r="T1028" s="148" t="s">
        <v>44</v>
      </c>
      <c r="U1028" s="154">
        <v>0.271</v>
      </c>
      <c r="V1028" s="154">
        <v>0.482</v>
      </c>
      <c r="W1028" s="154">
        <v>0.173</v>
      </c>
      <c r="X1028" s="154">
        <v>0.054</v>
      </c>
      <c r="Y1028" s="154">
        <v>0.02</v>
      </c>
      <c r="Z1028" s="148" t="s">
        <v>44</v>
      </c>
      <c r="AA1028" s="148" t="s">
        <v>45</v>
      </c>
    </row>
    <row r="1029" spans="1:27">
      <c r="A1029" s="147">
        <v>2324</v>
      </c>
      <c r="B1029" s="147" t="s">
        <v>66</v>
      </c>
      <c r="C1029" s="147" t="s">
        <v>46</v>
      </c>
      <c r="D1029" s="148" t="s">
        <v>67</v>
      </c>
      <c r="E1029" s="148" t="s">
        <v>30</v>
      </c>
      <c r="F1029" s="149">
        <v>2025</v>
      </c>
      <c r="G1029" s="148" t="s">
        <v>39</v>
      </c>
      <c r="H1029" s="149">
        <v>1</v>
      </c>
      <c r="I1029" s="150">
        <v>1514933</v>
      </c>
      <c r="J1029" s="150">
        <v>-1457</v>
      </c>
      <c r="K1029" s="150">
        <v>1884353</v>
      </c>
      <c r="L1029" s="152"/>
      <c r="M1029" s="152">
        <f t="shared" si="16"/>
        <v>0</v>
      </c>
      <c r="N1029" s="148"/>
      <c r="O1029" s="150">
        <v>1499402</v>
      </c>
      <c r="P1029" s="150">
        <v>21618</v>
      </c>
      <c r="Q1029" s="154">
        <v>0.5</v>
      </c>
      <c r="R1029" s="154">
        <v>0.44</v>
      </c>
      <c r="S1029" s="154">
        <v>0.06</v>
      </c>
      <c r="T1029" s="148" t="s">
        <v>44</v>
      </c>
      <c r="U1029" s="154">
        <v>0.27</v>
      </c>
      <c r="V1029" s="154">
        <v>0.48</v>
      </c>
      <c r="W1029" s="154">
        <v>0.174</v>
      </c>
      <c r="X1029" s="154">
        <v>0.055</v>
      </c>
      <c r="Y1029" s="154">
        <v>0.021</v>
      </c>
      <c r="Z1029" s="148" t="s">
        <v>44</v>
      </c>
      <c r="AA1029" s="148" t="s">
        <v>45</v>
      </c>
    </row>
    <row r="1030" spans="1:27">
      <c r="A1030" s="147">
        <v>2325</v>
      </c>
      <c r="B1030" s="147" t="s">
        <v>66</v>
      </c>
      <c r="C1030" s="147" t="s">
        <v>46</v>
      </c>
      <c r="D1030" s="148" t="s">
        <v>67</v>
      </c>
      <c r="E1030" s="148" t="s">
        <v>30</v>
      </c>
      <c r="F1030" s="149">
        <v>2025</v>
      </c>
      <c r="G1030" s="148" t="s">
        <v>40</v>
      </c>
      <c r="H1030" s="149">
        <v>5</v>
      </c>
      <c r="I1030" s="150">
        <v>1513520</v>
      </c>
      <c r="J1030" s="150">
        <v>-1410</v>
      </c>
      <c r="K1030" s="150">
        <v>2146062</v>
      </c>
      <c r="L1030" s="152"/>
      <c r="M1030" s="152">
        <f t="shared" si="16"/>
        <v>0</v>
      </c>
      <c r="N1030" s="148"/>
      <c r="O1030" s="150">
        <v>1682578</v>
      </c>
      <c r="P1030" s="150">
        <v>22167</v>
      </c>
      <c r="Q1030" s="154">
        <v>0.5</v>
      </c>
      <c r="R1030" s="154">
        <v>0.44</v>
      </c>
      <c r="S1030" s="154">
        <v>0.06</v>
      </c>
      <c r="T1030" s="148" t="s">
        <v>44</v>
      </c>
      <c r="U1030" s="154">
        <v>0.269</v>
      </c>
      <c r="V1030" s="154">
        <v>0.481</v>
      </c>
      <c r="W1030" s="154">
        <v>0.174</v>
      </c>
      <c r="X1030" s="154">
        <v>0.055</v>
      </c>
      <c r="Y1030" s="154">
        <v>0.021</v>
      </c>
      <c r="Z1030" s="148" t="s">
        <v>44</v>
      </c>
      <c r="AA1030" s="148" t="s">
        <v>45</v>
      </c>
    </row>
    <row r="1031" spans="1:27">
      <c r="A1031" s="147">
        <v>2326</v>
      </c>
      <c r="B1031" s="147" t="s">
        <v>66</v>
      </c>
      <c r="C1031" s="147" t="s">
        <v>46</v>
      </c>
      <c r="D1031" s="148" t="s">
        <v>67</v>
      </c>
      <c r="E1031" s="148" t="s">
        <v>30</v>
      </c>
      <c r="F1031" s="149">
        <v>2025</v>
      </c>
      <c r="G1031" s="148" t="s">
        <v>41</v>
      </c>
      <c r="H1031" s="149">
        <v>3</v>
      </c>
      <c r="I1031" s="150">
        <v>1512285</v>
      </c>
      <c r="J1031" s="150">
        <v>-1148</v>
      </c>
      <c r="K1031" s="150">
        <v>2452447</v>
      </c>
      <c r="L1031" s="152"/>
      <c r="M1031" s="152">
        <f t="shared" si="16"/>
        <v>0</v>
      </c>
      <c r="N1031" s="148"/>
      <c r="O1031" s="150">
        <v>2106912</v>
      </c>
      <c r="P1031" s="150">
        <v>29664</v>
      </c>
      <c r="Q1031" s="154">
        <v>0.5</v>
      </c>
      <c r="R1031" s="154">
        <v>0.44</v>
      </c>
      <c r="S1031" s="154">
        <v>0.06</v>
      </c>
      <c r="T1031" s="148" t="s">
        <v>44</v>
      </c>
      <c r="U1031" s="154">
        <v>0.267</v>
      </c>
      <c r="V1031" s="154">
        <v>0.481</v>
      </c>
      <c r="W1031" s="154">
        <v>0.175</v>
      </c>
      <c r="X1031" s="154">
        <v>0.056</v>
      </c>
      <c r="Y1031" s="154">
        <v>0.021</v>
      </c>
      <c r="Z1031" s="148" t="s">
        <v>44</v>
      </c>
      <c r="AA1031" s="148" t="s">
        <v>45</v>
      </c>
    </row>
    <row r="1032" spans="1:27">
      <c r="A1032" s="147">
        <v>2327</v>
      </c>
      <c r="B1032" s="147" t="s">
        <v>66</v>
      </c>
      <c r="C1032" s="147" t="s">
        <v>46</v>
      </c>
      <c r="D1032" s="148" t="s">
        <v>67</v>
      </c>
      <c r="E1032" s="148" t="s">
        <v>30</v>
      </c>
      <c r="F1032" s="149">
        <v>2025</v>
      </c>
      <c r="G1032" s="148" t="s">
        <v>42</v>
      </c>
      <c r="H1032" s="149">
        <v>1</v>
      </c>
      <c r="I1032" s="150">
        <v>1510700</v>
      </c>
      <c r="J1032" s="150">
        <v>-1527</v>
      </c>
      <c r="K1032" s="150">
        <v>1754250</v>
      </c>
      <c r="L1032" s="152"/>
      <c r="M1032" s="152">
        <f t="shared" si="16"/>
        <v>0</v>
      </c>
      <c r="N1032" s="148"/>
      <c r="O1032" s="150">
        <v>1375427</v>
      </c>
      <c r="P1032" s="150">
        <v>17059</v>
      </c>
      <c r="Q1032" s="154">
        <v>0.5</v>
      </c>
      <c r="R1032" s="154">
        <v>0.44</v>
      </c>
      <c r="S1032" s="154">
        <v>0.06</v>
      </c>
      <c r="T1032" s="148" t="s">
        <v>44</v>
      </c>
      <c r="U1032" s="154">
        <v>0.266</v>
      </c>
      <c r="V1032" s="154">
        <v>0.481</v>
      </c>
      <c r="W1032" s="154">
        <v>0.176</v>
      </c>
      <c r="X1032" s="154">
        <v>0.056</v>
      </c>
      <c r="Y1032" s="154">
        <v>0.021</v>
      </c>
      <c r="Z1032" s="148" t="s">
        <v>44</v>
      </c>
      <c r="AA1032" s="148" t="s">
        <v>45</v>
      </c>
    </row>
    <row r="1033" spans="1:27">
      <c r="A1033" s="147">
        <v>2328</v>
      </c>
      <c r="B1033" s="147" t="s">
        <v>66</v>
      </c>
      <c r="C1033" s="147" t="s">
        <v>46</v>
      </c>
      <c r="D1033" s="148" t="s">
        <v>67</v>
      </c>
      <c r="E1033" s="148" t="s">
        <v>30</v>
      </c>
      <c r="F1033" s="149">
        <v>2025</v>
      </c>
      <c r="G1033" s="148" t="s">
        <v>43</v>
      </c>
      <c r="H1033" s="149">
        <v>154</v>
      </c>
      <c r="I1033" s="150">
        <v>1511693</v>
      </c>
      <c r="J1033" s="149">
        <v>993</v>
      </c>
      <c r="K1033" s="150">
        <v>7174847</v>
      </c>
      <c r="L1033" s="152"/>
      <c r="M1033" s="152">
        <f t="shared" si="16"/>
        <v>0</v>
      </c>
      <c r="N1033" s="148"/>
      <c r="O1033" s="150">
        <v>6899818</v>
      </c>
      <c r="P1033" s="150">
        <v>190321</v>
      </c>
      <c r="Q1033" s="154">
        <v>0.5</v>
      </c>
      <c r="R1033" s="154">
        <v>0.44</v>
      </c>
      <c r="S1033" s="154">
        <v>0.06</v>
      </c>
      <c r="T1033" s="148" t="s">
        <v>44</v>
      </c>
      <c r="U1033" s="154">
        <v>0.264</v>
      </c>
      <c r="V1033" s="154">
        <v>0.483</v>
      </c>
      <c r="W1033" s="154">
        <v>0.176</v>
      </c>
      <c r="X1033" s="154">
        <v>0.056</v>
      </c>
      <c r="Y1033" s="154">
        <v>0.021</v>
      </c>
      <c r="Z1033" s="148" t="s">
        <v>44</v>
      </c>
      <c r="AA1033" s="148" t="s">
        <v>45</v>
      </c>
    </row>
    <row r="1034" spans="1:27">
      <c r="A1034" s="147">
        <v>2329</v>
      </c>
      <c r="B1034" s="147" t="s">
        <v>66</v>
      </c>
      <c r="C1034" s="147" t="s">
        <v>46</v>
      </c>
      <c r="D1034" s="148" t="s">
        <v>67</v>
      </c>
      <c r="E1034" s="148" t="s">
        <v>30</v>
      </c>
      <c r="F1034" s="149">
        <v>2026</v>
      </c>
      <c r="G1034" s="148" t="s">
        <v>31</v>
      </c>
      <c r="H1034" s="149">
        <v>1</v>
      </c>
      <c r="I1034" s="150">
        <v>1509936</v>
      </c>
      <c r="J1034" s="150">
        <v>-1757</v>
      </c>
      <c r="K1034" s="150">
        <v>1431007</v>
      </c>
      <c r="L1034" s="152"/>
      <c r="M1034" s="152">
        <f t="shared" si="16"/>
        <v>0</v>
      </c>
      <c r="N1034" s="148"/>
      <c r="O1034" s="150">
        <v>1095897</v>
      </c>
      <c r="P1034" s="150">
        <v>14844</v>
      </c>
      <c r="Q1034" s="154">
        <v>0.5</v>
      </c>
      <c r="R1034" s="154">
        <v>0.44</v>
      </c>
      <c r="S1034" s="154">
        <v>0.06</v>
      </c>
      <c r="T1034" s="148" t="s">
        <v>44</v>
      </c>
      <c r="U1034" s="154">
        <v>0.263</v>
      </c>
      <c r="V1034" s="154">
        <v>0.481</v>
      </c>
      <c r="W1034" s="154">
        <v>0.177</v>
      </c>
      <c r="X1034" s="154">
        <v>0.057</v>
      </c>
      <c r="Y1034" s="154">
        <v>0.022</v>
      </c>
      <c r="Z1034" s="148" t="s">
        <v>44</v>
      </c>
      <c r="AA1034" s="148" t="s">
        <v>45</v>
      </c>
    </row>
    <row r="1035" spans="1:27">
      <c r="A1035" s="147">
        <v>2330</v>
      </c>
      <c r="B1035" s="147" t="s">
        <v>66</v>
      </c>
      <c r="C1035" s="147" t="s">
        <v>46</v>
      </c>
      <c r="D1035" s="148" t="s">
        <v>67</v>
      </c>
      <c r="E1035" s="148" t="s">
        <v>30</v>
      </c>
      <c r="F1035" s="149">
        <v>2026</v>
      </c>
      <c r="G1035" s="148" t="s">
        <v>33</v>
      </c>
      <c r="H1035" s="149">
        <v>0</v>
      </c>
      <c r="I1035" s="150">
        <v>1508525</v>
      </c>
      <c r="J1035" s="150">
        <v>-1411</v>
      </c>
      <c r="K1035" s="150">
        <v>2369091</v>
      </c>
      <c r="L1035" s="152"/>
      <c r="M1035" s="152">
        <f t="shared" si="16"/>
        <v>0</v>
      </c>
      <c r="N1035" s="148"/>
      <c r="O1035" s="150">
        <v>2009234</v>
      </c>
      <c r="P1035" s="150">
        <v>20309</v>
      </c>
      <c r="Q1035" s="154">
        <v>0.5</v>
      </c>
      <c r="R1035" s="154">
        <v>0.44</v>
      </c>
      <c r="S1035" s="154">
        <v>0.06</v>
      </c>
      <c r="T1035" s="148" t="s">
        <v>44</v>
      </c>
      <c r="U1035" s="154">
        <v>0.262</v>
      </c>
      <c r="V1035" s="154">
        <v>0.481</v>
      </c>
      <c r="W1035" s="154">
        <v>0.178</v>
      </c>
      <c r="X1035" s="154">
        <v>0.057</v>
      </c>
      <c r="Y1035" s="154">
        <v>0.022</v>
      </c>
      <c r="Z1035" s="148" t="s">
        <v>44</v>
      </c>
      <c r="AA1035" s="148" t="s">
        <v>45</v>
      </c>
    </row>
    <row r="1036" spans="1:27">
      <c r="A1036" s="147">
        <v>2331</v>
      </c>
      <c r="B1036" s="147" t="s">
        <v>66</v>
      </c>
      <c r="C1036" s="147" t="s">
        <v>46</v>
      </c>
      <c r="D1036" s="148" t="s">
        <v>67</v>
      </c>
      <c r="E1036" s="148" t="s">
        <v>30</v>
      </c>
      <c r="F1036" s="149">
        <v>2026</v>
      </c>
      <c r="G1036" s="148" t="s">
        <v>34</v>
      </c>
      <c r="H1036" s="149">
        <v>0</v>
      </c>
      <c r="I1036" s="150">
        <v>1506988</v>
      </c>
      <c r="J1036" s="150">
        <v>-1537</v>
      </c>
      <c r="K1036" s="150">
        <v>1671540</v>
      </c>
      <c r="L1036" s="152"/>
      <c r="M1036" s="152">
        <f t="shared" si="16"/>
        <v>0</v>
      </c>
      <c r="N1036" s="148"/>
      <c r="O1036" s="150">
        <v>1332496</v>
      </c>
      <c r="P1036" s="150">
        <v>14992</v>
      </c>
      <c r="Q1036" s="154">
        <v>0.5</v>
      </c>
      <c r="R1036" s="154">
        <v>0.44</v>
      </c>
      <c r="S1036" s="154">
        <v>0.06</v>
      </c>
      <c r="T1036" s="148" t="s">
        <v>44</v>
      </c>
      <c r="U1036" s="154">
        <v>0.261</v>
      </c>
      <c r="V1036" s="154">
        <v>0.482</v>
      </c>
      <c r="W1036" s="154">
        <v>0.178</v>
      </c>
      <c r="X1036" s="154">
        <v>0.057</v>
      </c>
      <c r="Y1036" s="154">
        <v>0.022</v>
      </c>
      <c r="Z1036" s="148" t="s">
        <v>44</v>
      </c>
      <c r="AA1036" s="148" t="s">
        <v>45</v>
      </c>
    </row>
    <row r="1037" spans="1:27">
      <c r="A1037" s="147">
        <v>2332</v>
      </c>
      <c r="B1037" s="147" t="s">
        <v>66</v>
      </c>
      <c r="C1037" s="147" t="s">
        <v>46</v>
      </c>
      <c r="D1037" s="148" t="s">
        <v>67</v>
      </c>
      <c r="E1037" s="148" t="s">
        <v>30</v>
      </c>
      <c r="F1037" s="149">
        <v>2026</v>
      </c>
      <c r="G1037" s="148" t="s">
        <v>35</v>
      </c>
      <c r="H1037" s="149">
        <v>0</v>
      </c>
      <c r="I1037" s="150">
        <v>1505456</v>
      </c>
      <c r="J1037" s="150">
        <v>-1532</v>
      </c>
      <c r="K1037" s="150">
        <v>1206661</v>
      </c>
      <c r="L1037" s="152"/>
      <c r="M1037" s="152">
        <f t="shared" si="16"/>
        <v>0</v>
      </c>
      <c r="N1037" s="148"/>
      <c r="O1037" s="150">
        <v>891692</v>
      </c>
      <c r="P1037" s="150">
        <v>10606</v>
      </c>
      <c r="Q1037" s="154">
        <v>0.5</v>
      </c>
      <c r="R1037" s="154">
        <v>0.44</v>
      </c>
      <c r="S1037" s="154">
        <v>0.06</v>
      </c>
      <c r="T1037" s="148" t="s">
        <v>44</v>
      </c>
      <c r="U1037" s="154">
        <v>0.26</v>
      </c>
      <c r="V1037" s="154">
        <v>0.481</v>
      </c>
      <c r="W1037" s="154">
        <v>0.179</v>
      </c>
      <c r="X1037" s="154">
        <v>0.058</v>
      </c>
      <c r="Y1037" s="154">
        <v>0.022</v>
      </c>
      <c r="Z1037" s="148" t="s">
        <v>44</v>
      </c>
      <c r="AA1037" s="148" t="s">
        <v>45</v>
      </c>
    </row>
    <row r="1038" spans="1:27">
      <c r="A1038" s="147">
        <v>2333</v>
      </c>
      <c r="B1038" s="147" t="s">
        <v>66</v>
      </c>
      <c r="C1038" s="147" t="s">
        <v>46</v>
      </c>
      <c r="D1038" s="148" t="s">
        <v>67</v>
      </c>
      <c r="E1038" s="148" t="s">
        <v>30</v>
      </c>
      <c r="F1038" s="149">
        <v>2026</v>
      </c>
      <c r="G1038" s="148" t="s">
        <v>36</v>
      </c>
      <c r="H1038" s="149">
        <v>0</v>
      </c>
      <c r="I1038" s="150">
        <v>1503923</v>
      </c>
      <c r="J1038" s="150">
        <v>-1533</v>
      </c>
      <c r="K1038" s="150">
        <v>1562487</v>
      </c>
      <c r="L1038" s="152"/>
      <c r="M1038" s="152">
        <f t="shared" si="16"/>
        <v>0</v>
      </c>
      <c r="N1038" s="148"/>
      <c r="O1038" s="150">
        <v>1239095</v>
      </c>
      <c r="P1038" s="150">
        <v>12117</v>
      </c>
      <c r="Q1038" s="154">
        <v>0.5</v>
      </c>
      <c r="R1038" s="154">
        <v>0.44</v>
      </c>
      <c r="S1038" s="154">
        <v>0.06</v>
      </c>
      <c r="T1038" s="148" t="s">
        <v>44</v>
      </c>
      <c r="U1038" s="154">
        <v>0.26</v>
      </c>
      <c r="V1038" s="154">
        <v>0.481</v>
      </c>
      <c r="W1038" s="154">
        <v>0.179</v>
      </c>
      <c r="X1038" s="154">
        <v>0.058</v>
      </c>
      <c r="Y1038" s="154">
        <v>0.022</v>
      </c>
      <c r="Z1038" s="148" t="s">
        <v>44</v>
      </c>
      <c r="AA1038" s="148" t="s">
        <v>45</v>
      </c>
    </row>
    <row r="1039" spans="1:27">
      <c r="A1039" s="147">
        <v>2334</v>
      </c>
      <c r="B1039" s="147" t="s">
        <v>66</v>
      </c>
      <c r="C1039" s="147" t="s">
        <v>46</v>
      </c>
      <c r="D1039" s="148" t="s">
        <v>67</v>
      </c>
      <c r="E1039" s="148" t="s">
        <v>30</v>
      </c>
      <c r="F1039" s="149">
        <v>2026</v>
      </c>
      <c r="G1039" s="148" t="s">
        <v>37</v>
      </c>
      <c r="H1039" s="149">
        <v>0</v>
      </c>
      <c r="I1039" s="150">
        <v>1502392</v>
      </c>
      <c r="J1039" s="150">
        <v>-1457</v>
      </c>
      <c r="K1039" s="150">
        <v>1289744</v>
      </c>
      <c r="L1039" s="152"/>
      <c r="M1039" s="152">
        <f t="shared" si="16"/>
        <v>0</v>
      </c>
      <c r="N1039" s="148"/>
      <c r="O1039" s="150">
        <v>978367</v>
      </c>
      <c r="P1039" s="150">
        <v>8755</v>
      </c>
      <c r="Q1039" s="154">
        <v>0.51</v>
      </c>
      <c r="R1039" s="154">
        <v>0.43</v>
      </c>
      <c r="S1039" s="154">
        <v>0.06</v>
      </c>
      <c r="T1039" s="148" t="s">
        <v>44</v>
      </c>
      <c r="U1039" s="154">
        <v>0.259</v>
      </c>
      <c r="V1039" s="154">
        <v>0.48</v>
      </c>
      <c r="W1039" s="154">
        <v>0.18</v>
      </c>
      <c r="X1039" s="154">
        <v>0.059</v>
      </c>
      <c r="Y1039" s="154">
        <v>0.022</v>
      </c>
      <c r="Z1039" s="148" t="s">
        <v>44</v>
      </c>
      <c r="AA1039" s="148" t="s">
        <v>45</v>
      </c>
    </row>
    <row r="1040" spans="1:27">
      <c r="A1040" s="147">
        <v>2335</v>
      </c>
      <c r="B1040" s="147" t="s">
        <v>66</v>
      </c>
      <c r="C1040" s="147" t="s">
        <v>46</v>
      </c>
      <c r="D1040" s="148" t="s">
        <v>67</v>
      </c>
      <c r="E1040" s="148" t="s">
        <v>30</v>
      </c>
      <c r="F1040" s="149">
        <v>2026</v>
      </c>
      <c r="G1040" s="148" t="s">
        <v>38</v>
      </c>
      <c r="H1040" s="149">
        <v>0</v>
      </c>
      <c r="I1040" s="150">
        <v>1500888</v>
      </c>
      <c r="J1040" s="150">
        <v>-1504</v>
      </c>
      <c r="K1040" s="150">
        <v>819530</v>
      </c>
      <c r="L1040" s="152"/>
      <c r="M1040" s="152">
        <f t="shared" si="16"/>
        <v>0</v>
      </c>
      <c r="N1040" s="148"/>
      <c r="O1040" s="150">
        <v>519531</v>
      </c>
      <c r="P1040" s="150">
        <v>5822</v>
      </c>
      <c r="Q1040" s="154">
        <v>0.51</v>
      </c>
      <c r="R1040" s="154">
        <v>0.43</v>
      </c>
      <c r="S1040" s="154">
        <v>0.06</v>
      </c>
      <c r="T1040" s="148" t="s">
        <v>44</v>
      </c>
      <c r="U1040" s="154">
        <v>0.258</v>
      </c>
      <c r="V1040" s="154">
        <v>0.48</v>
      </c>
      <c r="W1040" s="154">
        <v>0.181</v>
      </c>
      <c r="X1040" s="154">
        <v>0.059</v>
      </c>
      <c r="Y1040" s="154">
        <v>0.022</v>
      </c>
      <c r="Z1040" s="148" t="s">
        <v>44</v>
      </c>
      <c r="AA1040" s="148" t="s">
        <v>45</v>
      </c>
    </row>
    <row r="1041" spans="1:27">
      <c r="A1041" s="147">
        <v>2336</v>
      </c>
      <c r="B1041" s="147" t="s">
        <v>66</v>
      </c>
      <c r="C1041" s="147" t="s">
        <v>46</v>
      </c>
      <c r="D1041" s="148" t="s">
        <v>67</v>
      </c>
      <c r="E1041" s="148" t="s">
        <v>30</v>
      </c>
      <c r="F1041" s="149">
        <v>2026</v>
      </c>
      <c r="G1041" s="148" t="s">
        <v>39</v>
      </c>
      <c r="H1041" s="148"/>
      <c r="I1041" s="148"/>
      <c r="J1041" s="148"/>
      <c r="K1041" s="148"/>
      <c r="L1041" s="152"/>
      <c r="M1041" s="152">
        <f t="shared" si="16"/>
        <v>0</v>
      </c>
      <c r="N1041" s="148"/>
      <c r="O1041" s="148"/>
      <c r="P1041" s="148"/>
      <c r="Q1041" s="148"/>
      <c r="R1041" s="148"/>
      <c r="S1041" s="148"/>
      <c r="T1041" s="148"/>
      <c r="U1041" s="148"/>
      <c r="V1041" s="148"/>
      <c r="W1041" s="148"/>
      <c r="X1041" s="148"/>
      <c r="Y1041" s="148"/>
      <c r="Z1041" s="148"/>
      <c r="AA1041" s="148"/>
    </row>
    <row r="1042" spans="1:27">
      <c r="A1042" s="147">
        <v>2337</v>
      </c>
      <c r="B1042" s="147" t="s">
        <v>66</v>
      </c>
      <c r="C1042" s="147" t="s">
        <v>46</v>
      </c>
      <c r="D1042" s="148" t="s">
        <v>67</v>
      </c>
      <c r="E1042" s="148" t="s">
        <v>30</v>
      </c>
      <c r="F1042" s="149">
        <v>2026</v>
      </c>
      <c r="G1042" s="148" t="s">
        <v>40</v>
      </c>
      <c r="H1042" s="148"/>
      <c r="I1042" s="148"/>
      <c r="J1042" s="148"/>
      <c r="K1042" s="148"/>
      <c r="L1042" s="152"/>
      <c r="M1042" s="152">
        <f t="shared" si="16"/>
        <v>0</v>
      </c>
      <c r="N1042" s="148"/>
      <c r="O1042" s="148"/>
      <c r="P1042" s="148"/>
      <c r="Q1042" s="148"/>
      <c r="R1042" s="148"/>
      <c r="S1042" s="148"/>
      <c r="T1042" s="148"/>
      <c r="U1042" s="148"/>
      <c r="V1042" s="148"/>
      <c r="W1042" s="148"/>
      <c r="X1042" s="148"/>
      <c r="Y1042" s="148"/>
      <c r="Z1042" s="148"/>
      <c r="AA1042" s="148"/>
    </row>
    <row r="1043" spans="1:27">
      <c r="A1043" s="147">
        <v>2338</v>
      </c>
      <c r="B1043" s="147" t="s">
        <v>66</v>
      </c>
      <c r="C1043" s="147" t="s">
        <v>46</v>
      </c>
      <c r="D1043" s="148" t="s">
        <v>67</v>
      </c>
      <c r="E1043" s="148" t="s">
        <v>30</v>
      </c>
      <c r="F1043" s="149">
        <v>2026</v>
      </c>
      <c r="G1043" s="148" t="s">
        <v>41</v>
      </c>
      <c r="H1043" s="148"/>
      <c r="I1043" s="148"/>
      <c r="J1043" s="148"/>
      <c r="K1043" s="148"/>
      <c r="L1043" s="152"/>
      <c r="M1043" s="152">
        <f t="shared" si="16"/>
        <v>0</v>
      </c>
      <c r="N1043" s="148"/>
      <c r="O1043" s="148"/>
      <c r="P1043" s="148"/>
      <c r="Q1043" s="148"/>
      <c r="R1043" s="148"/>
      <c r="S1043" s="148"/>
      <c r="T1043" s="148"/>
      <c r="U1043" s="148"/>
      <c r="V1043" s="148"/>
      <c r="W1043" s="148"/>
      <c r="X1043" s="148"/>
      <c r="Y1043" s="148"/>
      <c r="Z1043" s="148"/>
      <c r="AA1043" s="148"/>
    </row>
    <row r="1044" spans="1:27">
      <c r="A1044" s="147">
        <v>2339</v>
      </c>
      <c r="B1044" s="147" t="s">
        <v>66</v>
      </c>
      <c r="C1044" s="147" t="s">
        <v>46</v>
      </c>
      <c r="D1044" s="148" t="s">
        <v>67</v>
      </c>
      <c r="E1044" s="148" t="s">
        <v>30</v>
      </c>
      <c r="F1044" s="149">
        <v>2026</v>
      </c>
      <c r="G1044" s="148" t="s">
        <v>42</v>
      </c>
      <c r="H1044" s="148"/>
      <c r="I1044" s="148"/>
      <c r="J1044" s="148"/>
      <c r="K1044" s="148"/>
      <c r="L1044" s="152"/>
      <c r="M1044" s="152">
        <f t="shared" si="16"/>
        <v>0</v>
      </c>
      <c r="N1044" s="148"/>
      <c r="O1044" s="148"/>
      <c r="P1044" s="148"/>
      <c r="Q1044" s="148"/>
      <c r="R1044" s="148"/>
      <c r="S1044" s="148"/>
      <c r="T1044" s="148"/>
      <c r="U1044" s="148"/>
      <c r="V1044" s="148"/>
      <c r="W1044" s="148"/>
      <c r="X1044" s="148"/>
      <c r="Y1044" s="148"/>
      <c r="Z1044" s="148"/>
      <c r="AA1044" s="148"/>
    </row>
    <row r="1045" spans="1:27">
      <c r="A1045" s="147">
        <v>2340</v>
      </c>
      <c r="B1045" s="147" t="s">
        <v>66</v>
      </c>
      <c r="C1045" s="147" t="s">
        <v>46</v>
      </c>
      <c r="D1045" s="148" t="s">
        <v>67</v>
      </c>
      <c r="E1045" s="148" t="s">
        <v>30</v>
      </c>
      <c r="F1045" s="149">
        <v>2026</v>
      </c>
      <c r="G1045" s="148" t="s">
        <v>43</v>
      </c>
      <c r="H1045" s="148"/>
      <c r="I1045" s="148"/>
      <c r="J1045" s="148"/>
      <c r="K1045" s="148"/>
      <c r="L1045" s="152"/>
      <c r="M1045" s="152">
        <f t="shared" si="16"/>
        <v>0</v>
      </c>
      <c r="N1045" s="148"/>
      <c r="O1045" s="148"/>
      <c r="P1045" s="148"/>
      <c r="Q1045" s="148"/>
      <c r="R1045" s="148"/>
      <c r="S1045" s="148"/>
      <c r="T1045" s="148"/>
      <c r="U1045" s="148"/>
      <c r="V1045" s="148"/>
      <c r="W1045" s="148"/>
      <c r="X1045" s="148"/>
      <c r="Y1045" s="148"/>
      <c r="Z1045" s="148"/>
      <c r="AA1045" s="148"/>
    </row>
    <row r="1046" spans="1:27">
      <c r="A1046" s="147">
        <v>2353</v>
      </c>
      <c r="B1046" s="147" t="s">
        <v>66</v>
      </c>
      <c r="C1046" s="147" t="s">
        <v>46</v>
      </c>
      <c r="D1046" s="148" t="s">
        <v>50</v>
      </c>
      <c r="E1046" s="148" t="s">
        <v>30</v>
      </c>
      <c r="F1046" s="149">
        <v>2024</v>
      </c>
      <c r="G1046" s="148" t="s">
        <v>31</v>
      </c>
      <c r="H1046" s="149">
        <v>140</v>
      </c>
      <c r="I1046" s="150">
        <v>1868671</v>
      </c>
      <c r="J1046" s="150">
        <v>-3897</v>
      </c>
      <c r="K1046" s="150">
        <v>2562646</v>
      </c>
      <c r="L1046" s="152"/>
      <c r="M1046" s="152">
        <f t="shared" si="16"/>
        <v>0</v>
      </c>
      <c r="N1046" s="148"/>
      <c r="O1046" s="148"/>
      <c r="P1046" s="148"/>
      <c r="Q1046" s="148"/>
      <c r="R1046" s="148"/>
      <c r="S1046" s="148"/>
      <c r="T1046" s="148"/>
      <c r="U1046" s="148"/>
      <c r="V1046" s="148"/>
      <c r="W1046" s="148"/>
      <c r="X1046" s="148"/>
      <c r="Y1046" s="148"/>
      <c r="Z1046" s="148"/>
      <c r="AA1046" s="148"/>
    </row>
    <row r="1047" spans="1:27">
      <c r="A1047" s="147">
        <v>2354</v>
      </c>
      <c r="B1047" s="147" t="s">
        <v>66</v>
      </c>
      <c r="C1047" s="147" t="s">
        <v>46</v>
      </c>
      <c r="D1047" s="148" t="s">
        <v>50</v>
      </c>
      <c r="E1047" s="148" t="s">
        <v>30</v>
      </c>
      <c r="F1047" s="149">
        <v>2024</v>
      </c>
      <c r="G1047" s="148" t="s">
        <v>33</v>
      </c>
      <c r="H1047" s="149">
        <v>111</v>
      </c>
      <c r="I1047" s="150">
        <v>1865782</v>
      </c>
      <c r="J1047" s="150">
        <v>-2889</v>
      </c>
      <c r="K1047" s="150">
        <v>1885153</v>
      </c>
      <c r="L1047" s="152"/>
      <c r="M1047" s="152">
        <f t="shared" si="16"/>
        <v>0</v>
      </c>
      <c r="N1047" s="148"/>
      <c r="O1047" s="148"/>
      <c r="P1047" s="148"/>
      <c r="Q1047" s="148"/>
      <c r="R1047" s="148"/>
      <c r="S1047" s="148"/>
      <c r="T1047" s="148"/>
      <c r="U1047" s="148"/>
      <c r="V1047" s="148"/>
      <c r="W1047" s="148"/>
      <c r="X1047" s="148"/>
      <c r="Y1047" s="148"/>
      <c r="Z1047" s="148"/>
      <c r="AA1047" s="148"/>
    </row>
    <row r="1048" spans="1:27">
      <c r="A1048" s="147">
        <v>2355</v>
      </c>
      <c r="B1048" s="147" t="s">
        <v>66</v>
      </c>
      <c r="C1048" s="147" t="s">
        <v>46</v>
      </c>
      <c r="D1048" s="148" t="s">
        <v>50</v>
      </c>
      <c r="E1048" s="148" t="s">
        <v>30</v>
      </c>
      <c r="F1048" s="149">
        <v>2024</v>
      </c>
      <c r="G1048" s="148" t="s">
        <v>34</v>
      </c>
      <c r="H1048" s="149">
        <v>125</v>
      </c>
      <c r="I1048" s="150">
        <v>1861845</v>
      </c>
      <c r="J1048" s="150">
        <v>-3937</v>
      </c>
      <c r="K1048" s="150">
        <v>1609172</v>
      </c>
      <c r="L1048" s="152"/>
      <c r="M1048" s="152">
        <f t="shared" si="16"/>
        <v>0</v>
      </c>
      <c r="N1048" s="148"/>
      <c r="O1048" s="148"/>
      <c r="P1048" s="148"/>
      <c r="Q1048" s="148"/>
      <c r="R1048" s="148"/>
      <c r="S1048" s="148"/>
      <c r="T1048" s="148"/>
      <c r="U1048" s="148"/>
      <c r="V1048" s="148"/>
      <c r="W1048" s="148"/>
      <c r="X1048" s="148"/>
      <c r="Y1048" s="148"/>
      <c r="Z1048" s="148"/>
      <c r="AA1048" s="148"/>
    </row>
    <row r="1049" spans="1:27">
      <c r="A1049" s="147">
        <v>2356</v>
      </c>
      <c r="B1049" s="147" t="s">
        <v>66</v>
      </c>
      <c r="C1049" s="147" t="s">
        <v>46</v>
      </c>
      <c r="D1049" s="148" t="s">
        <v>50</v>
      </c>
      <c r="E1049" s="148" t="s">
        <v>30</v>
      </c>
      <c r="F1049" s="149">
        <v>2024</v>
      </c>
      <c r="G1049" s="148" t="s">
        <v>35</v>
      </c>
      <c r="H1049" s="149">
        <v>114</v>
      </c>
      <c r="I1049" s="150">
        <v>1855769</v>
      </c>
      <c r="J1049" s="150">
        <v>-6076</v>
      </c>
      <c r="K1049" s="150">
        <v>663151</v>
      </c>
      <c r="L1049" s="152"/>
      <c r="M1049" s="152">
        <f t="shared" si="16"/>
        <v>0</v>
      </c>
      <c r="N1049" s="148"/>
      <c r="O1049" s="148"/>
      <c r="P1049" s="148"/>
      <c r="Q1049" s="148"/>
      <c r="R1049" s="148"/>
      <c r="S1049" s="148"/>
      <c r="T1049" s="148"/>
      <c r="U1049" s="148"/>
      <c r="V1049" s="148"/>
      <c r="W1049" s="148"/>
      <c r="X1049" s="148"/>
      <c r="Y1049" s="148"/>
      <c r="Z1049" s="148"/>
      <c r="AA1049" s="148"/>
    </row>
    <row r="1050" spans="1:27">
      <c r="A1050" s="147">
        <v>2357</v>
      </c>
      <c r="B1050" s="147" t="s">
        <v>66</v>
      </c>
      <c r="C1050" s="147" t="s">
        <v>46</v>
      </c>
      <c r="D1050" s="148" t="s">
        <v>50</v>
      </c>
      <c r="E1050" s="148" t="s">
        <v>30</v>
      </c>
      <c r="F1050" s="149">
        <v>2024</v>
      </c>
      <c r="G1050" s="148" t="s">
        <v>36</v>
      </c>
      <c r="H1050" s="149">
        <v>101</v>
      </c>
      <c r="I1050" s="150">
        <v>1842692</v>
      </c>
      <c r="J1050" s="150">
        <v>-13077</v>
      </c>
      <c r="K1050" s="150">
        <v>585749</v>
      </c>
      <c r="L1050" s="152"/>
      <c r="M1050" s="152">
        <f t="shared" si="16"/>
        <v>0</v>
      </c>
      <c r="N1050" s="148"/>
      <c r="O1050" s="148"/>
      <c r="P1050" s="148"/>
      <c r="Q1050" s="148"/>
      <c r="R1050" s="148"/>
      <c r="S1050" s="148"/>
      <c r="T1050" s="148"/>
      <c r="U1050" s="148"/>
      <c r="V1050" s="148"/>
      <c r="W1050" s="148"/>
      <c r="X1050" s="148"/>
      <c r="Y1050" s="148"/>
      <c r="Z1050" s="148"/>
      <c r="AA1050" s="148"/>
    </row>
    <row r="1051" spans="1:27">
      <c r="A1051" s="147">
        <v>2358</v>
      </c>
      <c r="B1051" s="147" t="s">
        <v>66</v>
      </c>
      <c r="C1051" s="147" t="s">
        <v>46</v>
      </c>
      <c r="D1051" s="148" t="s">
        <v>50</v>
      </c>
      <c r="E1051" s="148" t="s">
        <v>30</v>
      </c>
      <c r="F1051" s="149">
        <v>2024</v>
      </c>
      <c r="G1051" s="148" t="s">
        <v>37</v>
      </c>
      <c r="H1051" s="149">
        <v>79</v>
      </c>
      <c r="I1051" s="150">
        <v>1829727</v>
      </c>
      <c r="J1051" s="150">
        <v>-12965</v>
      </c>
      <c r="K1051" s="150">
        <v>390432</v>
      </c>
      <c r="L1051" s="152"/>
      <c r="M1051" s="152">
        <f t="shared" si="16"/>
        <v>0</v>
      </c>
      <c r="N1051" s="148"/>
      <c r="O1051" s="148"/>
      <c r="P1051" s="148"/>
      <c r="Q1051" s="148"/>
      <c r="R1051" s="148"/>
      <c r="S1051" s="148"/>
      <c r="T1051" s="148"/>
      <c r="U1051" s="148"/>
      <c r="V1051" s="148"/>
      <c r="W1051" s="148"/>
      <c r="X1051" s="148"/>
      <c r="Y1051" s="148"/>
      <c r="Z1051" s="148"/>
      <c r="AA1051" s="148"/>
    </row>
    <row r="1052" spans="1:27">
      <c r="A1052" s="147">
        <v>2359</v>
      </c>
      <c r="B1052" s="147" t="s">
        <v>66</v>
      </c>
      <c r="C1052" s="147" t="s">
        <v>46</v>
      </c>
      <c r="D1052" s="148" t="s">
        <v>50</v>
      </c>
      <c r="E1052" s="148" t="s">
        <v>30</v>
      </c>
      <c r="F1052" s="149">
        <v>2024</v>
      </c>
      <c r="G1052" s="148" t="s">
        <v>38</v>
      </c>
      <c r="H1052" s="149">
        <v>23</v>
      </c>
      <c r="I1052" s="150">
        <v>1823462</v>
      </c>
      <c r="J1052" s="150">
        <v>-6265</v>
      </c>
      <c r="K1052" s="150">
        <v>172204</v>
      </c>
      <c r="L1052" s="152"/>
      <c r="M1052" s="152">
        <f t="shared" si="16"/>
        <v>0</v>
      </c>
      <c r="N1052" s="148"/>
      <c r="O1052" s="148"/>
      <c r="P1052" s="148"/>
      <c r="Q1052" s="148"/>
      <c r="R1052" s="148"/>
      <c r="S1052" s="148"/>
      <c r="T1052" s="148"/>
      <c r="U1052" s="148"/>
      <c r="V1052" s="148"/>
      <c r="W1052" s="148"/>
      <c r="X1052" s="148"/>
      <c r="Y1052" s="148"/>
      <c r="Z1052" s="148"/>
      <c r="AA1052" s="148"/>
    </row>
    <row r="1053" spans="1:27">
      <c r="A1053" s="147">
        <v>2360</v>
      </c>
      <c r="B1053" s="147" t="s">
        <v>66</v>
      </c>
      <c r="C1053" s="147" t="s">
        <v>46</v>
      </c>
      <c r="D1053" s="148" t="s">
        <v>50</v>
      </c>
      <c r="E1053" s="148" t="s">
        <v>30</v>
      </c>
      <c r="F1053" s="149">
        <v>2024</v>
      </c>
      <c r="G1053" s="148" t="s">
        <v>39</v>
      </c>
      <c r="H1053" s="149">
        <v>67</v>
      </c>
      <c r="I1053" s="150">
        <v>1820892</v>
      </c>
      <c r="J1053" s="150">
        <v>-2570</v>
      </c>
      <c r="K1053" s="150">
        <v>2314092</v>
      </c>
      <c r="L1053" s="152"/>
      <c r="M1053" s="152">
        <f t="shared" si="16"/>
        <v>0</v>
      </c>
      <c r="N1053" s="148"/>
      <c r="O1053" s="148"/>
      <c r="P1053" s="148"/>
      <c r="Q1053" s="148"/>
      <c r="R1053" s="148"/>
      <c r="S1053" s="148"/>
      <c r="T1053" s="148"/>
      <c r="U1053" s="148"/>
      <c r="V1053" s="148"/>
      <c r="W1053" s="148"/>
      <c r="X1053" s="148"/>
      <c r="Y1053" s="148"/>
      <c r="Z1053" s="148"/>
      <c r="AA1053" s="148"/>
    </row>
    <row r="1054" spans="1:27">
      <c r="A1054" s="147">
        <v>2361</v>
      </c>
      <c r="B1054" s="147" t="s">
        <v>66</v>
      </c>
      <c r="C1054" s="147" t="s">
        <v>46</v>
      </c>
      <c r="D1054" s="148" t="s">
        <v>50</v>
      </c>
      <c r="E1054" s="148" t="s">
        <v>30</v>
      </c>
      <c r="F1054" s="149">
        <v>2024</v>
      </c>
      <c r="G1054" s="148" t="s">
        <v>40</v>
      </c>
      <c r="H1054" s="149">
        <v>59</v>
      </c>
      <c r="I1054" s="150">
        <v>1815675</v>
      </c>
      <c r="J1054" s="150">
        <v>-5217</v>
      </c>
      <c r="K1054" s="150">
        <v>371293</v>
      </c>
      <c r="L1054" s="152"/>
      <c r="M1054" s="152">
        <f t="shared" si="16"/>
        <v>0</v>
      </c>
      <c r="N1054" s="148"/>
      <c r="O1054" s="148"/>
      <c r="P1054" s="148"/>
      <c r="Q1054" s="148"/>
      <c r="R1054" s="148"/>
      <c r="S1054" s="148"/>
      <c r="T1054" s="148"/>
      <c r="U1054" s="148"/>
      <c r="V1054" s="148"/>
      <c r="W1054" s="148"/>
      <c r="X1054" s="148"/>
      <c r="Y1054" s="148"/>
      <c r="Z1054" s="148"/>
      <c r="AA1054" s="148"/>
    </row>
    <row r="1055" spans="1:27">
      <c r="A1055" s="147">
        <v>2362</v>
      </c>
      <c r="B1055" s="147" t="s">
        <v>66</v>
      </c>
      <c r="C1055" s="147" t="s">
        <v>46</v>
      </c>
      <c r="D1055" s="148" t="s">
        <v>50</v>
      </c>
      <c r="E1055" s="148" t="s">
        <v>30</v>
      </c>
      <c r="F1055" s="149">
        <v>2024</v>
      </c>
      <c r="G1055" s="148" t="s">
        <v>41</v>
      </c>
      <c r="H1055" s="149">
        <v>54</v>
      </c>
      <c r="I1055" s="150">
        <v>1810553</v>
      </c>
      <c r="J1055" s="150">
        <v>-5122</v>
      </c>
      <c r="K1055" s="150">
        <v>697659</v>
      </c>
      <c r="L1055" s="152"/>
      <c r="M1055" s="152">
        <f t="shared" si="16"/>
        <v>0</v>
      </c>
      <c r="N1055" s="148"/>
      <c r="O1055" s="148"/>
      <c r="P1055" s="148"/>
      <c r="Q1055" s="148"/>
      <c r="R1055" s="148"/>
      <c r="S1055" s="148"/>
      <c r="T1055" s="148"/>
      <c r="U1055" s="148"/>
      <c r="V1055" s="148"/>
      <c r="W1055" s="148"/>
      <c r="X1055" s="148"/>
      <c r="Y1055" s="148"/>
      <c r="Z1055" s="148"/>
      <c r="AA1055" s="148"/>
    </row>
    <row r="1056" spans="1:27">
      <c r="A1056" s="147">
        <v>2363</v>
      </c>
      <c r="B1056" s="147" t="s">
        <v>66</v>
      </c>
      <c r="C1056" s="147" t="s">
        <v>46</v>
      </c>
      <c r="D1056" s="148" t="s">
        <v>50</v>
      </c>
      <c r="E1056" s="148" t="s">
        <v>30</v>
      </c>
      <c r="F1056" s="149">
        <v>2024</v>
      </c>
      <c r="G1056" s="148" t="s">
        <v>42</v>
      </c>
      <c r="H1056" s="149">
        <v>43</v>
      </c>
      <c r="I1056" s="150">
        <v>1806488</v>
      </c>
      <c r="J1056" s="150">
        <v>-4065</v>
      </c>
      <c r="K1056" s="150">
        <v>1725628</v>
      </c>
      <c r="L1056" s="152"/>
      <c r="M1056" s="152">
        <f t="shared" si="16"/>
        <v>0</v>
      </c>
      <c r="N1056" s="148"/>
      <c r="O1056" s="148"/>
      <c r="P1056" s="148"/>
      <c r="Q1056" s="148"/>
      <c r="R1056" s="148"/>
      <c r="S1056" s="148"/>
      <c r="T1056" s="148"/>
      <c r="U1056" s="148"/>
      <c r="V1056" s="148"/>
      <c r="W1056" s="148"/>
      <c r="X1056" s="148"/>
      <c r="Y1056" s="148"/>
      <c r="Z1056" s="148"/>
      <c r="AA1056" s="148"/>
    </row>
    <row r="1057" spans="1:27">
      <c r="A1057" s="147">
        <v>2364</v>
      </c>
      <c r="B1057" s="147" t="s">
        <v>66</v>
      </c>
      <c r="C1057" s="147" t="s">
        <v>46</v>
      </c>
      <c r="D1057" s="148" t="s">
        <v>50</v>
      </c>
      <c r="E1057" s="148" t="s">
        <v>30</v>
      </c>
      <c r="F1057" s="149">
        <v>2024</v>
      </c>
      <c r="G1057" s="148" t="s">
        <v>43</v>
      </c>
      <c r="H1057" s="149">
        <v>22</v>
      </c>
      <c r="I1057" s="150">
        <v>1801881</v>
      </c>
      <c r="J1057" s="150">
        <v>-4607</v>
      </c>
      <c r="K1057" s="150">
        <v>1242584</v>
      </c>
      <c r="L1057" s="152"/>
      <c r="M1057" s="152">
        <f t="shared" si="16"/>
        <v>0</v>
      </c>
      <c r="N1057" s="148"/>
      <c r="O1057" s="148"/>
      <c r="P1057" s="148"/>
      <c r="Q1057" s="148"/>
      <c r="R1057" s="148"/>
      <c r="S1057" s="148"/>
      <c r="T1057" s="148"/>
      <c r="U1057" s="148"/>
      <c r="V1057" s="148"/>
      <c r="W1057" s="148"/>
      <c r="X1057" s="148"/>
      <c r="Y1057" s="148"/>
      <c r="Z1057" s="148"/>
      <c r="AA1057" s="148"/>
    </row>
    <row r="1058" spans="1:27">
      <c r="A1058" s="147">
        <v>2365</v>
      </c>
      <c r="B1058" s="147" t="s">
        <v>66</v>
      </c>
      <c r="C1058" s="147" t="s">
        <v>46</v>
      </c>
      <c r="D1058" s="148" t="s">
        <v>50</v>
      </c>
      <c r="E1058" s="148" t="s">
        <v>30</v>
      </c>
      <c r="F1058" s="149">
        <v>2025</v>
      </c>
      <c r="G1058" s="148" t="s">
        <v>31</v>
      </c>
      <c r="H1058" s="149">
        <v>20</v>
      </c>
      <c r="I1058" s="150">
        <v>1801963</v>
      </c>
      <c r="J1058" s="149">
        <v>82</v>
      </c>
      <c r="K1058" s="150">
        <v>4404405</v>
      </c>
      <c r="L1058" s="152"/>
      <c r="M1058" s="152">
        <f t="shared" si="16"/>
        <v>0</v>
      </c>
      <c r="N1058" s="148"/>
      <c r="O1058" s="148"/>
      <c r="P1058" s="148"/>
      <c r="Q1058" s="148"/>
      <c r="R1058" s="148"/>
      <c r="S1058" s="148"/>
      <c r="T1058" s="148"/>
      <c r="U1058" s="148"/>
      <c r="V1058" s="148"/>
      <c r="W1058" s="148"/>
      <c r="X1058" s="148"/>
      <c r="Y1058" s="148"/>
      <c r="Z1058" s="148"/>
      <c r="AA1058" s="148"/>
    </row>
    <row r="1059" spans="1:27">
      <c r="A1059" s="147">
        <v>2366</v>
      </c>
      <c r="B1059" s="147" t="s">
        <v>66</v>
      </c>
      <c r="C1059" s="147" t="s">
        <v>46</v>
      </c>
      <c r="D1059" s="148" t="s">
        <v>50</v>
      </c>
      <c r="E1059" s="148" t="s">
        <v>30</v>
      </c>
      <c r="F1059" s="149">
        <v>2025</v>
      </c>
      <c r="G1059" s="148" t="s">
        <v>33</v>
      </c>
      <c r="H1059" s="149">
        <v>23</v>
      </c>
      <c r="I1059" s="150">
        <v>1805628</v>
      </c>
      <c r="J1059" s="150">
        <v>3665</v>
      </c>
      <c r="K1059" s="150">
        <v>5482697</v>
      </c>
      <c r="L1059" s="152"/>
      <c r="M1059" s="152">
        <f t="shared" si="16"/>
        <v>0</v>
      </c>
      <c r="N1059" s="148"/>
      <c r="O1059" s="148"/>
      <c r="P1059" s="148"/>
      <c r="Q1059" s="148"/>
      <c r="R1059" s="148"/>
      <c r="S1059" s="148"/>
      <c r="T1059" s="148"/>
      <c r="U1059" s="148"/>
      <c r="V1059" s="148"/>
      <c r="W1059" s="148"/>
      <c r="X1059" s="148"/>
      <c r="Y1059" s="148"/>
      <c r="Z1059" s="148"/>
      <c r="AA1059" s="148"/>
    </row>
    <row r="1060" spans="1:27">
      <c r="A1060" s="147">
        <v>2367</v>
      </c>
      <c r="B1060" s="147" t="s">
        <v>66</v>
      </c>
      <c r="C1060" s="147" t="s">
        <v>46</v>
      </c>
      <c r="D1060" s="148" t="s">
        <v>50</v>
      </c>
      <c r="E1060" s="148" t="s">
        <v>30</v>
      </c>
      <c r="F1060" s="149">
        <v>2025</v>
      </c>
      <c r="G1060" s="148" t="s">
        <v>34</v>
      </c>
      <c r="H1060" s="149">
        <v>35</v>
      </c>
      <c r="I1060" s="150">
        <v>1805468</v>
      </c>
      <c r="J1060" s="149">
        <v>-160</v>
      </c>
      <c r="K1060" s="150">
        <v>5709207</v>
      </c>
      <c r="L1060" s="152"/>
      <c r="M1060" s="152">
        <f t="shared" si="16"/>
        <v>0</v>
      </c>
      <c r="N1060" s="148"/>
      <c r="O1060" s="148"/>
      <c r="P1060" s="148"/>
      <c r="Q1060" s="148"/>
      <c r="R1060" s="148"/>
      <c r="S1060" s="148"/>
      <c r="T1060" s="148"/>
      <c r="U1060" s="148"/>
      <c r="V1060" s="148"/>
      <c r="W1060" s="148"/>
      <c r="X1060" s="148"/>
      <c r="Y1060" s="148"/>
      <c r="Z1060" s="148"/>
      <c r="AA1060" s="148"/>
    </row>
    <row r="1061" spans="1:27">
      <c r="A1061" s="147">
        <v>2368</v>
      </c>
      <c r="B1061" s="147" t="s">
        <v>66</v>
      </c>
      <c r="C1061" s="147" t="s">
        <v>46</v>
      </c>
      <c r="D1061" s="148" t="s">
        <v>50</v>
      </c>
      <c r="E1061" s="148" t="s">
        <v>30</v>
      </c>
      <c r="F1061" s="149">
        <v>2025</v>
      </c>
      <c r="G1061" s="148" t="s">
        <v>35</v>
      </c>
      <c r="H1061" s="149">
        <v>37</v>
      </c>
      <c r="I1061" s="150">
        <v>1802455</v>
      </c>
      <c r="J1061" s="150">
        <v>-3013</v>
      </c>
      <c r="K1061" s="150">
        <v>1055767</v>
      </c>
      <c r="L1061" s="152"/>
      <c r="M1061" s="152">
        <f t="shared" si="16"/>
        <v>0</v>
      </c>
      <c r="N1061" s="148"/>
      <c r="O1061" s="148"/>
      <c r="P1061" s="148"/>
      <c r="Q1061" s="148"/>
      <c r="R1061" s="148"/>
      <c r="S1061" s="148"/>
      <c r="T1061" s="148"/>
      <c r="U1061" s="148"/>
      <c r="V1061" s="148"/>
      <c r="W1061" s="148"/>
      <c r="X1061" s="148"/>
      <c r="Y1061" s="148"/>
      <c r="Z1061" s="148"/>
      <c r="AA1061" s="148"/>
    </row>
    <row r="1062" spans="1:27">
      <c r="A1062" s="147">
        <v>2369</v>
      </c>
      <c r="B1062" s="147" t="s">
        <v>66</v>
      </c>
      <c r="C1062" s="147" t="s">
        <v>46</v>
      </c>
      <c r="D1062" s="148" t="s">
        <v>50</v>
      </c>
      <c r="E1062" s="148" t="s">
        <v>30</v>
      </c>
      <c r="F1062" s="149">
        <v>2025</v>
      </c>
      <c r="G1062" s="148" t="s">
        <v>36</v>
      </c>
      <c r="H1062" s="149">
        <v>35</v>
      </c>
      <c r="I1062" s="150">
        <v>1801680</v>
      </c>
      <c r="J1062" s="149">
        <v>-775</v>
      </c>
      <c r="K1062" s="150">
        <v>7239686</v>
      </c>
      <c r="L1062" s="152"/>
      <c r="M1062" s="152">
        <f t="shared" si="16"/>
        <v>0</v>
      </c>
      <c r="N1062" s="148"/>
      <c r="O1062" s="148"/>
      <c r="P1062" s="148"/>
      <c r="Q1062" s="148"/>
      <c r="R1062" s="148"/>
      <c r="S1062" s="148"/>
      <c r="T1062" s="148"/>
      <c r="U1062" s="148"/>
      <c r="V1062" s="148"/>
      <c r="W1062" s="148"/>
      <c r="X1062" s="148"/>
      <c r="Y1062" s="148"/>
      <c r="Z1062" s="148"/>
      <c r="AA1062" s="148"/>
    </row>
    <row r="1063" spans="1:27">
      <c r="A1063" s="147">
        <v>2370</v>
      </c>
      <c r="B1063" s="147" t="s">
        <v>66</v>
      </c>
      <c r="C1063" s="147" t="s">
        <v>46</v>
      </c>
      <c r="D1063" s="148" t="s">
        <v>50</v>
      </c>
      <c r="E1063" s="148" t="s">
        <v>30</v>
      </c>
      <c r="F1063" s="149">
        <v>2025</v>
      </c>
      <c r="G1063" s="148" t="s">
        <v>37</v>
      </c>
      <c r="H1063" s="149">
        <v>32</v>
      </c>
      <c r="I1063" s="150">
        <v>1798892</v>
      </c>
      <c r="J1063" s="150">
        <v>-2788</v>
      </c>
      <c r="K1063" s="150">
        <v>5062192</v>
      </c>
      <c r="L1063" s="152"/>
      <c r="M1063" s="152">
        <f t="shared" si="16"/>
        <v>0</v>
      </c>
      <c r="N1063" s="148"/>
      <c r="O1063" s="148"/>
      <c r="P1063" s="148"/>
      <c r="Q1063" s="148"/>
      <c r="R1063" s="148"/>
      <c r="S1063" s="148"/>
      <c r="T1063" s="148"/>
      <c r="U1063" s="148"/>
      <c r="V1063" s="148"/>
      <c r="W1063" s="148"/>
      <c r="X1063" s="148"/>
      <c r="Y1063" s="148"/>
      <c r="Z1063" s="148"/>
      <c r="AA1063" s="148"/>
    </row>
    <row r="1064" spans="1:27">
      <c r="A1064" s="147">
        <v>2371</v>
      </c>
      <c r="B1064" s="147" t="s">
        <v>66</v>
      </c>
      <c r="C1064" s="147" t="s">
        <v>46</v>
      </c>
      <c r="D1064" s="148" t="s">
        <v>50</v>
      </c>
      <c r="E1064" s="148" t="s">
        <v>30</v>
      </c>
      <c r="F1064" s="149">
        <v>2025</v>
      </c>
      <c r="G1064" s="148" t="s">
        <v>38</v>
      </c>
      <c r="H1064" s="149">
        <v>67</v>
      </c>
      <c r="I1064" s="150">
        <v>1800065</v>
      </c>
      <c r="J1064" s="150">
        <v>1669</v>
      </c>
      <c r="K1064" s="150">
        <v>4518828</v>
      </c>
      <c r="L1064" s="152"/>
      <c r="M1064" s="152">
        <f t="shared" si="16"/>
        <v>0</v>
      </c>
      <c r="N1064" s="148"/>
      <c r="O1064" s="150">
        <v>3361854</v>
      </c>
      <c r="P1064" s="150">
        <v>87065</v>
      </c>
      <c r="Q1064" s="154">
        <v>0.52</v>
      </c>
      <c r="R1064" s="154">
        <v>0.39</v>
      </c>
      <c r="S1064" s="154">
        <v>0.09</v>
      </c>
      <c r="T1064" s="148" t="s">
        <v>44</v>
      </c>
      <c r="U1064" s="154">
        <v>0.27</v>
      </c>
      <c r="V1064" s="154">
        <v>0.46</v>
      </c>
      <c r="W1064" s="154">
        <v>0.173</v>
      </c>
      <c r="X1064" s="154">
        <v>0.067</v>
      </c>
      <c r="Y1064" s="154">
        <v>0.03</v>
      </c>
      <c r="Z1064" s="148" t="s">
        <v>44</v>
      </c>
      <c r="AA1064" s="148" t="s">
        <v>45</v>
      </c>
    </row>
    <row r="1065" spans="1:27">
      <c r="A1065" s="147">
        <v>2372</v>
      </c>
      <c r="B1065" s="147" t="s">
        <v>66</v>
      </c>
      <c r="C1065" s="147" t="s">
        <v>46</v>
      </c>
      <c r="D1065" s="148" t="s">
        <v>50</v>
      </c>
      <c r="E1065" s="148" t="s">
        <v>30</v>
      </c>
      <c r="F1065" s="149">
        <v>2025</v>
      </c>
      <c r="G1065" s="148" t="s">
        <v>39</v>
      </c>
      <c r="H1065" s="149">
        <v>114</v>
      </c>
      <c r="I1065" s="150">
        <v>1855931</v>
      </c>
      <c r="J1065" s="150">
        <v>53025</v>
      </c>
      <c r="K1065" s="150">
        <v>45052490</v>
      </c>
      <c r="L1065" s="152"/>
      <c r="M1065" s="152">
        <f t="shared" si="16"/>
        <v>0</v>
      </c>
      <c r="N1065" s="148"/>
      <c r="O1065" s="150">
        <v>35250273</v>
      </c>
      <c r="P1065" s="150">
        <v>1054040</v>
      </c>
      <c r="Q1065" s="154">
        <v>0.52</v>
      </c>
      <c r="R1065" s="154">
        <v>0.39</v>
      </c>
      <c r="S1065" s="154">
        <v>0.09</v>
      </c>
      <c r="T1065" s="148" t="s">
        <v>44</v>
      </c>
      <c r="U1065" s="154">
        <v>0.265</v>
      </c>
      <c r="V1065" s="154">
        <v>0.456</v>
      </c>
      <c r="W1065" s="154">
        <v>0.177</v>
      </c>
      <c r="X1065" s="154">
        <v>0.071</v>
      </c>
      <c r="Y1065" s="154">
        <v>0.031</v>
      </c>
      <c r="Z1065" s="148" t="s">
        <v>44</v>
      </c>
      <c r="AA1065" s="148" t="s">
        <v>45</v>
      </c>
    </row>
    <row r="1066" spans="1:27">
      <c r="A1066" s="147">
        <v>2373</v>
      </c>
      <c r="B1066" s="147" t="s">
        <v>66</v>
      </c>
      <c r="C1066" s="147" t="s">
        <v>46</v>
      </c>
      <c r="D1066" s="148" t="s">
        <v>50</v>
      </c>
      <c r="E1066" s="148" t="s">
        <v>30</v>
      </c>
      <c r="F1066" s="149">
        <v>2025</v>
      </c>
      <c r="G1066" s="148" t="s">
        <v>40</v>
      </c>
      <c r="H1066" s="149">
        <v>170</v>
      </c>
      <c r="I1066" s="150">
        <v>1876023</v>
      </c>
      <c r="J1066" s="150">
        <v>22957</v>
      </c>
      <c r="K1066" s="150">
        <v>40928185</v>
      </c>
      <c r="L1066" s="152"/>
      <c r="M1066" s="152">
        <f t="shared" si="16"/>
        <v>0</v>
      </c>
      <c r="N1066" s="148"/>
      <c r="O1066" s="150">
        <v>32910441</v>
      </c>
      <c r="P1066" s="150">
        <v>1234091</v>
      </c>
      <c r="Q1066" s="154">
        <v>0.52</v>
      </c>
      <c r="R1066" s="154">
        <v>0.39</v>
      </c>
      <c r="S1066" s="154">
        <v>0.09</v>
      </c>
      <c r="T1066" s="148" t="s">
        <v>44</v>
      </c>
      <c r="U1066" s="154">
        <v>0.259</v>
      </c>
      <c r="V1066" s="154">
        <v>0.452</v>
      </c>
      <c r="W1066" s="154">
        <v>0.18</v>
      </c>
      <c r="X1066" s="154">
        <v>0.075</v>
      </c>
      <c r="Y1066" s="154">
        <v>0.034</v>
      </c>
      <c r="Z1066" s="148" t="s">
        <v>44</v>
      </c>
      <c r="AA1066" s="148" t="s">
        <v>45</v>
      </c>
    </row>
    <row r="1067" spans="1:27">
      <c r="A1067" s="147">
        <v>2374</v>
      </c>
      <c r="B1067" s="147" t="s">
        <v>66</v>
      </c>
      <c r="C1067" s="147" t="s">
        <v>46</v>
      </c>
      <c r="D1067" s="148" t="s">
        <v>50</v>
      </c>
      <c r="E1067" s="148" t="s">
        <v>30</v>
      </c>
      <c r="F1067" s="149">
        <v>2025</v>
      </c>
      <c r="G1067" s="148" t="s">
        <v>41</v>
      </c>
      <c r="H1067" s="149">
        <v>158</v>
      </c>
      <c r="I1067" s="150">
        <v>1894516</v>
      </c>
      <c r="J1067" s="150">
        <v>12151</v>
      </c>
      <c r="K1067" s="150">
        <v>48514991</v>
      </c>
      <c r="L1067" s="152"/>
      <c r="M1067" s="152">
        <f t="shared" si="16"/>
        <v>0</v>
      </c>
      <c r="N1067" s="148"/>
      <c r="O1067" s="150">
        <v>56330945</v>
      </c>
      <c r="P1067" s="150">
        <v>1514799</v>
      </c>
      <c r="Q1067" s="154">
        <v>0.52</v>
      </c>
      <c r="R1067" s="154">
        <v>0.39</v>
      </c>
      <c r="S1067" s="154">
        <v>0.09</v>
      </c>
      <c r="T1067" s="148" t="s">
        <v>44</v>
      </c>
      <c r="U1067" s="154">
        <v>0.256</v>
      </c>
      <c r="V1067" s="154">
        <v>0.45</v>
      </c>
      <c r="W1067" s="154">
        <v>0.182</v>
      </c>
      <c r="X1067" s="154">
        <v>0.077</v>
      </c>
      <c r="Y1067" s="154">
        <v>0.035</v>
      </c>
      <c r="Z1067" s="148" t="s">
        <v>44</v>
      </c>
      <c r="AA1067" s="148" t="s">
        <v>45</v>
      </c>
    </row>
    <row r="1068" spans="1:27">
      <c r="A1068" s="147">
        <v>2375</v>
      </c>
      <c r="B1068" s="147" t="s">
        <v>66</v>
      </c>
      <c r="C1068" s="147" t="s">
        <v>46</v>
      </c>
      <c r="D1068" s="148" t="s">
        <v>50</v>
      </c>
      <c r="E1068" s="148" t="s">
        <v>30</v>
      </c>
      <c r="F1068" s="149">
        <v>2025</v>
      </c>
      <c r="G1068" s="148" t="s">
        <v>42</v>
      </c>
      <c r="H1068" s="149">
        <v>83</v>
      </c>
      <c r="I1068" s="150">
        <v>1902165</v>
      </c>
      <c r="J1068" s="150">
        <v>6981</v>
      </c>
      <c r="K1068" s="150">
        <v>18391920</v>
      </c>
      <c r="L1068" s="152"/>
      <c r="M1068" s="152">
        <f t="shared" si="16"/>
        <v>0</v>
      </c>
      <c r="N1068" s="148"/>
      <c r="O1068" s="150">
        <v>16861133</v>
      </c>
      <c r="P1068" s="150">
        <v>498269</v>
      </c>
      <c r="Q1068" s="154">
        <v>0.53</v>
      </c>
      <c r="R1068" s="154">
        <v>0.38</v>
      </c>
      <c r="S1068" s="154">
        <v>0.09</v>
      </c>
      <c r="T1068" s="148" t="s">
        <v>44</v>
      </c>
      <c r="U1068" s="154">
        <v>0.254</v>
      </c>
      <c r="V1068" s="154">
        <v>0.449</v>
      </c>
      <c r="W1068" s="154">
        <v>0.183</v>
      </c>
      <c r="X1068" s="154">
        <v>0.078</v>
      </c>
      <c r="Y1068" s="154">
        <v>0.036</v>
      </c>
      <c r="Z1068" s="148" t="s">
        <v>44</v>
      </c>
      <c r="AA1068" s="148" t="s">
        <v>45</v>
      </c>
    </row>
    <row r="1069" spans="1:27">
      <c r="A1069" s="147">
        <v>2376</v>
      </c>
      <c r="B1069" s="147" t="s">
        <v>66</v>
      </c>
      <c r="C1069" s="147" t="s">
        <v>46</v>
      </c>
      <c r="D1069" s="148" t="s">
        <v>50</v>
      </c>
      <c r="E1069" s="148" t="s">
        <v>30</v>
      </c>
      <c r="F1069" s="149">
        <v>2025</v>
      </c>
      <c r="G1069" s="148" t="s">
        <v>43</v>
      </c>
      <c r="H1069" s="149">
        <v>55</v>
      </c>
      <c r="I1069" s="150">
        <v>1900627</v>
      </c>
      <c r="J1069" s="150">
        <v>98664</v>
      </c>
      <c r="K1069" s="150">
        <v>2783914</v>
      </c>
      <c r="L1069" s="152"/>
      <c r="M1069" s="152">
        <f t="shared" si="16"/>
        <v>0</v>
      </c>
      <c r="N1069" s="148"/>
      <c r="O1069" s="150">
        <v>2783914</v>
      </c>
      <c r="P1069" s="150">
        <v>70313</v>
      </c>
      <c r="Q1069" s="154">
        <v>0.53</v>
      </c>
      <c r="R1069" s="154">
        <v>0.38</v>
      </c>
      <c r="S1069" s="154">
        <v>0.09</v>
      </c>
      <c r="T1069" s="148" t="s">
        <v>44</v>
      </c>
      <c r="U1069" s="154">
        <v>0.251</v>
      </c>
      <c r="V1069" s="154">
        <v>0.449</v>
      </c>
      <c r="W1069" s="154">
        <v>0.184</v>
      </c>
      <c r="X1069" s="154">
        <v>0.079</v>
      </c>
      <c r="Y1069" s="154">
        <v>0.037</v>
      </c>
      <c r="Z1069" s="148" t="s">
        <v>44</v>
      </c>
      <c r="AA1069" s="148" t="s">
        <v>45</v>
      </c>
    </row>
    <row r="1070" spans="1:27">
      <c r="A1070" s="147">
        <v>2377</v>
      </c>
      <c r="B1070" s="147" t="s">
        <v>66</v>
      </c>
      <c r="C1070" s="147" t="s">
        <v>46</v>
      </c>
      <c r="D1070" s="148" t="s">
        <v>50</v>
      </c>
      <c r="E1070" s="148" t="s">
        <v>30</v>
      </c>
      <c r="F1070" s="149">
        <v>2026</v>
      </c>
      <c r="G1070" s="148" t="s">
        <v>31</v>
      </c>
      <c r="H1070" s="149">
        <v>48</v>
      </c>
      <c r="I1070" s="150">
        <v>1898926</v>
      </c>
      <c r="J1070" s="150">
        <v>-1701</v>
      </c>
      <c r="K1070" s="150">
        <v>3872222</v>
      </c>
      <c r="L1070" s="152"/>
      <c r="M1070" s="152">
        <f t="shared" si="16"/>
        <v>0</v>
      </c>
      <c r="N1070" s="148"/>
      <c r="O1070" s="150">
        <v>3783193</v>
      </c>
      <c r="P1070" s="150">
        <v>113996</v>
      </c>
      <c r="Q1070" s="154">
        <v>0.53</v>
      </c>
      <c r="R1070" s="154">
        <v>0.38</v>
      </c>
      <c r="S1070" s="154">
        <v>0.09</v>
      </c>
      <c r="T1070" s="148" t="s">
        <v>44</v>
      </c>
      <c r="U1070" s="154">
        <v>0.251</v>
      </c>
      <c r="V1070" s="154">
        <v>0.449</v>
      </c>
      <c r="W1070" s="154">
        <v>0.184</v>
      </c>
      <c r="X1070" s="154">
        <v>0.079</v>
      </c>
      <c r="Y1070" s="154">
        <v>0.037</v>
      </c>
      <c r="Z1070" s="148" t="s">
        <v>44</v>
      </c>
      <c r="AA1070" s="148" t="s">
        <v>45</v>
      </c>
    </row>
    <row r="1071" spans="1:27">
      <c r="A1071" s="147">
        <v>2378</v>
      </c>
      <c r="B1071" s="147" t="s">
        <v>66</v>
      </c>
      <c r="C1071" s="147" t="s">
        <v>46</v>
      </c>
      <c r="D1071" s="148" t="s">
        <v>50</v>
      </c>
      <c r="E1071" s="148" t="s">
        <v>30</v>
      </c>
      <c r="F1071" s="149">
        <v>2026</v>
      </c>
      <c r="G1071" s="148" t="s">
        <v>33</v>
      </c>
      <c r="H1071" s="149">
        <v>40</v>
      </c>
      <c r="I1071" s="150">
        <v>1908928</v>
      </c>
      <c r="J1071" s="150">
        <v>10002</v>
      </c>
      <c r="K1071" s="150">
        <v>20603730</v>
      </c>
      <c r="L1071" s="152"/>
      <c r="M1071" s="152">
        <f t="shared" si="16"/>
        <v>0</v>
      </c>
      <c r="N1071" s="148"/>
      <c r="O1071" s="150">
        <v>20481742</v>
      </c>
      <c r="P1071" s="150">
        <v>466407</v>
      </c>
      <c r="Q1071" s="154">
        <v>0.53</v>
      </c>
      <c r="R1071" s="154">
        <v>0.38</v>
      </c>
      <c r="S1071" s="154">
        <v>0.09</v>
      </c>
      <c r="T1071" s="148" t="s">
        <v>44</v>
      </c>
      <c r="U1071" s="154">
        <v>0.25</v>
      </c>
      <c r="V1071" s="154">
        <v>0.448</v>
      </c>
      <c r="W1071" s="154">
        <v>0.185</v>
      </c>
      <c r="X1071" s="154">
        <v>0.08</v>
      </c>
      <c r="Y1071" s="154">
        <v>0.037</v>
      </c>
      <c r="Z1071" s="148" t="s">
        <v>44</v>
      </c>
      <c r="AA1071" s="148" t="s">
        <v>45</v>
      </c>
    </row>
    <row r="1072" spans="1:27">
      <c r="A1072" s="147">
        <v>2379</v>
      </c>
      <c r="B1072" s="147" t="s">
        <v>66</v>
      </c>
      <c r="C1072" s="147" t="s">
        <v>46</v>
      </c>
      <c r="D1072" s="148" t="s">
        <v>50</v>
      </c>
      <c r="E1072" s="148" t="s">
        <v>30</v>
      </c>
      <c r="F1072" s="149">
        <v>2026</v>
      </c>
      <c r="G1072" s="148" t="s">
        <v>34</v>
      </c>
      <c r="H1072" s="149">
        <v>8</v>
      </c>
      <c r="I1072" s="150">
        <v>1907328</v>
      </c>
      <c r="J1072" s="150">
        <v>-1600</v>
      </c>
      <c r="K1072" s="150">
        <v>4998356</v>
      </c>
      <c r="L1072" s="152"/>
      <c r="M1072" s="152">
        <f t="shared" si="16"/>
        <v>0</v>
      </c>
      <c r="N1072" s="148"/>
      <c r="O1072" s="150">
        <v>4878694</v>
      </c>
      <c r="P1072" s="150">
        <v>222461</v>
      </c>
      <c r="Q1072" s="154">
        <v>0.53</v>
      </c>
      <c r="R1072" s="154">
        <v>0.38</v>
      </c>
      <c r="S1072" s="154">
        <v>0.09</v>
      </c>
      <c r="T1072" s="148" t="s">
        <v>44</v>
      </c>
      <c r="U1072" s="154">
        <v>0.249</v>
      </c>
      <c r="V1072" s="154">
        <v>0.449</v>
      </c>
      <c r="W1072" s="154">
        <v>0.185</v>
      </c>
      <c r="X1072" s="154">
        <v>0.08</v>
      </c>
      <c r="Y1072" s="154">
        <v>0.037</v>
      </c>
      <c r="Z1072" s="148" t="s">
        <v>44</v>
      </c>
      <c r="AA1072" s="148" t="s">
        <v>45</v>
      </c>
    </row>
    <row r="1073" spans="1:27">
      <c r="A1073" s="147">
        <v>2380</v>
      </c>
      <c r="B1073" s="147" t="s">
        <v>66</v>
      </c>
      <c r="C1073" s="147" t="s">
        <v>46</v>
      </c>
      <c r="D1073" s="148" t="s">
        <v>50</v>
      </c>
      <c r="E1073" s="148" t="s">
        <v>30</v>
      </c>
      <c r="F1073" s="149">
        <v>2026</v>
      </c>
      <c r="G1073" s="148" t="s">
        <v>35</v>
      </c>
      <c r="H1073" s="149">
        <v>1</v>
      </c>
      <c r="I1073" s="150">
        <v>1904552</v>
      </c>
      <c r="J1073" s="150">
        <v>-2776</v>
      </c>
      <c r="K1073" s="150">
        <v>482596</v>
      </c>
      <c r="L1073" s="152"/>
      <c r="M1073" s="152">
        <f t="shared" si="16"/>
        <v>0</v>
      </c>
      <c r="N1073" s="148"/>
      <c r="O1073" s="150">
        <v>387531</v>
      </c>
      <c r="P1073" s="150">
        <v>7129</v>
      </c>
      <c r="Q1073" s="154">
        <v>0.53</v>
      </c>
      <c r="R1073" s="154">
        <v>0.38</v>
      </c>
      <c r="S1073" s="154">
        <v>0.09</v>
      </c>
      <c r="T1073" s="148" t="s">
        <v>44</v>
      </c>
      <c r="U1073" s="154">
        <v>0.248</v>
      </c>
      <c r="V1073" s="154">
        <v>0.448</v>
      </c>
      <c r="W1073" s="154">
        <v>0.186</v>
      </c>
      <c r="X1073" s="154">
        <v>0.08</v>
      </c>
      <c r="Y1073" s="154">
        <v>0.038</v>
      </c>
      <c r="Z1073" s="148" t="s">
        <v>44</v>
      </c>
      <c r="AA1073" s="148" t="s">
        <v>45</v>
      </c>
    </row>
    <row r="1074" spans="1:27">
      <c r="A1074" s="147">
        <v>2381</v>
      </c>
      <c r="B1074" s="147" t="s">
        <v>66</v>
      </c>
      <c r="C1074" s="147" t="s">
        <v>46</v>
      </c>
      <c r="D1074" s="148" t="s">
        <v>50</v>
      </c>
      <c r="E1074" s="148" t="s">
        <v>30</v>
      </c>
      <c r="F1074" s="149">
        <v>2026</v>
      </c>
      <c r="G1074" s="148" t="s">
        <v>36</v>
      </c>
      <c r="H1074" s="149">
        <v>80</v>
      </c>
      <c r="I1074" s="150">
        <v>1901744</v>
      </c>
      <c r="J1074" s="150">
        <v>-2808</v>
      </c>
      <c r="K1074" s="150">
        <v>915146</v>
      </c>
      <c r="L1074" s="152"/>
      <c r="M1074" s="152">
        <f t="shared" si="16"/>
        <v>0</v>
      </c>
      <c r="N1074" s="148"/>
      <c r="O1074" s="150">
        <v>796852</v>
      </c>
      <c r="P1074" s="150">
        <v>14454</v>
      </c>
      <c r="Q1074" s="154">
        <v>0.53</v>
      </c>
      <c r="R1074" s="154">
        <v>0.38</v>
      </c>
      <c r="S1074" s="154">
        <v>0.09</v>
      </c>
      <c r="T1074" s="148" t="s">
        <v>44</v>
      </c>
      <c r="U1074" s="154">
        <v>0.247</v>
      </c>
      <c r="V1074" s="154">
        <v>0.448</v>
      </c>
      <c r="W1074" s="154">
        <v>0.186</v>
      </c>
      <c r="X1074" s="154">
        <v>0.081</v>
      </c>
      <c r="Y1074" s="154">
        <v>0.038</v>
      </c>
      <c r="Z1074" s="148" t="s">
        <v>44</v>
      </c>
      <c r="AA1074" s="148" t="s">
        <v>45</v>
      </c>
    </row>
    <row r="1075" spans="1:27">
      <c r="A1075" s="147">
        <v>2382</v>
      </c>
      <c r="B1075" s="147" t="s">
        <v>66</v>
      </c>
      <c r="C1075" s="147" t="s">
        <v>46</v>
      </c>
      <c r="D1075" s="148" t="s">
        <v>50</v>
      </c>
      <c r="E1075" s="148" t="s">
        <v>30</v>
      </c>
      <c r="F1075" s="149">
        <v>2026</v>
      </c>
      <c r="G1075" s="148" t="s">
        <v>37</v>
      </c>
      <c r="H1075" s="149">
        <v>85</v>
      </c>
      <c r="I1075" s="150">
        <v>1900269</v>
      </c>
      <c r="J1075" s="150">
        <v>-1369</v>
      </c>
      <c r="K1075" s="150">
        <v>6956841</v>
      </c>
      <c r="L1075" s="152"/>
      <c r="M1075" s="152">
        <f t="shared" si="16"/>
        <v>0</v>
      </c>
      <c r="N1075" s="148"/>
      <c r="O1075" s="150">
        <v>6802706</v>
      </c>
      <c r="P1075" s="150">
        <v>30375</v>
      </c>
      <c r="Q1075" s="154">
        <v>0.53</v>
      </c>
      <c r="R1075" s="154">
        <v>0.38</v>
      </c>
      <c r="S1075" s="154">
        <v>0.09</v>
      </c>
      <c r="T1075" s="148" t="s">
        <v>44</v>
      </c>
      <c r="U1075" s="154">
        <v>0.246</v>
      </c>
      <c r="V1075" s="154">
        <v>0.449</v>
      </c>
      <c r="W1075" s="154">
        <v>0.186</v>
      </c>
      <c r="X1075" s="154">
        <v>0.081</v>
      </c>
      <c r="Y1075" s="154">
        <v>0.038</v>
      </c>
      <c r="Z1075" s="148" t="s">
        <v>44</v>
      </c>
      <c r="AA1075" s="148" t="s">
        <v>45</v>
      </c>
    </row>
    <row r="1076" spans="1:27">
      <c r="A1076" s="147">
        <v>2383</v>
      </c>
      <c r="B1076" s="147" t="s">
        <v>66</v>
      </c>
      <c r="C1076" s="147" t="s">
        <v>46</v>
      </c>
      <c r="D1076" s="148" t="s">
        <v>50</v>
      </c>
      <c r="E1076" s="148" t="s">
        <v>30</v>
      </c>
      <c r="F1076" s="149">
        <v>2026</v>
      </c>
      <c r="G1076" s="148" t="s">
        <v>38</v>
      </c>
      <c r="H1076" s="149">
        <v>11</v>
      </c>
      <c r="I1076" s="150">
        <v>1898650</v>
      </c>
      <c r="J1076" s="150">
        <v>-1619</v>
      </c>
      <c r="K1076" s="150">
        <v>432367</v>
      </c>
      <c r="L1076" s="152"/>
      <c r="M1076" s="152">
        <f t="shared" si="16"/>
        <v>0</v>
      </c>
      <c r="N1076" s="148"/>
      <c r="O1076" s="150">
        <v>310897</v>
      </c>
      <c r="P1076" s="150">
        <v>4888</v>
      </c>
      <c r="Q1076" s="154">
        <v>0.53</v>
      </c>
      <c r="R1076" s="154">
        <v>0.38</v>
      </c>
      <c r="S1076" s="154">
        <v>0.09</v>
      </c>
      <c r="T1076" s="148" t="s">
        <v>44</v>
      </c>
      <c r="U1076" s="154">
        <v>0.245</v>
      </c>
      <c r="V1076" s="154">
        <v>0.447</v>
      </c>
      <c r="W1076" s="154">
        <v>0.187</v>
      </c>
      <c r="X1076" s="154">
        <v>0.082</v>
      </c>
      <c r="Y1076" s="154">
        <v>0.039</v>
      </c>
      <c r="Z1076" s="148" t="s">
        <v>44</v>
      </c>
      <c r="AA1076" s="148" t="s">
        <v>45</v>
      </c>
    </row>
    <row r="1077" spans="1:27">
      <c r="A1077" s="147">
        <v>2384</v>
      </c>
      <c r="B1077" s="147" t="s">
        <v>66</v>
      </c>
      <c r="C1077" s="147" t="s">
        <v>46</v>
      </c>
      <c r="D1077" s="148" t="s">
        <v>50</v>
      </c>
      <c r="E1077" s="148" t="s">
        <v>30</v>
      </c>
      <c r="F1077" s="149">
        <v>2026</v>
      </c>
      <c r="G1077" s="148" t="s">
        <v>39</v>
      </c>
      <c r="H1077" s="148"/>
      <c r="I1077" s="148"/>
      <c r="J1077" s="148"/>
      <c r="K1077" s="148"/>
      <c r="L1077" s="152"/>
      <c r="M1077" s="152">
        <f t="shared" si="16"/>
        <v>0</v>
      </c>
      <c r="N1077" s="148"/>
      <c r="O1077" s="148"/>
      <c r="P1077" s="148"/>
      <c r="Q1077" s="148"/>
      <c r="R1077" s="148"/>
      <c r="S1077" s="148"/>
      <c r="T1077" s="148"/>
      <c r="U1077" s="148"/>
      <c r="V1077" s="148"/>
      <c r="W1077" s="148"/>
      <c r="X1077" s="148"/>
      <c r="Y1077" s="148"/>
      <c r="Z1077" s="148"/>
      <c r="AA1077" s="148"/>
    </row>
    <row r="1078" spans="1:27">
      <c r="A1078" s="147">
        <v>2385</v>
      </c>
      <c r="B1078" s="147" t="s">
        <v>66</v>
      </c>
      <c r="C1078" s="147" t="s">
        <v>46</v>
      </c>
      <c r="D1078" s="148" t="s">
        <v>50</v>
      </c>
      <c r="E1078" s="148" t="s">
        <v>30</v>
      </c>
      <c r="F1078" s="149">
        <v>2026</v>
      </c>
      <c r="G1078" s="148" t="s">
        <v>40</v>
      </c>
      <c r="H1078" s="148"/>
      <c r="I1078" s="148"/>
      <c r="J1078" s="148"/>
      <c r="K1078" s="148"/>
      <c r="L1078" s="152"/>
      <c r="M1078" s="152">
        <f t="shared" si="16"/>
        <v>0</v>
      </c>
      <c r="N1078" s="148"/>
      <c r="O1078" s="148"/>
      <c r="P1078" s="148"/>
      <c r="Q1078" s="148"/>
      <c r="R1078" s="148"/>
      <c r="S1078" s="148"/>
      <c r="T1078" s="148"/>
      <c r="U1078" s="148"/>
      <c r="V1078" s="148"/>
      <c r="W1078" s="148"/>
      <c r="X1078" s="148"/>
      <c r="Y1078" s="148"/>
      <c r="Z1078" s="148"/>
      <c r="AA1078" s="148"/>
    </row>
    <row r="1079" spans="1:27">
      <c r="A1079" s="147">
        <v>2386</v>
      </c>
      <c r="B1079" s="147" t="s">
        <v>66</v>
      </c>
      <c r="C1079" s="147" t="s">
        <v>46</v>
      </c>
      <c r="D1079" s="148" t="s">
        <v>50</v>
      </c>
      <c r="E1079" s="148" t="s">
        <v>30</v>
      </c>
      <c r="F1079" s="149">
        <v>2026</v>
      </c>
      <c r="G1079" s="148" t="s">
        <v>41</v>
      </c>
      <c r="H1079" s="148"/>
      <c r="I1079" s="148"/>
      <c r="J1079" s="148"/>
      <c r="K1079" s="148"/>
      <c r="L1079" s="152"/>
      <c r="M1079" s="152">
        <f t="shared" si="16"/>
        <v>0</v>
      </c>
      <c r="N1079" s="148"/>
      <c r="O1079" s="148"/>
      <c r="P1079" s="148"/>
      <c r="Q1079" s="148"/>
      <c r="R1079" s="148"/>
      <c r="S1079" s="148"/>
      <c r="T1079" s="148"/>
      <c r="U1079" s="148"/>
      <c r="V1079" s="148"/>
      <c r="W1079" s="148"/>
      <c r="X1079" s="148"/>
      <c r="Y1079" s="148"/>
      <c r="Z1079" s="148"/>
      <c r="AA1079" s="148"/>
    </row>
    <row r="1080" spans="1:27">
      <c r="A1080" s="147">
        <v>2387</v>
      </c>
      <c r="B1080" s="147" t="s">
        <v>66</v>
      </c>
      <c r="C1080" s="147" t="s">
        <v>46</v>
      </c>
      <c r="D1080" s="148" t="s">
        <v>50</v>
      </c>
      <c r="E1080" s="148" t="s">
        <v>30</v>
      </c>
      <c r="F1080" s="149">
        <v>2026</v>
      </c>
      <c r="G1080" s="148" t="s">
        <v>42</v>
      </c>
      <c r="H1080" s="148"/>
      <c r="I1080" s="148"/>
      <c r="J1080" s="148"/>
      <c r="K1080" s="148"/>
      <c r="L1080" s="152"/>
      <c r="M1080" s="152">
        <f t="shared" si="16"/>
        <v>0</v>
      </c>
      <c r="N1080" s="148"/>
      <c r="O1080" s="148"/>
      <c r="P1080" s="148"/>
      <c r="Q1080" s="148"/>
      <c r="R1080" s="148"/>
      <c r="S1080" s="148"/>
      <c r="T1080" s="148"/>
      <c r="U1080" s="148"/>
      <c r="V1080" s="148"/>
      <c r="W1080" s="148"/>
      <c r="X1080" s="148"/>
      <c r="Y1080" s="148"/>
      <c r="Z1080" s="148"/>
      <c r="AA1080" s="148"/>
    </row>
    <row r="1081" spans="1:27">
      <c r="A1081" s="147">
        <v>2388</v>
      </c>
      <c r="B1081" s="147" t="s">
        <v>66</v>
      </c>
      <c r="C1081" s="147" t="s">
        <v>46</v>
      </c>
      <c r="D1081" s="148" t="s">
        <v>50</v>
      </c>
      <c r="E1081" s="148" t="s">
        <v>30</v>
      </c>
      <c r="F1081" s="149">
        <v>2026</v>
      </c>
      <c r="G1081" s="148" t="s">
        <v>43</v>
      </c>
      <c r="H1081" s="148"/>
      <c r="I1081" s="148"/>
      <c r="J1081" s="148"/>
      <c r="K1081" s="148"/>
      <c r="L1081" s="152"/>
      <c r="M1081" s="152">
        <f t="shared" si="16"/>
        <v>0</v>
      </c>
      <c r="N1081" s="148"/>
      <c r="O1081" s="148"/>
      <c r="P1081" s="148"/>
      <c r="Q1081" s="148"/>
      <c r="R1081" s="148"/>
      <c r="S1081" s="148"/>
      <c r="T1081" s="148"/>
      <c r="U1081" s="148"/>
      <c r="V1081" s="148"/>
      <c r="W1081" s="148"/>
      <c r="X1081" s="148"/>
      <c r="Y1081" s="148"/>
      <c r="Z1081" s="148"/>
      <c r="AA1081" s="148"/>
    </row>
    <row r="1082" spans="1:27">
      <c r="A1082" s="147">
        <v>2401</v>
      </c>
      <c r="B1082" s="147" t="s">
        <v>66</v>
      </c>
      <c r="C1082" s="147" t="s">
        <v>46</v>
      </c>
      <c r="D1082" s="148" t="s">
        <v>51</v>
      </c>
      <c r="E1082" s="148" t="s">
        <v>30</v>
      </c>
      <c r="F1082" s="149">
        <v>2024</v>
      </c>
      <c r="G1082" s="148" t="s">
        <v>31</v>
      </c>
      <c r="H1082" s="149">
        <v>514</v>
      </c>
      <c r="I1082" s="150">
        <v>7522349</v>
      </c>
      <c r="J1082" s="150">
        <v>101792</v>
      </c>
      <c r="K1082" s="150">
        <v>240152299</v>
      </c>
      <c r="L1082" s="152"/>
      <c r="M1082" s="152">
        <f t="shared" si="16"/>
        <v>0</v>
      </c>
      <c r="N1082" s="148"/>
      <c r="O1082" s="148"/>
      <c r="P1082" s="148"/>
      <c r="Q1082" s="148"/>
      <c r="R1082" s="148"/>
      <c r="S1082" s="148"/>
      <c r="T1082" s="148"/>
      <c r="U1082" s="148"/>
      <c r="V1082" s="148"/>
      <c r="W1082" s="148"/>
      <c r="X1082" s="148"/>
      <c r="Y1082" s="148"/>
      <c r="Z1082" s="148"/>
      <c r="AA1082" s="148"/>
    </row>
    <row r="1083" spans="1:27">
      <c r="A1083" s="147">
        <v>2402</v>
      </c>
      <c r="B1083" s="147" t="s">
        <v>66</v>
      </c>
      <c r="C1083" s="147" t="s">
        <v>46</v>
      </c>
      <c r="D1083" s="148" t="s">
        <v>51</v>
      </c>
      <c r="E1083" s="148" t="s">
        <v>30</v>
      </c>
      <c r="F1083" s="149">
        <v>2024</v>
      </c>
      <c r="G1083" s="148" t="s">
        <v>33</v>
      </c>
      <c r="H1083" s="149">
        <v>566</v>
      </c>
      <c r="I1083" s="150">
        <v>7661946</v>
      </c>
      <c r="J1083" s="150">
        <v>139597</v>
      </c>
      <c r="K1083" s="150">
        <v>319341418</v>
      </c>
      <c r="L1083" s="152"/>
      <c r="M1083" s="152">
        <f t="shared" si="16"/>
        <v>0</v>
      </c>
      <c r="N1083" s="148"/>
      <c r="O1083" s="148"/>
      <c r="P1083" s="148"/>
      <c r="Q1083" s="148"/>
      <c r="R1083" s="148"/>
      <c r="S1083" s="148"/>
      <c r="T1083" s="148"/>
      <c r="U1083" s="148"/>
      <c r="V1083" s="148"/>
      <c r="W1083" s="148"/>
      <c r="X1083" s="148"/>
      <c r="Y1083" s="148"/>
      <c r="Z1083" s="148"/>
      <c r="AA1083" s="148"/>
    </row>
    <row r="1084" spans="1:27">
      <c r="A1084" s="147">
        <v>2403</v>
      </c>
      <c r="B1084" s="147" t="s">
        <v>66</v>
      </c>
      <c r="C1084" s="147" t="s">
        <v>46</v>
      </c>
      <c r="D1084" s="148" t="s">
        <v>51</v>
      </c>
      <c r="E1084" s="148" t="s">
        <v>30</v>
      </c>
      <c r="F1084" s="149">
        <v>2024</v>
      </c>
      <c r="G1084" s="148" t="s">
        <v>34</v>
      </c>
      <c r="H1084" s="149">
        <v>591</v>
      </c>
      <c r="I1084" s="150">
        <v>7706205</v>
      </c>
      <c r="J1084" s="150">
        <v>44259</v>
      </c>
      <c r="K1084" s="150">
        <v>192312044</v>
      </c>
      <c r="L1084" s="152"/>
      <c r="M1084" s="152">
        <f t="shared" si="16"/>
        <v>0</v>
      </c>
      <c r="N1084" s="148"/>
      <c r="O1084" s="148"/>
      <c r="P1084" s="148"/>
      <c r="Q1084" s="148"/>
      <c r="R1084" s="148"/>
      <c r="S1084" s="148"/>
      <c r="T1084" s="148"/>
      <c r="U1084" s="148"/>
      <c r="V1084" s="148"/>
      <c r="W1084" s="148"/>
      <c r="X1084" s="148"/>
      <c r="Y1084" s="148"/>
      <c r="Z1084" s="148"/>
      <c r="AA1084" s="148"/>
    </row>
    <row r="1085" spans="1:27">
      <c r="A1085" s="147">
        <v>2404</v>
      </c>
      <c r="B1085" s="147" t="s">
        <v>66</v>
      </c>
      <c r="C1085" s="147" t="s">
        <v>46</v>
      </c>
      <c r="D1085" s="148" t="s">
        <v>51</v>
      </c>
      <c r="E1085" s="148" t="s">
        <v>30</v>
      </c>
      <c r="F1085" s="149">
        <v>2024</v>
      </c>
      <c r="G1085" s="148" t="s">
        <v>35</v>
      </c>
      <c r="H1085" s="149">
        <v>521</v>
      </c>
      <c r="I1085" s="150">
        <v>7737283</v>
      </c>
      <c r="J1085" s="150">
        <v>31078</v>
      </c>
      <c r="K1085" s="150">
        <v>169543942</v>
      </c>
      <c r="L1085" s="152"/>
      <c r="M1085" s="152">
        <f t="shared" si="16"/>
        <v>0</v>
      </c>
      <c r="N1085" s="148"/>
      <c r="O1085" s="148"/>
      <c r="P1085" s="148"/>
      <c r="Q1085" s="148"/>
      <c r="R1085" s="148"/>
      <c r="S1085" s="148"/>
      <c r="T1085" s="148"/>
      <c r="U1085" s="148"/>
      <c r="V1085" s="148"/>
      <c r="W1085" s="148"/>
      <c r="X1085" s="148"/>
      <c r="Y1085" s="148"/>
      <c r="Z1085" s="148"/>
      <c r="AA1085" s="148"/>
    </row>
    <row r="1086" spans="1:27">
      <c r="A1086" s="147">
        <v>2405</v>
      </c>
      <c r="B1086" s="147" t="s">
        <v>66</v>
      </c>
      <c r="C1086" s="147" t="s">
        <v>46</v>
      </c>
      <c r="D1086" s="148" t="s">
        <v>51</v>
      </c>
      <c r="E1086" s="148" t="s">
        <v>30</v>
      </c>
      <c r="F1086" s="149">
        <v>2024</v>
      </c>
      <c r="G1086" s="148" t="s">
        <v>36</v>
      </c>
      <c r="H1086" s="149">
        <v>617</v>
      </c>
      <c r="I1086" s="150">
        <v>7798725</v>
      </c>
      <c r="J1086" s="150">
        <v>61442</v>
      </c>
      <c r="K1086" s="150">
        <v>259267943</v>
      </c>
      <c r="L1086" s="152"/>
      <c r="M1086" s="152">
        <f t="shared" si="16"/>
        <v>0</v>
      </c>
      <c r="N1086" s="148"/>
      <c r="O1086" s="148"/>
      <c r="P1086" s="148"/>
      <c r="Q1086" s="148"/>
      <c r="R1086" s="148"/>
      <c r="S1086" s="148"/>
      <c r="T1086" s="148"/>
      <c r="U1086" s="148"/>
      <c r="V1086" s="148"/>
      <c r="W1086" s="148"/>
      <c r="X1086" s="148"/>
      <c r="Y1086" s="148"/>
      <c r="Z1086" s="148"/>
      <c r="AA1086" s="148"/>
    </row>
    <row r="1087" spans="1:27">
      <c r="A1087" s="147">
        <v>2406</v>
      </c>
      <c r="B1087" s="147" t="s">
        <v>66</v>
      </c>
      <c r="C1087" s="147" t="s">
        <v>46</v>
      </c>
      <c r="D1087" s="148" t="s">
        <v>51</v>
      </c>
      <c r="E1087" s="148" t="s">
        <v>30</v>
      </c>
      <c r="F1087" s="149">
        <v>2024</v>
      </c>
      <c r="G1087" s="148" t="s">
        <v>37</v>
      </c>
      <c r="H1087" s="149">
        <v>534</v>
      </c>
      <c r="I1087" s="150">
        <v>7856050</v>
      </c>
      <c r="J1087" s="150">
        <v>57325</v>
      </c>
      <c r="K1087" s="150">
        <v>239407547</v>
      </c>
      <c r="L1087" s="152"/>
      <c r="M1087" s="152">
        <f t="shared" si="16"/>
        <v>0</v>
      </c>
      <c r="N1087" s="148"/>
      <c r="O1087" s="148"/>
      <c r="P1087" s="148"/>
      <c r="Q1087" s="148"/>
      <c r="R1087" s="148"/>
      <c r="S1087" s="148"/>
      <c r="T1087" s="148"/>
      <c r="U1087" s="148"/>
      <c r="V1087" s="148"/>
      <c r="W1087" s="148"/>
      <c r="X1087" s="148"/>
      <c r="Y1087" s="148"/>
      <c r="Z1087" s="148"/>
      <c r="AA1087" s="148"/>
    </row>
    <row r="1088" spans="1:27">
      <c r="A1088" s="147">
        <v>2407</v>
      </c>
      <c r="B1088" s="147" t="s">
        <v>66</v>
      </c>
      <c r="C1088" s="147" t="s">
        <v>46</v>
      </c>
      <c r="D1088" s="148" t="s">
        <v>51</v>
      </c>
      <c r="E1088" s="148" t="s">
        <v>30</v>
      </c>
      <c r="F1088" s="149">
        <v>2024</v>
      </c>
      <c r="G1088" s="148" t="s">
        <v>38</v>
      </c>
      <c r="H1088" s="149">
        <v>550</v>
      </c>
      <c r="I1088" s="150">
        <v>7926801</v>
      </c>
      <c r="J1088" s="150">
        <v>70751</v>
      </c>
      <c r="K1088" s="150">
        <v>203213180</v>
      </c>
      <c r="L1088" s="152"/>
      <c r="M1088" s="152">
        <f t="shared" si="16"/>
        <v>0</v>
      </c>
      <c r="N1088" s="148"/>
      <c r="O1088" s="148"/>
      <c r="P1088" s="148"/>
      <c r="Q1088" s="148"/>
      <c r="R1088" s="148"/>
      <c r="S1088" s="148"/>
      <c r="T1088" s="148"/>
      <c r="U1088" s="148"/>
      <c r="V1088" s="148"/>
      <c r="W1088" s="148"/>
      <c r="X1088" s="148"/>
      <c r="Y1088" s="148"/>
      <c r="Z1088" s="148"/>
      <c r="AA1088" s="148"/>
    </row>
    <row r="1089" spans="1:27">
      <c r="A1089" s="147">
        <v>2408</v>
      </c>
      <c r="B1089" s="147" t="s">
        <v>66</v>
      </c>
      <c r="C1089" s="147" t="s">
        <v>46</v>
      </c>
      <c r="D1089" s="148" t="s">
        <v>51</v>
      </c>
      <c r="E1089" s="148" t="s">
        <v>30</v>
      </c>
      <c r="F1089" s="149">
        <v>2024</v>
      </c>
      <c r="G1089" s="148" t="s">
        <v>39</v>
      </c>
      <c r="H1089" s="149">
        <v>492</v>
      </c>
      <c r="I1089" s="150">
        <v>7990398</v>
      </c>
      <c r="J1089" s="150">
        <v>63597</v>
      </c>
      <c r="K1089" s="150">
        <v>161528411</v>
      </c>
      <c r="L1089" s="152"/>
      <c r="M1089" s="152">
        <f t="shared" si="16"/>
        <v>0</v>
      </c>
      <c r="N1089" s="148"/>
      <c r="O1089" s="148"/>
      <c r="P1089" s="148"/>
      <c r="Q1089" s="148"/>
      <c r="R1089" s="148"/>
      <c r="S1089" s="148"/>
      <c r="T1089" s="148"/>
      <c r="U1089" s="148"/>
      <c r="V1089" s="148"/>
      <c r="W1089" s="148"/>
      <c r="X1089" s="148"/>
      <c r="Y1089" s="148"/>
      <c r="Z1089" s="148"/>
      <c r="AA1089" s="148"/>
    </row>
    <row r="1090" spans="1:27">
      <c r="A1090" s="147">
        <v>2409</v>
      </c>
      <c r="B1090" s="147" t="s">
        <v>66</v>
      </c>
      <c r="C1090" s="147" t="s">
        <v>46</v>
      </c>
      <c r="D1090" s="148" t="s">
        <v>51</v>
      </c>
      <c r="E1090" s="148" t="s">
        <v>30</v>
      </c>
      <c r="F1090" s="149">
        <v>2024</v>
      </c>
      <c r="G1090" s="148" t="s">
        <v>40</v>
      </c>
      <c r="H1090" s="149">
        <v>670</v>
      </c>
      <c r="I1090" s="150">
        <v>8120181</v>
      </c>
      <c r="J1090" s="150">
        <v>129783</v>
      </c>
      <c r="K1090" s="150">
        <v>222448965</v>
      </c>
      <c r="L1090" s="152"/>
      <c r="M1090" s="152">
        <f t="shared" ref="M1090:M1153" si="17">L1090*17000</f>
        <v>0</v>
      </c>
      <c r="N1090" s="148"/>
      <c r="O1090" s="148"/>
      <c r="P1090" s="148"/>
      <c r="Q1090" s="148"/>
      <c r="R1090" s="148"/>
      <c r="S1090" s="148"/>
      <c r="T1090" s="148"/>
      <c r="U1090" s="148"/>
      <c r="V1090" s="148"/>
      <c r="W1090" s="148"/>
      <c r="X1090" s="148"/>
      <c r="Y1090" s="148"/>
      <c r="Z1090" s="148"/>
      <c r="AA1090" s="148"/>
    </row>
    <row r="1091" spans="1:27">
      <c r="A1091" s="147">
        <v>2410</v>
      </c>
      <c r="B1091" s="147" t="s">
        <v>66</v>
      </c>
      <c r="C1091" s="147" t="s">
        <v>46</v>
      </c>
      <c r="D1091" s="148" t="s">
        <v>51</v>
      </c>
      <c r="E1091" s="148" t="s">
        <v>30</v>
      </c>
      <c r="F1091" s="149">
        <v>2024</v>
      </c>
      <c r="G1091" s="148" t="s">
        <v>41</v>
      </c>
      <c r="H1091" s="149">
        <v>736</v>
      </c>
      <c r="I1091" s="150">
        <v>8198513</v>
      </c>
      <c r="J1091" s="150">
        <v>78332</v>
      </c>
      <c r="K1091" s="150">
        <v>279746053</v>
      </c>
      <c r="L1091" s="152"/>
      <c r="M1091" s="152">
        <f t="shared" si="17"/>
        <v>0</v>
      </c>
      <c r="N1091" s="148"/>
      <c r="O1091" s="148"/>
      <c r="P1091" s="148"/>
      <c r="Q1091" s="148"/>
      <c r="R1091" s="148"/>
      <c r="S1091" s="148"/>
      <c r="T1091" s="148"/>
      <c r="U1091" s="148"/>
      <c r="V1091" s="148"/>
      <c r="W1091" s="148"/>
      <c r="X1091" s="148"/>
      <c r="Y1091" s="148"/>
      <c r="Z1091" s="148"/>
      <c r="AA1091" s="148"/>
    </row>
    <row r="1092" spans="1:27">
      <c r="A1092" s="147">
        <v>2411</v>
      </c>
      <c r="B1092" s="147" t="s">
        <v>66</v>
      </c>
      <c r="C1092" s="147" t="s">
        <v>46</v>
      </c>
      <c r="D1092" s="148" t="s">
        <v>51</v>
      </c>
      <c r="E1092" s="148" t="s">
        <v>30</v>
      </c>
      <c r="F1092" s="149">
        <v>2024</v>
      </c>
      <c r="G1092" s="148" t="s">
        <v>42</v>
      </c>
      <c r="H1092" s="149">
        <v>577</v>
      </c>
      <c r="I1092" s="150">
        <v>8326193</v>
      </c>
      <c r="J1092" s="150">
        <v>127680</v>
      </c>
      <c r="K1092" s="150">
        <v>358279154</v>
      </c>
      <c r="L1092" s="152"/>
      <c r="M1092" s="152">
        <f t="shared" si="17"/>
        <v>0</v>
      </c>
      <c r="N1092" s="148"/>
      <c r="O1092" s="148"/>
      <c r="P1092" s="148"/>
      <c r="Q1092" s="148"/>
      <c r="R1092" s="148"/>
      <c r="S1092" s="148"/>
      <c r="T1092" s="148"/>
      <c r="U1092" s="148"/>
      <c r="V1092" s="148"/>
      <c r="W1092" s="148"/>
      <c r="X1092" s="148"/>
      <c r="Y1092" s="148"/>
      <c r="Z1092" s="148"/>
      <c r="AA1092" s="148"/>
    </row>
    <row r="1093" spans="1:27">
      <c r="A1093" s="147">
        <v>2412</v>
      </c>
      <c r="B1093" s="147" t="s">
        <v>66</v>
      </c>
      <c r="C1093" s="147" t="s">
        <v>46</v>
      </c>
      <c r="D1093" s="148" t="s">
        <v>51</v>
      </c>
      <c r="E1093" s="148" t="s">
        <v>30</v>
      </c>
      <c r="F1093" s="149">
        <v>2024</v>
      </c>
      <c r="G1093" s="148" t="s">
        <v>43</v>
      </c>
      <c r="H1093" s="149">
        <v>486</v>
      </c>
      <c r="I1093" s="150">
        <v>8416841</v>
      </c>
      <c r="J1093" s="150">
        <v>90648</v>
      </c>
      <c r="K1093" s="150">
        <v>322774492</v>
      </c>
      <c r="L1093" s="152"/>
      <c r="M1093" s="152">
        <f t="shared" si="17"/>
        <v>0</v>
      </c>
      <c r="N1093" s="148"/>
      <c r="O1093" s="148"/>
      <c r="P1093" s="148"/>
      <c r="Q1093" s="148"/>
      <c r="R1093" s="148"/>
      <c r="S1093" s="148"/>
      <c r="T1093" s="148"/>
      <c r="U1093" s="148"/>
      <c r="V1093" s="148"/>
      <c r="W1093" s="148"/>
      <c r="X1093" s="148"/>
      <c r="Y1093" s="148"/>
      <c r="Z1093" s="148"/>
      <c r="AA1093" s="148"/>
    </row>
    <row r="1094" spans="1:27">
      <c r="A1094" s="147">
        <v>2413</v>
      </c>
      <c r="B1094" s="147" t="s">
        <v>66</v>
      </c>
      <c r="C1094" s="147" t="s">
        <v>46</v>
      </c>
      <c r="D1094" s="148" t="s">
        <v>51</v>
      </c>
      <c r="E1094" s="148" t="s">
        <v>30</v>
      </c>
      <c r="F1094" s="149">
        <v>2025</v>
      </c>
      <c r="G1094" s="148" t="s">
        <v>31</v>
      </c>
      <c r="H1094" s="149">
        <v>537</v>
      </c>
      <c r="I1094" s="150">
        <v>8614048</v>
      </c>
      <c r="J1094" s="150">
        <v>197207</v>
      </c>
      <c r="K1094" s="150">
        <v>565188837</v>
      </c>
      <c r="L1094" s="152"/>
      <c r="M1094" s="152">
        <f t="shared" si="17"/>
        <v>0</v>
      </c>
      <c r="N1094" s="148"/>
      <c r="O1094" s="148"/>
      <c r="P1094" s="148"/>
      <c r="Q1094" s="148"/>
      <c r="R1094" s="148"/>
      <c r="S1094" s="148"/>
      <c r="T1094" s="148"/>
      <c r="U1094" s="148"/>
      <c r="V1094" s="148"/>
      <c r="W1094" s="148"/>
      <c r="X1094" s="148"/>
      <c r="Y1094" s="148"/>
      <c r="Z1094" s="148"/>
      <c r="AA1094" s="148"/>
    </row>
    <row r="1095" spans="1:27">
      <c r="A1095" s="147">
        <v>2414</v>
      </c>
      <c r="B1095" s="147" t="s">
        <v>66</v>
      </c>
      <c r="C1095" s="147" t="s">
        <v>46</v>
      </c>
      <c r="D1095" s="148" t="s">
        <v>51</v>
      </c>
      <c r="E1095" s="148" t="s">
        <v>30</v>
      </c>
      <c r="F1095" s="149">
        <v>2025</v>
      </c>
      <c r="G1095" s="148" t="s">
        <v>33</v>
      </c>
      <c r="H1095" s="149">
        <v>613</v>
      </c>
      <c r="I1095" s="150">
        <v>8738087</v>
      </c>
      <c r="J1095" s="150">
        <v>124039</v>
      </c>
      <c r="K1095" s="150">
        <v>361370985</v>
      </c>
      <c r="L1095" s="152"/>
      <c r="M1095" s="152">
        <f t="shared" si="17"/>
        <v>0</v>
      </c>
      <c r="N1095" s="148"/>
      <c r="O1095" s="148"/>
      <c r="P1095" s="148"/>
      <c r="Q1095" s="148"/>
      <c r="R1095" s="148"/>
      <c r="S1095" s="148"/>
      <c r="T1095" s="148"/>
      <c r="U1095" s="148"/>
      <c r="V1095" s="148"/>
      <c r="W1095" s="148"/>
      <c r="X1095" s="148"/>
      <c r="Y1095" s="148"/>
      <c r="Z1095" s="148"/>
      <c r="AA1095" s="148"/>
    </row>
    <row r="1096" spans="1:27">
      <c r="A1096" s="147">
        <v>2415</v>
      </c>
      <c r="B1096" s="147" t="s">
        <v>66</v>
      </c>
      <c r="C1096" s="147" t="s">
        <v>46</v>
      </c>
      <c r="D1096" s="148" t="s">
        <v>51</v>
      </c>
      <c r="E1096" s="148" t="s">
        <v>30</v>
      </c>
      <c r="F1096" s="149">
        <v>2025</v>
      </c>
      <c r="G1096" s="148" t="s">
        <v>34</v>
      </c>
      <c r="H1096" s="149">
        <v>595</v>
      </c>
      <c r="I1096" s="150">
        <v>8790464</v>
      </c>
      <c r="J1096" s="150">
        <v>52377</v>
      </c>
      <c r="K1096" s="150">
        <v>271809734</v>
      </c>
      <c r="L1096" s="152"/>
      <c r="M1096" s="152">
        <f t="shared" si="17"/>
        <v>0</v>
      </c>
      <c r="N1096" s="148"/>
      <c r="O1096" s="148"/>
      <c r="P1096" s="148"/>
      <c r="Q1096" s="148"/>
      <c r="R1096" s="148"/>
      <c r="S1096" s="148"/>
      <c r="T1096" s="148"/>
      <c r="U1096" s="148"/>
      <c r="V1096" s="148"/>
      <c r="W1096" s="148"/>
      <c r="X1096" s="148"/>
      <c r="Y1096" s="148"/>
      <c r="Z1096" s="148"/>
      <c r="AA1096" s="148"/>
    </row>
    <row r="1097" spans="1:27">
      <c r="A1097" s="147">
        <v>2416</v>
      </c>
      <c r="B1097" s="147" t="s">
        <v>66</v>
      </c>
      <c r="C1097" s="147" t="s">
        <v>46</v>
      </c>
      <c r="D1097" s="148" t="s">
        <v>51</v>
      </c>
      <c r="E1097" s="148" t="s">
        <v>30</v>
      </c>
      <c r="F1097" s="149">
        <v>2025</v>
      </c>
      <c r="G1097" s="148" t="s">
        <v>35</v>
      </c>
      <c r="H1097" s="149">
        <v>464</v>
      </c>
      <c r="I1097" s="150">
        <v>8860438</v>
      </c>
      <c r="J1097" s="150">
        <v>69974</v>
      </c>
      <c r="K1097" s="150">
        <v>304330891</v>
      </c>
      <c r="L1097" s="152"/>
      <c r="M1097" s="152">
        <f t="shared" si="17"/>
        <v>0</v>
      </c>
      <c r="N1097" s="148"/>
      <c r="O1097" s="148"/>
      <c r="P1097" s="148"/>
      <c r="Q1097" s="148"/>
      <c r="R1097" s="148"/>
      <c r="S1097" s="148"/>
      <c r="T1097" s="148"/>
      <c r="U1097" s="148"/>
      <c r="V1097" s="148"/>
      <c r="W1097" s="148"/>
      <c r="X1097" s="148"/>
      <c r="Y1097" s="148"/>
      <c r="Z1097" s="148"/>
      <c r="AA1097" s="148"/>
    </row>
    <row r="1098" spans="1:27">
      <c r="A1098" s="147">
        <v>2417</v>
      </c>
      <c r="B1098" s="147" t="s">
        <v>66</v>
      </c>
      <c r="C1098" s="147" t="s">
        <v>46</v>
      </c>
      <c r="D1098" s="148" t="s">
        <v>51</v>
      </c>
      <c r="E1098" s="148" t="s">
        <v>30</v>
      </c>
      <c r="F1098" s="149">
        <v>2025</v>
      </c>
      <c r="G1098" s="148" t="s">
        <v>36</v>
      </c>
      <c r="H1098" s="149">
        <v>589</v>
      </c>
      <c r="I1098" s="150">
        <v>8994550</v>
      </c>
      <c r="J1098" s="150">
        <v>134112</v>
      </c>
      <c r="K1098" s="150">
        <v>377870669</v>
      </c>
      <c r="L1098" s="152"/>
      <c r="M1098" s="152">
        <f t="shared" si="17"/>
        <v>0</v>
      </c>
      <c r="N1098" s="148"/>
      <c r="O1098" s="148"/>
      <c r="P1098" s="148"/>
      <c r="Q1098" s="148"/>
      <c r="R1098" s="148"/>
      <c r="S1098" s="148"/>
      <c r="T1098" s="148"/>
      <c r="U1098" s="148"/>
      <c r="V1098" s="148"/>
      <c r="W1098" s="148"/>
      <c r="X1098" s="148"/>
      <c r="Y1098" s="148"/>
      <c r="Z1098" s="148"/>
      <c r="AA1098" s="148"/>
    </row>
    <row r="1099" spans="1:27">
      <c r="A1099" s="147">
        <v>2418</v>
      </c>
      <c r="B1099" s="147" t="s">
        <v>66</v>
      </c>
      <c r="C1099" s="147" t="s">
        <v>46</v>
      </c>
      <c r="D1099" s="148" t="s">
        <v>51</v>
      </c>
      <c r="E1099" s="148" t="s">
        <v>30</v>
      </c>
      <c r="F1099" s="149">
        <v>2025</v>
      </c>
      <c r="G1099" s="148" t="s">
        <v>37</v>
      </c>
      <c r="H1099" s="149">
        <v>443</v>
      </c>
      <c r="I1099" s="150">
        <v>9097730</v>
      </c>
      <c r="J1099" s="150">
        <v>103180</v>
      </c>
      <c r="K1099" s="150">
        <v>348584293</v>
      </c>
      <c r="L1099" s="152"/>
      <c r="M1099" s="152">
        <f t="shared" si="17"/>
        <v>0</v>
      </c>
      <c r="N1099" s="148"/>
      <c r="O1099" s="148"/>
      <c r="P1099" s="148"/>
      <c r="Q1099" s="148"/>
      <c r="R1099" s="148"/>
      <c r="S1099" s="148"/>
      <c r="T1099" s="148"/>
      <c r="U1099" s="148"/>
      <c r="V1099" s="148"/>
      <c r="W1099" s="148"/>
      <c r="X1099" s="148"/>
      <c r="Y1099" s="148"/>
      <c r="Z1099" s="148"/>
      <c r="AA1099" s="148"/>
    </row>
    <row r="1100" spans="1:27">
      <c r="A1100" s="147">
        <v>2419</v>
      </c>
      <c r="B1100" s="147" t="s">
        <v>66</v>
      </c>
      <c r="C1100" s="147" t="s">
        <v>46</v>
      </c>
      <c r="D1100" s="148" t="s">
        <v>51</v>
      </c>
      <c r="E1100" s="148" t="s">
        <v>30</v>
      </c>
      <c r="F1100" s="149">
        <v>2025</v>
      </c>
      <c r="G1100" s="148" t="s">
        <v>38</v>
      </c>
      <c r="H1100" s="149">
        <v>484</v>
      </c>
      <c r="I1100" s="150">
        <v>9606353</v>
      </c>
      <c r="J1100" s="150">
        <v>486284</v>
      </c>
      <c r="K1100" s="150">
        <v>542666965</v>
      </c>
      <c r="L1100" s="152"/>
      <c r="M1100" s="152">
        <f t="shared" si="17"/>
        <v>0</v>
      </c>
      <c r="N1100" s="148"/>
      <c r="O1100" s="150">
        <v>511317382</v>
      </c>
      <c r="P1100" s="150">
        <v>16829061</v>
      </c>
      <c r="Q1100" s="154">
        <v>0.5</v>
      </c>
      <c r="R1100" s="154">
        <v>0.46</v>
      </c>
      <c r="S1100" s="154">
        <v>0.04</v>
      </c>
      <c r="T1100" s="148" t="s">
        <v>44</v>
      </c>
      <c r="U1100" s="154">
        <v>0.245</v>
      </c>
      <c r="V1100" s="154">
        <v>0.422</v>
      </c>
      <c r="W1100" s="154">
        <v>0.194</v>
      </c>
      <c r="X1100" s="154">
        <v>0.09</v>
      </c>
      <c r="Y1100" s="154">
        <v>0.049</v>
      </c>
      <c r="Z1100" s="148" t="s">
        <v>44</v>
      </c>
      <c r="AA1100" s="148" t="s">
        <v>45</v>
      </c>
    </row>
    <row r="1101" spans="1:27">
      <c r="A1101" s="147">
        <v>2420</v>
      </c>
      <c r="B1101" s="147" t="s">
        <v>66</v>
      </c>
      <c r="C1101" s="147" t="s">
        <v>46</v>
      </c>
      <c r="D1101" s="148" t="s">
        <v>51</v>
      </c>
      <c r="E1101" s="148" t="s">
        <v>30</v>
      </c>
      <c r="F1101" s="149">
        <v>2025</v>
      </c>
      <c r="G1101" s="148" t="s">
        <v>39</v>
      </c>
      <c r="H1101" s="149">
        <v>518</v>
      </c>
      <c r="I1101" s="150">
        <v>10189843</v>
      </c>
      <c r="J1101" s="150">
        <v>557787</v>
      </c>
      <c r="K1101" s="150">
        <v>1052056188</v>
      </c>
      <c r="L1101" s="152"/>
      <c r="M1101" s="152">
        <f t="shared" si="17"/>
        <v>0</v>
      </c>
      <c r="N1101" s="148"/>
      <c r="O1101" s="150">
        <v>949609932</v>
      </c>
      <c r="P1101" s="150">
        <v>37136315</v>
      </c>
      <c r="Q1101" s="154">
        <v>0.5</v>
      </c>
      <c r="R1101" s="154">
        <v>0.46</v>
      </c>
      <c r="S1101" s="154">
        <v>0.04</v>
      </c>
      <c r="T1101" s="148" t="s">
        <v>44</v>
      </c>
      <c r="U1101" s="154">
        <v>0.241</v>
      </c>
      <c r="V1101" s="154">
        <v>0.419</v>
      </c>
      <c r="W1101" s="154">
        <v>0.196</v>
      </c>
      <c r="X1101" s="154">
        <v>0.093</v>
      </c>
      <c r="Y1101" s="154">
        <v>0.051</v>
      </c>
      <c r="Z1101" s="148" t="s">
        <v>44</v>
      </c>
      <c r="AA1101" s="148" t="s">
        <v>45</v>
      </c>
    </row>
    <row r="1102" spans="1:27">
      <c r="A1102" s="147">
        <v>2421</v>
      </c>
      <c r="B1102" s="147" t="s">
        <v>66</v>
      </c>
      <c r="C1102" s="147" t="s">
        <v>46</v>
      </c>
      <c r="D1102" s="148" t="s">
        <v>51</v>
      </c>
      <c r="E1102" s="148" t="s">
        <v>30</v>
      </c>
      <c r="F1102" s="149">
        <v>2025</v>
      </c>
      <c r="G1102" s="148" t="s">
        <v>40</v>
      </c>
      <c r="H1102" s="149">
        <v>510</v>
      </c>
      <c r="I1102" s="150">
        <v>10563615</v>
      </c>
      <c r="J1102" s="150">
        <v>405169</v>
      </c>
      <c r="K1102" s="150">
        <v>1040345290</v>
      </c>
      <c r="L1102" s="152"/>
      <c r="M1102" s="152">
        <f t="shared" si="17"/>
        <v>0</v>
      </c>
      <c r="N1102" s="148"/>
      <c r="O1102" s="150">
        <v>932893416</v>
      </c>
      <c r="P1102" s="150">
        <v>34051400</v>
      </c>
      <c r="Q1102" s="154">
        <v>0.51</v>
      </c>
      <c r="R1102" s="154">
        <v>0.45</v>
      </c>
      <c r="S1102" s="154">
        <v>0.04</v>
      </c>
      <c r="T1102" s="148" t="s">
        <v>44</v>
      </c>
      <c r="U1102" s="154">
        <v>0.236</v>
      </c>
      <c r="V1102" s="154">
        <v>0.417</v>
      </c>
      <c r="W1102" s="154">
        <v>0.198</v>
      </c>
      <c r="X1102" s="154">
        <v>0.096</v>
      </c>
      <c r="Y1102" s="154">
        <v>0.053</v>
      </c>
      <c r="Z1102" s="148" t="s">
        <v>44</v>
      </c>
      <c r="AA1102" s="148" t="s">
        <v>45</v>
      </c>
    </row>
    <row r="1103" spans="1:27">
      <c r="A1103" s="147">
        <v>2422</v>
      </c>
      <c r="B1103" s="147" t="s">
        <v>66</v>
      </c>
      <c r="C1103" s="147" t="s">
        <v>46</v>
      </c>
      <c r="D1103" s="148" t="s">
        <v>51</v>
      </c>
      <c r="E1103" s="148" t="s">
        <v>30</v>
      </c>
      <c r="F1103" s="149">
        <v>2025</v>
      </c>
      <c r="G1103" s="148" t="s">
        <v>41</v>
      </c>
      <c r="H1103" s="149">
        <v>547</v>
      </c>
      <c r="I1103" s="150">
        <v>10957042</v>
      </c>
      <c r="J1103" s="150">
        <v>395116</v>
      </c>
      <c r="K1103" s="150">
        <v>1026697397</v>
      </c>
      <c r="L1103" s="152"/>
      <c r="M1103" s="152">
        <f t="shared" si="17"/>
        <v>0</v>
      </c>
      <c r="N1103" s="148"/>
      <c r="O1103" s="150">
        <v>947528868</v>
      </c>
      <c r="P1103" s="150">
        <v>35328616</v>
      </c>
      <c r="Q1103" s="154">
        <v>0.51</v>
      </c>
      <c r="R1103" s="154">
        <v>0.45</v>
      </c>
      <c r="S1103" s="154">
        <v>0.04</v>
      </c>
      <c r="T1103" s="148" t="s">
        <v>44</v>
      </c>
      <c r="U1103" s="154">
        <v>0.234</v>
      </c>
      <c r="V1103" s="154">
        <v>0.415</v>
      </c>
      <c r="W1103" s="154">
        <v>0.199</v>
      </c>
      <c r="X1103" s="154">
        <v>0.097</v>
      </c>
      <c r="Y1103" s="154">
        <v>0.055</v>
      </c>
      <c r="Z1103" s="148" t="s">
        <v>44</v>
      </c>
      <c r="AA1103" s="148" t="s">
        <v>45</v>
      </c>
    </row>
    <row r="1104" spans="1:27">
      <c r="A1104" s="147">
        <v>2423</v>
      </c>
      <c r="B1104" s="147" t="s">
        <v>66</v>
      </c>
      <c r="C1104" s="147" t="s">
        <v>46</v>
      </c>
      <c r="D1104" s="148" t="s">
        <v>51</v>
      </c>
      <c r="E1104" s="148" t="s">
        <v>30</v>
      </c>
      <c r="F1104" s="149">
        <v>2025</v>
      </c>
      <c r="G1104" s="148" t="s">
        <v>42</v>
      </c>
      <c r="H1104" s="149">
        <v>479</v>
      </c>
      <c r="I1104" s="150">
        <v>11296291</v>
      </c>
      <c r="J1104" s="150">
        <v>333168</v>
      </c>
      <c r="K1104" s="150">
        <v>927244635</v>
      </c>
      <c r="L1104" s="152"/>
      <c r="M1104" s="152">
        <f t="shared" si="17"/>
        <v>0</v>
      </c>
      <c r="N1104" s="148"/>
      <c r="O1104" s="150">
        <v>927244635</v>
      </c>
      <c r="P1104" s="150">
        <v>29786819</v>
      </c>
      <c r="Q1104" s="154">
        <v>0.52</v>
      </c>
      <c r="R1104" s="154">
        <v>0.44</v>
      </c>
      <c r="S1104" s="154">
        <v>0.04</v>
      </c>
      <c r="T1104" s="148" t="s">
        <v>44</v>
      </c>
      <c r="U1104" s="154">
        <v>0.232</v>
      </c>
      <c r="V1104" s="154">
        <v>0.415</v>
      </c>
      <c r="W1104" s="154">
        <v>0.199</v>
      </c>
      <c r="X1104" s="154">
        <v>0.098</v>
      </c>
      <c r="Y1104" s="154">
        <v>0.056</v>
      </c>
      <c r="Z1104" s="148" t="s">
        <v>44</v>
      </c>
      <c r="AA1104" s="148" t="s">
        <v>45</v>
      </c>
    </row>
    <row r="1105" spans="1:27">
      <c r="A1105" s="147">
        <v>2424</v>
      </c>
      <c r="B1105" s="147" t="s">
        <v>66</v>
      </c>
      <c r="C1105" s="147" t="s">
        <v>46</v>
      </c>
      <c r="D1105" s="148" t="s">
        <v>51</v>
      </c>
      <c r="E1105" s="148" t="s">
        <v>30</v>
      </c>
      <c r="F1105" s="149">
        <v>2025</v>
      </c>
      <c r="G1105" s="148" t="s">
        <v>43</v>
      </c>
      <c r="H1105" s="149">
        <v>660</v>
      </c>
      <c r="I1105" s="150">
        <v>11510436</v>
      </c>
      <c r="J1105" s="150">
        <v>214145</v>
      </c>
      <c r="K1105" s="150">
        <v>868101035</v>
      </c>
      <c r="L1105" s="152"/>
      <c r="M1105" s="152">
        <f t="shared" si="17"/>
        <v>0</v>
      </c>
      <c r="N1105" s="148"/>
      <c r="O1105" s="150">
        <v>862941923</v>
      </c>
      <c r="P1105" s="150">
        <v>31161595</v>
      </c>
      <c r="Q1105" s="154">
        <v>0.51</v>
      </c>
      <c r="R1105" s="154">
        <v>0.44</v>
      </c>
      <c r="S1105" s="154">
        <v>0.05</v>
      </c>
      <c r="T1105" s="148" t="s">
        <v>44</v>
      </c>
      <c r="U1105" s="154">
        <v>0.227</v>
      </c>
      <c r="V1105" s="154">
        <v>0.415</v>
      </c>
      <c r="W1105" s="154">
        <v>0.201</v>
      </c>
      <c r="X1105" s="154">
        <v>0.099</v>
      </c>
      <c r="Y1105" s="154">
        <v>0.058</v>
      </c>
      <c r="Z1105" s="148" t="s">
        <v>44</v>
      </c>
      <c r="AA1105" s="148" t="s">
        <v>45</v>
      </c>
    </row>
    <row r="1106" spans="1:27">
      <c r="A1106" s="147">
        <v>2425</v>
      </c>
      <c r="B1106" s="147" t="s">
        <v>66</v>
      </c>
      <c r="C1106" s="147" t="s">
        <v>46</v>
      </c>
      <c r="D1106" s="148" t="s">
        <v>51</v>
      </c>
      <c r="E1106" s="148" t="s">
        <v>30</v>
      </c>
      <c r="F1106" s="149">
        <v>2026</v>
      </c>
      <c r="G1106" s="148" t="s">
        <v>31</v>
      </c>
      <c r="H1106" s="149">
        <v>539</v>
      </c>
      <c r="I1106" s="150">
        <v>11689340</v>
      </c>
      <c r="J1106" s="150">
        <v>178904</v>
      </c>
      <c r="K1106" s="150">
        <v>751495081</v>
      </c>
      <c r="L1106" s="152"/>
      <c r="M1106" s="152">
        <f t="shared" si="17"/>
        <v>0</v>
      </c>
      <c r="N1106" s="148"/>
      <c r="O1106" s="150">
        <v>746334186</v>
      </c>
      <c r="P1106" s="150">
        <v>26667579</v>
      </c>
      <c r="Q1106" s="154">
        <v>0.53</v>
      </c>
      <c r="R1106" s="154">
        <v>0.44</v>
      </c>
      <c r="S1106" s="154">
        <v>0.03</v>
      </c>
      <c r="T1106" s="148" t="s">
        <v>44</v>
      </c>
      <c r="U1106" s="154">
        <v>0.222</v>
      </c>
      <c r="V1106" s="154">
        <v>0.415</v>
      </c>
      <c r="W1106" s="154">
        <v>0.202</v>
      </c>
      <c r="X1106" s="154">
        <v>0.101</v>
      </c>
      <c r="Y1106" s="154">
        <v>0.06</v>
      </c>
      <c r="Z1106" s="148" t="s">
        <v>44</v>
      </c>
      <c r="AA1106" s="148" t="s">
        <v>45</v>
      </c>
    </row>
    <row r="1107" spans="1:27">
      <c r="A1107" s="147">
        <v>2426</v>
      </c>
      <c r="B1107" s="147" t="s">
        <v>66</v>
      </c>
      <c r="C1107" s="147" t="s">
        <v>46</v>
      </c>
      <c r="D1107" s="148" t="s">
        <v>51</v>
      </c>
      <c r="E1107" s="148" t="s">
        <v>30</v>
      </c>
      <c r="F1107" s="149">
        <v>2026</v>
      </c>
      <c r="G1107" s="148" t="s">
        <v>33</v>
      </c>
      <c r="H1107" s="149">
        <v>567</v>
      </c>
      <c r="I1107" s="150">
        <v>11828622</v>
      </c>
      <c r="J1107" s="150">
        <v>139282</v>
      </c>
      <c r="K1107" s="150">
        <v>783155413</v>
      </c>
      <c r="L1107" s="152"/>
      <c r="M1107" s="152">
        <f t="shared" si="17"/>
        <v>0</v>
      </c>
      <c r="N1107" s="148"/>
      <c r="O1107" s="150">
        <v>778182947</v>
      </c>
      <c r="P1107" s="150">
        <v>27210806</v>
      </c>
      <c r="Q1107" s="154">
        <v>0.53</v>
      </c>
      <c r="R1107" s="154">
        <v>0.44</v>
      </c>
      <c r="S1107" s="154">
        <v>0.03</v>
      </c>
      <c r="T1107" s="148" t="s">
        <v>44</v>
      </c>
      <c r="U1107" s="154">
        <v>0.222</v>
      </c>
      <c r="V1107" s="154">
        <v>0.415</v>
      </c>
      <c r="W1107" s="154">
        <v>0.202</v>
      </c>
      <c r="X1107" s="154">
        <v>0.101</v>
      </c>
      <c r="Y1107" s="154">
        <v>0.06</v>
      </c>
      <c r="Z1107" s="148" t="s">
        <v>44</v>
      </c>
      <c r="AA1107" s="148" t="s">
        <v>45</v>
      </c>
    </row>
    <row r="1108" spans="1:27">
      <c r="A1108" s="147">
        <v>2427</v>
      </c>
      <c r="B1108" s="147" t="s">
        <v>66</v>
      </c>
      <c r="C1108" s="147" t="s">
        <v>46</v>
      </c>
      <c r="D1108" s="148" t="s">
        <v>51</v>
      </c>
      <c r="E1108" s="148" t="s">
        <v>30</v>
      </c>
      <c r="F1108" s="149">
        <v>2026</v>
      </c>
      <c r="G1108" s="148" t="s">
        <v>34</v>
      </c>
      <c r="H1108" s="149">
        <v>638</v>
      </c>
      <c r="I1108" s="150">
        <v>11978961</v>
      </c>
      <c r="J1108" s="150">
        <v>150339</v>
      </c>
      <c r="K1108" s="150">
        <v>824988535</v>
      </c>
      <c r="L1108" s="152"/>
      <c r="M1108" s="152">
        <f t="shared" si="17"/>
        <v>0</v>
      </c>
      <c r="N1108" s="148"/>
      <c r="O1108" s="150">
        <v>819774585</v>
      </c>
      <c r="P1108" s="150">
        <v>27219043</v>
      </c>
      <c r="Q1108" s="154">
        <v>0.53</v>
      </c>
      <c r="R1108" s="154">
        <v>0.44</v>
      </c>
      <c r="S1108" s="154">
        <v>0.03</v>
      </c>
      <c r="T1108" s="148" t="s">
        <v>44</v>
      </c>
      <c r="U1108" s="154">
        <v>0.22</v>
      </c>
      <c r="V1108" s="154">
        <v>0.415</v>
      </c>
      <c r="W1108" s="154">
        <v>0.203</v>
      </c>
      <c r="X1108" s="154">
        <v>0.102</v>
      </c>
      <c r="Y1108" s="154">
        <v>0.06</v>
      </c>
      <c r="Z1108" s="148" t="s">
        <v>44</v>
      </c>
      <c r="AA1108" s="148" t="s">
        <v>45</v>
      </c>
    </row>
    <row r="1109" spans="1:27">
      <c r="A1109" s="147">
        <v>2428</v>
      </c>
      <c r="B1109" s="147" t="s">
        <v>66</v>
      </c>
      <c r="C1109" s="147" t="s">
        <v>46</v>
      </c>
      <c r="D1109" s="148" t="s">
        <v>51</v>
      </c>
      <c r="E1109" s="148" t="s">
        <v>30</v>
      </c>
      <c r="F1109" s="149">
        <v>2026</v>
      </c>
      <c r="G1109" s="148" t="s">
        <v>35</v>
      </c>
      <c r="H1109" s="149">
        <v>538</v>
      </c>
      <c r="I1109" s="150">
        <v>12118167</v>
      </c>
      <c r="J1109" s="150">
        <v>139206</v>
      </c>
      <c r="K1109" s="150">
        <v>856816811</v>
      </c>
      <c r="L1109" s="152"/>
      <c r="M1109" s="152">
        <f t="shared" si="17"/>
        <v>0</v>
      </c>
      <c r="N1109" s="148"/>
      <c r="O1109" s="150">
        <v>851995505</v>
      </c>
      <c r="P1109" s="150">
        <v>24786698</v>
      </c>
      <c r="Q1109" s="154">
        <v>0.53</v>
      </c>
      <c r="R1109" s="154">
        <v>0.44</v>
      </c>
      <c r="S1109" s="154">
        <v>0.03</v>
      </c>
      <c r="T1109" s="148" t="s">
        <v>44</v>
      </c>
      <c r="U1109" s="154">
        <v>0.218</v>
      </c>
      <c r="V1109" s="154">
        <v>0.414</v>
      </c>
      <c r="W1109" s="154">
        <v>0.204</v>
      </c>
      <c r="X1109" s="154">
        <v>0.103</v>
      </c>
      <c r="Y1109" s="154">
        <v>0.061</v>
      </c>
      <c r="Z1109" s="148" t="s">
        <v>44</v>
      </c>
      <c r="AA1109" s="148" t="s">
        <v>45</v>
      </c>
    </row>
    <row r="1110" spans="1:27">
      <c r="A1110" s="147">
        <v>2429</v>
      </c>
      <c r="B1110" s="147" t="s">
        <v>66</v>
      </c>
      <c r="C1110" s="147" t="s">
        <v>46</v>
      </c>
      <c r="D1110" s="148" t="s">
        <v>51</v>
      </c>
      <c r="E1110" s="148" t="s">
        <v>30</v>
      </c>
      <c r="F1110" s="149">
        <v>2026</v>
      </c>
      <c r="G1110" s="148" t="s">
        <v>36</v>
      </c>
      <c r="H1110" s="149">
        <v>490</v>
      </c>
      <c r="I1110" s="150">
        <v>12203357</v>
      </c>
      <c r="J1110" s="150">
        <v>85190</v>
      </c>
      <c r="K1110" s="150">
        <v>639662772</v>
      </c>
      <c r="L1110" s="152"/>
      <c r="M1110" s="152">
        <f t="shared" si="17"/>
        <v>0</v>
      </c>
      <c r="N1110" s="148"/>
      <c r="O1110" s="150">
        <v>634441571</v>
      </c>
      <c r="P1110" s="150">
        <v>21524106</v>
      </c>
      <c r="Q1110" s="154">
        <v>0.53</v>
      </c>
      <c r="R1110" s="154">
        <v>0.44</v>
      </c>
      <c r="S1110" s="154">
        <v>0.03</v>
      </c>
      <c r="T1110" s="148" t="s">
        <v>44</v>
      </c>
      <c r="U1110" s="154">
        <v>0.216</v>
      </c>
      <c r="V1110" s="154">
        <v>0.413</v>
      </c>
      <c r="W1110" s="154">
        <v>0.205</v>
      </c>
      <c r="X1110" s="154">
        <v>0.104</v>
      </c>
      <c r="Y1110" s="154">
        <v>0.062</v>
      </c>
      <c r="Z1110" s="148" t="s">
        <v>44</v>
      </c>
      <c r="AA1110" s="148" t="s">
        <v>45</v>
      </c>
    </row>
    <row r="1111" spans="1:27">
      <c r="A1111" s="147">
        <v>2430</v>
      </c>
      <c r="B1111" s="147" t="s">
        <v>66</v>
      </c>
      <c r="C1111" s="147" t="s">
        <v>46</v>
      </c>
      <c r="D1111" s="148" t="s">
        <v>51</v>
      </c>
      <c r="E1111" s="148" t="s">
        <v>30</v>
      </c>
      <c r="F1111" s="149">
        <v>2026</v>
      </c>
      <c r="G1111" s="148" t="s">
        <v>37</v>
      </c>
      <c r="H1111" s="149">
        <v>462</v>
      </c>
      <c r="I1111" s="150">
        <v>12277244</v>
      </c>
      <c r="J1111" s="150">
        <v>73437</v>
      </c>
      <c r="K1111" s="150">
        <v>537206967</v>
      </c>
      <c r="L1111" s="152"/>
      <c r="M1111" s="152">
        <f t="shared" si="17"/>
        <v>0</v>
      </c>
      <c r="N1111" s="148"/>
      <c r="O1111" s="150">
        <v>532312373</v>
      </c>
      <c r="P1111" s="150">
        <v>16203203</v>
      </c>
      <c r="Q1111" s="154">
        <v>0.54</v>
      </c>
      <c r="R1111" s="154">
        <v>0.43</v>
      </c>
      <c r="S1111" s="154">
        <v>0.03</v>
      </c>
      <c r="T1111" s="148" t="s">
        <v>44</v>
      </c>
      <c r="U1111" s="154">
        <v>0.214</v>
      </c>
      <c r="V1111" s="154">
        <v>0.413</v>
      </c>
      <c r="W1111" s="154">
        <v>0.206</v>
      </c>
      <c r="X1111" s="154">
        <v>0.104</v>
      </c>
      <c r="Y1111" s="154">
        <v>0.063</v>
      </c>
      <c r="Z1111" s="148" t="s">
        <v>44</v>
      </c>
      <c r="AA1111" s="148" t="s">
        <v>45</v>
      </c>
    </row>
    <row r="1112" spans="1:27">
      <c r="A1112" s="147">
        <v>2431</v>
      </c>
      <c r="B1112" s="147" t="s">
        <v>66</v>
      </c>
      <c r="C1112" s="147" t="s">
        <v>46</v>
      </c>
      <c r="D1112" s="148" t="s">
        <v>51</v>
      </c>
      <c r="E1112" s="148" t="s">
        <v>30</v>
      </c>
      <c r="F1112" s="149">
        <v>2026</v>
      </c>
      <c r="G1112" s="148" t="s">
        <v>38</v>
      </c>
      <c r="H1112" s="149">
        <v>439</v>
      </c>
      <c r="I1112" s="150">
        <v>12304352</v>
      </c>
      <c r="J1112" s="150">
        <v>27108</v>
      </c>
      <c r="K1112" s="150">
        <v>380485886</v>
      </c>
      <c r="L1112" s="152"/>
      <c r="M1112" s="152">
        <f t="shared" si="17"/>
        <v>0</v>
      </c>
      <c r="N1112" s="148"/>
      <c r="O1112" s="150">
        <v>375658958</v>
      </c>
      <c r="P1112" s="150">
        <v>10761597</v>
      </c>
      <c r="Q1112" s="154">
        <v>0.54</v>
      </c>
      <c r="R1112" s="154">
        <v>0.43</v>
      </c>
      <c r="S1112" s="154">
        <v>0.03</v>
      </c>
      <c r="T1112" s="148" t="s">
        <v>44</v>
      </c>
      <c r="U1112" s="154">
        <v>0.212</v>
      </c>
      <c r="V1112" s="154">
        <v>0.413</v>
      </c>
      <c r="W1112" s="154">
        <v>0.207</v>
      </c>
      <c r="X1112" s="154">
        <v>0.105</v>
      </c>
      <c r="Y1112" s="154">
        <v>0.063</v>
      </c>
      <c r="Z1112" s="148" t="s">
        <v>44</v>
      </c>
      <c r="AA1112" s="148" t="s">
        <v>45</v>
      </c>
    </row>
    <row r="1113" spans="1:27">
      <c r="A1113" s="147">
        <v>2432</v>
      </c>
      <c r="B1113" s="147" t="s">
        <v>66</v>
      </c>
      <c r="C1113" s="147" t="s">
        <v>46</v>
      </c>
      <c r="D1113" s="148" t="s">
        <v>51</v>
      </c>
      <c r="E1113" s="148" t="s">
        <v>30</v>
      </c>
      <c r="F1113" s="149">
        <v>2026</v>
      </c>
      <c r="G1113" s="148" t="s">
        <v>39</v>
      </c>
      <c r="H1113" s="148"/>
      <c r="I1113" s="148"/>
      <c r="J1113" s="148"/>
      <c r="K1113" s="148"/>
      <c r="L1113" s="152"/>
      <c r="M1113" s="152">
        <f t="shared" si="17"/>
        <v>0</v>
      </c>
      <c r="N1113" s="148"/>
      <c r="O1113" s="148"/>
      <c r="P1113" s="148"/>
      <c r="Q1113" s="148"/>
      <c r="R1113" s="148"/>
      <c r="S1113" s="148"/>
      <c r="T1113" s="148"/>
      <c r="U1113" s="148"/>
      <c r="V1113" s="148"/>
      <c r="W1113" s="148"/>
      <c r="X1113" s="148"/>
      <c r="Y1113" s="148"/>
      <c r="Z1113" s="148"/>
      <c r="AA1113" s="148"/>
    </row>
    <row r="1114" spans="1:27">
      <c r="A1114" s="147">
        <v>2433</v>
      </c>
      <c r="B1114" s="147" t="s">
        <v>66</v>
      </c>
      <c r="C1114" s="147" t="s">
        <v>46</v>
      </c>
      <c r="D1114" s="148" t="s">
        <v>51</v>
      </c>
      <c r="E1114" s="148" t="s">
        <v>30</v>
      </c>
      <c r="F1114" s="149">
        <v>2026</v>
      </c>
      <c r="G1114" s="148" t="s">
        <v>40</v>
      </c>
      <c r="H1114" s="148"/>
      <c r="I1114" s="148"/>
      <c r="J1114" s="148"/>
      <c r="K1114" s="148"/>
      <c r="L1114" s="152"/>
      <c r="M1114" s="152">
        <f t="shared" si="17"/>
        <v>0</v>
      </c>
      <c r="N1114" s="148"/>
      <c r="O1114" s="148"/>
      <c r="P1114" s="148"/>
      <c r="Q1114" s="148"/>
      <c r="R1114" s="148"/>
      <c r="S1114" s="148"/>
      <c r="T1114" s="148"/>
      <c r="U1114" s="148"/>
      <c r="V1114" s="148"/>
      <c r="W1114" s="148"/>
      <c r="X1114" s="148"/>
      <c r="Y1114" s="148"/>
      <c r="Z1114" s="148"/>
      <c r="AA1114" s="148"/>
    </row>
    <row r="1115" spans="1:27">
      <c r="A1115" s="147">
        <v>2434</v>
      </c>
      <c r="B1115" s="147" t="s">
        <v>66</v>
      </c>
      <c r="C1115" s="147" t="s">
        <v>46</v>
      </c>
      <c r="D1115" s="148" t="s">
        <v>51</v>
      </c>
      <c r="E1115" s="148" t="s">
        <v>30</v>
      </c>
      <c r="F1115" s="149">
        <v>2026</v>
      </c>
      <c r="G1115" s="148" t="s">
        <v>41</v>
      </c>
      <c r="H1115" s="148"/>
      <c r="I1115" s="148"/>
      <c r="J1115" s="148"/>
      <c r="K1115" s="148"/>
      <c r="L1115" s="152"/>
      <c r="M1115" s="152">
        <f t="shared" si="17"/>
        <v>0</v>
      </c>
      <c r="N1115" s="148"/>
      <c r="O1115" s="148"/>
      <c r="P1115" s="148"/>
      <c r="Q1115" s="148"/>
      <c r="R1115" s="148"/>
      <c r="S1115" s="148"/>
      <c r="T1115" s="148"/>
      <c r="U1115" s="148"/>
      <c r="V1115" s="148"/>
      <c r="W1115" s="148"/>
      <c r="X1115" s="148"/>
      <c r="Y1115" s="148"/>
      <c r="Z1115" s="148"/>
      <c r="AA1115" s="148"/>
    </row>
    <row r="1116" spans="1:27">
      <c r="A1116" s="147">
        <v>2435</v>
      </c>
      <c r="B1116" s="147" t="s">
        <v>66</v>
      </c>
      <c r="C1116" s="147" t="s">
        <v>46</v>
      </c>
      <c r="D1116" s="148" t="s">
        <v>51</v>
      </c>
      <c r="E1116" s="148" t="s">
        <v>30</v>
      </c>
      <c r="F1116" s="149">
        <v>2026</v>
      </c>
      <c r="G1116" s="148" t="s">
        <v>42</v>
      </c>
      <c r="H1116" s="148"/>
      <c r="I1116" s="148"/>
      <c r="J1116" s="148"/>
      <c r="K1116" s="148"/>
      <c r="L1116" s="152"/>
      <c r="M1116" s="152">
        <f t="shared" si="17"/>
        <v>0</v>
      </c>
      <c r="N1116" s="148"/>
      <c r="O1116" s="148"/>
      <c r="P1116" s="148"/>
      <c r="Q1116" s="148"/>
      <c r="R1116" s="148"/>
      <c r="S1116" s="148"/>
      <c r="T1116" s="148"/>
      <c r="U1116" s="148"/>
      <c r="V1116" s="148"/>
      <c r="W1116" s="148"/>
      <c r="X1116" s="148"/>
      <c r="Y1116" s="148"/>
      <c r="Z1116" s="148"/>
      <c r="AA1116" s="148"/>
    </row>
    <row r="1117" spans="1:27">
      <c r="A1117" s="147">
        <v>2436</v>
      </c>
      <c r="B1117" s="147" t="s">
        <v>66</v>
      </c>
      <c r="C1117" s="147" t="s">
        <v>46</v>
      </c>
      <c r="D1117" s="148" t="s">
        <v>51</v>
      </c>
      <c r="E1117" s="148" t="s">
        <v>30</v>
      </c>
      <c r="F1117" s="149">
        <v>2026</v>
      </c>
      <c r="G1117" s="148" t="s">
        <v>43</v>
      </c>
      <c r="H1117" s="148"/>
      <c r="I1117" s="148"/>
      <c r="J1117" s="148"/>
      <c r="K1117" s="148"/>
      <c r="L1117" s="152"/>
      <c r="M1117" s="152">
        <f t="shared" si="17"/>
        <v>0</v>
      </c>
      <c r="N1117" s="148"/>
      <c r="O1117" s="148"/>
      <c r="P1117" s="148"/>
      <c r="Q1117" s="148"/>
      <c r="R1117" s="148"/>
      <c r="S1117" s="148"/>
      <c r="T1117" s="148"/>
      <c r="U1117" s="148"/>
      <c r="V1117" s="148"/>
      <c r="W1117" s="148"/>
      <c r="X1117" s="148"/>
      <c r="Y1117" s="148"/>
      <c r="Z1117" s="148"/>
      <c r="AA1117" s="148"/>
    </row>
    <row r="1118" spans="1:27">
      <c r="A1118" s="147">
        <v>2449</v>
      </c>
      <c r="B1118" s="147" t="s">
        <v>66</v>
      </c>
      <c r="C1118" s="147" t="s">
        <v>53</v>
      </c>
      <c r="D1118" s="148" t="s">
        <v>54</v>
      </c>
      <c r="E1118" s="148" t="s">
        <v>30</v>
      </c>
      <c r="F1118" s="149">
        <v>2024</v>
      </c>
      <c r="G1118" s="148" t="s">
        <v>31</v>
      </c>
      <c r="H1118" s="148"/>
      <c r="I1118" s="149" t="s">
        <v>44</v>
      </c>
      <c r="J1118" s="149" t="s">
        <v>48</v>
      </c>
      <c r="K1118" s="148"/>
      <c r="L1118" s="152"/>
      <c r="M1118" s="152">
        <f t="shared" si="17"/>
        <v>0</v>
      </c>
      <c r="N1118" s="148"/>
      <c r="O1118" s="148"/>
      <c r="P1118" s="148"/>
      <c r="Q1118" s="148"/>
      <c r="R1118" s="148"/>
      <c r="S1118" s="148"/>
      <c r="T1118" s="148"/>
      <c r="U1118" s="148"/>
      <c r="V1118" s="148"/>
      <c r="W1118" s="148"/>
      <c r="X1118" s="148"/>
      <c r="Y1118" s="148"/>
      <c r="Z1118" s="148"/>
      <c r="AA1118" s="148"/>
    </row>
    <row r="1119" spans="1:27">
      <c r="A1119" s="147">
        <v>2450</v>
      </c>
      <c r="B1119" s="147" t="s">
        <v>66</v>
      </c>
      <c r="C1119" s="147" t="s">
        <v>53</v>
      </c>
      <c r="D1119" s="148" t="s">
        <v>54</v>
      </c>
      <c r="E1119" s="148" t="s">
        <v>30</v>
      </c>
      <c r="F1119" s="149">
        <v>2024</v>
      </c>
      <c r="G1119" s="148" t="s">
        <v>33</v>
      </c>
      <c r="H1119" s="148"/>
      <c r="I1119" s="149" t="s">
        <v>44</v>
      </c>
      <c r="J1119" s="149" t="s">
        <v>48</v>
      </c>
      <c r="K1119" s="148"/>
      <c r="L1119" s="152"/>
      <c r="M1119" s="152">
        <f t="shared" si="17"/>
        <v>0</v>
      </c>
      <c r="N1119" s="148"/>
      <c r="O1119" s="148"/>
      <c r="P1119" s="148"/>
      <c r="Q1119" s="148"/>
      <c r="R1119" s="148"/>
      <c r="S1119" s="148"/>
      <c r="T1119" s="148"/>
      <c r="U1119" s="148"/>
      <c r="V1119" s="148"/>
      <c r="W1119" s="148"/>
      <c r="X1119" s="148"/>
      <c r="Y1119" s="148"/>
      <c r="Z1119" s="148"/>
      <c r="AA1119" s="148"/>
    </row>
    <row r="1120" spans="1:27">
      <c r="A1120" s="147">
        <v>2451</v>
      </c>
      <c r="B1120" s="147" t="s">
        <v>66</v>
      </c>
      <c r="C1120" s="147" t="s">
        <v>53</v>
      </c>
      <c r="D1120" s="148" t="s">
        <v>54</v>
      </c>
      <c r="E1120" s="148" t="s">
        <v>30</v>
      </c>
      <c r="F1120" s="149">
        <v>2024</v>
      </c>
      <c r="G1120" s="148" t="s">
        <v>34</v>
      </c>
      <c r="H1120" s="148"/>
      <c r="I1120" s="149" t="s">
        <v>44</v>
      </c>
      <c r="J1120" s="149" t="s">
        <v>48</v>
      </c>
      <c r="K1120" s="148"/>
      <c r="L1120" s="152"/>
      <c r="M1120" s="152">
        <f t="shared" si="17"/>
        <v>0</v>
      </c>
      <c r="N1120" s="148"/>
      <c r="O1120" s="148"/>
      <c r="P1120" s="148"/>
      <c r="Q1120" s="148"/>
      <c r="R1120" s="148"/>
      <c r="S1120" s="148"/>
      <c r="T1120" s="148"/>
      <c r="U1120" s="148"/>
      <c r="V1120" s="148"/>
      <c r="W1120" s="148"/>
      <c r="X1120" s="148"/>
      <c r="Y1120" s="148"/>
      <c r="Z1120" s="148"/>
      <c r="AA1120" s="148"/>
    </row>
    <row r="1121" spans="1:27">
      <c r="A1121" s="147">
        <v>2452</v>
      </c>
      <c r="B1121" s="147" t="s">
        <v>66</v>
      </c>
      <c r="C1121" s="147" t="s">
        <v>53</v>
      </c>
      <c r="D1121" s="148" t="s">
        <v>54</v>
      </c>
      <c r="E1121" s="148" t="s">
        <v>30</v>
      </c>
      <c r="F1121" s="149">
        <v>2024</v>
      </c>
      <c r="G1121" s="148" t="s">
        <v>35</v>
      </c>
      <c r="H1121" s="148"/>
      <c r="I1121" s="149" t="s">
        <v>44</v>
      </c>
      <c r="J1121" s="149" t="s">
        <v>48</v>
      </c>
      <c r="K1121" s="148"/>
      <c r="L1121" s="152"/>
      <c r="M1121" s="152">
        <f t="shared" si="17"/>
        <v>0</v>
      </c>
      <c r="N1121" s="148"/>
      <c r="O1121" s="148"/>
      <c r="P1121" s="148"/>
      <c r="Q1121" s="148"/>
      <c r="R1121" s="148"/>
      <c r="S1121" s="148"/>
      <c r="T1121" s="148"/>
      <c r="U1121" s="148"/>
      <c r="V1121" s="148"/>
      <c r="W1121" s="148"/>
      <c r="X1121" s="148"/>
      <c r="Y1121" s="148"/>
      <c r="Z1121" s="148"/>
      <c r="AA1121" s="148"/>
    </row>
    <row r="1122" spans="1:27">
      <c r="A1122" s="147">
        <v>2453</v>
      </c>
      <c r="B1122" s="147" t="s">
        <v>66</v>
      </c>
      <c r="C1122" s="147" t="s">
        <v>53</v>
      </c>
      <c r="D1122" s="148" t="s">
        <v>54</v>
      </c>
      <c r="E1122" s="148" t="s">
        <v>30</v>
      </c>
      <c r="F1122" s="149">
        <v>2024</v>
      </c>
      <c r="G1122" s="148" t="s">
        <v>36</v>
      </c>
      <c r="H1122" s="148"/>
      <c r="I1122" s="149" t="s">
        <v>44</v>
      </c>
      <c r="J1122" s="149" t="s">
        <v>48</v>
      </c>
      <c r="K1122" s="148"/>
      <c r="L1122" s="152"/>
      <c r="M1122" s="152">
        <f t="shared" si="17"/>
        <v>0</v>
      </c>
      <c r="N1122" s="148"/>
      <c r="O1122" s="148"/>
      <c r="P1122" s="148"/>
      <c r="Q1122" s="148"/>
      <c r="R1122" s="148"/>
      <c r="S1122" s="148"/>
      <c r="T1122" s="148"/>
      <c r="U1122" s="148"/>
      <c r="V1122" s="148"/>
      <c r="W1122" s="148"/>
      <c r="X1122" s="148"/>
      <c r="Y1122" s="148"/>
      <c r="Z1122" s="148"/>
      <c r="AA1122" s="148"/>
    </row>
    <row r="1123" spans="1:27">
      <c r="A1123" s="147">
        <v>2454</v>
      </c>
      <c r="B1123" s="147" t="s">
        <v>66</v>
      </c>
      <c r="C1123" s="147" t="s">
        <v>53</v>
      </c>
      <c r="D1123" s="148" t="s">
        <v>54</v>
      </c>
      <c r="E1123" s="148" t="s">
        <v>30</v>
      </c>
      <c r="F1123" s="149">
        <v>2024</v>
      </c>
      <c r="G1123" s="148" t="s">
        <v>37</v>
      </c>
      <c r="H1123" s="148"/>
      <c r="I1123" s="149" t="s">
        <v>44</v>
      </c>
      <c r="J1123" s="149" t="s">
        <v>48</v>
      </c>
      <c r="K1123" s="148"/>
      <c r="L1123" s="152"/>
      <c r="M1123" s="152">
        <f t="shared" si="17"/>
        <v>0</v>
      </c>
      <c r="N1123" s="148"/>
      <c r="O1123" s="148"/>
      <c r="P1123" s="148"/>
      <c r="Q1123" s="148"/>
      <c r="R1123" s="148"/>
      <c r="S1123" s="148"/>
      <c r="T1123" s="148"/>
      <c r="U1123" s="148"/>
      <c r="V1123" s="148"/>
      <c r="W1123" s="148"/>
      <c r="X1123" s="148"/>
      <c r="Y1123" s="148"/>
      <c r="Z1123" s="148"/>
      <c r="AA1123" s="148"/>
    </row>
    <row r="1124" spans="1:27">
      <c r="A1124" s="147">
        <v>2455</v>
      </c>
      <c r="B1124" s="147" t="s">
        <v>66</v>
      </c>
      <c r="C1124" s="147" t="s">
        <v>53</v>
      </c>
      <c r="D1124" s="148" t="s">
        <v>54</v>
      </c>
      <c r="E1124" s="148" t="s">
        <v>30</v>
      </c>
      <c r="F1124" s="149">
        <v>2024</v>
      </c>
      <c r="G1124" s="148" t="s">
        <v>38</v>
      </c>
      <c r="H1124" s="148"/>
      <c r="I1124" s="150">
        <v>23551</v>
      </c>
      <c r="J1124" s="149" t="s">
        <v>48</v>
      </c>
      <c r="K1124" s="148"/>
      <c r="L1124" s="152"/>
      <c r="M1124" s="152">
        <f t="shared" si="17"/>
        <v>0</v>
      </c>
      <c r="N1124" s="148"/>
      <c r="O1124" s="148"/>
      <c r="P1124" s="148"/>
      <c r="Q1124" s="148"/>
      <c r="R1124" s="148"/>
      <c r="S1124" s="148"/>
      <c r="T1124" s="148"/>
      <c r="U1124" s="148"/>
      <c r="V1124" s="148"/>
      <c r="W1124" s="148"/>
      <c r="X1124" s="148"/>
      <c r="Y1124" s="148"/>
      <c r="Z1124" s="148"/>
      <c r="AA1124" s="148"/>
    </row>
    <row r="1125" spans="1:27">
      <c r="A1125" s="147">
        <v>2456</v>
      </c>
      <c r="B1125" s="147" t="s">
        <v>66</v>
      </c>
      <c r="C1125" s="147" t="s">
        <v>53</v>
      </c>
      <c r="D1125" s="148" t="s">
        <v>54</v>
      </c>
      <c r="E1125" s="148" t="s">
        <v>30</v>
      </c>
      <c r="F1125" s="149">
        <v>2024</v>
      </c>
      <c r="G1125" s="148" t="s">
        <v>39</v>
      </c>
      <c r="H1125" s="148"/>
      <c r="I1125" s="150">
        <v>23541</v>
      </c>
      <c r="J1125" s="149">
        <v>-10</v>
      </c>
      <c r="K1125" s="148"/>
      <c r="L1125" s="152"/>
      <c r="M1125" s="152">
        <f t="shared" si="17"/>
        <v>0</v>
      </c>
      <c r="N1125" s="148"/>
      <c r="O1125" s="148"/>
      <c r="P1125" s="148"/>
      <c r="Q1125" s="148"/>
      <c r="R1125" s="148"/>
      <c r="S1125" s="148"/>
      <c r="T1125" s="148"/>
      <c r="U1125" s="148"/>
      <c r="V1125" s="148"/>
      <c r="W1125" s="148"/>
      <c r="X1125" s="148"/>
      <c r="Y1125" s="148"/>
      <c r="Z1125" s="148"/>
      <c r="AA1125" s="148"/>
    </row>
    <row r="1126" spans="1:27">
      <c r="A1126" s="147">
        <v>2457</v>
      </c>
      <c r="B1126" s="147" t="s">
        <v>66</v>
      </c>
      <c r="C1126" s="147" t="s">
        <v>53</v>
      </c>
      <c r="D1126" s="148" t="s">
        <v>54</v>
      </c>
      <c r="E1126" s="148" t="s">
        <v>30</v>
      </c>
      <c r="F1126" s="149">
        <v>2024</v>
      </c>
      <c r="G1126" s="148" t="s">
        <v>40</v>
      </c>
      <c r="H1126" s="148"/>
      <c r="I1126" s="150">
        <v>23508</v>
      </c>
      <c r="J1126" s="149">
        <v>-33</v>
      </c>
      <c r="K1126" s="148"/>
      <c r="L1126" s="152"/>
      <c r="M1126" s="152">
        <f t="shared" si="17"/>
        <v>0</v>
      </c>
      <c r="N1126" s="148"/>
      <c r="O1126" s="148"/>
      <c r="P1126" s="148"/>
      <c r="Q1126" s="148"/>
      <c r="R1126" s="148"/>
      <c r="S1126" s="148"/>
      <c r="T1126" s="148"/>
      <c r="U1126" s="148"/>
      <c r="V1126" s="148"/>
      <c r="W1126" s="148"/>
      <c r="X1126" s="148"/>
      <c r="Y1126" s="148"/>
      <c r="Z1126" s="148"/>
      <c r="AA1126" s="148"/>
    </row>
    <row r="1127" spans="1:27">
      <c r="A1127" s="147">
        <v>2458</v>
      </c>
      <c r="B1127" s="147" t="s">
        <v>66</v>
      </c>
      <c r="C1127" s="147" t="s">
        <v>53</v>
      </c>
      <c r="D1127" s="148" t="s">
        <v>54</v>
      </c>
      <c r="E1127" s="148" t="s">
        <v>30</v>
      </c>
      <c r="F1127" s="149">
        <v>2024</v>
      </c>
      <c r="G1127" s="148" t="s">
        <v>41</v>
      </c>
      <c r="H1127" s="148"/>
      <c r="I1127" s="150">
        <v>23506</v>
      </c>
      <c r="J1127" s="149">
        <v>-2</v>
      </c>
      <c r="K1127" s="148"/>
      <c r="L1127" s="152"/>
      <c r="M1127" s="152">
        <f t="shared" si="17"/>
        <v>0</v>
      </c>
      <c r="N1127" s="148"/>
      <c r="O1127" s="148"/>
      <c r="P1127" s="148"/>
      <c r="Q1127" s="148"/>
      <c r="R1127" s="148"/>
      <c r="S1127" s="148"/>
      <c r="T1127" s="148"/>
      <c r="U1127" s="148"/>
      <c r="V1127" s="148"/>
      <c r="W1127" s="148"/>
      <c r="X1127" s="148"/>
      <c r="Y1127" s="148"/>
      <c r="Z1127" s="148"/>
      <c r="AA1127" s="148"/>
    </row>
    <row r="1128" spans="1:27">
      <c r="A1128" s="147">
        <v>2459</v>
      </c>
      <c r="B1128" s="147" t="s">
        <v>66</v>
      </c>
      <c r="C1128" s="147" t="s">
        <v>53</v>
      </c>
      <c r="D1128" s="148" t="s">
        <v>54</v>
      </c>
      <c r="E1128" s="148" t="s">
        <v>30</v>
      </c>
      <c r="F1128" s="149">
        <v>2024</v>
      </c>
      <c r="G1128" s="148" t="s">
        <v>42</v>
      </c>
      <c r="H1128" s="148"/>
      <c r="I1128" s="150">
        <v>23493</v>
      </c>
      <c r="J1128" s="149">
        <v>-13</v>
      </c>
      <c r="K1128" s="148"/>
      <c r="L1128" s="152"/>
      <c r="M1128" s="152">
        <f t="shared" si="17"/>
        <v>0</v>
      </c>
      <c r="N1128" s="148"/>
      <c r="O1128" s="148"/>
      <c r="P1128" s="148"/>
      <c r="Q1128" s="148"/>
      <c r="R1128" s="148"/>
      <c r="S1128" s="148"/>
      <c r="T1128" s="148"/>
      <c r="U1128" s="148"/>
      <c r="V1128" s="148"/>
      <c r="W1128" s="148"/>
      <c r="X1128" s="148"/>
      <c r="Y1128" s="148"/>
      <c r="Z1128" s="148"/>
      <c r="AA1128" s="148"/>
    </row>
    <row r="1129" spans="1:27">
      <c r="A1129" s="147">
        <v>2460</v>
      </c>
      <c r="B1129" s="147" t="s">
        <v>66</v>
      </c>
      <c r="C1129" s="147" t="s">
        <v>53</v>
      </c>
      <c r="D1129" s="148" t="s">
        <v>54</v>
      </c>
      <c r="E1129" s="148" t="s">
        <v>30</v>
      </c>
      <c r="F1129" s="149">
        <v>2024</v>
      </c>
      <c r="G1129" s="148" t="s">
        <v>43</v>
      </c>
      <c r="H1129" s="148"/>
      <c r="I1129" s="150">
        <v>23460</v>
      </c>
      <c r="J1129" s="149">
        <v>-33</v>
      </c>
      <c r="K1129" s="148"/>
      <c r="L1129" s="152"/>
      <c r="M1129" s="152">
        <f t="shared" si="17"/>
        <v>0</v>
      </c>
      <c r="N1129" s="148"/>
      <c r="O1129" s="148"/>
      <c r="P1129" s="148"/>
      <c r="Q1129" s="148"/>
      <c r="R1129" s="148"/>
      <c r="S1129" s="148"/>
      <c r="T1129" s="148"/>
      <c r="U1129" s="148"/>
      <c r="V1129" s="148"/>
      <c r="W1129" s="148"/>
      <c r="X1129" s="148"/>
      <c r="Y1129" s="148"/>
      <c r="Z1129" s="148"/>
      <c r="AA1129" s="148"/>
    </row>
    <row r="1130" spans="1:27">
      <c r="A1130" s="147">
        <v>2461</v>
      </c>
      <c r="B1130" s="147" t="s">
        <v>66</v>
      </c>
      <c r="C1130" s="147" t="s">
        <v>53</v>
      </c>
      <c r="D1130" s="148" t="s">
        <v>54</v>
      </c>
      <c r="E1130" s="148" t="s">
        <v>30</v>
      </c>
      <c r="F1130" s="149">
        <v>2025</v>
      </c>
      <c r="G1130" s="148" t="s">
        <v>31</v>
      </c>
      <c r="H1130" s="148"/>
      <c r="I1130" s="150">
        <v>23610</v>
      </c>
      <c r="J1130" s="149">
        <v>150</v>
      </c>
      <c r="K1130" s="148"/>
      <c r="L1130" s="152"/>
      <c r="M1130" s="152">
        <f t="shared" si="17"/>
        <v>0</v>
      </c>
      <c r="N1130" s="148"/>
      <c r="O1130" s="148"/>
      <c r="P1130" s="148"/>
      <c r="Q1130" s="148"/>
      <c r="R1130" s="148"/>
      <c r="S1130" s="148"/>
      <c r="T1130" s="148"/>
      <c r="U1130" s="148"/>
      <c r="V1130" s="148"/>
      <c r="W1130" s="148"/>
      <c r="X1130" s="148"/>
      <c r="Y1130" s="148"/>
      <c r="Z1130" s="148"/>
      <c r="AA1130" s="148"/>
    </row>
    <row r="1131" spans="1:27">
      <c r="A1131" s="147">
        <v>2462</v>
      </c>
      <c r="B1131" s="147" t="s">
        <v>66</v>
      </c>
      <c r="C1131" s="147" t="s">
        <v>53</v>
      </c>
      <c r="D1131" s="148" t="s">
        <v>54</v>
      </c>
      <c r="E1131" s="148" t="s">
        <v>30</v>
      </c>
      <c r="F1131" s="149">
        <v>2025</v>
      </c>
      <c r="G1131" s="148" t="s">
        <v>33</v>
      </c>
      <c r="H1131" s="148"/>
      <c r="I1131" s="150">
        <v>23782</v>
      </c>
      <c r="J1131" s="149">
        <v>172</v>
      </c>
      <c r="K1131" s="148"/>
      <c r="L1131" s="152"/>
      <c r="M1131" s="152">
        <f t="shared" si="17"/>
        <v>0</v>
      </c>
      <c r="N1131" s="148"/>
      <c r="O1131" s="148"/>
      <c r="P1131" s="148"/>
      <c r="Q1131" s="148"/>
      <c r="R1131" s="148"/>
      <c r="S1131" s="148"/>
      <c r="T1131" s="148"/>
      <c r="U1131" s="148"/>
      <c r="V1131" s="148"/>
      <c r="W1131" s="148"/>
      <c r="X1131" s="148"/>
      <c r="Y1131" s="148"/>
      <c r="Z1131" s="148"/>
      <c r="AA1131" s="148"/>
    </row>
    <row r="1132" spans="1:27">
      <c r="A1132" s="147">
        <v>2463</v>
      </c>
      <c r="B1132" s="147" t="s">
        <v>66</v>
      </c>
      <c r="C1132" s="147" t="s">
        <v>53</v>
      </c>
      <c r="D1132" s="148" t="s">
        <v>54</v>
      </c>
      <c r="E1132" s="148" t="s">
        <v>30</v>
      </c>
      <c r="F1132" s="149">
        <v>2025</v>
      </c>
      <c r="G1132" s="148" t="s">
        <v>34</v>
      </c>
      <c r="H1132" s="148"/>
      <c r="I1132" s="150">
        <v>23768</v>
      </c>
      <c r="J1132" s="149">
        <v>-14</v>
      </c>
      <c r="K1132" s="148"/>
      <c r="L1132" s="152"/>
      <c r="M1132" s="152">
        <f t="shared" si="17"/>
        <v>0</v>
      </c>
      <c r="N1132" s="148"/>
      <c r="O1132" s="148"/>
      <c r="P1132" s="148"/>
      <c r="Q1132" s="148"/>
      <c r="R1132" s="148"/>
      <c r="S1132" s="148"/>
      <c r="T1132" s="148"/>
      <c r="U1132" s="148"/>
      <c r="V1132" s="148"/>
      <c r="W1132" s="148"/>
      <c r="X1132" s="148"/>
      <c r="Y1132" s="148"/>
      <c r="Z1132" s="148"/>
      <c r="AA1132" s="148"/>
    </row>
    <row r="1133" spans="1:27">
      <c r="A1133" s="147">
        <v>2464</v>
      </c>
      <c r="B1133" s="147" t="s">
        <v>66</v>
      </c>
      <c r="C1133" s="147" t="s">
        <v>53</v>
      </c>
      <c r="D1133" s="148" t="s">
        <v>54</v>
      </c>
      <c r="E1133" s="148" t="s">
        <v>30</v>
      </c>
      <c r="F1133" s="149">
        <v>2025</v>
      </c>
      <c r="G1133" s="148" t="s">
        <v>35</v>
      </c>
      <c r="H1133" s="148"/>
      <c r="I1133" s="150">
        <v>23740</v>
      </c>
      <c r="J1133" s="149">
        <v>-28</v>
      </c>
      <c r="K1133" s="148"/>
      <c r="L1133" s="152"/>
      <c r="M1133" s="152">
        <f t="shared" si="17"/>
        <v>0</v>
      </c>
      <c r="N1133" s="148"/>
      <c r="O1133" s="148"/>
      <c r="P1133" s="148"/>
      <c r="Q1133" s="148"/>
      <c r="R1133" s="148"/>
      <c r="S1133" s="148"/>
      <c r="T1133" s="148"/>
      <c r="U1133" s="148"/>
      <c r="V1133" s="148"/>
      <c r="W1133" s="148"/>
      <c r="X1133" s="148"/>
      <c r="Y1133" s="148"/>
      <c r="Z1133" s="148"/>
      <c r="AA1133" s="148"/>
    </row>
    <row r="1134" spans="1:27">
      <c r="A1134" s="147">
        <v>2465</v>
      </c>
      <c r="B1134" s="147" t="s">
        <v>66</v>
      </c>
      <c r="C1134" s="147" t="s">
        <v>53</v>
      </c>
      <c r="D1134" s="148" t="s">
        <v>54</v>
      </c>
      <c r="E1134" s="148" t="s">
        <v>30</v>
      </c>
      <c r="F1134" s="149">
        <v>2025</v>
      </c>
      <c r="G1134" s="148" t="s">
        <v>36</v>
      </c>
      <c r="H1134" s="148"/>
      <c r="I1134" s="150">
        <v>23753</v>
      </c>
      <c r="J1134" s="149">
        <v>13</v>
      </c>
      <c r="K1134" s="148"/>
      <c r="L1134" s="152"/>
      <c r="M1134" s="152">
        <f t="shared" si="17"/>
        <v>0</v>
      </c>
      <c r="N1134" s="148"/>
      <c r="O1134" s="148"/>
      <c r="P1134" s="148"/>
      <c r="Q1134" s="148"/>
      <c r="R1134" s="148"/>
      <c r="S1134" s="148"/>
      <c r="T1134" s="148"/>
      <c r="U1134" s="148"/>
      <c r="V1134" s="148"/>
      <c r="W1134" s="148"/>
      <c r="X1134" s="148"/>
      <c r="Y1134" s="148"/>
      <c r="Z1134" s="148"/>
      <c r="AA1134" s="148"/>
    </row>
    <row r="1135" spans="1:27">
      <c r="A1135" s="147">
        <v>2466</v>
      </c>
      <c r="B1135" s="147" t="s">
        <v>66</v>
      </c>
      <c r="C1135" s="147" t="s">
        <v>53</v>
      </c>
      <c r="D1135" s="148" t="s">
        <v>54</v>
      </c>
      <c r="E1135" s="148" t="s">
        <v>30</v>
      </c>
      <c r="F1135" s="149">
        <v>2025</v>
      </c>
      <c r="G1135" s="148" t="s">
        <v>37</v>
      </c>
      <c r="H1135" s="148"/>
      <c r="I1135" s="150">
        <v>23762</v>
      </c>
      <c r="J1135" s="149">
        <v>9</v>
      </c>
      <c r="K1135" s="150">
        <v>270988</v>
      </c>
      <c r="L1135" s="152"/>
      <c r="M1135" s="152">
        <f t="shared" si="17"/>
        <v>0</v>
      </c>
      <c r="N1135" s="148"/>
      <c r="O1135" s="148"/>
      <c r="P1135" s="148"/>
      <c r="Q1135" s="148"/>
      <c r="R1135" s="148"/>
      <c r="S1135" s="148"/>
      <c r="T1135" s="148"/>
      <c r="U1135" s="148"/>
      <c r="V1135" s="148"/>
      <c r="W1135" s="148"/>
      <c r="X1135" s="148"/>
      <c r="Y1135" s="148"/>
      <c r="Z1135" s="148"/>
      <c r="AA1135" s="148"/>
    </row>
    <row r="1136" spans="1:27">
      <c r="A1136" s="147">
        <v>2467</v>
      </c>
      <c r="B1136" s="147" t="s">
        <v>66</v>
      </c>
      <c r="C1136" s="147" t="s">
        <v>53</v>
      </c>
      <c r="D1136" s="148" t="s">
        <v>54</v>
      </c>
      <c r="E1136" s="148" t="s">
        <v>30</v>
      </c>
      <c r="F1136" s="149">
        <v>2025</v>
      </c>
      <c r="G1136" s="148" t="s">
        <v>38</v>
      </c>
      <c r="H1136" s="148"/>
      <c r="I1136" s="150">
        <v>24092</v>
      </c>
      <c r="J1136" s="149">
        <v>299</v>
      </c>
      <c r="K1136" s="150">
        <v>1734189</v>
      </c>
      <c r="L1136" s="152"/>
      <c r="M1136" s="152">
        <f t="shared" si="17"/>
        <v>0</v>
      </c>
      <c r="N1136" s="148"/>
      <c r="O1136" s="148"/>
      <c r="P1136" s="150">
        <v>89962</v>
      </c>
      <c r="Q1136" s="154">
        <v>0.36</v>
      </c>
      <c r="R1136" s="154">
        <v>0.63</v>
      </c>
      <c r="S1136" s="154">
        <v>0.01</v>
      </c>
      <c r="T1136" s="148" t="s">
        <v>44</v>
      </c>
      <c r="U1136" s="154">
        <v>0.327</v>
      </c>
      <c r="V1136" s="154">
        <v>0.424</v>
      </c>
      <c r="W1136" s="154">
        <v>0.158</v>
      </c>
      <c r="X1136" s="154">
        <v>0.06</v>
      </c>
      <c r="Y1136" s="154">
        <v>0.031</v>
      </c>
      <c r="Z1136" s="148" t="s">
        <v>44</v>
      </c>
      <c r="AA1136" s="148" t="s">
        <v>45</v>
      </c>
    </row>
    <row r="1137" spans="1:27">
      <c r="A1137" s="147">
        <v>2468</v>
      </c>
      <c r="B1137" s="147" t="s">
        <v>66</v>
      </c>
      <c r="C1137" s="147" t="s">
        <v>53</v>
      </c>
      <c r="D1137" s="148" t="s">
        <v>54</v>
      </c>
      <c r="E1137" s="148" t="s">
        <v>30</v>
      </c>
      <c r="F1137" s="149">
        <v>2025</v>
      </c>
      <c r="G1137" s="148" t="s">
        <v>39</v>
      </c>
      <c r="H1137" s="148"/>
      <c r="I1137" s="150">
        <v>24115</v>
      </c>
      <c r="J1137" s="149">
        <v>22</v>
      </c>
      <c r="K1137" s="150">
        <v>280606</v>
      </c>
      <c r="L1137" s="152"/>
      <c r="M1137" s="152">
        <f t="shared" si="17"/>
        <v>0</v>
      </c>
      <c r="N1137" s="148"/>
      <c r="O1137" s="148"/>
      <c r="P1137" s="150">
        <v>8294</v>
      </c>
      <c r="Q1137" s="154">
        <v>0.37</v>
      </c>
      <c r="R1137" s="154">
        <v>0.62</v>
      </c>
      <c r="S1137" s="154">
        <v>0.01</v>
      </c>
      <c r="T1137" s="148" t="s">
        <v>44</v>
      </c>
      <c r="U1137" s="154">
        <v>0.324</v>
      </c>
      <c r="V1137" s="154">
        <v>0.426</v>
      </c>
      <c r="W1137" s="154">
        <v>0.159</v>
      </c>
      <c r="X1137" s="154">
        <v>0.06</v>
      </c>
      <c r="Y1137" s="154">
        <v>0.031</v>
      </c>
      <c r="Z1137" s="148" t="s">
        <v>44</v>
      </c>
      <c r="AA1137" s="148" t="s">
        <v>45</v>
      </c>
    </row>
    <row r="1138" spans="1:27">
      <c r="A1138" s="147">
        <v>2469</v>
      </c>
      <c r="B1138" s="147" t="s">
        <v>66</v>
      </c>
      <c r="C1138" s="147" t="s">
        <v>53</v>
      </c>
      <c r="D1138" s="148" t="s">
        <v>54</v>
      </c>
      <c r="E1138" s="148" t="s">
        <v>30</v>
      </c>
      <c r="F1138" s="149">
        <v>2025</v>
      </c>
      <c r="G1138" s="148" t="s">
        <v>40</v>
      </c>
      <c r="H1138" s="148"/>
      <c r="I1138" s="150">
        <v>24143</v>
      </c>
      <c r="J1138" s="149">
        <v>28</v>
      </c>
      <c r="K1138" s="150">
        <v>190401</v>
      </c>
      <c r="L1138" s="152"/>
      <c r="M1138" s="152">
        <f t="shared" si="17"/>
        <v>0</v>
      </c>
      <c r="N1138" s="148"/>
      <c r="O1138" s="148"/>
      <c r="P1138" s="150">
        <v>7846</v>
      </c>
      <c r="Q1138" s="154">
        <v>0.37</v>
      </c>
      <c r="R1138" s="154">
        <v>0.62</v>
      </c>
      <c r="S1138" s="154">
        <v>0.01</v>
      </c>
      <c r="T1138" s="148" t="s">
        <v>44</v>
      </c>
      <c r="U1138" s="154">
        <v>0.322</v>
      </c>
      <c r="V1138" s="154">
        <v>0.426</v>
      </c>
      <c r="W1138" s="154">
        <v>0.158</v>
      </c>
      <c r="X1138" s="154">
        <v>0.062</v>
      </c>
      <c r="Y1138" s="154">
        <v>0.032</v>
      </c>
      <c r="Z1138" s="148" t="s">
        <v>44</v>
      </c>
      <c r="AA1138" s="148" t="s">
        <v>45</v>
      </c>
    </row>
    <row r="1139" spans="1:27">
      <c r="A1139" s="147">
        <v>2470</v>
      </c>
      <c r="B1139" s="147" t="s">
        <v>66</v>
      </c>
      <c r="C1139" s="147" t="s">
        <v>53</v>
      </c>
      <c r="D1139" s="148" t="s">
        <v>54</v>
      </c>
      <c r="E1139" s="148" t="s">
        <v>30</v>
      </c>
      <c r="F1139" s="149">
        <v>2025</v>
      </c>
      <c r="G1139" s="148" t="s">
        <v>41</v>
      </c>
      <c r="H1139" s="148"/>
      <c r="I1139" s="150">
        <v>25260</v>
      </c>
      <c r="J1139" s="150">
        <v>1056</v>
      </c>
      <c r="K1139" s="150">
        <v>4655682</v>
      </c>
      <c r="L1139" s="152"/>
      <c r="M1139" s="152">
        <f t="shared" si="17"/>
        <v>0</v>
      </c>
      <c r="N1139" s="148"/>
      <c r="O1139" s="148"/>
      <c r="P1139" s="150">
        <v>142497</v>
      </c>
      <c r="Q1139" s="154">
        <v>0.36</v>
      </c>
      <c r="R1139" s="154">
        <v>0.63</v>
      </c>
      <c r="S1139" s="154">
        <v>0.01</v>
      </c>
      <c r="T1139" s="148" t="s">
        <v>44</v>
      </c>
      <c r="U1139" s="154">
        <v>0.307</v>
      </c>
      <c r="V1139" s="154">
        <v>0.428</v>
      </c>
      <c r="W1139" s="154">
        <v>0.166</v>
      </c>
      <c r="X1139" s="154">
        <v>0.066</v>
      </c>
      <c r="Y1139" s="154">
        <v>0.033</v>
      </c>
      <c r="Z1139" s="148" t="s">
        <v>44</v>
      </c>
      <c r="AA1139" s="148" t="s">
        <v>45</v>
      </c>
    </row>
    <row r="1140" spans="1:27">
      <c r="A1140" s="147">
        <v>2471</v>
      </c>
      <c r="B1140" s="147" t="s">
        <v>66</v>
      </c>
      <c r="C1140" s="147" t="s">
        <v>53</v>
      </c>
      <c r="D1140" s="148" t="s">
        <v>54</v>
      </c>
      <c r="E1140" s="148" t="s">
        <v>30</v>
      </c>
      <c r="F1140" s="149">
        <v>2025</v>
      </c>
      <c r="G1140" s="148" t="s">
        <v>42</v>
      </c>
      <c r="H1140" s="148"/>
      <c r="I1140" s="150">
        <v>25589</v>
      </c>
      <c r="J1140" s="149">
        <v>315</v>
      </c>
      <c r="K1140" s="150">
        <v>1884877</v>
      </c>
      <c r="L1140" s="152"/>
      <c r="M1140" s="152">
        <f t="shared" si="17"/>
        <v>0</v>
      </c>
      <c r="N1140" s="148"/>
      <c r="O1140" s="148"/>
      <c r="P1140" s="150">
        <v>159513</v>
      </c>
      <c r="Q1140" s="154">
        <v>0.37</v>
      </c>
      <c r="R1140" s="154">
        <v>0.61</v>
      </c>
      <c r="S1140" s="154">
        <v>0.02</v>
      </c>
      <c r="T1140" s="148" t="s">
        <v>44</v>
      </c>
      <c r="U1140" s="154">
        <v>0.303</v>
      </c>
      <c r="V1140" s="154">
        <v>0.429</v>
      </c>
      <c r="W1140" s="154">
        <v>0.167</v>
      </c>
      <c r="X1140" s="154">
        <v>0.067</v>
      </c>
      <c r="Y1140" s="154">
        <v>0.034</v>
      </c>
      <c r="Z1140" s="148" t="s">
        <v>44</v>
      </c>
      <c r="AA1140" s="148" t="s">
        <v>45</v>
      </c>
    </row>
    <row r="1141" spans="1:27">
      <c r="A1141" s="147">
        <v>2472</v>
      </c>
      <c r="B1141" s="147" t="s">
        <v>66</v>
      </c>
      <c r="C1141" s="147" t="s">
        <v>53</v>
      </c>
      <c r="D1141" s="148" t="s">
        <v>54</v>
      </c>
      <c r="E1141" s="148" t="s">
        <v>30</v>
      </c>
      <c r="F1141" s="149">
        <v>2025</v>
      </c>
      <c r="G1141" s="148" t="s">
        <v>43</v>
      </c>
      <c r="H1141" s="148"/>
      <c r="I1141" s="150">
        <v>25725</v>
      </c>
      <c r="J1141" s="149">
        <v>136</v>
      </c>
      <c r="K1141" s="150">
        <v>1401295</v>
      </c>
      <c r="L1141" s="152"/>
      <c r="M1141" s="152">
        <f t="shared" si="17"/>
        <v>0</v>
      </c>
      <c r="N1141" s="148"/>
      <c r="O1141" s="148"/>
      <c r="P1141" s="150">
        <v>78440</v>
      </c>
      <c r="Q1141" s="154">
        <v>0.37</v>
      </c>
      <c r="R1141" s="154">
        <v>0.61</v>
      </c>
      <c r="S1141" s="154">
        <v>0.02</v>
      </c>
      <c r="T1141" s="148" t="s">
        <v>44</v>
      </c>
      <c r="U1141" s="154">
        <v>0.3</v>
      </c>
      <c r="V1141" s="154">
        <v>0.427</v>
      </c>
      <c r="W1141" s="154">
        <v>0.17</v>
      </c>
      <c r="X1141" s="154">
        <v>0.069</v>
      </c>
      <c r="Y1141" s="154">
        <v>0.034</v>
      </c>
      <c r="Z1141" s="148" t="s">
        <v>44</v>
      </c>
      <c r="AA1141" s="148" t="s">
        <v>45</v>
      </c>
    </row>
    <row r="1142" spans="1:27">
      <c r="A1142" s="147">
        <v>2473</v>
      </c>
      <c r="B1142" s="147" t="s">
        <v>66</v>
      </c>
      <c r="C1142" s="147" t="s">
        <v>53</v>
      </c>
      <c r="D1142" s="148" t="s">
        <v>54</v>
      </c>
      <c r="E1142" s="148" t="s">
        <v>30</v>
      </c>
      <c r="F1142" s="149">
        <v>2026</v>
      </c>
      <c r="G1142" s="148" t="s">
        <v>31</v>
      </c>
      <c r="H1142" s="148"/>
      <c r="I1142" s="150">
        <v>25956</v>
      </c>
      <c r="J1142" s="149">
        <v>231</v>
      </c>
      <c r="K1142" s="150">
        <v>1804451</v>
      </c>
      <c r="L1142" s="152"/>
      <c r="M1142" s="152">
        <f t="shared" si="17"/>
        <v>0</v>
      </c>
      <c r="N1142" s="148"/>
      <c r="O1142" s="148"/>
      <c r="P1142" s="150">
        <v>125318</v>
      </c>
      <c r="Q1142" s="154">
        <v>0.38</v>
      </c>
      <c r="R1142" s="154">
        <v>0.61</v>
      </c>
      <c r="S1142" s="154">
        <v>0.01</v>
      </c>
      <c r="T1142" s="148" t="s">
        <v>44</v>
      </c>
      <c r="U1142" s="154">
        <v>0.298</v>
      </c>
      <c r="V1142" s="154">
        <v>0.429</v>
      </c>
      <c r="W1142" s="154">
        <v>0.17</v>
      </c>
      <c r="X1142" s="154">
        <v>0.069</v>
      </c>
      <c r="Y1142" s="154">
        <v>0.034</v>
      </c>
      <c r="Z1142" s="148" t="s">
        <v>44</v>
      </c>
      <c r="AA1142" s="148" t="s">
        <v>45</v>
      </c>
    </row>
    <row r="1143" spans="1:27">
      <c r="A1143" s="147">
        <v>2474</v>
      </c>
      <c r="B1143" s="147" t="s">
        <v>66</v>
      </c>
      <c r="C1143" s="147" t="s">
        <v>53</v>
      </c>
      <c r="D1143" s="148" t="s">
        <v>54</v>
      </c>
      <c r="E1143" s="148" t="s">
        <v>30</v>
      </c>
      <c r="F1143" s="149">
        <v>2026</v>
      </c>
      <c r="G1143" s="148" t="s">
        <v>33</v>
      </c>
      <c r="H1143" s="148"/>
      <c r="I1143" s="150">
        <v>26617</v>
      </c>
      <c r="J1143" s="149">
        <v>661</v>
      </c>
      <c r="K1143" s="150">
        <v>6519617</v>
      </c>
      <c r="L1143" s="152"/>
      <c r="M1143" s="152">
        <f t="shared" si="17"/>
        <v>0</v>
      </c>
      <c r="N1143" s="148"/>
      <c r="O1143" s="148"/>
      <c r="P1143" s="150">
        <v>423496</v>
      </c>
      <c r="Q1143" s="154">
        <v>0.38</v>
      </c>
      <c r="R1143" s="154">
        <v>0.61</v>
      </c>
      <c r="S1143" s="154">
        <v>0.01</v>
      </c>
      <c r="T1143" s="148" t="s">
        <v>44</v>
      </c>
      <c r="U1143" s="154">
        <v>0.295</v>
      </c>
      <c r="V1143" s="154">
        <v>0.432</v>
      </c>
      <c r="W1143" s="154">
        <v>0.17</v>
      </c>
      <c r="X1143" s="154">
        <v>0.069</v>
      </c>
      <c r="Y1143" s="154">
        <v>0.034</v>
      </c>
      <c r="Z1143" s="148" t="s">
        <v>44</v>
      </c>
      <c r="AA1143" s="148" t="s">
        <v>45</v>
      </c>
    </row>
    <row r="1144" spans="1:27">
      <c r="A1144" s="147">
        <v>2475</v>
      </c>
      <c r="B1144" s="147" t="s">
        <v>66</v>
      </c>
      <c r="C1144" s="147" t="s">
        <v>53</v>
      </c>
      <c r="D1144" s="148" t="s">
        <v>54</v>
      </c>
      <c r="E1144" s="148" t="s">
        <v>30</v>
      </c>
      <c r="F1144" s="149">
        <v>2026</v>
      </c>
      <c r="G1144" s="148" t="s">
        <v>34</v>
      </c>
      <c r="H1144" s="148"/>
      <c r="I1144" s="150">
        <v>27115</v>
      </c>
      <c r="J1144" s="149">
        <v>498</v>
      </c>
      <c r="K1144" s="150">
        <v>2933742</v>
      </c>
      <c r="L1144" s="152"/>
      <c r="M1144" s="152">
        <f t="shared" si="17"/>
        <v>0</v>
      </c>
      <c r="N1144" s="148"/>
      <c r="O1144" s="148"/>
      <c r="P1144" s="150">
        <v>207710</v>
      </c>
      <c r="Q1144" s="154">
        <v>0.38</v>
      </c>
      <c r="R1144" s="154">
        <v>0.61</v>
      </c>
      <c r="S1144" s="154">
        <v>0.01</v>
      </c>
      <c r="T1144" s="148" t="s">
        <v>44</v>
      </c>
      <c r="U1144" s="154">
        <v>0.293</v>
      </c>
      <c r="V1144" s="154">
        <v>0.431</v>
      </c>
      <c r="W1144" s="154">
        <v>0.171</v>
      </c>
      <c r="X1144" s="154">
        <v>0.07</v>
      </c>
      <c r="Y1144" s="154">
        <v>0.035</v>
      </c>
      <c r="Z1144" s="148" t="s">
        <v>44</v>
      </c>
      <c r="AA1144" s="148" t="s">
        <v>45</v>
      </c>
    </row>
    <row r="1145" spans="1:27">
      <c r="A1145" s="147">
        <v>2476</v>
      </c>
      <c r="B1145" s="147" t="s">
        <v>66</v>
      </c>
      <c r="C1145" s="147" t="s">
        <v>53</v>
      </c>
      <c r="D1145" s="148" t="s">
        <v>54</v>
      </c>
      <c r="E1145" s="148" t="s">
        <v>30</v>
      </c>
      <c r="F1145" s="149">
        <v>2026</v>
      </c>
      <c r="G1145" s="148" t="s">
        <v>35</v>
      </c>
      <c r="H1145" s="148"/>
      <c r="I1145" s="150">
        <v>28750</v>
      </c>
      <c r="J1145" s="150">
        <v>1635</v>
      </c>
      <c r="K1145" s="150">
        <v>6164162</v>
      </c>
      <c r="L1145" s="152"/>
      <c r="M1145" s="152">
        <f t="shared" si="17"/>
        <v>0</v>
      </c>
      <c r="N1145" s="148"/>
      <c r="O1145" s="148"/>
      <c r="P1145" s="150">
        <v>389954</v>
      </c>
      <c r="Q1145" s="154">
        <v>0.39</v>
      </c>
      <c r="R1145" s="154">
        <v>0.6</v>
      </c>
      <c r="S1145" s="154">
        <v>0.01</v>
      </c>
      <c r="T1145" s="148" t="s">
        <v>44</v>
      </c>
      <c r="U1145" s="154">
        <v>0.29</v>
      </c>
      <c r="V1145" s="154">
        <v>0.434</v>
      </c>
      <c r="W1145" s="154">
        <v>0.17</v>
      </c>
      <c r="X1145" s="154">
        <v>0.069</v>
      </c>
      <c r="Y1145" s="154">
        <v>0.037</v>
      </c>
      <c r="Z1145" s="148" t="s">
        <v>44</v>
      </c>
      <c r="AA1145" s="148" t="s">
        <v>45</v>
      </c>
    </row>
    <row r="1146" spans="1:27">
      <c r="A1146" s="147">
        <v>2477</v>
      </c>
      <c r="B1146" s="147" t="s">
        <v>66</v>
      </c>
      <c r="C1146" s="147" t="s">
        <v>53</v>
      </c>
      <c r="D1146" s="148" t="s">
        <v>54</v>
      </c>
      <c r="E1146" s="148" t="s">
        <v>30</v>
      </c>
      <c r="F1146" s="149">
        <v>2026</v>
      </c>
      <c r="G1146" s="148" t="s">
        <v>36</v>
      </c>
      <c r="H1146" s="148"/>
      <c r="I1146" s="150">
        <v>29052</v>
      </c>
      <c r="J1146" s="149">
        <v>302</v>
      </c>
      <c r="K1146" s="150">
        <v>1181582</v>
      </c>
      <c r="L1146" s="152"/>
      <c r="M1146" s="152">
        <f t="shared" si="17"/>
        <v>0</v>
      </c>
      <c r="N1146" s="148"/>
      <c r="O1146" s="148"/>
      <c r="P1146" s="150">
        <v>73962</v>
      </c>
      <c r="Q1146" s="154">
        <v>0.39</v>
      </c>
      <c r="R1146" s="154">
        <v>0.6</v>
      </c>
      <c r="S1146" s="154">
        <v>0.01</v>
      </c>
      <c r="T1146" s="148" t="s">
        <v>44</v>
      </c>
      <c r="U1146" s="154">
        <v>0.288</v>
      </c>
      <c r="V1146" s="154">
        <v>0.432</v>
      </c>
      <c r="W1146" s="154">
        <v>0.172</v>
      </c>
      <c r="X1146" s="154">
        <v>0.07</v>
      </c>
      <c r="Y1146" s="154">
        <v>0.038</v>
      </c>
      <c r="Z1146" s="148" t="s">
        <v>44</v>
      </c>
      <c r="AA1146" s="148" t="s">
        <v>45</v>
      </c>
    </row>
    <row r="1147" spans="1:27">
      <c r="A1147" s="147">
        <v>2478</v>
      </c>
      <c r="B1147" s="147" t="s">
        <v>66</v>
      </c>
      <c r="C1147" s="147" t="s">
        <v>53</v>
      </c>
      <c r="D1147" s="148" t="s">
        <v>54</v>
      </c>
      <c r="E1147" s="148" t="s">
        <v>30</v>
      </c>
      <c r="F1147" s="149">
        <v>2026</v>
      </c>
      <c r="G1147" s="148" t="s">
        <v>37</v>
      </c>
      <c r="H1147" s="148"/>
      <c r="I1147" s="150">
        <v>31071</v>
      </c>
      <c r="J1147" s="150">
        <v>2010</v>
      </c>
      <c r="K1147" s="150">
        <v>7579867</v>
      </c>
      <c r="L1147" s="152"/>
      <c r="M1147" s="152">
        <f t="shared" si="17"/>
        <v>0</v>
      </c>
      <c r="N1147" s="148"/>
      <c r="O1147" s="148"/>
      <c r="P1147" s="150">
        <v>633868</v>
      </c>
      <c r="Q1147" s="154">
        <v>0.44</v>
      </c>
      <c r="R1147" s="154">
        <v>0.55</v>
      </c>
      <c r="S1147" s="154">
        <v>0.01</v>
      </c>
      <c r="T1147" s="148" t="s">
        <v>44</v>
      </c>
      <c r="U1147" s="154">
        <v>0.284</v>
      </c>
      <c r="V1147" s="154">
        <v>0.431</v>
      </c>
      <c r="W1147" s="154">
        <v>0.175</v>
      </c>
      <c r="X1147" s="154">
        <v>0.071</v>
      </c>
      <c r="Y1147" s="154">
        <v>0.039</v>
      </c>
      <c r="Z1147" s="148" t="s">
        <v>44</v>
      </c>
      <c r="AA1147" s="148" t="s">
        <v>45</v>
      </c>
    </row>
    <row r="1148" spans="1:27">
      <c r="A1148" s="147">
        <v>2479</v>
      </c>
      <c r="B1148" s="147" t="s">
        <v>66</v>
      </c>
      <c r="C1148" s="147" t="s">
        <v>53</v>
      </c>
      <c r="D1148" s="148" t="s">
        <v>54</v>
      </c>
      <c r="E1148" s="148" t="s">
        <v>30</v>
      </c>
      <c r="F1148" s="149">
        <v>2026</v>
      </c>
      <c r="G1148" s="148" t="s">
        <v>38</v>
      </c>
      <c r="H1148" s="148"/>
      <c r="I1148" s="150">
        <v>31534</v>
      </c>
      <c r="J1148" s="149">
        <v>463</v>
      </c>
      <c r="K1148" s="150">
        <v>2372676</v>
      </c>
      <c r="L1148" s="152"/>
      <c r="M1148" s="152">
        <f t="shared" si="17"/>
        <v>0</v>
      </c>
      <c r="N1148" s="148"/>
      <c r="O1148" s="148"/>
      <c r="P1148" s="150">
        <v>157610</v>
      </c>
      <c r="Q1148" s="154">
        <v>0.44</v>
      </c>
      <c r="R1148" s="154">
        <v>0.55</v>
      </c>
      <c r="S1148" s="154">
        <v>0.01</v>
      </c>
      <c r="T1148" s="148" t="s">
        <v>44</v>
      </c>
      <c r="U1148" s="154">
        <v>0.28</v>
      </c>
      <c r="V1148" s="154">
        <v>0.433</v>
      </c>
      <c r="W1148" s="154">
        <v>0.176</v>
      </c>
      <c r="X1148" s="154">
        <v>0.072</v>
      </c>
      <c r="Y1148" s="154">
        <v>0.039</v>
      </c>
      <c r="Z1148" s="148" t="s">
        <v>44</v>
      </c>
      <c r="AA1148" s="148" t="s">
        <v>45</v>
      </c>
    </row>
    <row r="1149" spans="1:27">
      <c r="A1149" s="147">
        <v>2480</v>
      </c>
      <c r="B1149" s="147" t="s">
        <v>66</v>
      </c>
      <c r="C1149" s="147" t="s">
        <v>53</v>
      </c>
      <c r="D1149" s="148" t="s">
        <v>54</v>
      </c>
      <c r="E1149" s="148" t="s">
        <v>30</v>
      </c>
      <c r="F1149" s="149">
        <v>2026</v>
      </c>
      <c r="G1149" s="148" t="s">
        <v>39</v>
      </c>
      <c r="H1149" s="148"/>
      <c r="I1149" s="148"/>
      <c r="J1149" s="148"/>
      <c r="K1149" s="148"/>
      <c r="L1149" s="152"/>
      <c r="M1149" s="152">
        <f t="shared" si="17"/>
        <v>0</v>
      </c>
      <c r="N1149" s="148"/>
      <c r="O1149" s="148"/>
      <c r="P1149" s="148"/>
      <c r="Q1149" s="148"/>
      <c r="R1149" s="148"/>
      <c r="S1149" s="148"/>
      <c r="T1149" s="148"/>
      <c r="U1149" s="148"/>
      <c r="V1149" s="148"/>
      <c r="W1149" s="148"/>
      <c r="X1149" s="148"/>
      <c r="Y1149" s="148"/>
      <c r="Z1149" s="148"/>
      <c r="AA1149" s="148"/>
    </row>
    <row r="1150" spans="1:27">
      <c r="A1150" s="147">
        <v>2481</v>
      </c>
      <c r="B1150" s="147" t="s">
        <v>66</v>
      </c>
      <c r="C1150" s="147" t="s">
        <v>53</v>
      </c>
      <c r="D1150" s="148" t="s">
        <v>54</v>
      </c>
      <c r="E1150" s="148" t="s">
        <v>30</v>
      </c>
      <c r="F1150" s="149">
        <v>2026</v>
      </c>
      <c r="G1150" s="148" t="s">
        <v>40</v>
      </c>
      <c r="H1150" s="148"/>
      <c r="I1150" s="148"/>
      <c r="J1150" s="148"/>
      <c r="K1150" s="148"/>
      <c r="L1150" s="152"/>
      <c r="M1150" s="152">
        <f t="shared" si="17"/>
        <v>0</v>
      </c>
      <c r="N1150" s="148"/>
      <c r="O1150" s="148"/>
      <c r="P1150" s="148"/>
      <c r="Q1150" s="148"/>
      <c r="R1150" s="148"/>
      <c r="S1150" s="148"/>
      <c r="T1150" s="148"/>
      <c r="U1150" s="148"/>
      <c r="V1150" s="148"/>
      <c r="W1150" s="148"/>
      <c r="X1150" s="148"/>
      <c r="Y1150" s="148"/>
      <c r="Z1150" s="148"/>
      <c r="AA1150" s="148"/>
    </row>
    <row r="1151" spans="1:27">
      <c r="A1151" s="147">
        <v>2482</v>
      </c>
      <c r="B1151" s="147" t="s">
        <v>66</v>
      </c>
      <c r="C1151" s="147" t="s">
        <v>53</v>
      </c>
      <c r="D1151" s="148" t="s">
        <v>54</v>
      </c>
      <c r="E1151" s="148" t="s">
        <v>30</v>
      </c>
      <c r="F1151" s="149">
        <v>2026</v>
      </c>
      <c r="G1151" s="148" t="s">
        <v>41</v>
      </c>
      <c r="H1151" s="148"/>
      <c r="I1151" s="148"/>
      <c r="J1151" s="148"/>
      <c r="K1151" s="148"/>
      <c r="L1151" s="152"/>
      <c r="M1151" s="152">
        <f t="shared" si="17"/>
        <v>0</v>
      </c>
      <c r="N1151" s="148"/>
      <c r="O1151" s="148"/>
      <c r="P1151" s="148"/>
      <c r="Q1151" s="148"/>
      <c r="R1151" s="148"/>
      <c r="S1151" s="148"/>
      <c r="T1151" s="148"/>
      <c r="U1151" s="148"/>
      <c r="V1151" s="148"/>
      <c r="W1151" s="148"/>
      <c r="X1151" s="148"/>
      <c r="Y1151" s="148"/>
      <c r="Z1151" s="148"/>
      <c r="AA1151" s="148"/>
    </row>
    <row r="1152" spans="1:27">
      <c r="A1152" s="147">
        <v>2483</v>
      </c>
      <c r="B1152" s="147" t="s">
        <v>66</v>
      </c>
      <c r="C1152" s="147" t="s">
        <v>53</v>
      </c>
      <c r="D1152" s="148" t="s">
        <v>54</v>
      </c>
      <c r="E1152" s="148" t="s">
        <v>30</v>
      </c>
      <c r="F1152" s="149">
        <v>2026</v>
      </c>
      <c r="G1152" s="148" t="s">
        <v>42</v>
      </c>
      <c r="H1152" s="148"/>
      <c r="I1152" s="148"/>
      <c r="J1152" s="148"/>
      <c r="K1152" s="148"/>
      <c r="L1152" s="152"/>
      <c r="M1152" s="152">
        <f t="shared" si="17"/>
        <v>0</v>
      </c>
      <c r="N1152" s="148"/>
      <c r="O1152" s="148"/>
      <c r="P1152" s="148"/>
      <c r="Q1152" s="148"/>
      <c r="R1152" s="148"/>
      <c r="S1152" s="148"/>
      <c r="T1152" s="148"/>
      <c r="U1152" s="148"/>
      <c r="V1152" s="148"/>
      <c r="W1152" s="148"/>
      <c r="X1152" s="148"/>
      <c r="Y1152" s="148"/>
      <c r="Z1152" s="148"/>
      <c r="AA1152" s="148"/>
    </row>
    <row r="1153" spans="1:27">
      <c r="A1153" s="147">
        <v>2484</v>
      </c>
      <c r="B1153" s="147" t="s">
        <v>66</v>
      </c>
      <c r="C1153" s="147" t="s">
        <v>53</v>
      </c>
      <c r="D1153" s="148" t="s">
        <v>54</v>
      </c>
      <c r="E1153" s="148" t="s">
        <v>30</v>
      </c>
      <c r="F1153" s="149">
        <v>2026</v>
      </c>
      <c r="G1153" s="148" t="s">
        <v>43</v>
      </c>
      <c r="H1153" s="148"/>
      <c r="I1153" s="148"/>
      <c r="J1153" s="148"/>
      <c r="K1153" s="148"/>
      <c r="L1153" s="152"/>
      <c r="M1153" s="152">
        <f t="shared" si="17"/>
        <v>0</v>
      </c>
      <c r="N1153" s="148"/>
      <c r="O1153" s="148"/>
      <c r="P1153" s="148"/>
      <c r="Q1153" s="148"/>
      <c r="R1153" s="148"/>
      <c r="S1153" s="148"/>
      <c r="T1153" s="148"/>
      <c r="U1153" s="148"/>
      <c r="V1153" s="148"/>
      <c r="W1153" s="148"/>
      <c r="X1153" s="148"/>
      <c r="Y1153" s="148"/>
      <c r="Z1153" s="148"/>
      <c r="AA1153" s="148"/>
    </row>
    <row r="1154" spans="1:27">
      <c r="A1154" s="147">
        <v>2497</v>
      </c>
      <c r="B1154" s="147" t="s">
        <v>66</v>
      </c>
      <c r="C1154" s="147" t="s">
        <v>53</v>
      </c>
      <c r="D1154" s="148" t="s">
        <v>68</v>
      </c>
      <c r="E1154" s="148" t="s">
        <v>30</v>
      </c>
      <c r="F1154" s="149">
        <v>2024</v>
      </c>
      <c r="G1154" s="148" t="s">
        <v>31</v>
      </c>
      <c r="H1154" s="148"/>
      <c r="I1154" s="148"/>
      <c r="J1154" s="148"/>
      <c r="K1154" s="148"/>
      <c r="L1154" s="152"/>
      <c r="M1154" s="152">
        <f t="shared" ref="M1154:M1217" si="18">L1154*17000</f>
        <v>0</v>
      </c>
      <c r="N1154" s="148"/>
      <c r="O1154" s="148"/>
      <c r="P1154" s="148"/>
      <c r="Q1154" s="148"/>
      <c r="R1154" s="148"/>
      <c r="S1154" s="148"/>
      <c r="T1154" s="148"/>
      <c r="U1154" s="148"/>
      <c r="V1154" s="148"/>
      <c r="W1154" s="148"/>
      <c r="X1154" s="148"/>
      <c r="Y1154" s="148"/>
      <c r="Z1154" s="148"/>
      <c r="AA1154" s="148"/>
    </row>
    <row r="1155" spans="1:27">
      <c r="A1155" s="147">
        <v>2498</v>
      </c>
      <c r="B1155" s="147" t="s">
        <v>66</v>
      </c>
      <c r="C1155" s="147" t="s">
        <v>53</v>
      </c>
      <c r="D1155" s="148" t="s">
        <v>68</v>
      </c>
      <c r="E1155" s="148" t="s">
        <v>30</v>
      </c>
      <c r="F1155" s="149">
        <v>2024</v>
      </c>
      <c r="G1155" s="148" t="s">
        <v>33</v>
      </c>
      <c r="H1155" s="148"/>
      <c r="I1155" s="148"/>
      <c r="J1155" s="148"/>
      <c r="K1155" s="148"/>
      <c r="L1155" s="152"/>
      <c r="M1155" s="152">
        <f t="shared" si="18"/>
        <v>0</v>
      </c>
      <c r="N1155" s="148"/>
      <c r="O1155" s="148"/>
      <c r="P1155" s="148"/>
      <c r="Q1155" s="148"/>
      <c r="R1155" s="148"/>
      <c r="S1155" s="148"/>
      <c r="T1155" s="148"/>
      <c r="U1155" s="148"/>
      <c r="V1155" s="148"/>
      <c r="W1155" s="148"/>
      <c r="X1155" s="148"/>
      <c r="Y1155" s="148"/>
      <c r="Z1155" s="148"/>
      <c r="AA1155" s="148"/>
    </row>
    <row r="1156" spans="1:27">
      <c r="A1156" s="147">
        <v>2499</v>
      </c>
      <c r="B1156" s="147" t="s">
        <v>66</v>
      </c>
      <c r="C1156" s="147" t="s">
        <v>53</v>
      </c>
      <c r="D1156" s="148" t="s">
        <v>68</v>
      </c>
      <c r="E1156" s="148" t="s">
        <v>30</v>
      </c>
      <c r="F1156" s="149">
        <v>2024</v>
      </c>
      <c r="G1156" s="148" t="s">
        <v>34</v>
      </c>
      <c r="H1156" s="148"/>
      <c r="I1156" s="148"/>
      <c r="J1156" s="148"/>
      <c r="K1156" s="148"/>
      <c r="L1156" s="152"/>
      <c r="M1156" s="152">
        <f t="shared" si="18"/>
        <v>0</v>
      </c>
      <c r="N1156" s="148"/>
      <c r="O1156" s="148"/>
      <c r="P1156" s="148"/>
      <c r="Q1156" s="148"/>
      <c r="R1156" s="148"/>
      <c r="S1156" s="148"/>
      <c r="T1156" s="148"/>
      <c r="U1156" s="148"/>
      <c r="V1156" s="148"/>
      <c r="W1156" s="148"/>
      <c r="X1156" s="148"/>
      <c r="Y1156" s="148"/>
      <c r="Z1156" s="148"/>
      <c r="AA1156" s="148"/>
    </row>
    <row r="1157" spans="1:27">
      <c r="A1157" s="147">
        <v>2500</v>
      </c>
      <c r="B1157" s="147" t="s">
        <v>66</v>
      </c>
      <c r="C1157" s="147" t="s">
        <v>53</v>
      </c>
      <c r="D1157" s="148" t="s">
        <v>68</v>
      </c>
      <c r="E1157" s="148" t="s">
        <v>30</v>
      </c>
      <c r="F1157" s="149">
        <v>2024</v>
      </c>
      <c r="G1157" s="148" t="s">
        <v>35</v>
      </c>
      <c r="H1157" s="148"/>
      <c r="I1157" s="148"/>
      <c r="J1157" s="148"/>
      <c r="K1157" s="148"/>
      <c r="L1157" s="152"/>
      <c r="M1157" s="152">
        <f t="shared" si="18"/>
        <v>0</v>
      </c>
      <c r="N1157" s="148"/>
      <c r="O1157" s="148"/>
      <c r="P1157" s="148"/>
      <c r="Q1157" s="148"/>
      <c r="R1157" s="148"/>
      <c r="S1157" s="148"/>
      <c r="T1157" s="148"/>
      <c r="U1157" s="148"/>
      <c r="V1157" s="148"/>
      <c r="W1157" s="148"/>
      <c r="X1157" s="148"/>
      <c r="Y1157" s="148"/>
      <c r="Z1157" s="148"/>
      <c r="AA1157" s="148"/>
    </row>
    <row r="1158" spans="1:27">
      <c r="A1158" s="147">
        <v>2501</v>
      </c>
      <c r="B1158" s="147" t="s">
        <v>66</v>
      </c>
      <c r="C1158" s="147" t="s">
        <v>53</v>
      </c>
      <c r="D1158" s="148" t="s">
        <v>68</v>
      </c>
      <c r="E1158" s="148" t="s">
        <v>30</v>
      </c>
      <c r="F1158" s="149">
        <v>2024</v>
      </c>
      <c r="G1158" s="148" t="s">
        <v>36</v>
      </c>
      <c r="H1158" s="148"/>
      <c r="I1158" s="148"/>
      <c r="J1158" s="148"/>
      <c r="K1158" s="148"/>
      <c r="L1158" s="152"/>
      <c r="M1158" s="152">
        <f t="shared" si="18"/>
        <v>0</v>
      </c>
      <c r="N1158" s="148"/>
      <c r="O1158" s="148"/>
      <c r="P1158" s="148"/>
      <c r="Q1158" s="148"/>
      <c r="R1158" s="148"/>
      <c r="S1158" s="148"/>
      <c r="T1158" s="148"/>
      <c r="U1158" s="148"/>
      <c r="V1158" s="148"/>
      <c r="W1158" s="148"/>
      <c r="X1158" s="148"/>
      <c r="Y1158" s="148"/>
      <c r="Z1158" s="148"/>
      <c r="AA1158" s="148"/>
    </row>
    <row r="1159" spans="1:27">
      <c r="A1159" s="147">
        <v>2502</v>
      </c>
      <c r="B1159" s="147" t="s">
        <v>66</v>
      </c>
      <c r="C1159" s="147" t="s">
        <v>53</v>
      </c>
      <c r="D1159" s="148" t="s">
        <v>68</v>
      </c>
      <c r="E1159" s="148" t="s">
        <v>30</v>
      </c>
      <c r="F1159" s="149">
        <v>2024</v>
      </c>
      <c r="G1159" s="148" t="s">
        <v>37</v>
      </c>
      <c r="H1159" s="148"/>
      <c r="I1159" s="148"/>
      <c r="J1159" s="148"/>
      <c r="K1159" s="148"/>
      <c r="L1159" s="152"/>
      <c r="M1159" s="152">
        <f t="shared" si="18"/>
        <v>0</v>
      </c>
      <c r="N1159" s="148"/>
      <c r="O1159" s="148"/>
      <c r="P1159" s="148"/>
      <c r="Q1159" s="148"/>
      <c r="R1159" s="148"/>
      <c r="S1159" s="148"/>
      <c r="T1159" s="148"/>
      <c r="U1159" s="148"/>
      <c r="V1159" s="148"/>
      <c r="W1159" s="148"/>
      <c r="X1159" s="148"/>
      <c r="Y1159" s="148"/>
      <c r="Z1159" s="148"/>
      <c r="AA1159" s="148"/>
    </row>
    <row r="1160" spans="1:27">
      <c r="A1160" s="147">
        <v>2503</v>
      </c>
      <c r="B1160" s="147" t="s">
        <v>66</v>
      </c>
      <c r="C1160" s="147" t="s">
        <v>53</v>
      </c>
      <c r="D1160" s="148" t="s">
        <v>68</v>
      </c>
      <c r="E1160" s="148" t="s">
        <v>30</v>
      </c>
      <c r="F1160" s="149">
        <v>2024</v>
      </c>
      <c r="G1160" s="148" t="s">
        <v>38</v>
      </c>
      <c r="H1160" s="148"/>
      <c r="I1160" s="148"/>
      <c r="J1160" s="148"/>
      <c r="K1160" s="148"/>
      <c r="L1160" s="152"/>
      <c r="M1160" s="152">
        <f t="shared" si="18"/>
        <v>0</v>
      </c>
      <c r="N1160" s="148"/>
      <c r="O1160" s="148"/>
      <c r="P1160" s="148"/>
      <c r="Q1160" s="148"/>
      <c r="R1160" s="148"/>
      <c r="S1160" s="148"/>
      <c r="T1160" s="148"/>
      <c r="U1160" s="148"/>
      <c r="V1160" s="148"/>
      <c r="W1160" s="148"/>
      <c r="X1160" s="148"/>
      <c r="Y1160" s="148"/>
      <c r="Z1160" s="148"/>
      <c r="AA1160" s="148"/>
    </row>
    <row r="1161" spans="1:27">
      <c r="A1161" s="147">
        <v>2504</v>
      </c>
      <c r="B1161" s="147" t="s">
        <v>66</v>
      </c>
      <c r="C1161" s="147" t="s">
        <v>53</v>
      </c>
      <c r="D1161" s="148" t="s">
        <v>68</v>
      </c>
      <c r="E1161" s="148" t="s">
        <v>30</v>
      </c>
      <c r="F1161" s="149">
        <v>2024</v>
      </c>
      <c r="G1161" s="148" t="s">
        <v>39</v>
      </c>
      <c r="H1161" s="148"/>
      <c r="I1161" s="148"/>
      <c r="J1161" s="148"/>
      <c r="K1161" s="148"/>
      <c r="L1161" s="152"/>
      <c r="M1161" s="152">
        <f t="shared" si="18"/>
        <v>0</v>
      </c>
      <c r="N1161" s="148"/>
      <c r="O1161" s="148"/>
      <c r="P1161" s="148"/>
      <c r="Q1161" s="148"/>
      <c r="R1161" s="148"/>
      <c r="S1161" s="148"/>
      <c r="T1161" s="148"/>
      <c r="U1161" s="148"/>
      <c r="V1161" s="148"/>
      <c r="W1161" s="148"/>
      <c r="X1161" s="148"/>
      <c r="Y1161" s="148"/>
      <c r="Z1161" s="148"/>
      <c r="AA1161" s="148"/>
    </row>
    <row r="1162" spans="1:27">
      <c r="A1162" s="147">
        <v>2505</v>
      </c>
      <c r="B1162" s="147" t="s">
        <v>66</v>
      </c>
      <c r="C1162" s="147" t="s">
        <v>53</v>
      </c>
      <c r="D1162" s="148" t="s">
        <v>68</v>
      </c>
      <c r="E1162" s="148" t="s">
        <v>30</v>
      </c>
      <c r="F1162" s="149">
        <v>2024</v>
      </c>
      <c r="G1162" s="148" t="s">
        <v>40</v>
      </c>
      <c r="H1162" s="148"/>
      <c r="I1162" s="148"/>
      <c r="J1162" s="148"/>
      <c r="K1162" s="148"/>
      <c r="L1162" s="152"/>
      <c r="M1162" s="152">
        <f t="shared" si="18"/>
        <v>0</v>
      </c>
      <c r="N1162" s="148"/>
      <c r="O1162" s="148"/>
      <c r="P1162" s="148"/>
      <c r="Q1162" s="148"/>
      <c r="R1162" s="148"/>
      <c r="S1162" s="148"/>
      <c r="T1162" s="148"/>
      <c r="U1162" s="148"/>
      <c r="V1162" s="148"/>
      <c r="W1162" s="148"/>
      <c r="X1162" s="148"/>
      <c r="Y1162" s="148"/>
      <c r="Z1162" s="148"/>
      <c r="AA1162" s="148"/>
    </row>
    <row r="1163" spans="1:27">
      <c r="A1163" s="147">
        <v>2506</v>
      </c>
      <c r="B1163" s="147" t="s">
        <v>66</v>
      </c>
      <c r="C1163" s="147" t="s">
        <v>53</v>
      </c>
      <c r="D1163" s="148" t="s">
        <v>68</v>
      </c>
      <c r="E1163" s="148" t="s">
        <v>30</v>
      </c>
      <c r="F1163" s="149">
        <v>2024</v>
      </c>
      <c r="G1163" s="148" t="s">
        <v>41</v>
      </c>
      <c r="H1163" s="148"/>
      <c r="I1163" s="148"/>
      <c r="J1163" s="148"/>
      <c r="K1163" s="148"/>
      <c r="L1163" s="152"/>
      <c r="M1163" s="152">
        <f t="shared" si="18"/>
        <v>0</v>
      </c>
      <c r="N1163" s="148"/>
      <c r="O1163" s="148"/>
      <c r="P1163" s="148"/>
      <c r="Q1163" s="148"/>
      <c r="R1163" s="148"/>
      <c r="S1163" s="148"/>
      <c r="T1163" s="148"/>
      <c r="U1163" s="148"/>
      <c r="V1163" s="148"/>
      <c r="W1163" s="148"/>
      <c r="X1163" s="148"/>
      <c r="Y1163" s="148"/>
      <c r="Z1163" s="148"/>
      <c r="AA1163" s="148"/>
    </row>
    <row r="1164" spans="1:27">
      <c r="A1164" s="147">
        <v>2507</v>
      </c>
      <c r="B1164" s="147" t="s">
        <v>66</v>
      </c>
      <c r="C1164" s="147" t="s">
        <v>53</v>
      </c>
      <c r="D1164" s="148" t="s">
        <v>68</v>
      </c>
      <c r="E1164" s="148" t="s">
        <v>30</v>
      </c>
      <c r="F1164" s="149">
        <v>2024</v>
      </c>
      <c r="G1164" s="148" t="s">
        <v>42</v>
      </c>
      <c r="H1164" s="148"/>
      <c r="I1164" s="148"/>
      <c r="J1164" s="148"/>
      <c r="K1164" s="148"/>
      <c r="L1164" s="152"/>
      <c r="M1164" s="152">
        <f t="shared" si="18"/>
        <v>0</v>
      </c>
      <c r="N1164" s="148"/>
      <c r="O1164" s="148"/>
      <c r="P1164" s="148"/>
      <c r="Q1164" s="148"/>
      <c r="R1164" s="148"/>
      <c r="S1164" s="148"/>
      <c r="T1164" s="148"/>
      <c r="U1164" s="148"/>
      <c r="V1164" s="148"/>
      <c r="W1164" s="148"/>
      <c r="X1164" s="148"/>
      <c r="Y1164" s="148"/>
      <c r="Z1164" s="148"/>
      <c r="AA1164" s="148"/>
    </row>
    <row r="1165" spans="1:27">
      <c r="A1165" s="147">
        <v>2508</v>
      </c>
      <c r="B1165" s="147" t="s">
        <v>66</v>
      </c>
      <c r="C1165" s="147" t="s">
        <v>53</v>
      </c>
      <c r="D1165" s="148" t="s">
        <v>68</v>
      </c>
      <c r="E1165" s="148" t="s">
        <v>30</v>
      </c>
      <c r="F1165" s="149">
        <v>2024</v>
      </c>
      <c r="G1165" s="148" t="s">
        <v>43</v>
      </c>
      <c r="H1165" s="148"/>
      <c r="I1165" s="148"/>
      <c r="J1165" s="148"/>
      <c r="K1165" s="148"/>
      <c r="L1165" s="152"/>
      <c r="M1165" s="152">
        <f t="shared" si="18"/>
        <v>0</v>
      </c>
      <c r="N1165" s="148"/>
      <c r="O1165" s="148"/>
      <c r="P1165" s="148"/>
      <c r="Q1165" s="148"/>
      <c r="R1165" s="148"/>
      <c r="S1165" s="148"/>
      <c r="T1165" s="148"/>
      <c r="U1165" s="148"/>
      <c r="V1165" s="148"/>
      <c r="W1165" s="148"/>
      <c r="X1165" s="148"/>
      <c r="Y1165" s="148"/>
      <c r="Z1165" s="148"/>
      <c r="AA1165" s="148"/>
    </row>
    <row r="1166" spans="1:27">
      <c r="A1166" s="147">
        <v>2509</v>
      </c>
      <c r="B1166" s="147" t="s">
        <v>66</v>
      </c>
      <c r="C1166" s="147" t="s">
        <v>53</v>
      </c>
      <c r="D1166" s="148" t="s">
        <v>68</v>
      </c>
      <c r="E1166" s="148" t="s">
        <v>30</v>
      </c>
      <c r="F1166" s="149">
        <v>2025</v>
      </c>
      <c r="G1166" s="148" t="s">
        <v>31</v>
      </c>
      <c r="H1166" s="149">
        <v>0</v>
      </c>
      <c r="I1166" s="150">
        <v>880481</v>
      </c>
      <c r="J1166" s="150">
        <v>-1997</v>
      </c>
      <c r="K1166" s="150">
        <v>2772742</v>
      </c>
      <c r="L1166" s="152"/>
      <c r="M1166" s="152">
        <f t="shared" si="18"/>
        <v>0</v>
      </c>
      <c r="N1166" s="148"/>
      <c r="O1166" s="150">
        <v>2321997</v>
      </c>
      <c r="P1166" s="150">
        <v>18782</v>
      </c>
      <c r="Q1166" s="148"/>
      <c r="R1166" s="148"/>
      <c r="S1166" s="148"/>
      <c r="T1166" s="148"/>
      <c r="U1166" s="148"/>
      <c r="V1166" s="148"/>
      <c r="W1166" s="148"/>
      <c r="X1166" s="148"/>
      <c r="Y1166" s="148"/>
      <c r="Z1166" s="148"/>
      <c r="AA1166" s="148"/>
    </row>
    <row r="1167" spans="1:27">
      <c r="A1167" s="147">
        <v>2510</v>
      </c>
      <c r="B1167" s="147" t="s">
        <v>66</v>
      </c>
      <c r="C1167" s="147" t="s">
        <v>53</v>
      </c>
      <c r="D1167" s="148" t="s">
        <v>68</v>
      </c>
      <c r="E1167" s="148" t="s">
        <v>30</v>
      </c>
      <c r="F1167" s="149">
        <v>2025</v>
      </c>
      <c r="G1167" s="148" t="s">
        <v>33</v>
      </c>
      <c r="H1167" s="149">
        <v>0</v>
      </c>
      <c r="I1167" s="150">
        <v>882478</v>
      </c>
      <c r="J1167" s="150">
        <v>-1627</v>
      </c>
      <c r="K1167" s="150">
        <v>1956046</v>
      </c>
      <c r="L1167" s="152"/>
      <c r="M1167" s="152">
        <f t="shared" si="18"/>
        <v>0</v>
      </c>
      <c r="N1167" s="148"/>
      <c r="O1167" s="150">
        <v>1547658</v>
      </c>
      <c r="P1167" s="150">
        <v>12966</v>
      </c>
      <c r="Q1167" s="148"/>
      <c r="R1167" s="148"/>
      <c r="S1167" s="148"/>
      <c r="T1167" s="148"/>
      <c r="U1167" s="148"/>
      <c r="V1167" s="148"/>
      <c r="W1167" s="148"/>
      <c r="X1167" s="148"/>
      <c r="Y1167" s="148"/>
      <c r="Z1167" s="148"/>
      <c r="AA1167" s="148"/>
    </row>
    <row r="1168" spans="1:27">
      <c r="A1168" s="147">
        <v>2511</v>
      </c>
      <c r="B1168" s="147" t="s">
        <v>66</v>
      </c>
      <c r="C1168" s="147" t="s">
        <v>53</v>
      </c>
      <c r="D1168" s="148" t="s">
        <v>68</v>
      </c>
      <c r="E1168" s="148" t="s">
        <v>30</v>
      </c>
      <c r="F1168" s="149">
        <v>2025</v>
      </c>
      <c r="G1168" s="148" t="s">
        <v>34</v>
      </c>
      <c r="H1168" s="149">
        <v>0</v>
      </c>
      <c r="I1168" s="150">
        <v>875348</v>
      </c>
      <c r="J1168" s="150">
        <v>-1816</v>
      </c>
      <c r="K1168" s="150">
        <v>1706236</v>
      </c>
      <c r="L1168" s="152"/>
      <c r="M1168" s="152">
        <f t="shared" si="18"/>
        <v>0</v>
      </c>
      <c r="N1168" s="148"/>
      <c r="O1168" s="150">
        <v>1296792</v>
      </c>
      <c r="P1168" s="150">
        <v>11785</v>
      </c>
      <c r="Q1168" s="148"/>
      <c r="R1168" s="148"/>
      <c r="S1168" s="148"/>
      <c r="T1168" s="148"/>
      <c r="U1168" s="148"/>
      <c r="V1168" s="148"/>
      <c r="W1168" s="148"/>
      <c r="X1168" s="148"/>
      <c r="Y1168" s="148"/>
      <c r="Z1168" s="148"/>
      <c r="AA1168" s="148"/>
    </row>
    <row r="1169" spans="1:27">
      <c r="A1169" s="147">
        <v>2512</v>
      </c>
      <c r="B1169" s="147" t="s">
        <v>66</v>
      </c>
      <c r="C1169" s="147" t="s">
        <v>53</v>
      </c>
      <c r="D1169" s="148" t="s">
        <v>68</v>
      </c>
      <c r="E1169" s="148" t="s">
        <v>30</v>
      </c>
      <c r="F1169" s="149">
        <v>2025</v>
      </c>
      <c r="G1169" s="148" t="s">
        <v>35</v>
      </c>
      <c r="H1169" s="149">
        <v>0</v>
      </c>
      <c r="I1169" s="150">
        <v>875669</v>
      </c>
      <c r="J1169" s="150">
        <v>-1512</v>
      </c>
      <c r="K1169" s="150">
        <v>2904915</v>
      </c>
      <c r="L1169" s="152"/>
      <c r="M1169" s="152">
        <f t="shared" si="18"/>
        <v>0</v>
      </c>
      <c r="N1169" s="148"/>
      <c r="O1169" s="150">
        <v>2506614</v>
      </c>
      <c r="P1169" s="150">
        <v>19086</v>
      </c>
      <c r="Q1169" s="148"/>
      <c r="R1169" s="148"/>
      <c r="S1169" s="148"/>
      <c r="T1169" s="148"/>
      <c r="U1169" s="148"/>
      <c r="V1169" s="148"/>
      <c r="W1169" s="148"/>
      <c r="X1169" s="148"/>
      <c r="Y1169" s="148"/>
      <c r="Z1169" s="148"/>
      <c r="AA1169" s="148"/>
    </row>
    <row r="1170" spans="1:27">
      <c r="A1170" s="147">
        <v>2513</v>
      </c>
      <c r="B1170" s="147" t="s">
        <v>66</v>
      </c>
      <c r="C1170" s="147" t="s">
        <v>53</v>
      </c>
      <c r="D1170" s="148" t="s">
        <v>68</v>
      </c>
      <c r="E1170" s="148" t="s">
        <v>30</v>
      </c>
      <c r="F1170" s="149">
        <v>2025</v>
      </c>
      <c r="G1170" s="148" t="s">
        <v>36</v>
      </c>
      <c r="H1170" s="149">
        <v>0</v>
      </c>
      <c r="I1170" s="150">
        <v>873478</v>
      </c>
      <c r="J1170" s="150">
        <v>-1870</v>
      </c>
      <c r="K1170" s="150">
        <v>1864582</v>
      </c>
      <c r="L1170" s="152"/>
      <c r="M1170" s="152">
        <f t="shared" si="18"/>
        <v>0</v>
      </c>
      <c r="N1170" s="148"/>
      <c r="O1170" s="150">
        <v>1461947</v>
      </c>
      <c r="P1170" s="150">
        <v>12079</v>
      </c>
      <c r="Q1170" s="148"/>
      <c r="R1170" s="148"/>
      <c r="S1170" s="148"/>
      <c r="T1170" s="148"/>
      <c r="U1170" s="148"/>
      <c r="V1170" s="148"/>
      <c r="W1170" s="148"/>
      <c r="X1170" s="148"/>
      <c r="Y1170" s="148"/>
      <c r="Z1170" s="148"/>
      <c r="AA1170" s="148"/>
    </row>
    <row r="1171" spans="1:27">
      <c r="A1171" s="147">
        <v>2514</v>
      </c>
      <c r="B1171" s="147" t="s">
        <v>66</v>
      </c>
      <c r="C1171" s="147" t="s">
        <v>53</v>
      </c>
      <c r="D1171" s="148" t="s">
        <v>68</v>
      </c>
      <c r="E1171" s="148" t="s">
        <v>30</v>
      </c>
      <c r="F1171" s="149">
        <v>2025</v>
      </c>
      <c r="G1171" s="148" t="s">
        <v>37</v>
      </c>
      <c r="H1171" s="149">
        <v>0</v>
      </c>
      <c r="I1171" s="150">
        <v>877164</v>
      </c>
      <c r="J1171" s="150">
        <v>-1688</v>
      </c>
      <c r="K1171" s="150">
        <v>2026151</v>
      </c>
      <c r="L1171" s="152"/>
      <c r="M1171" s="152">
        <f t="shared" si="18"/>
        <v>0</v>
      </c>
      <c r="N1171" s="148"/>
      <c r="O1171" s="150">
        <v>1681255</v>
      </c>
      <c r="P1171" s="150">
        <v>13805</v>
      </c>
      <c r="Q1171" s="148"/>
      <c r="R1171" s="148"/>
      <c r="S1171" s="148"/>
      <c r="T1171" s="148"/>
      <c r="U1171" s="148"/>
      <c r="V1171" s="148"/>
      <c r="W1171" s="148"/>
      <c r="X1171" s="148"/>
      <c r="Y1171" s="148"/>
      <c r="Z1171" s="148"/>
      <c r="AA1171" s="148"/>
    </row>
    <row r="1172" spans="1:27">
      <c r="A1172" s="147">
        <v>2515</v>
      </c>
      <c r="B1172" s="147" t="s">
        <v>66</v>
      </c>
      <c r="C1172" s="147" t="s">
        <v>53</v>
      </c>
      <c r="D1172" s="148" t="s">
        <v>68</v>
      </c>
      <c r="E1172" s="148" t="s">
        <v>30</v>
      </c>
      <c r="F1172" s="149">
        <v>2025</v>
      </c>
      <c r="G1172" s="148" t="s">
        <v>38</v>
      </c>
      <c r="H1172" s="149">
        <v>0</v>
      </c>
      <c r="I1172" s="150">
        <v>878852</v>
      </c>
      <c r="J1172" s="150">
        <v>-1629</v>
      </c>
      <c r="K1172" s="150">
        <v>1866059</v>
      </c>
      <c r="L1172" s="152"/>
      <c r="M1172" s="152">
        <f t="shared" si="18"/>
        <v>0</v>
      </c>
      <c r="N1172" s="148"/>
      <c r="O1172" s="150">
        <v>1470695</v>
      </c>
      <c r="P1172" s="150">
        <v>10831</v>
      </c>
      <c r="Q1172" s="148"/>
      <c r="R1172" s="148"/>
      <c r="S1172" s="148"/>
      <c r="T1172" s="148"/>
      <c r="U1172" s="148"/>
      <c r="V1172" s="148"/>
      <c r="W1172" s="148"/>
      <c r="X1172" s="148"/>
      <c r="Y1172" s="148"/>
      <c r="Z1172" s="148"/>
      <c r="AA1172" s="148"/>
    </row>
    <row r="1173" spans="1:27">
      <c r="A1173" s="147">
        <v>2516</v>
      </c>
      <c r="B1173" s="147" t="s">
        <v>66</v>
      </c>
      <c r="C1173" s="147" t="s">
        <v>53</v>
      </c>
      <c r="D1173" s="148" t="s">
        <v>68</v>
      </c>
      <c r="E1173" s="148" t="s">
        <v>30</v>
      </c>
      <c r="F1173" s="149">
        <v>2025</v>
      </c>
      <c r="G1173" s="148" t="s">
        <v>39</v>
      </c>
      <c r="H1173" s="149">
        <v>0</v>
      </c>
      <c r="I1173" s="150">
        <v>873659</v>
      </c>
      <c r="J1173" s="150">
        <v>-2010</v>
      </c>
      <c r="K1173" s="150">
        <v>1747609</v>
      </c>
      <c r="L1173" s="152"/>
      <c r="M1173" s="152">
        <f t="shared" si="18"/>
        <v>0</v>
      </c>
      <c r="N1173" s="148"/>
      <c r="O1173" s="150">
        <v>1322817</v>
      </c>
      <c r="P1173" s="150">
        <v>12196</v>
      </c>
      <c r="Q1173" s="148"/>
      <c r="R1173" s="148"/>
      <c r="S1173" s="148"/>
      <c r="T1173" s="148"/>
      <c r="U1173" s="148"/>
      <c r="V1173" s="148"/>
      <c r="W1173" s="148"/>
      <c r="X1173" s="148"/>
      <c r="Y1173" s="148"/>
      <c r="Z1173" s="148"/>
      <c r="AA1173" s="148"/>
    </row>
    <row r="1174" spans="1:27">
      <c r="A1174" s="147">
        <v>2517</v>
      </c>
      <c r="B1174" s="147" t="s">
        <v>66</v>
      </c>
      <c r="C1174" s="147" t="s">
        <v>53</v>
      </c>
      <c r="D1174" s="148" t="s">
        <v>68</v>
      </c>
      <c r="E1174" s="148" t="s">
        <v>30</v>
      </c>
      <c r="F1174" s="149">
        <v>2025</v>
      </c>
      <c r="G1174" s="148" t="s">
        <v>40</v>
      </c>
      <c r="H1174" s="149">
        <v>0</v>
      </c>
      <c r="I1174" s="150">
        <v>893900</v>
      </c>
      <c r="J1174" s="150">
        <v>-1905</v>
      </c>
      <c r="K1174" s="150">
        <v>1838744</v>
      </c>
      <c r="L1174" s="152"/>
      <c r="M1174" s="152">
        <f t="shared" si="18"/>
        <v>0</v>
      </c>
      <c r="N1174" s="148"/>
      <c r="O1174" s="150">
        <v>1403159</v>
      </c>
      <c r="P1174" s="150">
        <v>12490</v>
      </c>
      <c r="Q1174" s="148"/>
      <c r="R1174" s="148"/>
      <c r="S1174" s="148"/>
      <c r="T1174" s="148"/>
      <c r="U1174" s="148"/>
      <c r="V1174" s="148"/>
      <c r="W1174" s="148"/>
      <c r="X1174" s="148"/>
      <c r="Y1174" s="148"/>
      <c r="Z1174" s="148"/>
      <c r="AA1174" s="148"/>
    </row>
    <row r="1175" spans="1:27">
      <c r="A1175" s="147">
        <v>2518</v>
      </c>
      <c r="B1175" s="147" t="s">
        <v>66</v>
      </c>
      <c r="C1175" s="147" t="s">
        <v>53</v>
      </c>
      <c r="D1175" s="148" t="s">
        <v>68</v>
      </c>
      <c r="E1175" s="148" t="s">
        <v>30</v>
      </c>
      <c r="F1175" s="149">
        <v>2025</v>
      </c>
      <c r="G1175" s="148" t="s">
        <v>41</v>
      </c>
      <c r="H1175" s="149">
        <v>0</v>
      </c>
      <c r="I1175" s="150">
        <v>895805</v>
      </c>
      <c r="J1175" s="150">
        <v>-1814</v>
      </c>
      <c r="K1175" s="150">
        <v>1680773</v>
      </c>
      <c r="L1175" s="152"/>
      <c r="M1175" s="152">
        <f t="shared" si="18"/>
        <v>0</v>
      </c>
      <c r="N1175" s="148"/>
      <c r="O1175" s="150">
        <v>1245533</v>
      </c>
      <c r="P1175" s="150">
        <v>10741</v>
      </c>
      <c r="Q1175" s="154">
        <v>0.43</v>
      </c>
      <c r="R1175" s="154">
        <v>0.5</v>
      </c>
      <c r="S1175" s="154">
        <v>0.07</v>
      </c>
      <c r="T1175" s="148" t="s">
        <v>44</v>
      </c>
      <c r="U1175" s="154">
        <v>0.271</v>
      </c>
      <c r="V1175" s="154">
        <v>0.501</v>
      </c>
      <c r="W1175" s="154">
        <v>0.16</v>
      </c>
      <c r="X1175" s="154">
        <v>0.049</v>
      </c>
      <c r="Y1175" s="154">
        <v>0.019</v>
      </c>
      <c r="Z1175" s="148" t="s">
        <v>44</v>
      </c>
      <c r="AA1175" s="148" t="s">
        <v>45</v>
      </c>
    </row>
    <row r="1176" spans="1:27">
      <c r="A1176" s="147">
        <v>2519</v>
      </c>
      <c r="B1176" s="147" t="s">
        <v>66</v>
      </c>
      <c r="C1176" s="147" t="s">
        <v>53</v>
      </c>
      <c r="D1176" s="148" t="s">
        <v>68</v>
      </c>
      <c r="E1176" s="148" t="s">
        <v>30</v>
      </c>
      <c r="F1176" s="149">
        <v>2025</v>
      </c>
      <c r="G1176" s="148" t="s">
        <v>42</v>
      </c>
      <c r="H1176" s="149">
        <v>34</v>
      </c>
      <c r="I1176" s="150">
        <v>873659</v>
      </c>
      <c r="J1176" s="149">
        <v>181</v>
      </c>
      <c r="K1176" s="150">
        <v>5794055</v>
      </c>
      <c r="L1176" s="152"/>
      <c r="M1176" s="152">
        <f t="shared" si="18"/>
        <v>0</v>
      </c>
      <c r="N1176" s="148"/>
      <c r="O1176" s="150">
        <v>5392649</v>
      </c>
      <c r="P1176" s="150">
        <v>123727</v>
      </c>
      <c r="Q1176" s="154">
        <v>0.43</v>
      </c>
      <c r="R1176" s="154">
        <v>0.5</v>
      </c>
      <c r="S1176" s="154">
        <v>0.07</v>
      </c>
      <c r="T1176" s="148" t="s">
        <v>44</v>
      </c>
      <c r="U1176" s="154">
        <v>0.271</v>
      </c>
      <c r="V1176" s="154">
        <v>0.501</v>
      </c>
      <c r="W1176" s="154">
        <v>0.16</v>
      </c>
      <c r="X1176" s="154">
        <v>0.049</v>
      </c>
      <c r="Y1176" s="154">
        <v>0.019</v>
      </c>
      <c r="Z1176" s="148" t="s">
        <v>44</v>
      </c>
      <c r="AA1176" s="148" t="s">
        <v>45</v>
      </c>
    </row>
    <row r="1177" spans="1:27">
      <c r="A1177" s="147">
        <v>2520</v>
      </c>
      <c r="B1177" s="147" t="s">
        <v>66</v>
      </c>
      <c r="C1177" s="147" t="s">
        <v>53</v>
      </c>
      <c r="D1177" s="148" t="s">
        <v>68</v>
      </c>
      <c r="E1177" s="148" t="s">
        <v>30</v>
      </c>
      <c r="F1177" s="149">
        <v>2025</v>
      </c>
      <c r="G1177" s="148" t="s">
        <v>43</v>
      </c>
      <c r="H1177" s="149">
        <v>103</v>
      </c>
      <c r="I1177" s="150">
        <v>876911</v>
      </c>
      <c r="J1177" s="150">
        <v>3252</v>
      </c>
      <c r="K1177" s="150">
        <v>17436308</v>
      </c>
      <c r="L1177" s="152"/>
      <c r="M1177" s="152">
        <f t="shared" si="18"/>
        <v>0</v>
      </c>
      <c r="N1177" s="148"/>
      <c r="O1177" s="150">
        <v>17048952</v>
      </c>
      <c r="P1177" s="150">
        <v>502848</v>
      </c>
      <c r="Q1177" s="154">
        <v>0.43</v>
      </c>
      <c r="R1177" s="154">
        <v>0.5</v>
      </c>
      <c r="S1177" s="154">
        <v>0.07</v>
      </c>
      <c r="T1177" s="148" t="s">
        <v>44</v>
      </c>
      <c r="U1177" s="154">
        <v>0.27</v>
      </c>
      <c r="V1177" s="154">
        <v>0.501</v>
      </c>
      <c r="W1177" s="154">
        <v>0.161</v>
      </c>
      <c r="X1177" s="154">
        <v>0.049</v>
      </c>
      <c r="Y1177" s="154">
        <v>0.019</v>
      </c>
      <c r="Z1177" s="148" t="s">
        <v>44</v>
      </c>
      <c r="AA1177" s="148" t="s">
        <v>45</v>
      </c>
    </row>
    <row r="1178" spans="1:27">
      <c r="A1178" s="147">
        <v>2521</v>
      </c>
      <c r="B1178" s="147" t="s">
        <v>66</v>
      </c>
      <c r="C1178" s="147" t="s">
        <v>53</v>
      </c>
      <c r="D1178" s="148" t="s">
        <v>68</v>
      </c>
      <c r="E1178" s="148" t="s">
        <v>30</v>
      </c>
      <c r="F1178" s="149">
        <v>2026</v>
      </c>
      <c r="G1178" s="148" t="s">
        <v>31</v>
      </c>
      <c r="H1178" s="149">
        <v>185</v>
      </c>
      <c r="I1178" s="150">
        <v>882535</v>
      </c>
      <c r="J1178" s="150">
        <v>5624</v>
      </c>
      <c r="K1178" s="150">
        <v>28496475</v>
      </c>
      <c r="L1178" s="152"/>
      <c r="M1178" s="152">
        <f t="shared" si="18"/>
        <v>0</v>
      </c>
      <c r="N1178" s="148"/>
      <c r="O1178" s="150">
        <v>28010847</v>
      </c>
      <c r="P1178" s="150">
        <v>319992</v>
      </c>
      <c r="Q1178" s="154">
        <v>0.43</v>
      </c>
      <c r="R1178" s="154">
        <v>0.51</v>
      </c>
      <c r="S1178" s="154">
        <v>0.06</v>
      </c>
      <c r="T1178" s="148" t="s">
        <v>44</v>
      </c>
      <c r="U1178" s="154">
        <v>0.268</v>
      </c>
      <c r="V1178" s="154">
        <v>0.5</v>
      </c>
      <c r="W1178" s="154">
        <v>0.162</v>
      </c>
      <c r="X1178" s="154">
        <v>0.05</v>
      </c>
      <c r="Y1178" s="154">
        <v>0.02</v>
      </c>
      <c r="Z1178" s="148" t="s">
        <v>44</v>
      </c>
      <c r="AA1178" s="148" t="s">
        <v>45</v>
      </c>
    </row>
    <row r="1179" spans="1:27">
      <c r="A1179" s="147">
        <v>2522</v>
      </c>
      <c r="B1179" s="147" t="s">
        <v>66</v>
      </c>
      <c r="C1179" s="147" t="s">
        <v>53</v>
      </c>
      <c r="D1179" s="148" t="s">
        <v>68</v>
      </c>
      <c r="E1179" s="148" t="s">
        <v>30</v>
      </c>
      <c r="F1179" s="149">
        <v>2026</v>
      </c>
      <c r="G1179" s="148" t="s">
        <v>33</v>
      </c>
      <c r="H1179" s="149">
        <v>236</v>
      </c>
      <c r="I1179" s="150">
        <v>890689</v>
      </c>
      <c r="J1179" s="150">
        <v>8154</v>
      </c>
      <c r="K1179" s="150">
        <v>22086609</v>
      </c>
      <c r="L1179" s="152"/>
      <c r="M1179" s="152">
        <f t="shared" si="18"/>
        <v>0</v>
      </c>
      <c r="N1179" s="148"/>
      <c r="O1179" s="150">
        <v>21552665</v>
      </c>
      <c r="P1179" s="150">
        <v>563070</v>
      </c>
      <c r="Q1179" s="154">
        <v>0.43</v>
      </c>
      <c r="R1179" s="154">
        <v>0.51</v>
      </c>
      <c r="S1179" s="154">
        <v>0.06</v>
      </c>
      <c r="T1179" s="148" t="s">
        <v>44</v>
      </c>
      <c r="U1179" s="154">
        <v>0.265</v>
      </c>
      <c r="V1179" s="154">
        <v>0.498</v>
      </c>
      <c r="W1179" s="154">
        <v>0.164</v>
      </c>
      <c r="X1179" s="154">
        <v>0.052</v>
      </c>
      <c r="Y1179" s="154">
        <v>0.021</v>
      </c>
      <c r="Z1179" s="148" t="s">
        <v>44</v>
      </c>
      <c r="AA1179" s="148" t="s">
        <v>45</v>
      </c>
    </row>
    <row r="1180" spans="1:27">
      <c r="A1180" s="147">
        <v>2523</v>
      </c>
      <c r="B1180" s="147" t="s">
        <v>66</v>
      </c>
      <c r="C1180" s="147" t="s">
        <v>53</v>
      </c>
      <c r="D1180" s="148" t="s">
        <v>68</v>
      </c>
      <c r="E1180" s="148" t="s">
        <v>30</v>
      </c>
      <c r="F1180" s="149">
        <v>2026</v>
      </c>
      <c r="G1180" s="148" t="s">
        <v>34</v>
      </c>
      <c r="H1180" s="149">
        <v>246</v>
      </c>
      <c r="I1180" s="150">
        <v>893900</v>
      </c>
      <c r="J1180" s="150">
        <v>3211</v>
      </c>
      <c r="K1180" s="150">
        <v>19730445</v>
      </c>
      <c r="L1180" s="152"/>
      <c r="M1180" s="152">
        <f t="shared" si="18"/>
        <v>0</v>
      </c>
      <c r="N1180" s="148"/>
      <c r="O1180" s="150">
        <v>19179925</v>
      </c>
      <c r="P1180" s="150">
        <v>380986</v>
      </c>
      <c r="Q1180" s="154">
        <v>0.43</v>
      </c>
      <c r="R1180" s="154">
        <v>0.51</v>
      </c>
      <c r="S1180" s="154">
        <v>0.06</v>
      </c>
      <c r="T1180" s="148" t="s">
        <v>44</v>
      </c>
      <c r="U1180" s="154">
        <v>0.263</v>
      </c>
      <c r="V1180" s="154">
        <v>0.498</v>
      </c>
      <c r="W1180" s="154">
        <v>0.165</v>
      </c>
      <c r="X1180" s="154">
        <v>0.053</v>
      </c>
      <c r="Y1180" s="154">
        <v>0.021</v>
      </c>
      <c r="Z1180" s="148" t="s">
        <v>44</v>
      </c>
      <c r="AA1180" s="148" t="s">
        <v>45</v>
      </c>
    </row>
    <row r="1181" spans="1:27">
      <c r="A1181" s="147">
        <v>2524</v>
      </c>
      <c r="B1181" s="147" t="s">
        <v>66</v>
      </c>
      <c r="C1181" s="147" t="s">
        <v>53</v>
      </c>
      <c r="D1181" s="148" t="s">
        <v>68</v>
      </c>
      <c r="E1181" s="148" t="s">
        <v>30</v>
      </c>
      <c r="F1181" s="149">
        <v>2026</v>
      </c>
      <c r="G1181" s="148" t="s">
        <v>35</v>
      </c>
      <c r="H1181" s="149">
        <v>216</v>
      </c>
      <c r="I1181" s="150">
        <v>895820</v>
      </c>
      <c r="J1181" s="150">
        <v>1920</v>
      </c>
      <c r="K1181" s="150">
        <v>14608381</v>
      </c>
      <c r="L1181" s="152"/>
      <c r="M1181" s="152">
        <f t="shared" si="18"/>
        <v>0</v>
      </c>
      <c r="N1181" s="148"/>
      <c r="O1181" s="150">
        <v>14061572</v>
      </c>
      <c r="P1181" s="150">
        <v>224919</v>
      </c>
      <c r="Q1181" s="154">
        <v>0.43</v>
      </c>
      <c r="R1181" s="154">
        <v>0.51</v>
      </c>
      <c r="S1181" s="154">
        <v>0.06</v>
      </c>
      <c r="T1181" s="148" t="s">
        <v>44</v>
      </c>
      <c r="U1181" s="154">
        <v>0.262</v>
      </c>
      <c r="V1181" s="154">
        <v>0.496</v>
      </c>
      <c r="W1181" s="154">
        <v>0.166</v>
      </c>
      <c r="X1181" s="154">
        <v>0.054</v>
      </c>
      <c r="Y1181" s="154">
        <v>0.022</v>
      </c>
      <c r="Z1181" s="148" t="s">
        <v>44</v>
      </c>
      <c r="AA1181" s="148" t="s">
        <v>45</v>
      </c>
    </row>
    <row r="1182" spans="1:27">
      <c r="A1182" s="147">
        <v>2525</v>
      </c>
      <c r="B1182" s="147" t="s">
        <v>66</v>
      </c>
      <c r="C1182" s="147" t="s">
        <v>53</v>
      </c>
      <c r="D1182" s="148" t="s">
        <v>68</v>
      </c>
      <c r="E1182" s="148" t="s">
        <v>30</v>
      </c>
      <c r="F1182" s="149">
        <v>2026</v>
      </c>
      <c r="G1182" s="148" t="s">
        <v>36</v>
      </c>
      <c r="H1182" s="149">
        <v>269</v>
      </c>
      <c r="I1182" s="150">
        <v>905345</v>
      </c>
      <c r="J1182" s="150">
        <v>9525</v>
      </c>
      <c r="K1182" s="150">
        <v>34150537</v>
      </c>
      <c r="L1182" s="152"/>
      <c r="M1182" s="152">
        <f t="shared" si="18"/>
        <v>0</v>
      </c>
      <c r="N1182" s="148"/>
      <c r="O1182" s="150">
        <v>33516009</v>
      </c>
      <c r="P1182" s="150">
        <v>768628</v>
      </c>
      <c r="Q1182" s="154">
        <v>0.43</v>
      </c>
      <c r="R1182" s="154">
        <v>0.51</v>
      </c>
      <c r="S1182" s="154">
        <v>0.06</v>
      </c>
      <c r="T1182" s="148" t="s">
        <v>44</v>
      </c>
      <c r="U1182" s="154">
        <v>0.259</v>
      </c>
      <c r="V1182" s="154">
        <v>0.494</v>
      </c>
      <c r="W1182" s="154">
        <v>0.168</v>
      </c>
      <c r="X1182" s="154">
        <v>0.056</v>
      </c>
      <c r="Y1182" s="154">
        <v>0.023</v>
      </c>
      <c r="Z1182" s="148" t="s">
        <v>44</v>
      </c>
      <c r="AA1182" s="148" t="s">
        <v>45</v>
      </c>
    </row>
    <row r="1183" spans="1:27">
      <c r="A1183" s="147">
        <v>2526</v>
      </c>
      <c r="B1183" s="147" t="s">
        <v>66</v>
      </c>
      <c r="C1183" s="147" t="s">
        <v>53</v>
      </c>
      <c r="D1183" s="148" t="s">
        <v>68</v>
      </c>
      <c r="E1183" s="148" t="s">
        <v>30</v>
      </c>
      <c r="F1183" s="149">
        <v>2026</v>
      </c>
      <c r="G1183" s="148" t="s">
        <v>37</v>
      </c>
      <c r="H1183" s="149">
        <v>228</v>
      </c>
      <c r="I1183" s="150">
        <v>913953</v>
      </c>
      <c r="J1183" s="150">
        <v>8233</v>
      </c>
      <c r="K1183" s="150">
        <v>41049786</v>
      </c>
      <c r="L1183" s="152"/>
      <c r="M1183" s="152">
        <f t="shared" si="18"/>
        <v>0</v>
      </c>
      <c r="N1183" s="148"/>
      <c r="O1183" s="150">
        <v>40446296</v>
      </c>
      <c r="P1183" s="150">
        <v>1246968</v>
      </c>
      <c r="Q1183" s="154">
        <v>0.45</v>
      </c>
      <c r="R1183" s="154">
        <v>0.49</v>
      </c>
      <c r="S1183" s="154">
        <v>0.06</v>
      </c>
      <c r="T1183" s="148" t="s">
        <v>44</v>
      </c>
      <c r="U1183" s="154">
        <v>0.256</v>
      </c>
      <c r="V1183" s="154">
        <v>0.494</v>
      </c>
      <c r="W1183" s="154">
        <v>0.169</v>
      </c>
      <c r="X1183" s="154">
        <v>0.057</v>
      </c>
      <c r="Y1183" s="154">
        <v>0.024</v>
      </c>
      <c r="Z1183" s="148" t="s">
        <v>44</v>
      </c>
      <c r="AA1183" s="148" t="s">
        <v>45</v>
      </c>
    </row>
    <row r="1184" spans="1:27">
      <c r="A1184" s="147">
        <v>2527</v>
      </c>
      <c r="B1184" s="147" t="s">
        <v>66</v>
      </c>
      <c r="C1184" s="147" t="s">
        <v>53</v>
      </c>
      <c r="D1184" s="148" t="s">
        <v>68</v>
      </c>
      <c r="E1184" s="148" t="s">
        <v>30</v>
      </c>
      <c r="F1184" s="149">
        <v>2026</v>
      </c>
      <c r="G1184" s="148" t="s">
        <v>38</v>
      </c>
      <c r="H1184" s="149">
        <v>291</v>
      </c>
      <c r="I1184" s="150">
        <v>926410</v>
      </c>
      <c r="J1184" s="150">
        <v>12457</v>
      </c>
      <c r="K1184" s="150">
        <v>49370252</v>
      </c>
      <c r="L1184" s="152"/>
      <c r="M1184" s="152">
        <f t="shared" si="18"/>
        <v>0</v>
      </c>
      <c r="N1184" s="148"/>
      <c r="O1184" s="150">
        <v>48692447</v>
      </c>
      <c r="P1184" s="150">
        <v>1700855</v>
      </c>
      <c r="Q1184" s="154">
        <v>0.45</v>
      </c>
      <c r="R1184" s="154">
        <v>0.49</v>
      </c>
      <c r="S1184" s="154">
        <v>0.06</v>
      </c>
      <c r="T1184" s="148" t="s">
        <v>44</v>
      </c>
      <c r="U1184" s="154">
        <v>0.253</v>
      </c>
      <c r="V1184" s="154">
        <v>0.492</v>
      </c>
      <c r="W1184" s="154">
        <v>0.171</v>
      </c>
      <c r="X1184" s="154">
        <v>0.059</v>
      </c>
      <c r="Y1184" s="154">
        <v>0.025</v>
      </c>
      <c r="Z1184" s="148" t="s">
        <v>44</v>
      </c>
      <c r="AA1184" s="148" t="s">
        <v>45</v>
      </c>
    </row>
    <row r="1185" spans="1:27">
      <c r="A1185" s="147">
        <v>2528</v>
      </c>
      <c r="B1185" s="147" t="s">
        <v>66</v>
      </c>
      <c r="C1185" s="147" t="s">
        <v>53</v>
      </c>
      <c r="D1185" s="148" t="s">
        <v>68</v>
      </c>
      <c r="E1185" s="148" t="s">
        <v>30</v>
      </c>
      <c r="F1185" s="149">
        <v>2026</v>
      </c>
      <c r="G1185" s="148" t="s">
        <v>39</v>
      </c>
      <c r="H1185" s="148"/>
      <c r="I1185" s="148"/>
      <c r="J1185" s="148"/>
      <c r="K1185" s="148"/>
      <c r="L1185" s="152"/>
      <c r="M1185" s="152">
        <f t="shared" si="18"/>
        <v>0</v>
      </c>
      <c r="N1185" s="148"/>
      <c r="O1185" s="148"/>
      <c r="P1185" s="148"/>
      <c r="Q1185" s="148"/>
      <c r="R1185" s="148"/>
      <c r="S1185" s="148"/>
      <c r="T1185" s="148"/>
      <c r="U1185" s="148"/>
      <c r="V1185" s="148"/>
      <c r="W1185" s="148"/>
      <c r="X1185" s="148"/>
      <c r="Y1185" s="148"/>
      <c r="Z1185" s="148"/>
      <c r="AA1185" s="148"/>
    </row>
    <row r="1186" spans="1:27">
      <c r="A1186" s="147">
        <v>2529</v>
      </c>
      <c r="B1186" s="147" t="s">
        <v>66</v>
      </c>
      <c r="C1186" s="147" t="s">
        <v>53</v>
      </c>
      <c r="D1186" s="148" t="s">
        <v>68</v>
      </c>
      <c r="E1186" s="148" t="s">
        <v>30</v>
      </c>
      <c r="F1186" s="149">
        <v>2026</v>
      </c>
      <c r="G1186" s="148" t="s">
        <v>40</v>
      </c>
      <c r="H1186" s="148"/>
      <c r="I1186" s="148"/>
      <c r="J1186" s="148"/>
      <c r="K1186" s="148"/>
      <c r="L1186" s="152"/>
      <c r="M1186" s="152">
        <f t="shared" si="18"/>
        <v>0</v>
      </c>
      <c r="N1186" s="148"/>
      <c r="O1186" s="148"/>
      <c r="P1186" s="148"/>
      <c r="Q1186" s="148"/>
      <c r="R1186" s="148"/>
      <c r="S1186" s="148"/>
      <c r="T1186" s="148"/>
      <c r="U1186" s="148"/>
      <c r="V1186" s="148"/>
      <c r="W1186" s="148"/>
      <c r="X1186" s="148"/>
      <c r="Y1186" s="148"/>
      <c r="Z1186" s="148"/>
      <c r="AA1186" s="148"/>
    </row>
    <row r="1187" spans="1:27">
      <c r="A1187" s="147">
        <v>2530</v>
      </c>
      <c r="B1187" s="147" t="s">
        <v>66</v>
      </c>
      <c r="C1187" s="147" t="s">
        <v>53</v>
      </c>
      <c r="D1187" s="148" t="s">
        <v>68</v>
      </c>
      <c r="E1187" s="148" t="s">
        <v>30</v>
      </c>
      <c r="F1187" s="149">
        <v>2026</v>
      </c>
      <c r="G1187" s="148" t="s">
        <v>41</v>
      </c>
      <c r="H1187" s="148"/>
      <c r="I1187" s="148"/>
      <c r="J1187" s="148"/>
      <c r="K1187" s="148"/>
      <c r="L1187" s="152"/>
      <c r="M1187" s="152">
        <f t="shared" si="18"/>
        <v>0</v>
      </c>
      <c r="N1187" s="148"/>
      <c r="O1187" s="148"/>
      <c r="P1187" s="148"/>
      <c r="Q1187" s="148"/>
      <c r="R1187" s="148"/>
      <c r="S1187" s="148"/>
      <c r="T1187" s="148"/>
      <c r="U1187" s="148"/>
      <c r="V1187" s="148"/>
      <c r="W1187" s="148"/>
      <c r="X1187" s="148"/>
      <c r="Y1187" s="148"/>
      <c r="Z1187" s="148"/>
      <c r="AA1187" s="148"/>
    </row>
    <row r="1188" spans="1:27">
      <c r="A1188" s="147">
        <v>2531</v>
      </c>
      <c r="B1188" s="147" t="s">
        <v>66</v>
      </c>
      <c r="C1188" s="147" t="s">
        <v>53</v>
      </c>
      <c r="D1188" s="148" t="s">
        <v>68</v>
      </c>
      <c r="E1188" s="148" t="s">
        <v>30</v>
      </c>
      <c r="F1188" s="149">
        <v>2026</v>
      </c>
      <c r="G1188" s="148" t="s">
        <v>42</v>
      </c>
      <c r="H1188" s="148"/>
      <c r="I1188" s="148"/>
      <c r="J1188" s="148"/>
      <c r="K1188" s="148"/>
      <c r="L1188" s="152"/>
      <c r="M1188" s="152">
        <f t="shared" si="18"/>
        <v>0</v>
      </c>
      <c r="N1188" s="148"/>
      <c r="O1188" s="148"/>
      <c r="P1188" s="148"/>
      <c r="Q1188" s="148"/>
      <c r="R1188" s="148"/>
      <c r="S1188" s="148"/>
      <c r="T1188" s="148"/>
      <c r="U1188" s="148"/>
      <c r="V1188" s="148"/>
      <c r="W1188" s="148"/>
      <c r="X1188" s="148"/>
      <c r="Y1188" s="148"/>
      <c r="Z1188" s="148"/>
      <c r="AA1188" s="148"/>
    </row>
    <row r="1189" spans="1:27">
      <c r="A1189" s="147">
        <v>2532</v>
      </c>
      <c r="B1189" s="147" t="s">
        <v>66</v>
      </c>
      <c r="C1189" s="147" t="s">
        <v>53</v>
      </c>
      <c r="D1189" s="148" t="s">
        <v>68</v>
      </c>
      <c r="E1189" s="148" t="s">
        <v>30</v>
      </c>
      <c r="F1189" s="149">
        <v>2026</v>
      </c>
      <c r="G1189" s="148" t="s">
        <v>43</v>
      </c>
      <c r="H1189" s="148"/>
      <c r="I1189" s="148"/>
      <c r="J1189" s="148"/>
      <c r="K1189" s="148"/>
      <c r="L1189" s="152"/>
      <c r="M1189" s="152">
        <f t="shared" si="18"/>
        <v>0</v>
      </c>
      <c r="N1189" s="148"/>
      <c r="O1189" s="148"/>
      <c r="P1189" s="148"/>
      <c r="Q1189" s="148"/>
      <c r="R1189" s="148"/>
      <c r="S1189" s="148"/>
      <c r="T1189" s="148"/>
      <c r="U1189" s="148"/>
      <c r="V1189" s="148"/>
      <c r="W1189" s="148"/>
      <c r="X1189" s="148"/>
      <c r="Y1189" s="148"/>
      <c r="Z1189" s="148"/>
      <c r="AA1189" s="148"/>
    </row>
    <row r="1190" spans="1:27">
      <c r="A1190" s="147">
        <v>2545</v>
      </c>
      <c r="B1190" s="147" t="s">
        <v>66</v>
      </c>
      <c r="C1190" s="147" t="s">
        <v>53</v>
      </c>
      <c r="D1190" s="148" t="s">
        <v>53</v>
      </c>
      <c r="E1190" s="148" t="s">
        <v>30</v>
      </c>
      <c r="F1190" s="149">
        <v>2024</v>
      </c>
      <c r="G1190" s="148" t="s">
        <v>31</v>
      </c>
      <c r="H1190" s="149">
        <v>15</v>
      </c>
      <c r="I1190" s="148" t="s">
        <v>44</v>
      </c>
      <c r="J1190" s="148" t="s">
        <v>48</v>
      </c>
      <c r="K1190" s="148" t="s">
        <v>48</v>
      </c>
      <c r="L1190" s="152"/>
      <c r="M1190" s="152">
        <f t="shared" si="18"/>
        <v>0</v>
      </c>
      <c r="N1190" s="148"/>
      <c r="O1190" s="148"/>
      <c r="P1190" s="148"/>
      <c r="Q1190" s="148"/>
      <c r="R1190" s="148"/>
      <c r="S1190" s="148"/>
      <c r="T1190" s="148"/>
      <c r="U1190" s="148"/>
      <c r="V1190" s="148"/>
      <c r="W1190" s="148"/>
      <c r="X1190" s="148"/>
      <c r="Y1190" s="148"/>
      <c r="Z1190" s="148"/>
      <c r="AA1190" s="148"/>
    </row>
    <row r="1191" spans="1:27">
      <c r="A1191" s="147">
        <v>2546</v>
      </c>
      <c r="B1191" s="147" t="s">
        <v>66</v>
      </c>
      <c r="C1191" s="147" t="s">
        <v>53</v>
      </c>
      <c r="D1191" s="148" t="s">
        <v>53</v>
      </c>
      <c r="E1191" s="148" t="s">
        <v>30</v>
      </c>
      <c r="F1191" s="149">
        <v>2024</v>
      </c>
      <c r="G1191" s="148" t="s">
        <v>33</v>
      </c>
      <c r="H1191" s="149">
        <v>11</v>
      </c>
      <c r="I1191" s="150">
        <v>1209209</v>
      </c>
      <c r="J1191" s="148" t="s">
        <v>48</v>
      </c>
      <c r="K1191" s="148" t="s">
        <v>48</v>
      </c>
      <c r="L1191" s="152"/>
      <c r="M1191" s="152">
        <f t="shared" si="18"/>
        <v>0</v>
      </c>
      <c r="N1191" s="148"/>
      <c r="O1191" s="148"/>
      <c r="P1191" s="148"/>
      <c r="Q1191" s="148"/>
      <c r="R1191" s="148"/>
      <c r="S1191" s="148"/>
      <c r="T1191" s="148"/>
      <c r="U1191" s="148"/>
      <c r="V1191" s="148"/>
      <c r="W1191" s="148"/>
      <c r="X1191" s="148"/>
      <c r="Y1191" s="148"/>
      <c r="Z1191" s="148"/>
      <c r="AA1191" s="148"/>
    </row>
    <row r="1192" spans="1:27">
      <c r="A1192" s="147">
        <v>2547</v>
      </c>
      <c r="B1192" s="147" t="s">
        <v>66</v>
      </c>
      <c r="C1192" s="147" t="s">
        <v>53</v>
      </c>
      <c r="D1192" s="148" t="s">
        <v>53</v>
      </c>
      <c r="E1192" s="148" t="s">
        <v>30</v>
      </c>
      <c r="F1192" s="149">
        <v>2024</v>
      </c>
      <c r="G1192" s="148" t="s">
        <v>34</v>
      </c>
      <c r="H1192" s="149">
        <v>10</v>
      </c>
      <c r="I1192" s="150">
        <v>1209138</v>
      </c>
      <c r="J1192" s="149">
        <v>-71</v>
      </c>
      <c r="K1192" s="150">
        <v>240654</v>
      </c>
      <c r="L1192" s="152"/>
      <c r="M1192" s="152">
        <f t="shared" si="18"/>
        <v>0</v>
      </c>
      <c r="N1192" s="148"/>
      <c r="O1192" s="148"/>
      <c r="P1192" s="148"/>
      <c r="Q1192" s="148"/>
      <c r="R1192" s="148"/>
      <c r="S1192" s="148"/>
      <c r="T1192" s="148"/>
      <c r="U1192" s="148"/>
      <c r="V1192" s="148"/>
      <c r="W1192" s="148"/>
      <c r="X1192" s="148"/>
      <c r="Y1192" s="148"/>
      <c r="Z1192" s="148"/>
      <c r="AA1192" s="148"/>
    </row>
    <row r="1193" spans="1:27">
      <c r="A1193" s="147">
        <v>2548</v>
      </c>
      <c r="B1193" s="147" t="s">
        <v>66</v>
      </c>
      <c r="C1193" s="147" t="s">
        <v>53</v>
      </c>
      <c r="D1193" s="148" t="s">
        <v>53</v>
      </c>
      <c r="E1193" s="148" t="s">
        <v>30</v>
      </c>
      <c r="F1193" s="149">
        <v>2024</v>
      </c>
      <c r="G1193" s="148" t="s">
        <v>35</v>
      </c>
      <c r="H1193" s="149">
        <v>9</v>
      </c>
      <c r="I1193" s="150">
        <v>1207071</v>
      </c>
      <c r="J1193" s="150">
        <v>-2067</v>
      </c>
      <c r="K1193" s="150">
        <v>6944015</v>
      </c>
      <c r="L1193" s="152"/>
      <c r="M1193" s="152">
        <f t="shared" si="18"/>
        <v>0</v>
      </c>
      <c r="N1193" s="148"/>
      <c r="O1193" s="148"/>
      <c r="P1193" s="148"/>
      <c r="Q1193" s="148"/>
      <c r="R1193" s="148"/>
      <c r="S1193" s="148"/>
      <c r="T1193" s="148"/>
      <c r="U1193" s="148"/>
      <c r="V1193" s="148"/>
      <c r="W1193" s="148"/>
      <c r="X1193" s="148"/>
      <c r="Y1193" s="148"/>
      <c r="Z1193" s="148"/>
      <c r="AA1193" s="148"/>
    </row>
    <row r="1194" spans="1:27">
      <c r="A1194" s="147">
        <v>2549</v>
      </c>
      <c r="B1194" s="147" t="s">
        <v>66</v>
      </c>
      <c r="C1194" s="147" t="s">
        <v>53</v>
      </c>
      <c r="D1194" s="148" t="s">
        <v>53</v>
      </c>
      <c r="E1194" s="148" t="s">
        <v>30</v>
      </c>
      <c r="F1194" s="149">
        <v>2024</v>
      </c>
      <c r="G1194" s="148" t="s">
        <v>36</v>
      </c>
      <c r="H1194" s="149">
        <v>6</v>
      </c>
      <c r="I1194" s="150">
        <v>1197768</v>
      </c>
      <c r="J1194" s="150">
        <v>-9303</v>
      </c>
      <c r="K1194" s="150">
        <v>2703874</v>
      </c>
      <c r="L1194" s="152"/>
      <c r="M1194" s="152">
        <f t="shared" si="18"/>
        <v>0</v>
      </c>
      <c r="N1194" s="148"/>
      <c r="O1194" s="148"/>
      <c r="P1194" s="148"/>
      <c r="Q1194" s="148"/>
      <c r="R1194" s="148"/>
      <c r="S1194" s="148"/>
      <c r="T1194" s="148"/>
      <c r="U1194" s="148"/>
      <c r="V1194" s="148"/>
      <c r="W1194" s="148"/>
      <c r="X1194" s="148"/>
      <c r="Y1194" s="148"/>
      <c r="Z1194" s="148"/>
      <c r="AA1194" s="148"/>
    </row>
    <row r="1195" spans="1:27">
      <c r="A1195" s="147">
        <v>2550</v>
      </c>
      <c r="B1195" s="147" t="s">
        <v>66</v>
      </c>
      <c r="C1195" s="147" t="s">
        <v>53</v>
      </c>
      <c r="D1195" s="148" t="s">
        <v>53</v>
      </c>
      <c r="E1195" s="148" t="s">
        <v>30</v>
      </c>
      <c r="F1195" s="149">
        <v>2024</v>
      </c>
      <c r="G1195" s="148" t="s">
        <v>37</v>
      </c>
      <c r="H1195" s="149">
        <v>1</v>
      </c>
      <c r="I1195" s="150">
        <v>1192395</v>
      </c>
      <c r="J1195" s="150">
        <v>-5373</v>
      </c>
      <c r="K1195" s="150">
        <v>2120369</v>
      </c>
      <c r="L1195" s="152"/>
      <c r="M1195" s="152">
        <f t="shared" si="18"/>
        <v>0</v>
      </c>
      <c r="N1195" s="148"/>
      <c r="O1195" s="148"/>
      <c r="P1195" s="148"/>
      <c r="Q1195" s="148"/>
      <c r="R1195" s="148"/>
      <c r="S1195" s="148"/>
      <c r="T1195" s="148"/>
      <c r="U1195" s="148"/>
      <c r="V1195" s="148"/>
      <c r="W1195" s="148"/>
      <c r="X1195" s="148"/>
      <c r="Y1195" s="148"/>
      <c r="Z1195" s="148"/>
      <c r="AA1195" s="148"/>
    </row>
    <row r="1196" spans="1:27">
      <c r="A1196" s="147">
        <v>2551</v>
      </c>
      <c r="B1196" s="147" t="s">
        <v>66</v>
      </c>
      <c r="C1196" s="147" t="s">
        <v>53</v>
      </c>
      <c r="D1196" s="148" t="s">
        <v>53</v>
      </c>
      <c r="E1196" s="148" t="s">
        <v>30</v>
      </c>
      <c r="F1196" s="149">
        <v>2024</v>
      </c>
      <c r="G1196" s="148" t="s">
        <v>38</v>
      </c>
      <c r="H1196" s="149">
        <v>74</v>
      </c>
      <c r="I1196" s="150">
        <v>1189501</v>
      </c>
      <c r="J1196" s="150">
        <v>-2894</v>
      </c>
      <c r="K1196" s="150">
        <v>3689302</v>
      </c>
      <c r="L1196" s="152"/>
      <c r="M1196" s="152">
        <f t="shared" si="18"/>
        <v>0</v>
      </c>
      <c r="N1196" s="148"/>
      <c r="O1196" s="148"/>
      <c r="P1196" s="148"/>
      <c r="Q1196" s="148"/>
      <c r="R1196" s="148"/>
      <c r="S1196" s="148"/>
      <c r="T1196" s="148"/>
      <c r="U1196" s="148"/>
      <c r="V1196" s="148"/>
      <c r="W1196" s="148"/>
      <c r="X1196" s="148"/>
      <c r="Y1196" s="148"/>
      <c r="Z1196" s="148"/>
      <c r="AA1196" s="148"/>
    </row>
    <row r="1197" spans="1:27">
      <c r="A1197" s="147">
        <v>2552</v>
      </c>
      <c r="B1197" s="147" t="s">
        <v>66</v>
      </c>
      <c r="C1197" s="147" t="s">
        <v>53</v>
      </c>
      <c r="D1197" s="148" t="s">
        <v>53</v>
      </c>
      <c r="E1197" s="148" t="s">
        <v>30</v>
      </c>
      <c r="F1197" s="149">
        <v>2024</v>
      </c>
      <c r="G1197" s="148" t="s">
        <v>39</v>
      </c>
      <c r="H1197" s="149">
        <v>238</v>
      </c>
      <c r="I1197" s="150">
        <v>1197004</v>
      </c>
      <c r="J1197" s="150">
        <v>7503</v>
      </c>
      <c r="K1197" s="150">
        <v>12619542</v>
      </c>
      <c r="L1197" s="152"/>
      <c r="M1197" s="152">
        <f t="shared" si="18"/>
        <v>0</v>
      </c>
      <c r="N1197" s="148"/>
      <c r="O1197" s="148"/>
      <c r="P1197" s="148"/>
      <c r="Q1197" s="148"/>
      <c r="R1197" s="148"/>
      <c r="S1197" s="148"/>
      <c r="T1197" s="148"/>
      <c r="U1197" s="148"/>
      <c r="V1197" s="148"/>
      <c r="W1197" s="148"/>
      <c r="X1197" s="148"/>
      <c r="Y1197" s="148"/>
      <c r="Z1197" s="148"/>
      <c r="AA1197" s="148"/>
    </row>
    <row r="1198" spans="1:27">
      <c r="A1198" s="147">
        <v>2553</v>
      </c>
      <c r="B1198" s="147" t="s">
        <v>66</v>
      </c>
      <c r="C1198" s="147" t="s">
        <v>53</v>
      </c>
      <c r="D1198" s="148" t="s">
        <v>53</v>
      </c>
      <c r="E1198" s="148" t="s">
        <v>30</v>
      </c>
      <c r="F1198" s="149">
        <v>2024</v>
      </c>
      <c r="G1198" s="148" t="s">
        <v>40</v>
      </c>
      <c r="H1198" s="149">
        <v>432</v>
      </c>
      <c r="I1198" s="150">
        <v>1213005</v>
      </c>
      <c r="J1198" s="150">
        <v>16001</v>
      </c>
      <c r="K1198" s="150">
        <v>20259382</v>
      </c>
      <c r="L1198" s="152"/>
      <c r="M1198" s="152">
        <f t="shared" si="18"/>
        <v>0</v>
      </c>
      <c r="N1198" s="148"/>
      <c r="O1198" s="148"/>
      <c r="P1198" s="148"/>
      <c r="Q1198" s="148"/>
      <c r="R1198" s="148"/>
      <c r="S1198" s="148"/>
      <c r="T1198" s="148"/>
      <c r="U1198" s="148"/>
      <c r="V1198" s="148"/>
      <c r="W1198" s="148"/>
      <c r="X1198" s="148"/>
      <c r="Y1198" s="148"/>
      <c r="Z1198" s="148"/>
      <c r="AA1198" s="148"/>
    </row>
    <row r="1199" spans="1:27">
      <c r="A1199" s="147">
        <v>2554</v>
      </c>
      <c r="B1199" s="147" t="s">
        <v>66</v>
      </c>
      <c r="C1199" s="147" t="s">
        <v>53</v>
      </c>
      <c r="D1199" s="148" t="s">
        <v>53</v>
      </c>
      <c r="E1199" s="148" t="s">
        <v>30</v>
      </c>
      <c r="F1199" s="149">
        <v>2024</v>
      </c>
      <c r="G1199" s="148" t="s">
        <v>41</v>
      </c>
      <c r="H1199" s="149">
        <v>459</v>
      </c>
      <c r="I1199" s="150">
        <v>1214555</v>
      </c>
      <c r="J1199" s="150">
        <v>1550</v>
      </c>
      <c r="K1199" s="150">
        <v>11130809</v>
      </c>
      <c r="L1199" s="152"/>
      <c r="M1199" s="152">
        <f t="shared" si="18"/>
        <v>0</v>
      </c>
      <c r="N1199" s="148"/>
      <c r="O1199" s="148"/>
      <c r="P1199" s="148"/>
      <c r="Q1199" s="148"/>
      <c r="R1199" s="148"/>
      <c r="S1199" s="148"/>
      <c r="T1199" s="148"/>
      <c r="U1199" s="148"/>
      <c r="V1199" s="148"/>
      <c r="W1199" s="148"/>
      <c r="X1199" s="148"/>
      <c r="Y1199" s="148"/>
      <c r="Z1199" s="148"/>
      <c r="AA1199" s="148"/>
    </row>
    <row r="1200" spans="1:27">
      <c r="A1200" s="147">
        <v>2555</v>
      </c>
      <c r="B1200" s="147" t="s">
        <v>66</v>
      </c>
      <c r="C1200" s="147" t="s">
        <v>53</v>
      </c>
      <c r="D1200" s="148" t="s">
        <v>53</v>
      </c>
      <c r="E1200" s="148" t="s">
        <v>30</v>
      </c>
      <c r="F1200" s="149">
        <v>2024</v>
      </c>
      <c r="G1200" s="148" t="s">
        <v>42</v>
      </c>
      <c r="H1200" s="149">
        <v>369</v>
      </c>
      <c r="I1200" s="150">
        <v>1228507</v>
      </c>
      <c r="J1200" s="150">
        <v>13952</v>
      </c>
      <c r="K1200" s="150">
        <v>33929907</v>
      </c>
      <c r="L1200" s="152"/>
      <c r="M1200" s="152">
        <f t="shared" si="18"/>
        <v>0</v>
      </c>
      <c r="N1200" s="148"/>
      <c r="O1200" s="148"/>
      <c r="P1200" s="148"/>
      <c r="Q1200" s="148"/>
      <c r="R1200" s="148"/>
      <c r="S1200" s="148"/>
      <c r="T1200" s="148"/>
      <c r="U1200" s="148"/>
      <c r="V1200" s="148"/>
      <c r="W1200" s="148"/>
      <c r="X1200" s="148"/>
      <c r="Y1200" s="148"/>
      <c r="Z1200" s="148"/>
      <c r="AA1200" s="148"/>
    </row>
    <row r="1201" spans="1:27">
      <c r="A1201" s="147">
        <v>2556</v>
      </c>
      <c r="B1201" s="147" t="s">
        <v>66</v>
      </c>
      <c r="C1201" s="147" t="s">
        <v>53</v>
      </c>
      <c r="D1201" s="148" t="s">
        <v>53</v>
      </c>
      <c r="E1201" s="148" t="s">
        <v>30</v>
      </c>
      <c r="F1201" s="149">
        <v>2024</v>
      </c>
      <c r="G1201" s="148" t="s">
        <v>43</v>
      </c>
      <c r="H1201" s="149">
        <v>228</v>
      </c>
      <c r="I1201" s="150">
        <v>1253622</v>
      </c>
      <c r="J1201" s="150">
        <v>25115</v>
      </c>
      <c r="K1201" s="150">
        <v>54459465</v>
      </c>
      <c r="L1201" s="152"/>
      <c r="M1201" s="152">
        <f t="shared" si="18"/>
        <v>0</v>
      </c>
      <c r="N1201" s="148"/>
      <c r="O1201" s="148"/>
      <c r="P1201" s="148"/>
      <c r="Q1201" s="148"/>
      <c r="R1201" s="148"/>
      <c r="S1201" s="148"/>
      <c r="T1201" s="148"/>
      <c r="U1201" s="148"/>
      <c r="V1201" s="148"/>
      <c r="W1201" s="148"/>
      <c r="X1201" s="148"/>
      <c r="Y1201" s="148"/>
      <c r="Z1201" s="148"/>
      <c r="AA1201" s="148"/>
    </row>
    <row r="1202" spans="1:27">
      <c r="A1202" s="147">
        <v>2557</v>
      </c>
      <c r="B1202" s="147" t="s">
        <v>66</v>
      </c>
      <c r="C1202" s="147" t="s">
        <v>53</v>
      </c>
      <c r="D1202" s="148" t="s">
        <v>53</v>
      </c>
      <c r="E1202" s="148" t="s">
        <v>30</v>
      </c>
      <c r="F1202" s="149">
        <v>2025</v>
      </c>
      <c r="G1202" s="148" t="s">
        <v>31</v>
      </c>
      <c r="H1202" s="149">
        <v>213</v>
      </c>
      <c r="I1202" s="150">
        <v>1281675</v>
      </c>
      <c r="J1202" s="150">
        <v>28053</v>
      </c>
      <c r="K1202" s="150">
        <v>43682779</v>
      </c>
      <c r="L1202" s="152"/>
      <c r="M1202" s="152">
        <f t="shared" si="18"/>
        <v>0</v>
      </c>
      <c r="N1202" s="148"/>
      <c r="O1202" s="148"/>
      <c r="P1202" s="148"/>
      <c r="Q1202" s="148"/>
      <c r="R1202" s="148"/>
      <c r="S1202" s="148"/>
      <c r="T1202" s="148"/>
      <c r="U1202" s="148"/>
      <c r="V1202" s="148"/>
      <c r="W1202" s="148"/>
      <c r="X1202" s="148"/>
      <c r="Y1202" s="148"/>
      <c r="Z1202" s="148"/>
      <c r="AA1202" s="148"/>
    </row>
    <row r="1203" spans="1:27">
      <c r="A1203" s="147">
        <v>2558</v>
      </c>
      <c r="B1203" s="147" t="s">
        <v>66</v>
      </c>
      <c r="C1203" s="147" t="s">
        <v>53</v>
      </c>
      <c r="D1203" s="148" t="s">
        <v>53</v>
      </c>
      <c r="E1203" s="148" t="s">
        <v>30</v>
      </c>
      <c r="F1203" s="149">
        <v>2025</v>
      </c>
      <c r="G1203" s="148" t="s">
        <v>33</v>
      </c>
      <c r="H1203" s="149">
        <v>252</v>
      </c>
      <c r="I1203" s="150">
        <v>1304983</v>
      </c>
      <c r="J1203" s="150">
        <v>23308</v>
      </c>
      <c r="K1203" s="150">
        <v>50741727</v>
      </c>
      <c r="L1203" s="152"/>
      <c r="M1203" s="152">
        <f t="shared" si="18"/>
        <v>0</v>
      </c>
      <c r="N1203" s="148"/>
      <c r="O1203" s="148"/>
      <c r="P1203" s="148"/>
      <c r="Q1203" s="148"/>
      <c r="R1203" s="148"/>
      <c r="S1203" s="148"/>
      <c r="T1203" s="148"/>
      <c r="U1203" s="148"/>
      <c r="V1203" s="148"/>
      <c r="W1203" s="148"/>
      <c r="X1203" s="148"/>
      <c r="Y1203" s="148"/>
      <c r="Z1203" s="148"/>
      <c r="AA1203" s="148"/>
    </row>
    <row r="1204" spans="1:27">
      <c r="A1204" s="147">
        <v>2559</v>
      </c>
      <c r="B1204" s="147" t="s">
        <v>66</v>
      </c>
      <c r="C1204" s="147" t="s">
        <v>53</v>
      </c>
      <c r="D1204" s="148" t="s">
        <v>53</v>
      </c>
      <c r="E1204" s="148" t="s">
        <v>30</v>
      </c>
      <c r="F1204" s="149">
        <v>2025</v>
      </c>
      <c r="G1204" s="148" t="s">
        <v>34</v>
      </c>
      <c r="H1204" s="149">
        <v>241</v>
      </c>
      <c r="I1204" s="150">
        <v>1310772</v>
      </c>
      <c r="J1204" s="150">
        <v>5789</v>
      </c>
      <c r="K1204" s="150">
        <v>29154216</v>
      </c>
      <c r="L1204" s="152"/>
      <c r="M1204" s="152">
        <f t="shared" si="18"/>
        <v>0</v>
      </c>
      <c r="N1204" s="148"/>
      <c r="O1204" s="148"/>
      <c r="P1204" s="148"/>
      <c r="Q1204" s="148"/>
      <c r="R1204" s="148"/>
      <c r="S1204" s="148"/>
      <c r="T1204" s="148"/>
      <c r="U1204" s="148"/>
      <c r="V1204" s="148"/>
      <c r="W1204" s="148"/>
      <c r="X1204" s="148"/>
      <c r="Y1204" s="148"/>
      <c r="Z1204" s="148"/>
      <c r="AA1204" s="148"/>
    </row>
    <row r="1205" spans="1:27">
      <c r="A1205" s="147">
        <v>2560</v>
      </c>
      <c r="B1205" s="147" t="s">
        <v>66</v>
      </c>
      <c r="C1205" s="147" t="s">
        <v>53</v>
      </c>
      <c r="D1205" s="148" t="s">
        <v>53</v>
      </c>
      <c r="E1205" s="148" t="s">
        <v>30</v>
      </c>
      <c r="F1205" s="149">
        <v>2025</v>
      </c>
      <c r="G1205" s="148" t="s">
        <v>35</v>
      </c>
      <c r="H1205" s="149">
        <v>113</v>
      </c>
      <c r="I1205" s="150">
        <v>1308667</v>
      </c>
      <c r="J1205" s="150">
        <v>-2105</v>
      </c>
      <c r="K1205" s="150">
        <v>12094358</v>
      </c>
      <c r="L1205" s="152"/>
      <c r="M1205" s="152">
        <f t="shared" si="18"/>
        <v>0</v>
      </c>
      <c r="N1205" s="148"/>
      <c r="O1205" s="148"/>
      <c r="P1205" s="148"/>
      <c r="Q1205" s="148"/>
      <c r="R1205" s="148"/>
      <c r="S1205" s="148"/>
      <c r="T1205" s="148"/>
      <c r="U1205" s="148"/>
      <c r="V1205" s="148"/>
      <c r="W1205" s="148"/>
      <c r="X1205" s="148"/>
      <c r="Y1205" s="148"/>
      <c r="Z1205" s="148"/>
      <c r="AA1205" s="148"/>
    </row>
    <row r="1206" spans="1:27">
      <c r="A1206" s="147">
        <v>2561</v>
      </c>
      <c r="B1206" s="147" t="s">
        <v>66</v>
      </c>
      <c r="C1206" s="147" t="s">
        <v>53</v>
      </c>
      <c r="D1206" s="148" t="s">
        <v>53</v>
      </c>
      <c r="E1206" s="148" t="s">
        <v>30</v>
      </c>
      <c r="F1206" s="149">
        <v>2025</v>
      </c>
      <c r="G1206" s="148" t="s">
        <v>36</v>
      </c>
      <c r="H1206" s="149">
        <v>163</v>
      </c>
      <c r="I1206" s="150">
        <v>1309926</v>
      </c>
      <c r="J1206" s="150">
        <v>1259</v>
      </c>
      <c r="K1206" s="150">
        <v>21539457</v>
      </c>
      <c r="L1206" s="152"/>
      <c r="M1206" s="152">
        <f t="shared" si="18"/>
        <v>0</v>
      </c>
      <c r="N1206" s="148"/>
      <c r="O1206" s="148"/>
      <c r="P1206" s="148"/>
      <c r="Q1206" s="148"/>
      <c r="R1206" s="148"/>
      <c r="S1206" s="148"/>
      <c r="T1206" s="148"/>
      <c r="U1206" s="148"/>
      <c r="V1206" s="148"/>
      <c r="W1206" s="148"/>
      <c r="X1206" s="148"/>
      <c r="Y1206" s="148"/>
      <c r="Z1206" s="148"/>
      <c r="AA1206" s="148"/>
    </row>
    <row r="1207" spans="1:27">
      <c r="A1207" s="147">
        <v>2562</v>
      </c>
      <c r="B1207" s="147" t="s">
        <v>66</v>
      </c>
      <c r="C1207" s="147" t="s">
        <v>53</v>
      </c>
      <c r="D1207" s="148" t="s">
        <v>53</v>
      </c>
      <c r="E1207" s="148" t="s">
        <v>30</v>
      </c>
      <c r="F1207" s="149">
        <v>2025</v>
      </c>
      <c r="G1207" s="148" t="s">
        <v>37</v>
      </c>
      <c r="H1207" s="149">
        <v>224</v>
      </c>
      <c r="I1207" s="150">
        <v>1309922</v>
      </c>
      <c r="J1207" s="149">
        <v>-4</v>
      </c>
      <c r="K1207" s="150">
        <v>17881707</v>
      </c>
      <c r="L1207" s="152"/>
      <c r="M1207" s="152">
        <f t="shared" si="18"/>
        <v>0</v>
      </c>
      <c r="N1207" s="148"/>
      <c r="O1207" s="148"/>
      <c r="P1207" s="148"/>
      <c r="Q1207" s="148"/>
      <c r="R1207" s="148"/>
      <c r="S1207" s="148"/>
      <c r="T1207" s="148"/>
      <c r="U1207" s="148"/>
      <c r="V1207" s="148"/>
      <c r="W1207" s="148"/>
      <c r="X1207" s="148"/>
      <c r="Y1207" s="148"/>
      <c r="Z1207" s="148"/>
      <c r="AA1207" s="148"/>
    </row>
    <row r="1208" spans="1:27">
      <c r="A1208" s="147">
        <v>2563</v>
      </c>
      <c r="B1208" s="147" t="s">
        <v>66</v>
      </c>
      <c r="C1208" s="147" t="s">
        <v>53</v>
      </c>
      <c r="D1208" s="148" t="s">
        <v>53</v>
      </c>
      <c r="E1208" s="148" t="s">
        <v>30</v>
      </c>
      <c r="F1208" s="149">
        <v>2025</v>
      </c>
      <c r="G1208" s="148" t="s">
        <v>38</v>
      </c>
      <c r="H1208" s="149">
        <v>275</v>
      </c>
      <c r="I1208" s="150">
        <v>1318105</v>
      </c>
      <c r="J1208" s="150">
        <v>10708</v>
      </c>
      <c r="K1208" s="150">
        <v>49761006</v>
      </c>
      <c r="L1208" s="152"/>
      <c r="M1208" s="152">
        <f t="shared" si="18"/>
        <v>0</v>
      </c>
      <c r="N1208" s="148"/>
      <c r="O1208" s="150">
        <v>45614131</v>
      </c>
      <c r="P1208" s="150">
        <v>1464104</v>
      </c>
      <c r="Q1208" s="154">
        <v>0.5</v>
      </c>
      <c r="R1208" s="154">
        <v>0.45</v>
      </c>
      <c r="S1208" s="154">
        <v>0.05</v>
      </c>
      <c r="T1208" s="148" t="s">
        <v>44</v>
      </c>
      <c r="U1208" s="154">
        <v>0.269</v>
      </c>
      <c r="V1208" s="154">
        <v>0.451</v>
      </c>
      <c r="W1208" s="154">
        <v>0.179</v>
      </c>
      <c r="X1208" s="154">
        <v>0.069</v>
      </c>
      <c r="Y1208" s="154">
        <v>0.032</v>
      </c>
      <c r="Z1208" s="148" t="s">
        <v>44</v>
      </c>
      <c r="AA1208" s="148" t="s">
        <v>45</v>
      </c>
    </row>
    <row r="1209" spans="1:27">
      <c r="A1209" s="147">
        <v>2564</v>
      </c>
      <c r="B1209" s="147" t="s">
        <v>66</v>
      </c>
      <c r="C1209" s="147" t="s">
        <v>53</v>
      </c>
      <c r="D1209" s="148" t="s">
        <v>53</v>
      </c>
      <c r="E1209" s="148" t="s">
        <v>30</v>
      </c>
      <c r="F1209" s="149">
        <v>2025</v>
      </c>
      <c r="G1209" s="148" t="s">
        <v>39</v>
      </c>
      <c r="H1209" s="149">
        <v>333</v>
      </c>
      <c r="I1209" s="150">
        <v>1424046</v>
      </c>
      <c r="J1209" s="150">
        <v>98195</v>
      </c>
      <c r="K1209" s="150">
        <v>175500275</v>
      </c>
      <c r="L1209" s="152"/>
      <c r="M1209" s="152">
        <f t="shared" si="18"/>
        <v>0</v>
      </c>
      <c r="N1209" s="148"/>
      <c r="O1209" s="150">
        <v>153209264</v>
      </c>
      <c r="P1209" s="150">
        <v>5130208</v>
      </c>
      <c r="Q1209" s="154">
        <v>0.49</v>
      </c>
      <c r="R1209" s="154">
        <v>0.45</v>
      </c>
      <c r="S1209" s="154">
        <v>0.06</v>
      </c>
      <c r="T1209" s="148" t="s">
        <v>44</v>
      </c>
      <c r="U1209" s="154">
        <v>0.263</v>
      </c>
      <c r="V1209" s="154">
        <v>0.446</v>
      </c>
      <c r="W1209" s="154">
        <v>0.184</v>
      </c>
      <c r="X1209" s="154">
        <v>0.073</v>
      </c>
      <c r="Y1209" s="154">
        <v>0.034</v>
      </c>
      <c r="Z1209" s="148" t="s">
        <v>44</v>
      </c>
      <c r="AA1209" s="148" t="s">
        <v>45</v>
      </c>
    </row>
    <row r="1210" spans="1:27">
      <c r="A1210" s="147">
        <v>2565</v>
      </c>
      <c r="B1210" s="147" t="s">
        <v>66</v>
      </c>
      <c r="C1210" s="147" t="s">
        <v>53</v>
      </c>
      <c r="D1210" s="148" t="s">
        <v>53</v>
      </c>
      <c r="E1210" s="148" t="s">
        <v>30</v>
      </c>
      <c r="F1210" s="149">
        <v>2025</v>
      </c>
      <c r="G1210" s="148" t="s">
        <v>40</v>
      </c>
      <c r="H1210" s="149">
        <v>301</v>
      </c>
      <c r="I1210" s="150">
        <v>1474132</v>
      </c>
      <c r="J1210" s="150">
        <v>57891</v>
      </c>
      <c r="K1210" s="150">
        <v>134923370</v>
      </c>
      <c r="L1210" s="152"/>
      <c r="M1210" s="152">
        <f t="shared" si="18"/>
        <v>0</v>
      </c>
      <c r="N1210" s="148"/>
      <c r="O1210" s="150">
        <v>115984425</v>
      </c>
      <c r="P1210" s="150">
        <v>3725515</v>
      </c>
      <c r="Q1210" s="154">
        <v>0.49</v>
      </c>
      <c r="R1210" s="154">
        <v>0.45</v>
      </c>
      <c r="S1210" s="154">
        <v>0.06</v>
      </c>
      <c r="T1210" s="148" t="s">
        <v>44</v>
      </c>
      <c r="U1210" s="154">
        <v>0.256</v>
      </c>
      <c r="V1210" s="154">
        <v>0.438</v>
      </c>
      <c r="W1210" s="154">
        <v>0.188</v>
      </c>
      <c r="X1210" s="154">
        <v>0.079</v>
      </c>
      <c r="Y1210" s="154">
        <v>0.039</v>
      </c>
      <c r="Z1210" s="148" t="s">
        <v>44</v>
      </c>
      <c r="AA1210" s="148" t="s">
        <v>45</v>
      </c>
    </row>
    <row r="1211" spans="1:27">
      <c r="A1211" s="147">
        <v>2566</v>
      </c>
      <c r="B1211" s="147" t="s">
        <v>66</v>
      </c>
      <c r="C1211" s="147" t="s">
        <v>53</v>
      </c>
      <c r="D1211" s="148" t="s">
        <v>53</v>
      </c>
      <c r="E1211" s="148" t="s">
        <v>30</v>
      </c>
      <c r="F1211" s="149">
        <v>2025</v>
      </c>
      <c r="G1211" s="148" t="s">
        <v>41</v>
      </c>
      <c r="H1211" s="149">
        <v>442</v>
      </c>
      <c r="I1211" s="150">
        <v>1589015</v>
      </c>
      <c r="J1211" s="150">
        <v>105644</v>
      </c>
      <c r="K1211" s="150">
        <v>229752655</v>
      </c>
      <c r="L1211" s="152"/>
      <c r="M1211" s="152">
        <f t="shared" si="18"/>
        <v>0</v>
      </c>
      <c r="N1211" s="148"/>
      <c r="O1211" s="150">
        <v>227630609</v>
      </c>
      <c r="P1211" s="150">
        <v>7186006</v>
      </c>
      <c r="Q1211" s="154">
        <v>0.51</v>
      </c>
      <c r="R1211" s="154">
        <v>0.43</v>
      </c>
      <c r="S1211" s="154">
        <v>0.06</v>
      </c>
      <c r="T1211" s="148" t="s">
        <v>44</v>
      </c>
      <c r="U1211" s="154">
        <v>0.247</v>
      </c>
      <c r="V1211" s="154">
        <v>0.429</v>
      </c>
      <c r="W1211" s="154">
        <v>0.193</v>
      </c>
      <c r="X1211" s="154">
        <v>0.086</v>
      </c>
      <c r="Y1211" s="154">
        <v>0.045</v>
      </c>
      <c r="Z1211" s="148" t="s">
        <v>44</v>
      </c>
      <c r="AA1211" s="148" t="s">
        <v>45</v>
      </c>
    </row>
    <row r="1212" spans="1:27">
      <c r="A1212" s="147">
        <v>2567</v>
      </c>
      <c r="B1212" s="147" t="s">
        <v>66</v>
      </c>
      <c r="C1212" s="147" t="s">
        <v>53</v>
      </c>
      <c r="D1212" s="148" t="s">
        <v>53</v>
      </c>
      <c r="E1212" s="148" t="s">
        <v>30</v>
      </c>
      <c r="F1212" s="149">
        <v>2025</v>
      </c>
      <c r="G1212" s="148" t="s">
        <v>42</v>
      </c>
      <c r="H1212" s="149">
        <v>504</v>
      </c>
      <c r="I1212" s="150">
        <v>1688848</v>
      </c>
      <c r="J1212" s="150">
        <v>93148</v>
      </c>
      <c r="K1212" s="150">
        <v>189026551</v>
      </c>
      <c r="L1212" s="152"/>
      <c r="M1212" s="152">
        <f t="shared" si="18"/>
        <v>0</v>
      </c>
      <c r="N1212" s="148"/>
      <c r="O1212" s="150">
        <v>166518030</v>
      </c>
      <c r="P1212" s="150">
        <v>4206907</v>
      </c>
      <c r="Q1212" s="154">
        <v>0.5</v>
      </c>
      <c r="R1212" s="154">
        <v>0.43</v>
      </c>
      <c r="S1212" s="154">
        <v>0.07</v>
      </c>
      <c r="T1212" s="148" t="s">
        <v>44</v>
      </c>
      <c r="U1212" s="154">
        <v>0.24</v>
      </c>
      <c r="V1212" s="154">
        <v>0.424</v>
      </c>
      <c r="W1212" s="154">
        <v>0.197</v>
      </c>
      <c r="X1212" s="154">
        <v>0.091</v>
      </c>
      <c r="Y1212" s="154">
        <v>0.048</v>
      </c>
      <c r="Z1212" s="148" t="s">
        <v>44</v>
      </c>
      <c r="AA1212" s="148" t="s">
        <v>45</v>
      </c>
    </row>
    <row r="1213" spans="1:27">
      <c r="A1213" s="147">
        <v>2568</v>
      </c>
      <c r="B1213" s="147" t="s">
        <v>66</v>
      </c>
      <c r="C1213" s="147" t="s">
        <v>53</v>
      </c>
      <c r="D1213" s="148" t="s">
        <v>53</v>
      </c>
      <c r="E1213" s="148" t="s">
        <v>30</v>
      </c>
      <c r="F1213" s="149">
        <v>2025</v>
      </c>
      <c r="G1213" s="148" t="s">
        <v>43</v>
      </c>
      <c r="H1213" s="149">
        <v>569</v>
      </c>
      <c r="I1213" s="150">
        <v>1805068</v>
      </c>
      <c r="J1213" s="150">
        <v>116220</v>
      </c>
      <c r="K1213" s="150">
        <v>285411273</v>
      </c>
      <c r="L1213" s="152"/>
      <c r="M1213" s="152">
        <f t="shared" si="18"/>
        <v>0</v>
      </c>
      <c r="N1213" s="148"/>
      <c r="O1213" s="150">
        <v>284117436</v>
      </c>
      <c r="P1213" s="150">
        <v>7226461</v>
      </c>
      <c r="Q1213" s="154">
        <v>0.5</v>
      </c>
      <c r="R1213" s="154">
        <v>0.43</v>
      </c>
      <c r="S1213" s="154">
        <v>0.07</v>
      </c>
      <c r="T1213" s="148" t="s">
        <v>44</v>
      </c>
      <c r="U1213" s="154">
        <v>0.227</v>
      </c>
      <c r="V1213" s="154">
        <v>0.417</v>
      </c>
      <c r="W1213" s="154">
        <v>0.203</v>
      </c>
      <c r="X1213" s="154">
        <v>0.099</v>
      </c>
      <c r="Y1213" s="154">
        <v>0.054</v>
      </c>
      <c r="Z1213" s="148" t="s">
        <v>44</v>
      </c>
      <c r="AA1213" s="148" t="s">
        <v>45</v>
      </c>
    </row>
    <row r="1214" spans="1:27">
      <c r="A1214" s="147">
        <v>2569</v>
      </c>
      <c r="B1214" s="147" t="s">
        <v>66</v>
      </c>
      <c r="C1214" s="147" t="s">
        <v>53</v>
      </c>
      <c r="D1214" s="148" t="s">
        <v>53</v>
      </c>
      <c r="E1214" s="148" t="s">
        <v>30</v>
      </c>
      <c r="F1214" s="149">
        <v>2026</v>
      </c>
      <c r="G1214" s="148" t="s">
        <v>31</v>
      </c>
      <c r="H1214" s="149">
        <v>345</v>
      </c>
      <c r="I1214" s="150">
        <v>1880294</v>
      </c>
      <c r="J1214" s="150">
        <v>75226</v>
      </c>
      <c r="K1214" s="150">
        <v>229167461</v>
      </c>
      <c r="L1214" s="152"/>
      <c r="M1214" s="152">
        <f t="shared" si="18"/>
        <v>0</v>
      </c>
      <c r="N1214" s="148"/>
      <c r="O1214" s="150">
        <v>227928891</v>
      </c>
      <c r="P1214" s="150">
        <v>6948863</v>
      </c>
      <c r="Q1214" s="154">
        <v>0.51</v>
      </c>
      <c r="R1214" s="154">
        <v>0.44</v>
      </c>
      <c r="S1214" s="154">
        <v>0.05</v>
      </c>
      <c r="T1214" s="148" t="s">
        <v>44</v>
      </c>
      <c r="U1214" s="154">
        <v>0.222</v>
      </c>
      <c r="V1214" s="154">
        <v>0.415</v>
      </c>
      <c r="W1214" s="154">
        <v>0.205</v>
      </c>
      <c r="X1214" s="154">
        <v>0.102</v>
      </c>
      <c r="Y1214" s="154">
        <v>0.056</v>
      </c>
      <c r="Z1214" s="148" t="s">
        <v>44</v>
      </c>
      <c r="AA1214" s="148" t="s">
        <v>45</v>
      </c>
    </row>
    <row r="1215" spans="1:27">
      <c r="A1215" s="147">
        <v>2570</v>
      </c>
      <c r="B1215" s="147" t="s">
        <v>66</v>
      </c>
      <c r="C1215" s="147" t="s">
        <v>53</v>
      </c>
      <c r="D1215" s="148" t="s">
        <v>53</v>
      </c>
      <c r="E1215" s="148" t="s">
        <v>30</v>
      </c>
      <c r="F1215" s="149">
        <v>2026</v>
      </c>
      <c r="G1215" s="148" t="s">
        <v>33</v>
      </c>
      <c r="H1215" s="149">
        <v>387</v>
      </c>
      <c r="I1215" s="150">
        <v>2168309</v>
      </c>
      <c r="J1215" s="150">
        <v>288015</v>
      </c>
      <c r="K1215" s="150">
        <v>718152593</v>
      </c>
      <c r="L1215" s="152"/>
      <c r="M1215" s="152">
        <f t="shared" si="18"/>
        <v>0</v>
      </c>
      <c r="N1215" s="148"/>
      <c r="O1215" s="150">
        <v>716447146</v>
      </c>
      <c r="P1215" s="150">
        <v>18579849</v>
      </c>
      <c r="Q1215" s="154">
        <v>0.52</v>
      </c>
      <c r="R1215" s="154">
        <v>0.44</v>
      </c>
      <c r="S1215" s="154">
        <v>0.04</v>
      </c>
      <c r="T1215" s="148" t="s">
        <v>44</v>
      </c>
      <c r="U1215" s="154">
        <v>0.216</v>
      </c>
      <c r="V1215" s="154">
        <v>0.409</v>
      </c>
      <c r="W1215" s="154">
        <v>0.208</v>
      </c>
      <c r="X1215" s="154">
        <v>0.106</v>
      </c>
      <c r="Y1215" s="154">
        <v>0.061</v>
      </c>
      <c r="Z1215" s="148" t="s">
        <v>44</v>
      </c>
      <c r="AA1215" s="148" t="s">
        <v>45</v>
      </c>
    </row>
    <row r="1216" spans="1:27">
      <c r="A1216" s="147">
        <v>2571</v>
      </c>
      <c r="B1216" s="147" t="s">
        <v>66</v>
      </c>
      <c r="C1216" s="147" t="s">
        <v>53</v>
      </c>
      <c r="D1216" s="148" t="s">
        <v>53</v>
      </c>
      <c r="E1216" s="148" t="s">
        <v>30</v>
      </c>
      <c r="F1216" s="149">
        <v>2026</v>
      </c>
      <c r="G1216" s="148" t="s">
        <v>34</v>
      </c>
      <c r="H1216" s="149">
        <v>363</v>
      </c>
      <c r="I1216" s="150">
        <v>2270849</v>
      </c>
      <c r="J1216" s="150">
        <v>102540</v>
      </c>
      <c r="K1216" s="150">
        <v>391454540</v>
      </c>
      <c r="L1216" s="152"/>
      <c r="M1216" s="152">
        <f t="shared" si="18"/>
        <v>0</v>
      </c>
      <c r="N1216" s="148"/>
      <c r="O1216" s="150">
        <v>389918904</v>
      </c>
      <c r="P1216" s="150">
        <v>9415167</v>
      </c>
      <c r="Q1216" s="154">
        <v>0.53</v>
      </c>
      <c r="R1216" s="154">
        <v>0.43</v>
      </c>
      <c r="S1216" s="154">
        <v>0.04</v>
      </c>
      <c r="T1216" s="148" t="s">
        <v>44</v>
      </c>
      <c r="U1216" s="154">
        <v>0.212</v>
      </c>
      <c r="V1216" s="154">
        <v>0.406</v>
      </c>
      <c r="W1216" s="154">
        <v>0.21</v>
      </c>
      <c r="X1216" s="154">
        <v>0.109</v>
      </c>
      <c r="Y1216" s="154">
        <v>0.063</v>
      </c>
      <c r="Z1216" s="148" t="s">
        <v>44</v>
      </c>
      <c r="AA1216" s="148" t="s">
        <v>45</v>
      </c>
    </row>
    <row r="1217" spans="1:27">
      <c r="A1217" s="147">
        <v>2572</v>
      </c>
      <c r="B1217" s="147" t="s">
        <v>66</v>
      </c>
      <c r="C1217" s="147" t="s">
        <v>53</v>
      </c>
      <c r="D1217" s="148" t="s">
        <v>53</v>
      </c>
      <c r="E1217" s="148" t="s">
        <v>30</v>
      </c>
      <c r="F1217" s="149">
        <v>2026</v>
      </c>
      <c r="G1217" s="148" t="s">
        <v>35</v>
      </c>
      <c r="H1217" s="149">
        <v>381</v>
      </c>
      <c r="I1217" s="150">
        <v>2439458</v>
      </c>
      <c r="J1217" s="150">
        <v>168609</v>
      </c>
      <c r="K1217" s="150">
        <v>637997991</v>
      </c>
      <c r="L1217" s="152"/>
      <c r="M1217" s="152">
        <f t="shared" si="18"/>
        <v>0</v>
      </c>
      <c r="N1217" s="148"/>
      <c r="O1217" s="150">
        <v>636548467</v>
      </c>
      <c r="P1217" s="150">
        <v>17192236</v>
      </c>
      <c r="Q1217" s="154">
        <v>0.52</v>
      </c>
      <c r="R1217" s="154">
        <v>0.44</v>
      </c>
      <c r="S1217" s="154">
        <v>0.04</v>
      </c>
      <c r="T1217" s="148" t="s">
        <v>44</v>
      </c>
      <c r="U1217" s="154">
        <v>0.208</v>
      </c>
      <c r="V1217" s="154">
        <v>0.404</v>
      </c>
      <c r="W1217" s="154">
        <v>0.212</v>
      </c>
      <c r="X1217" s="154">
        <v>0.111</v>
      </c>
      <c r="Y1217" s="154">
        <v>0.065</v>
      </c>
      <c r="Z1217" s="148" t="s">
        <v>44</v>
      </c>
      <c r="AA1217" s="148" t="s">
        <v>45</v>
      </c>
    </row>
    <row r="1218" spans="1:27">
      <c r="A1218" s="147">
        <v>2573</v>
      </c>
      <c r="B1218" s="147" t="s">
        <v>66</v>
      </c>
      <c r="C1218" s="147" t="s">
        <v>53</v>
      </c>
      <c r="D1218" s="148" t="s">
        <v>53</v>
      </c>
      <c r="E1218" s="148" t="s">
        <v>30</v>
      </c>
      <c r="F1218" s="149">
        <v>2026</v>
      </c>
      <c r="G1218" s="148" t="s">
        <v>36</v>
      </c>
      <c r="H1218" s="149">
        <v>595</v>
      </c>
      <c r="I1218" s="150">
        <v>2602063</v>
      </c>
      <c r="J1218" s="150">
        <v>162605</v>
      </c>
      <c r="K1218" s="150">
        <v>661304235</v>
      </c>
      <c r="L1218" s="152"/>
      <c r="M1218" s="152">
        <f t="shared" ref="M1218:M1281" si="19">L1218*17000</f>
        <v>0</v>
      </c>
      <c r="N1218" s="148"/>
      <c r="O1218" s="150">
        <v>659430960</v>
      </c>
      <c r="P1218" s="150">
        <v>19675080</v>
      </c>
      <c r="Q1218" s="154">
        <v>0.54</v>
      </c>
      <c r="R1218" s="154">
        <v>0.43</v>
      </c>
      <c r="S1218" s="154">
        <v>0.03</v>
      </c>
      <c r="T1218" s="148" t="s">
        <v>44</v>
      </c>
      <c r="U1218" s="154">
        <v>0.204</v>
      </c>
      <c r="V1218" s="154">
        <v>0.401</v>
      </c>
      <c r="W1218" s="154">
        <v>0.214</v>
      </c>
      <c r="X1218" s="154">
        <v>0.113</v>
      </c>
      <c r="Y1218" s="154">
        <v>0.068</v>
      </c>
      <c r="Z1218" s="148" t="s">
        <v>44</v>
      </c>
      <c r="AA1218" s="148" t="s">
        <v>45</v>
      </c>
    </row>
    <row r="1219" spans="1:27">
      <c r="A1219" s="147">
        <v>2574</v>
      </c>
      <c r="B1219" s="147" t="s">
        <v>66</v>
      </c>
      <c r="C1219" s="147" t="s">
        <v>53</v>
      </c>
      <c r="D1219" s="148" t="s">
        <v>53</v>
      </c>
      <c r="E1219" s="148" t="s">
        <v>30</v>
      </c>
      <c r="F1219" s="149">
        <v>2026</v>
      </c>
      <c r="G1219" s="148" t="s">
        <v>37</v>
      </c>
      <c r="H1219" s="149">
        <v>640</v>
      </c>
      <c r="I1219" s="150">
        <v>2758943</v>
      </c>
      <c r="J1219" s="150">
        <v>155321</v>
      </c>
      <c r="K1219" s="150">
        <v>506592883</v>
      </c>
      <c r="L1219" s="152"/>
      <c r="M1219" s="152">
        <f t="shared" si="19"/>
        <v>0</v>
      </c>
      <c r="N1219" s="148"/>
      <c r="O1219" s="150">
        <v>504674434</v>
      </c>
      <c r="P1219" s="150">
        <v>10912350</v>
      </c>
      <c r="Q1219" s="154">
        <v>0.55</v>
      </c>
      <c r="R1219" s="154">
        <v>0.42</v>
      </c>
      <c r="S1219" s="154">
        <v>0.03</v>
      </c>
      <c r="T1219" s="148" t="s">
        <v>44</v>
      </c>
      <c r="U1219" s="154">
        <v>0.198</v>
      </c>
      <c r="V1219" s="154">
        <v>0.398</v>
      </c>
      <c r="W1219" s="154">
        <v>0.217</v>
      </c>
      <c r="X1219" s="154">
        <v>0.117</v>
      </c>
      <c r="Y1219" s="154">
        <v>0.07</v>
      </c>
      <c r="Z1219" s="148" t="s">
        <v>44</v>
      </c>
      <c r="AA1219" s="148" t="s">
        <v>45</v>
      </c>
    </row>
    <row r="1220" spans="1:27">
      <c r="A1220" s="147">
        <v>2575</v>
      </c>
      <c r="B1220" s="147" t="s">
        <v>66</v>
      </c>
      <c r="C1220" s="147" t="s">
        <v>53</v>
      </c>
      <c r="D1220" s="148" t="s">
        <v>53</v>
      </c>
      <c r="E1220" s="148" t="s">
        <v>30</v>
      </c>
      <c r="F1220" s="149">
        <v>2026</v>
      </c>
      <c r="G1220" s="148" t="s">
        <v>38</v>
      </c>
      <c r="H1220" s="149">
        <v>848</v>
      </c>
      <c r="I1220" s="150">
        <v>2825213</v>
      </c>
      <c r="J1220" s="150">
        <v>66270</v>
      </c>
      <c r="K1220" s="150">
        <v>292162362</v>
      </c>
      <c r="L1220" s="152"/>
      <c r="M1220" s="152">
        <f t="shared" si="19"/>
        <v>0</v>
      </c>
      <c r="N1220" s="148"/>
      <c r="O1220" s="150">
        <v>290174126</v>
      </c>
      <c r="P1220" s="150">
        <v>7273288</v>
      </c>
      <c r="Q1220" s="154">
        <v>0.55</v>
      </c>
      <c r="R1220" s="154">
        <v>0.42</v>
      </c>
      <c r="S1220" s="154">
        <v>0.03</v>
      </c>
      <c r="T1220" s="148" t="s">
        <v>44</v>
      </c>
      <c r="U1220" s="154">
        <v>0.194</v>
      </c>
      <c r="V1220" s="154">
        <v>0.396</v>
      </c>
      <c r="W1220" s="154">
        <v>0.219</v>
      </c>
      <c r="X1220" s="154">
        <v>0.119</v>
      </c>
      <c r="Y1220" s="154">
        <v>0.072</v>
      </c>
      <c r="Z1220" s="148" t="s">
        <v>44</v>
      </c>
      <c r="AA1220" s="148" t="s">
        <v>45</v>
      </c>
    </row>
    <row r="1221" spans="1:27">
      <c r="A1221" s="147">
        <v>2576</v>
      </c>
      <c r="B1221" s="147" t="s">
        <v>66</v>
      </c>
      <c r="C1221" s="147" t="s">
        <v>53</v>
      </c>
      <c r="D1221" s="148" t="s">
        <v>53</v>
      </c>
      <c r="E1221" s="148" t="s">
        <v>30</v>
      </c>
      <c r="F1221" s="149">
        <v>2026</v>
      </c>
      <c r="G1221" s="148" t="s">
        <v>39</v>
      </c>
      <c r="H1221" s="148"/>
      <c r="I1221" s="148"/>
      <c r="J1221" s="148"/>
      <c r="K1221" s="148"/>
      <c r="L1221" s="152"/>
      <c r="M1221" s="152">
        <f t="shared" si="19"/>
        <v>0</v>
      </c>
      <c r="N1221" s="148"/>
      <c r="O1221" s="148"/>
      <c r="P1221" s="148"/>
      <c r="Q1221" s="148"/>
      <c r="R1221" s="148"/>
      <c r="S1221" s="148"/>
      <c r="T1221" s="148"/>
      <c r="U1221" s="148"/>
      <c r="V1221" s="148"/>
      <c r="W1221" s="148"/>
      <c r="X1221" s="148"/>
      <c r="Y1221" s="148"/>
      <c r="Z1221" s="148"/>
      <c r="AA1221" s="148"/>
    </row>
    <row r="1222" spans="1:27">
      <c r="A1222" s="147">
        <v>2577</v>
      </c>
      <c r="B1222" s="147" t="s">
        <v>66</v>
      </c>
      <c r="C1222" s="147" t="s">
        <v>53</v>
      </c>
      <c r="D1222" s="148" t="s">
        <v>53</v>
      </c>
      <c r="E1222" s="148" t="s">
        <v>30</v>
      </c>
      <c r="F1222" s="149">
        <v>2026</v>
      </c>
      <c r="G1222" s="148" t="s">
        <v>40</v>
      </c>
      <c r="H1222" s="148"/>
      <c r="I1222" s="148"/>
      <c r="J1222" s="148"/>
      <c r="K1222" s="148"/>
      <c r="L1222" s="152"/>
      <c r="M1222" s="152">
        <f t="shared" si="19"/>
        <v>0</v>
      </c>
      <c r="N1222" s="148"/>
      <c r="O1222" s="148"/>
      <c r="P1222" s="148"/>
      <c r="Q1222" s="148"/>
      <c r="R1222" s="148"/>
      <c r="S1222" s="148"/>
      <c r="T1222" s="148"/>
      <c r="U1222" s="148"/>
      <c r="V1222" s="148"/>
      <c r="W1222" s="148"/>
      <c r="X1222" s="148"/>
      <c r="Y1222" s="148"/>
      <c r="Z1222" s="148"/>
      <c r="AA1222" s="148"/>
    </row>
    <row r="1223" spans="1:27">
      <c r="A1223" s="147">
        <v>2578</v>
      </c>
      <c r="B1223" s="147" t="s">
        <v>66</v>
      </c>
      <c r="C1223" s="147" t="s">
        <v>53</v>
      </c>
      <c r="D1223" s="148" t="s">
        <v>53</v>
      </c>
      <c r="E1223" s="148" t="s">
        <v>30</v>
      </c>
      <c r="F1223" s="149">
        <v>2026</v>
      </c>
      <c r="G1223" s="148" t="s">
        <v>41</v>
      </c>
      <c r="H1223" s="148"/>
      <c r="I1223" s="148"/>
      <c r="J1223" s="148"/>
      <c r="K1223" s="148"/>
      <c r="L1223" s="152"/>
      <c r="M1223" s="152">
        <f t="shared" si="19"/>
        <v>0</v>
      </c>
      <c r="N1223" s="148"/>
      <c r="O1223" s="148"/>
      <c r="P1223" s="148"/>
      <c r="Q1223" s="148"/>
      <c r="R1223" s="148"/>
      <c r="S1223" s="148"/>
      <c r="T1223" s="148"/>
      <c r="U1223" s="148"/>
      <c r="V1223" s="148"/>
      <c r="W1223" s="148"/>
      <c r="X1223" s="148"/>
      <c r="Y1223" s="148"/>
      <c r="Z1223" s="148"/>
      <c r="AA1223" s="148"/>
    </row>
    <row r="1224" spans="1:27">
      <c r="A1224" s="147">
        <v>2579</v>
      </c>
      <c r="B1224" s="147" t="s">
        <v>66</v>
      </c>
      <c r="C1224" s="147" t="s">
        <v>53</v>
      </c>
      <c r="D1224" s="148" t="s">
        <v>53</v>
      </c>
      <c r="E1224" s="148" t="s">
        <v>30</v>
      </c>
      <c r="F1224" s="149">
        <v>2026</v>
      </c>
      <c r="G1224" s="148" t="s">
        <v>42</v>
      </c>
      <c r="H1224" s="148"/>
      <c r="I1224" s="148"/>
      <c r="J1224" s="148"/>
      <c r="K1224" s="148"/>
      <c r="L1224" s="152"/>
      <c r="M1224" s="152">
        <f t="shared" si="19"/>
        <v>0</v>
      </c>
      <c r="N1224" s="148"/>
      <c r="O1224" s="148"/>
      <c r="P1224" s="148"/>
      <c r="Q1224" s="148"/>
      <c r="R1224" s="148"/>
      <c r="S1224" s="148"/>
      <c r="T1224" s="148"/>
      <c r="U1224" s="148"/>
      <c r="V1224" s="148"/>
      <c r="W1224" s="148"/>
      <c r="X1224" s="148"/>
      <c r="Y1224" s="148"/>
      <c r="Z1224" s="148"/>
      <c r="AA1224" s="148"/>
    </row>
    <row r="1225" spans="1:27">
      <c r="A1225" s="147">
        <v>2580</v>
      </c>
      <c r="B1225" s="147" t="s">
        <v>66</v>
      </c>
      <c r="C1225" s="147" t="s">
        <v>53</v>
      </c>
      <c r="D1225" s="148" t="s">
        <v>53</v>
      </c>
      <c r="E1225" s="148" t="s">
        <v>30</v>
      </c>
      <c r="F1225" s="149">
        <v>2026</v>
      </c>
      <c r="G1225" s="148" t="s">
        <v>43</v>
      </c>
      <c r="H1225" s="148"/>
      <c r="I1225" s="148"/>
      <c r="J1225" s="148"/>
      <c r="K1225" s="148"/>
      <c r="L1225" s="152"/>
      <c r="M1225" s="152">
        <f t="shared" si="19"/>
        <v>0</v>
      </c>
      <c r="N1225" s="148"/>
      <c r="O1225" s="148"/>
      <c r="P1225" s="148"/>
      <c r="Q1225" s="148"/>
      <c r="R1225" s="148"/>
      <c r="S1225" s="148"/>
      <c r="T1225" s="148"/>
      <c r="U1225" s="148"/>
      <c r="V1225" s="148"/>
      <c r="W1225" s="148"/>
      <c r="X1225" s="148"/>
      <c r="Y1225" s="148"/>
      <c r="Z1225" s="148"/>
      <c r="AA1225" s="148"/>
    </row>
    <row r="1226" spans="1:27">
      <c r="A1226" s="147">
        <v>2593</v>
      </c>
      <c r="B1226" s="147" t="s">
        <v>66</v>
      </c>
      <c r="C1226" s="147" t="s">
        <v>53</v>
      </c>
      <c r="D1226" s="148" t="s">
        <v>56</v>
      </c>
      <c r="E1226" s="148" t="s">
        <v>30</v>
      </c>
      <c r="F1226" s="149">
        <v>2024</v>
      </c>
      <c r="G1226" s="148" t="s">
        <v>31</v>
      </c>
      <c r="H1226" s="148"/>
      <c r="I1226" s="149" t="s">
        <v>44</v>
      </c>
      <c r="J1226" s="149" t="s">
        <v>48</v>
      </c>
      <c r="K1226" s="148"/>
      <c r="L1226" s="152"/>
      <c r="M1226" s="152">
        <f t="shared" si="19"/>
        <v>0</v>
      </c>
      <c r="N1226" s="148"/>
      <c r="O1226" s="148"/>
      <c r="P1226" s="148"/>
      <c r="Q1226" s="148"/>
      <c r="R1226" s="148"/>
      <c r="S1226" s="148"/>
      <c r="T1226" s="148"/>
      <c r="U1226" s="148"/>
      <c r="V1226" s="148"/>
      <c r="W1226" s="148"/>
      <c r="X1226" s="148"/>
      <c r="Y1226" s="148"/>
      <c r="Z1226" s="148"/>
      <c r="AA1226" s="148"/>
    </row>
    <row r="1227" spans="1:27">
      <c r="A1227" s="147">
        <v>2594</v>
      </c>
      <c r="B1227" s="147" t="s">
        <v>66</v>
      </c>
      <c r="C1227" s="147" t="s">
        <v>53</v>
      </c>
      <c r="D1227" s="148" t="s">
        <v>56</v>
      </c>
      <c r="E1227" s="148" t="s">
        <v>30</v>
      </c>
      <c r="F1227" s="149">
        <v>2024</v>
      </c>
      <c r="G1227" s="148" t="s">
        <v>33</v>
      </c>
      <c r="H1227" s="148"/>
      <c r="I1227" s="149" t="s">
        <v>44</v>
      </c>
      <c r="J1227" s="149" t="s">
        <v>48</v>
      </c>
      <c r="K1227" s="148"/>
      <c r="L1227" s="152"/>
      <c r="M1227" s="152">
        <f t="shared" si="19"/>
        <v>0</v>
      </c>
      <c r="N1227" s="148"/>
      <c r="O1227" s="148"/>
      <c r="P1227" s="148"/>
      <c r="Q1227" s="148"/>
      <c r="R1227" s="148"/>
      <c r="S1227" s="148"/>
      <c r="T1227" s="148"/>
      <c r="U1227" s="148"/>
      <c r="V1227" s="148"/>
      <c r="W1227" s="148"/>
      <c r="X1227" s="148"/>
      <c r="Y1227" s="148"/>
      <c r="Z1227" s="148"/>
      <c r="AA1227" s="148"/>
    </row>
    <row r="1228" spans="1:27">
      <c r="A1228" s="147">
        <v>2595</v>
      </c>
      <c r="B1228" s="147" t="s">
        <v>66</v>
      </c>
      <c r="C1228" s="147" t="s">
        <v>53</v>
      </c>
      <c r="D1228" s="148" t="s">
        <v>56</v>
      </c>
      <c r="E1228" s="148" t="s">
        <v>30</v>
      </c>
      <c r="F1228" s="149">
        <v>2024</v>
      </c>
      <c r="G1228" s="148" t="s">
        <v>34</v>
      </c>
      <c r="H1228" s="148"/>
      <c r="I1228" s="149" t="s">
        <v>44</v>
      </c>
      <c r="J1228" s="149" t="s">
        <v>48</v>
      </c>
      <c r="K1228" s="148"/>
      <c r="L1228" s="152"/>
      <c r="M1228" s="152">
        <f t="shared" si="19"/>
        <v>0</v>
      </c>
      <c r="N1228" s="148"/>
      <c r="O1228" s="148"/>
      <c r="P1228" s="148"/>
      <c r="Q1228" s="148"/>
      <c r="R1228" s="148"/>
      <c r="S1228" s="148"/>
      <c r="T1228" s="148"/>
      <c r="U1228" s="148"/>
      <c r="V1228" s="148"/>
      <c r="W1228" s="148"/>
      <c r="X1228" s="148"/>
      <c r="Y1228" s="148"/>
      <c r="Z1228" s="148"/>
      <c r="AA1228" s="148"/>
    </row>
    <row r="1229" spans="1:27">
      <c r="A1229" s="147">
        <v>2596</v>
      </c>
      <c r="B1229" s="147" t="s">
        <v>66</v>
      </c>
      <c r="C1229" s="147" t="s">
        <v>53</v>
      </c>
      <c r="D1229" s="148" t="s">
        <v>56</v>
      </c>
      <c r="E1229" s="148" t="s">
        <v>30</v>
      </c>
      <c r="F1229" s="149">
        <v>2024</v>
      </c>
      <c r="G1229" s="148" t="s">
        <v>35</v>
      </c>
      <c r="H1229" s="148"/>
      <c r="I1229" s="149" t="s">
        <v>44</v>
      </c>
      <c r="J1229" s="149" t="s">
        <v>48</v>
      </c>
      <c r="K1229" s="148"/>
      <c r="L1229" s="152"/>
      <c r="M1229" s="152">
        <f t="shared" si="19"/>
        <v>0</v>
      </c>
      <c r="N1229" s="148"/>
      <c r="O1229" s="148"/>
      <c r="P1229" s="148"/>
      <c r="Q1229" s="148"/>
      <c r="R1229" s="148"/>
      <c r="S1229" s="148"/>
      <c r="T1229" s="148"/>
      <c r="U1229" s="148"/>
      <c r="V1229" s="148"/>
      <c r="W1229" s="148"/>
      <c r="X1229" s="148"/>
      <c r="Y1229" s="148"/>
      <c r="Z1229" s="148"/>
      <c r="AA1229" s="148"/>
    </row>
    <row r="1230" spans="1:27">
      <c r="A1230" s="147">
        <v>2597</v>
      </c>
      <c r="B1230" s="147" t="s">
        <v>66</v>
      </c>
      <c r="C1230" s="147" t="s">
        <v>53</v>
      </c>
      <c r="D1230" s="148" t="s">
        <v>56</v>
      </c>
      <c r="E1230" s="148" t="s">
        <v>30</v>
      </c>
      <c r="F1230" s="149">
        <v>2024</v>
      </c>
      <c r="G1230" s="148" t="s">
        <v>36</v>
      </c>
      <c r="H1230" s="148"/>
      <c r="I1230" s="149" t="s">
        <v>44</v>
      </c>
      <c r="J1230" s="149" t="s">
        <v>48</v>
      </c>
      <c r="K1230" s="148"/>
      <c r="L1230" s="152"/>
      <c r="M1230" s="152">
        <f t="shared" si="19"/>
        <v>0</v>
      </c>
      <c r="N1230" s="148"/>
      <c r="O1230" s="148"/>
      <c r="P1230" s="148"/>
      <c r="Q1230" s="148"/>
      <c r="R1230" s="148"/>
      <c r="S1230" s="148"/>
      <c r="T1230" s="148"/>
      <c r="U1230" s="148"/>
      <c r="V1230" s="148"/>
      <c r="W1230" s="148"/>
      <c r="X1230" s="148"/>
      <c r="Y1230" s="148"/>
      <c r="Z1230" s="148"/>
      <c r="AA1230" s="148"/>
    </row>
    <row r="1231" spans="1:27">
      <c r="A1231" s="147">
        <v>2598</v>
      </c>
      <c r="B1231" s="147" t="s">
        <v>66</v>
      </c>
      <c r="C1231" s="147" t="s">
        <v>53</v>
      </c>
      <c r="D1231" s="148" t="s">
        <v>56</v>
      </c>
      <c r="E1231" s="148" t="s">
        <v>30</v>
      </c>
      <c r="F1231" s="149">
        <v>2024</v>
      </c>
      <c r="G1231" s="148" t="s">
        <v>37</v>
      </c>
      <c r="H1231" s="148"/>
      <c r="I1231" s="149" t="s">
        <v>44</v>
      </c>
      <c r="J1231" s="149" t="s">
        <v>48</v>
      </c>
      <c r="K1231" s="148"/>
      <c r="L1231" s="152"/>
      <c r="M1231" s="152">
        <f t="shared" si="19"/>
        <v>0</v>
      </c>
      <c r="N1231" s="148"/>
      <c r="O1231" s="148"/>
      <c r="P1231" s="148"/>
      <c r="Q1231" s="148"/>
      <c r="R1231" s="148"/>
      <c r="S1231" s="148"/>
      <c r="T1231" s="148"/>
      <c r="U1231" s="148"/>
      <c r="V1231" s="148"/>
      <c r="W1231" s="148"/>
      <c r="X1231" s="148"/>
      <c r="Y1231" s="148"/>
      <c r="Z1231" s="148"/>
      <c r="AA1231" s="148"/>
    </row>
    <row r="1232" spans="1:27">
      <c r="A1232" s="147">
        <v>2599</v>
      </c>
      <c r="B1232" s="147" t="s">
        <v>66</v>
      </c>
      <c r="C1232" s="147" t="s">
        <v>53</v>
      </c>
      <c r="D1232" s="148" t="s">
        <v>56</v>
      </c>
      <c r="E1232" s="148" t="s">
        <v>30</v>
      </c>
      <c r="F1232" s="149">
        <v>2024</v>
      </c>
      <c r="G1232" s="148" t="s">
        <v>38</v>
      </c>
      <c r="H1232" s="148"/>
      <c r="I1232" s="150">
        <v>83593</v>
      </c>
      <c r="J1232" s="149" t="s">
        <v>48</v>
      </c>
      <c r="K1232" s="148"/>
      <c r="L1232" s="152"/>
      <c r="M1232" s="152">
        <f t="shared" si="19"/>
        <v>0</v>
      </c>
      <c r="N1232" s="148"/>
      <c r="O1232" s="148"/>
      <c r="P1232" s="148"/>
      <c r="Q1232" s="148"/>
      <c r="R1232" s="148"/>
      <c r="S1232" s="148"/>
      <c r="T1232" s="148"/>
      <c r="U1232" s="148"/>
      <c r="V1232" s="148"/>
      <c r="W1232" s="148"/>
      <c r="X1232" s="148"/>
      <c r="Y1232" s="148"/>
      <c r="Z1232" s="148"/>
      <c r="AA1232" s="148"/>
    </row>
    <row r="1233" spans="1:27">
      <c r="A1233" s="147">
        <v>2600</v>
      </c>
      <c r="B1233" s="147" t="s">
        <v>66</v>
      </c>
      <c r="C1233" s="147" t="s">
        <v>53</v>
      </c>
      <c r="D1233" s="148" t="s">
        <v>56</v>
      </c>
      <c r="E1233" s="148" t="s">
        <v>30</v>
      </c>
      <c r="F1233" s="149">
        <v>2024</v>
      </c>
      <c r="G1233" s="148" t="s">
        <v>39</v>
      </c>
      <c r="H1233" s="148"/>
      <c r="I1233" s="150">
        <v>83790</v>
      </c>
      <c r="J1233" s="149">
        <v>197</v>
      </c>
      <c r="K1233" s="148"/>
      <c r="L1233" s="152"/>
      <c r="M1233" s="152">
        <f t="shared" si="19"/>
        <v>0</v>
      </c>
      <c r="N1233" s="148"/>
      <c r="O1233" s="148"/>
      <c r="P1233" s="148"/>
      <c r="Q1233" s="148"/>
      <c r="R1233" s="148"/>
      <c r="S1233" s="148"/>
      <c r="T1233" s="148"/>
      <c r="U1233" s="148"/>
      <c r="V1233" s="148"/>
      <c r="W1233" s="148"/>
      <c r="X1233" s="148"/>
      <c r="Y1233" s="148"/>
      <c r="Z1233" s="148"/>
      <c r="AA1233" s="148"/>
    </row>
    <row r="1234" spans="1:27">
      <c r="A1234" s="147">
        <v>2601</v>
      </c>
      <c r="B1234" s="147" t="s">
        <v>66</v>
      </c>
      <c r="C1234" s="147" t="s">
        <v>53</v>
      </c>
      <c r="D1234" s="148" t="s">
        <v>56</v>
      </c>
      <c r="E1234" s="148" t="s">
        <v>30</v>
      </c>
      <c r="F1234" s="149">
        <v>2024</v>
      </c>
      <c r="G1234" s="148" t="s">
        <v>40</v>
      </c>
      <c r="H1234" s="148"/>
      <c r="I1234" s="150">
        <v>83986</v>
      </c>
      <c r="J1234" s="149">
        <v>196</v>
      </c>
      <c r="K1234" s="148"/>
      <c r="L1234" s="152"/>
      <c r="M1234" s="152">
        <f t="shared" si="19"/>
        <v>0</v>
      </c>
      <c r="N1234" s="148"/>
      <c r="O1234" s="148"/>
      <c r="P1234" s="148"/>
      <c r="Q1234" s="148"/>
      <c r="R1234" s="148"/>
      <c r="S1234" s="148"/>
      <c r="T1234" s="148"/>
      <c r="U1234" s="148"/>
      <c r="V1234" s="148"/>
      <c r="W1234" s="148"/>
      <c r="X1234" s="148"/>
      <c r="Y1234" s="148"/>
      <c r="Z1234" s="148"/>
      <c r="AA1234" s="148"/>
    </row>
    <row r="1235" spans="1:27">
      <c r="A1235" s="147">
        <v>2602</v>
      </c>
      <c r="B1235" s="147" t="s">
        <v>66</v>
      </c>
      <c r="C1235" s="147" t="s">
        <v>53</v>
      </c>
      <c r="D1235" s="148" t="s">
        <v>56</v>
      </c>
      <c r="E1235" s="148" t="s">
        <v>30</v>
      </c>
      <c r="F1235" s="149">
        <v>2024</v>
      </c>
      <c r="G1235" s="148" t="s">
        <v>41</v>
      </c>
      <c r="H1235" s="148"/>
      <c r="I1235" s="150">
        <v>85230</v>
      </c>
      <c r="J1235" s="150">
        <v>1244</v>
      </c>
      <c r="K1235" s="148"/>
      <c r="L1235" s="152"/>
      <c r="M1235" s="152">
        <f t="shared" si="19"/>
        <v>0</v>
      </c>
      <c r="N1235" s="148"/>
      <c r="O1235" s="148"/>
      <c r="P1235" s="148"/>
      <c r="Q1235" s="148"/>
      <c r="R1235" s="148"/>
      <c r="S1235" s="148"/>
      <c r="T1235" s="148"/>
      <c r="U1235" s="148"/>
      <c r="V1235" s="148"/>
      <c r="W1235" s="148"/>
      <c r="X1235" s="148"/>
      <c r="Y1235" s="148"/>
      <c r="Z1235" s="148"/>
      <c r="AA1235" s="148"/>
    </row>
    <row r="1236" spans="1:27">
      <c r="A1236" s="147">
        <v>2603</v>
      </c>
      <c r="B1236" s="147" t="s">
        <v>66</v>
      </c>
      <c r="C1236" s="147" t="s">
        <v>53</v>
      </c>
      <c r="D1236" s="148" t="s">
        <v>56</v>
      </c>
      <c r="E1236" s="148" t="s">
        <v>30</v>
      </c>
      <c r="F1236" s="149">
        <v>2024</v>
      </c>
      <c r="G1236" s="148" t="s">
        <v>42</v>
      </c>
      <c r="H1236" s="148"/>
      <c r="I1236" s="150">
        <v>85551</v>
      </c>
      <c r="J1236" s="149">
        <v>321</v>
      </c>
      <c r="K1236" s="148"/>
      <c r="L1236" s="152"/>
      <c r="M1236" s="152">
        <f t="shared" si="19"/>
        <v>0</v>
      </c>
      <c r="N1236" s="148"/>
      <c r="O1236" s="148"/>
      <c r="P1236" s="148"/>
      <c r="Q1236" s="148"/>
      <c r="R1236" s="148"/>
      <c r="S1236" s="148"/>
      <c r="T1236" s="148"/>
      <c r="U1236" s="148"/>
      <c r="V1236" s="148"/>
      <c r="W1236" s="148"/>
      <c r="X1236" s="148"/>
      <c r="Y1236" s="148"/>
      <c r="Z1236" s="148"/>
      <c r="AA1236" s="148"/>
    </row>
    <row r="1237" spans="1:27">
      <c r="A1237" s="147">
        <v>2604</v>
      </c>
      <c r="B1237" s="147" t="s">
        <v>66</v>
      </c>
      <c r="C1237" s="147" t="s">
        <v>53</v>
      </c>
      <c r="D1237" s="148" t="s">
        <v>56</v>
      </c>
      <c r="E1237" s="148" t="s">
        <v>30</v>
      </c>
      <c r="F1237" s="149">
        <v>2024</v>
      </c>
      <c r="G1237" s="148" t="s">
        <v>43</v>
      </c>
      <c r="H1237" s="148"/>
      <c r="I1237" s="150">
        <v>87058</v>
      </c>
      <c r="J1237" s="150">
        <v>1507</v>
      </c>
      <c r="K1237" s="148"/>
      <c r="L1237" s="152"/>
      <c r="M1237" s="152">
        <f t="shared" si="19"/>
        <v>0</v>
      </c>
      <c r="N1237" s="148"/>
      <c r="O1237" s="148"/>
      <c r="P1237" s="148"/>
      <c r="Q1237" s="148"/>
      <c r="R1237" s="148"/>
      <c r="S1237" s="148"/>
      <c r="T1237" s="148"/>
      <c r="U1237" s="148"/>
      <c r="V1237" s="148"/>
      <c r="W1237" s="148"/>
      <c r="X1237" s="148"/>
      <c r="Y1237" s="148"/>
      <c r="Z1237" s="148"/>
      <c r="AA1237" s="148"/>
    </row>
    <row r="1238" spans="1:27">
      <c r="A1238" s="147">
        <v>2605</v>
      </c>
      <c r="B1238" s="147" t="s">
        <v>66</v>
      </c>
      <c r="C1238" s="147" t="s">
        <v>53</v>
      </c>
      <c r="D1238" s="148" t="s">
        <v>56</v>
      </c>
      <c r="E1238" s="148" t="s">
        <v>30</v>
      </c>
      <c r="F1238" s="149">
        <v>2025</v>
      </c>
      <c r="G1238" s="148" t="s">
        <v>31</v>
      </c>
      <c r="H1238" s="148"/>
      <c r="I1238" s="150">
        <v>87508</v>
      </c>
      <c r="J1238" s="149">
        <v>450</v>
      </c>
      <c r="K1238" s="148"/>
      <c r="L1238" s="152"/>
      <c r="M1238" s="152">
        <f t="shared" si="19"/>
        <v>0</v>
      </c>
      <c r="N1238" s="148"/>
      <c r="O1238" s="148"/>
      <c r="P1238" s="148"/>
      <c r="Q1238" s="148"/>
      <c r="R1238" s="148"/>
      <c r="S1238" s="148"/>
      <c r="T1238" s="148"/>
      <c r="U1238" s="148"/>
      <c r="V1238" s="148"/>
      <c r="W1238" s="148"/>
      <c r="X1238" s="148"/>
      <c r="Y1238" s="148"/>
      <c r="Z1238" s="148"/>
      <c r="AA1238" s="148"/>
    </row>
    <row r="1239" spans="1:27">
      <c r="A1239" s="147">
        <v>2606</v>
      </c>
      <c r="B1239" s="147" t="s">
        <v>66</v>
      </c>
      <c r="C1239" s="147" t="s">
        <v>53</v>
      </c>
      <c r="D1239" s="148" t="s">
        <v>56</v>
      </c>
      <c r="E1239" s="148" t="s">
        <v>30</v>
      </c>
      <c r="F1239" s="149">
        <v>2025</v>
      </c>
      <c r="G1239" s="148" t="s">
        <v>33</v>
      </c>
      <c r="H1239" s="148"/>
      <c r="I1239" s="150">
        <v>87941</v>
      </c>
      <c r="J1239" s="149">
        <v>433</v>
      </c>
      <c r="K1239" s="148"/>
      <c r="L1239" s="152"/>
      <c r="M1239" s="152">
        <f t="shared" si="19"/>
        <v>0</v>
      </c>
      <c r="N1239" s="148"/>
      <c r="O1239" s="148"/>
      <c r="P1239" s="148"/>
      <c r="Q1239" s="148"/>
      <c r="R1239" s="148"/>
      <c r="S1239" s="148"/>
      <c r="T1239" s="148"/>
      <c r="U1239" s="148"/>
      <c r="V1239" s="148"/>
      <c r="W1239" s="148"/>
      <c r="X1239" s="148"/>
      <c r="Y1239" s="148"/>
      <c r="Z1239" s="148"/>
      <c r="AA1239" s="148"/>
    </row>
    <row r="1240" spans="1:27">
      <c r="A1240" s="147">
        <v>2607</v>
      </c>
      <c r="B1240" s="147" t="s">
        <v>66</v>
      </c>
      <c r="C1240" s="147" t="s">
        <v>53</v>
      </c>
      <c r="D1240" s="148" t="s">
        <v>56</v>
      </c>
      <c r="E1240" s="148" t="s">
        <v>30</v>
      </c>
      <c r="F1240" s="149">
        <v>2025</v>
      </c>
      <c r="G1240" s="148" t="s">
        <v>34</v>
      </c>
      <c r="H1240" s="148"/>
      <c r="I1240" s="150">
        <v>88467</v>
      </c>
      <c r="J1240" s="149">
        <v>526</v>
      </c>
      <c r="K1240" s="148"/>
      <c r="L1240" s="152"/>
      <c r="M1240" s="152">
        <f t="shared" si="19"/>
        <v>0</v>
      </c>
      <c r="N1240" s="148"/>
      <c r="O1240" s="148"/>
      <c r="P1240" s="148"/>
      <c r="Q1240" s="148"/>
      <c r="R1240" s="148"/>
      <c r="S1240" s="148"/>
      <c r="T1240" s="148"/>
      <c r="U1240" s="148"/>
      <c r="V1240" s="148"/>
      <c r="W1240" s="148"/>
      <c r="X1240" s="148"/>
      <c r="Y1240" s="148"/>
      <c r="Z1240" s="148"/>
      <c r="AA1240" s="148"/>
    </row>
    <row r="1241" spans="1:27">
      <c r="A1241" s="147">
        <v>2608</v>
      </c>
      <c r="B1241" s="147" t="s">
        <v>66</v>
      </c>
      <c r="C1241" s="147" t="s">
        <v>53</v>
      </c>
      <c r="D1241" s="148" t="s">
        <v>56</v>
      </c>
      <c r="E1241" s="148" t="s">
        <v>30</v>
      </c>
      <c r="F1241" s="149">
        <v>2025</v>
      </c>
      <c r="G1241" s="148" t="s">
        <v>35</v>
      </c>
      <c r="H1241" s="148"/>
      <c r="I1241" s="150">
        <v>88655</v>
      </c>
      <c r="J1241" s="149">
        <v>188</v>
      </c>
      <c r="K1241" s="148"/>
      <c r="L1241" s="152"/>
      <c r="M1241" s="152">
        <f t="shared" si="19"/>
        <v>0</v>
      </c>
      <c r="N1241" s="148"/>
      <c r="O1241" s="148"/>
      <c r="P1241" s="148"/>
      <c r="Q1241" s="148"/>
      <c r="R1241" s="148"/>
      <c r="S1241" s="148"/>
      <c r="T1241" s="148"/>
      <c r="U1241" s="148"/>
      <c r="V1241" s="148"/>
      <c r="W1241" s="148"/>
      <c r="X1241" s="148"/>
      <c r="Y1241" s="148"/>
      <c r="Z1241" s="148"/>
      <c r="AA1241" s="148"/>
    </row>
    <row r="1242" spans="1:27">
      <c r="A1242" s="147">
        <v>2609</v>
      </c>
      <c r="B1242" s="147" t="s">
        <v>66</v>
      </c>
      <c r="C1242" s="147" t="s">
        <v>53</v>
      </c>
      <c r="D1242" s="148" t="s">
        <v>56</v>
      </c>
      <c r="E1242" s="148" t="s">
        <v>30</v>
      </c>
      <c r="F1242" s="149">
        <v>2025</v>
      </c>
      <c r="G1242" s="148" t="s">
        <v>36</v>
      </c>
      <c r="H1242" s="148"/>
      <c r="I1242" s="150">
        <v>88966</v>
      </c>
      <c r="J1242" s="149">
        <v>311</v>
      </c>
      <c r="K1242" s="148"/>
      <c r="L1242" s="152"/>
      <c r="M1242" s="152">
        <f t="shared" si="19"/>
        <v>0</v>
      </c>
      <c r="N1242" s="148"/>
      <c r="O1242" s="148"/>
      <c r="P1242" s="148"/>
      <c r="Q1242" s="148"/>
      <c r="R1242" s="148"/>
      <c r="S1242" s="148"/>
      <c r="T1242" s="148"/>
      <c r="U1242" s="148"/>
      <c r="V1242" s="148"/>
      <c r="W1242" s="148"/>
      <c r="X1242" s="148"/>
      <c r="Y1242" s="148"/>
      <c r="Z1242" s="148"/>
      <c r="AA1242" s="148"/>
    </row>
    <row r="1243" spans="1:27">
      <c r="A1243" s="147">
        <v>2610</v>
      </c>
      <c r="B1243" s="147" t="s">
        <v>66</v>
      </c>
      <c r="C1243" s="147" t="s">
        <v>53</v>
      </c>
      <c r="D1243" s="148" t="s">
        <v>56</v>
      </c>
      <c r="E1243" s="148" t="s">
        <v>30</v>
      </c>
      <c r="F1243" s="149">
        <v>2025</v>
      </c>
      <c r="G1243" s="148" t="s">
        <v>37</v>
      </c>
      <c r="H1243" s="148"/>
      <c r="I1243" s="150">
        <v>93247</v>
      </c>
      <c r="J1243" s="150">
        <v>4281</v>
      </c>
      <c r="K1243" s="150">
        <v>2844279</v>
      </c>
      <c r="L1243" s="152"/>
      <c r="M1243" s="152">
        <f t="shared" si="19"/>
        <v>0</v>
      </c>
      <c r="N1243" s="148"/>
      <c r="O1243" s="148"/>
      <c r="P1243" s="148"/>
      <c r="Q1243" s="148"/>
      <c r="R1243" s="148"/>
      <c r="S1243" s="148"/>
      <c r="T1243" s="148"/>
      <c r="U1243" s="148"/>
      <c r="V1243" s="148"/>
      <c r="W1243" s="148"/>
      <c r="X1243" s="148"/>
      <c r="Y1243" s="148"/>
      <c r="Z1243" s="148"/>
      <c r="AA1243" s="148"/>
    </row>
    <row r="1244" spans="1:27">
      <c r="A1244" s="147">
        <v>2611</v>
      </c>
      <c r="B1244" s="147" t="s">
        <v>66</v>
      </c>
      <c r="C1244" s="147" t="s">
        <v>53</v>
      </c>
      <c r="D1244" s="148" t="s">
        <v>56</v>
      </c>
      <c r="E1244" s="148" t="s">
        <v>30</v>
      </c>
      <c r="F1244" s="149">
        <v>2025</v>
      </c>
      <c r="G1244" s="148" t="s">
        <v>38</v>
      </c>
      <c r="H1244" s="148"/>
      <c r="I1244" s="150">
        <v>98897</v>
      </c>
      <c r="J1244" s="150">
        <v>4947</v>
      </c>
      <c r="K1244" s="150">
        <v>5196489</v>
      </c>
      <c r="L1244" s="152"/>
      <c r="M1244" s="152">
        <f t="shared" si="19"/>
        <v>0</v>
      </c>
      <c r="N1244" s="148"/>
      <c r="O1244" s="148"/>
      <c r="P1244" s="150">
        <v>102486</v>
      </c>
      <c r="Q1244" s="154">
        <v>0.33</v>
      </c>
      <c r="R1244" s="154">
        <v>0.66</v>
      </c>
      <c r="S1244" s="154">
        <v>0.01</v>
      </c>
      <c r="T1244" s="148" t="s">
        <v>44</v>
      </c>
      <c r="U1244" s="154">
        <v>0.235</v>
      </c>
      <c r="V1244" s="154">
        <v>0.418</v>
      </c>
      <c r="W1244" s="154">
        <v>0.21</v>
      </c>
      <c r="X1244" s="154">
        <v>0.095</v>
      </c>
      <c r="Y1244" s="154">
        <v>0.042</v>
      </c>
      <c r="Z1244" s="148" t="s">
        <v>44</v>
      </c>
      <c r="AA1244" s="148" t="s">
        <v>45</v>
      </c>
    </row>
    <row r="1245" spans="1:27">
      <c r="A1245" s="147">
        <v>2612</v>
      </c>
      <c r="B1245" s="147" t="s">
        <v>66</v>
      </c>
      <c r="C1245" s="147" t="s">
        <v>53</v>
      </c>
      <c r="D1245" s="148" t="s">
        <v>56</v>
      </c>
      <c r="E1245" s="148" t="s">
        <v>30</v>
      </c>
      <c r="F1245" s="149">
        <v>2025</v>
      </c>
      <c r="G1245" s="148" t="s">
        <v>39</v>
      </c>
      <c r="H1245" s="148"/>
      <c r="I1245" s="150">
        <v>111013</v>
      </c>
      <c r="J1245" s="150">
        <v>12459</v>
      </c>
      <c r="K1245" s="150">
        <v>12340340</v>
      </c>
      <c r="L1245" s="152"/>
      <c r="M1245" s="152">
        <f t="shared" si="19"/>
        <v>0</v>
      </c>
      <c r="N1245" s="148"/>
      <c r="O1245" s="148"/>
      <c r="P1245" s="150">
        <v>424474</v>
      </c>
      <c r="Q1245" s="154">
        <v>0.34</v>
      </c>
      <c r="R1245" s="154">
        <v>0.64</v>
      </c>
      <c r="S1245" s="154">
        <v>0.02</v>
      </c>
      <c r="T1245" s="148" t="s">
        <v>44</v>
      </c>
      <c r="U1245" s="154">
        <v>0.223</v>
      </c>
      <c r="V1245" s="154">
        <v>0.411</v>
      </c>
      <c r="W1245" s="154">
        <v>0.219</v>
      </c>
      <c r="X1245" s="154">
        <v>0.103</v>
      </c>
      <c r="Y1245" s="154">
        <v>0.044</v>
      </c>
      <c r="Z1245" s="148" t="s">
        <v>44</v>
      </c>
      <c r="AA1245" s="148" t="s">
        <v>45</v>
      </c>
    </row>
    <row r="1246" spans="1:27">
      <c r="A1246" s="147">
        <v>2613</v>
      </c>
      <c r="B1246" s="147" t="s">
        <v>66</v>
      </c>
      <c r="C1246" s="147" t="s">
        <v>53</v>
      </c>
      <c r="D1246" s="148" t="s">
        <v>56</v>
      </c>
      <c r="E1246" s="148" t="s">
        <v>30</v>
      </c>
      <c r="F1246" s="149">
        <v>2025</v>
      </c>
      <c r="G1246" s="148" t="s">
        <v>40</v>
      </c>
      <c r="H1246" s="148"/>
      <c r="I1246" s="150">
        <v>119289</v>
      </c>
      <c r="J1246" s="150">
        <v>8276</v>
      </c>
      <c r="K1246" s="150">
        <v>10942195</v>
      </c>
      <c r="L1246" s="152"/>
      <c r="M1246" s="152">
        <f t="shared" si="19"/>
        <v>0</v>
      </c>
      <c r="N1246" s="148"/>
      <c r="O1246" s="148"/>
      <c r="P1246" s="150">
        <v>254872</v>
      </c>
      <c r="Q1246" s="154">
        <v>0.35</v>
      </c>
      <c r="R1246" s="154">
        <v>0.63</v>
      </c>
      <c r="S1246" s="154">
        <v>0.02</v>
      </c>
      <c r="T1246" s="148" t="s">
        <v>44</v>
      </c>
      <c r="U1246" s="154">
        <v>0.216</v>
      </c>
      <c r="V1246" s="154">
        <v>0.408</v>
      </c>
      <c r="W1246" s="154">
        <v>0.224</v>
      </c>
      <c r="X1246" s="154">
        <v>0.106</v>
      </c>
      <c r="Y1246" s="154">
        <v>0.046</v>
      </c>
      <c r="Z1246" s="148" t="s">
        <v>44</v>
      </c>
      <c r="AA1246" s="148" t="s">
        <v>45</v>
      </c>
    </row>
    <row r="1247" spans="1:27">
      <c r="A1247" s="147">
        <v>2614</v>
      </c>
      <c r="B1247" s="147" t="s">
        <v>66</v>
      </c>
      <c r="C1247" s="147" t="s">
        <v>53</v>
      </c>
      <c r="D1247" s="148" t="s">
        <v>56</v>
      </c>
      <c r="E1247" s="148" t="s">
        <v>30</v>
      </c>
      <c r="F1247" s="149">
        <v>2025</v>
      </c>
      <c r="G1247" s="148" t="s">
        <v>41</v>
      </c>
      <c r="H1247" s="148"/>
      <c r="I1247" s="150">
        <v>124825</v>
      </c>
      <c r="J1247" s="150">
        <v>4867</v>
      </c>
      <c r="K1247" s="150">
        <v>8769737</v>
      </c>
      <c r="L1247" s="152"/>
      <c r="M1247" s="152">
        <f t="shared" si="19"/>
        <v>0</v>
      </c>
      <c r="N1247" s="148"/>
      <c r="O1247" s="148"/>
      <c r="P1247" s="150">
        <v>332162</v>
      </c>
      <c r="Q1247" s="154">
        <v>0.35</v>
      </c>
      <c r="R1247" s="154">
        <v>0.62</v>
      </c>
      <c r="S1247" s="154">
        <v>0.03</v>
      </c>
      <c r="T1247" s="148" t="s">
        <v>44</v>
      </c>
      <c r="U1247" s="154">
        <v>0.212</v>
      </c>
      <c r="V1247" s="154">
        <v>0.405</v>
      </c>
      <c r="W1247" s="154">
        <v>0.227</v>
      </c>
      <c r="X1247" s="154">
        <v>0.108</v>
      </c>
      <c r="Y1247" s="154">
        <v>0.048</v>
      </c>
      <c r="Z1247" s="148" t="s">
        <v>44</v>
      </c>
      <c r="AA1247" s="148" t="s">
        <v>45</v>
      </c>
    </row>
    <row r="1248" spans="1:27">
      <c r="A1248" s="147">
        <v>2615</v>
      </c>
      <c r="B1248" s="147" t="s">
        <v>66</v>
      </c>
      <c r="C1248" s="147" t="s">
        <v>53</v>
      </c>
      <c r="D1248" s="148" t="s">
        <v>56</v>
      </c>
      <c r="E1248" s="148" t="s">
        <v>30</v>
      </c>
      <c r="F1248" s="149">
        <v>2025</v>
      </c>
      <c r="G1248" s="148" t="s">
        <v>42</v>
      </c>
      <c r="H1248" s="148"/>
      <c r="I1248" s="150">
        <v>130023</v>
      </c>
      <c r="J1248" s="150">
        <v>4975</v>
      </c>
      <c r="K1248" s="150">
        <v>10863450</v>
      </c>
      <c r="L1248" s="152"/>
      <c r="M1248" s="152">
        <f t="shared" si="19"/>
        <v>0</v>
      </c>
      <c r="N1248" s="148"/>
      <c r="O1248" s="148"/>
      <c r="P1248" s="150">
        <v>347820</v>
      </c>
      <c r="Q1248" s="154">
        <v>0.35</v>
      </c>
      <c r="R1248" s="154">
        <v>0.62</v>
      </c>
      <c r="S1248" s="154">
        <v>0.03</v>
      </c>
      <c r="T1248" s="148" t="s">
        <v>44</v>
      </c>
      <c r="U1248" s="154">
        <v>0.209</v>
      </c>
      <c r="V1248" s="154">
        <v>0.404</v>
      </c>
      <c r="W1248" s="154">
        <v>0.228</v>
      </c>
      <c r="X1248" s="154">
        <v>0.11</v>
      </c>
      <c r="Y1248" s="154">
        <v>0.049</v>
      </c>
      <c r="Z1248" s="148" t="s">
        <v>44</v>
      </c>
      <c r="AA1248" s="148" t="s">
        <v>45</v>
      </c>
    </row>
    <row r="1249" spans="1:27">
      <c r="A1249" s="147">
        <v>2616</v>
      </c>
      <c r="B1249" s="147" t="s">
        <v>66</v>
      </c>
      <c r="C1249" s="147" t="s">
        <v>53</v>
      </c>
      <c r="D1249" s="148" t="s">
        <v>56</v>
      </c>
      <c r="E1249" s="148" t="s">
        <v>30</v>
      </c>
      <c r="F1249" s="149">
        <v>2025</v>
      </c>
      <c r="G1249" s="148" t="s">
        <v>43</v>
      </c>
      <c r="H1249" s="148"/>
      <c r="I1249" s="150">
        <v>132554</v>
      </c>
      <c r="J1249" s="150">
        <v>2531</v>
      </c>
      <c r="K1249" s="150">
        <v>5691646</v>
      </c>
      <c r="L1249" s="152"/>
      <c r="M1249" s="152">
        <f t="shared" si="19"/>
        <v>0</v>
      </c>
      <c r="N1249" s="148"/>
      <c r="O1249" s="148"/>
      <c r="P1249" s="150">
        <v>231216</v>
      </c>
      <c r="Q1249" s="154">
        <v>0.35</v>
      </c>
      <c r="R1249" s="154">
        <v>0.61</v>
      </c>
      <c r="S1249" s="154">
        <v>0.04</v>
      </c>
      <c r="T1249" s="148" t="s">
        <v>44</v>
      </c>
      <c r="U1249" s="154">
        <v>0.203</v>
      </c>
      <c r="V1249" s="154">
        <v>0.403</v>
      </c>
      <c r="W1249" s="154">
        <v>0.232</v>
      </c>
      <c r="X1249" s="154">
        <v>0.112</v>
      </c>
      <c r="Y1249" s="154">
        <v>0.05</v>
      </c>
      <c r="Z1249" s="148" t="s">
        <v>44</v>
      </c>
      <c r="AA1249" s="148" t="s">
        <v>45</v>
      </c>
    </row>
    <row r="1250" spans="1:27">
      <c r="A1250" s="147">
        <v>2617</v>
      </c>
      <c r="B1250" s="147" t="s">
        <v>66</v>
      </c>
      <c r="C1250" s="147" t="s">
        <v>53</v>
      </c>
      <c r="D1250" s="148" t="s">
        <v>56</v>
      </c>
      <c r="E1250" s="148" t="s">
        <v>30</v>
      </c>
      <c r="F1250" s="149">
        <v>2026</v>
      </c>
      <c r="G1250" s="148" t="s">
        <v>31</v>
      </c>
      <c r="H1250" s="148"/>
      <c r="I1250" s="150">
        <v>134771</v>
      </c>
      <c r="J1250" s="150">
        <v>2217</v>
      </c>
      <c r="K1250" s="150">
        <v>3354094</v>
      </c>
      <c r="L1250" s="152"/>
      <c r="M1250" s="152">
        <f t="shared" si="19"/>
        <v>0</v>
      </c>
      <c r="N1250" s="148"/>
      <c r="O1250" s="148"/>
      <c r="P1250" s="150">
        <v>78936</v>
      </c>
      <c r="Q1250" s="154">
        <v>0.38</v>
      </c>
      <c r="R1250" s="154">
        <v>0.61</v>
      </c>
      <c r="S1250" s="154">
        <v>0.01</v>
      </c>
      <c r="T1250" s="148" t="s">
        <v>44</v>
      </c>
      <c r="U1250" s="154">
        <v>0.199</v>
      </c>
      <c r="V1250" s="154">
        <v>0.402</v>
      </c>
      <c r="W1250" s="154">
        <v>0.234</v>
      </c>
      <c r="X1250" s="154">
        <v>0.114</v>
      </c>
      <c r="Y1250" s="154">
        <v>0.051</v>
      </c>
      <c r="Z1250" s="148" t="s">
        <v>44</v>
      </c>
      <c r="AA1250" s="148" t="s">
        <v>45</v>
      </c>
    </row>
    <row r="1251" spans="1:27">
      <c r="A1251" s="147">
        <v>2618</v>
      </c>
      <c r="B1251" s="147" t="s">
        <v>66</v>
      </c>
      <c r="C1251" s="147" t="s">
        <v>53</v>
      </c>
      <c r="D1251" s="148" t="s">
        <v>56</v>
      </c>
      <c r="E1251" s="148" t="s">
        <v>30</v>
      </c>
      <c r="F1251" s="149">
        <v>2026</v>
      </c>
      <c r="G1251" s="148" t="s">
        <v>33</v>
      </c>
      <c r="H1251" s="148"/>
      <c r="I1251" s="150">
        <v>138388</v>
      </c>
      <c r="J1251" s="150">
        <v>3617</v>
      </c>
      <c r="K1251" s="150">
        <v>3511685</v>
      </c>
      <c r="L1251" s="152"/>
      <c r="M1251" s="152">
        <f t="shared" si="19"/>
        <v>0</v>
      </c>
      <c r="N1251" s="148"/>
      <c r="O1251" s="148"/>
      <c r="P1251" s="150">
        <v>153728</v>
      </c>
      <c r="Q1251" s="154">
        <v>0.38</v>
      </c>
      <c r="R1251" s="154">
        <v>0.61</v>
      </c>
      <c r="S1251" s="154">
        <v>0.01</v>
      </c>
      <c r="T1251" s="148" t="s">
        <v>44</v>
      </c>
      <c r="U1251" s="154">
        <v>0.198</v>
      </c>
      <c r="V1251" s="154">
        <v>0.4</v>
      </c>
      <c r="W1251" s="154">
        <v>0.235</v>
      </c>
      <c r="X1251" s="154">
        <v>0.115</v>
      </c>
      <c r="Y1251" s="154">
        <v>0.052</v>
      </c>
      <c r="Z1251" s="148" t="s">
        <v>44</v>
      </c>
      <c r="AA1251" s="148" t="s">
        <v>45</v>
      </c>
    </row>
    <row r="1252" spans="1:27">
      <c r="A1252" s="147">
        <v>2619</v>
      </c>
      <c r="B1252" s="147" t="s">
        <v>66</v>
      </c>
      <c r="C1252" s="147" t="s">
        <v>53</v>
      </c>
      <c r="D1252" s="148" t="s">
        <v>56</v>
      </c>
      <c r="E1252" s="148" t="s">
        <v>30</v>
      </c>
      <c r="F1252" s="149">
        <v>2026</v>
      </c>
      <c r="G1252" s="148" t="s">
        <v>34</v>
      </c>
      <c r="H1252" s="148"/>
      <c r="I1252" s="150">
        <v>142314</v>
      </c>
      <c r="J1252" s="150">
        <v>3926</v>
      </c>
      <c r="K1252" s="150">
        <v>7103174</v>
      </c>
      <c r="L1252" s="152"/>
      <c r="M1252" s="152">
        <f t="shared" si="19"/>
        <v>0</v>
      </c>
      <c r="N1252" s="148"/>
      <c r="O1252" s="148"/>
      <c r="P1252" s="150">
        <v>190750</v>
      </c>
      <c r="Q1252" s="154">
        <v>0.38</v>
      </c>
      <c r="R1252" s="154">
        <v>0.61</v>
      </c>
      <c r="S1252" s="154">
        <v>0.01</v>
      </c>
      <c r="T1252" s="148" t="s">
        <v>44</v>
      </c>
      <c r="U1252" s="154">
        <v>0.196</v>
      </c>
      <c r="V1252" s="154">
        <v>0.4</v>
      </c>
      <c r="W1252" s="154">
        <v>0.236</v>
      </c>
      <c r="X1252" s="154">
        <v>0.116</v>
      </c>
      <c r="Y1252" s="154">
        <v>0.052</v>
      </c>
      <c r="Z1252" s="148" t="s">
        <v>44</v>
      </c>
      <c r="AA1252" s="148" t="s">
        <v>45</v>
      </c>
    </row>
    <row r="1253" spans="1:27">
      <c r="A1253" s="147">
        <v>2620</v>
      </c>
      <c r="B1253" s="147" t="s">
        <v>66</v>
      </c>
      <c r="C1253" s="147" t="s">
        <v>53</v>
      </c>
      <c r="D1253" s="148" t="s">
        <v>56</v>
      </c>
      <c r="E1253" s="148" t="s">
        <v>30</v>
      </c>
      <c r="F1253" s="149">
        <v>2026</v>
      </c>
      <c r="G1253" s="148" t="s">
        <v>35</v>
      </c>
      <c r="H1253" s="148"/>
      <c r="I1253" s="150">
        <v>146813</v>
      </c>
      <c r="J1253" s="150">
        <v>4499</v>
      </c>
      <c r="K1253" s="150">
        <v>8743919</v>
      </c>
      <c r="L1253" s="152"/>
      <c r="M1253" s="152">
        <f t="shared" si="19"/>
        <v>0</v>
      </c>
      <c r="N1253" s="148"/>
      <c r="O1253" s="148"/>
      <c r="P1253" s="150">
        <v>342343</v>
      </c>
      <c r="Q1253" s="154">
        <v>0.39</v>
      </c>
      <c r="R1253" s="154">
        <v>0.6</v>
      </c>
      <c r="S1253" s="154">
        <v>0.01</v>
      </c>
      <c r="T1253" s="148" t="s">
        <v>44</v>
      </c>
      <c r="U1253" s="154">
        <v>0.192</v>
      </c>
      <c r="V1253" s="154">
        <v>0.398</v>
      </c>
      <c r="W1253" s="154">
        <v>0.238</v>
      </c>
      <c r="X1253" s="154">
        <v>0.118</v>
      </c>
      <c r="Y1253" s="154">
        <v>0.054</v>
      </c>
      <c r="Z1253" s="148" t="s">
        <v>44</v>
      </c>
      <c r="AA1253" s="148" t="s">
        <v>45</v>
      </c>
    </row>
    <row r="1254" spans="1:27">
      <c r="A1254" s="147">
        <v>2621</v>
      </c>
      <c r="B1254" s="147" t="s">
        <v>66</v>
      </c>
      <c r="C1254" s="147" t="s">
        <v>53</v>
      </c>
      <c r="D1254" s="148" t="s">
        <v>56</v>
      </c>
      <c r="E1254" s="148" t="s">
        <v>30</v>
      </c>
      <c r="F1254" s="149">
        <v>2026</v>
      </c>
      <c r="G1254" s="148" t="s">
        <v>36</v>
      </c>
      <c r="H1254" s="148"/>
      <c r="I1254" s="150">
        <v>148966</v>
      </c>
      <c r="J1254" s="150">
        <v>2153</v>
      </c>
      <c r="K1254" s="150">
        <v>4160393</v>
      </c>
      <c r="L1254" s="152"/>
      <c r="M1254" s="152">
        <f t="shared" si="19"/>
        <v>0</v>
      </c>
      <c r="N1254" s="148"/>
      <c r="O1254" s="148"/>
      <c r="P1254" s="150">
        <v>157513</v>
      </c>
      <c r="Q1254" s="154">
        <v>0.39</v>
      </c>
      <c r="R1254" s="154">
        <v>0.6</v>
      </c>
      <c r="S1254" s="154">
        <v>0.01</v>
      </c>
      <c r="T1254" s="148" t="s">
        <v>44</v>
      </c>
      <c r="U1254" s="154">
        <v>0.189</v>
      </c>
      <c r="V1254" s="154">
        <v>0.398</v>
      </c>
      <c r="W1254" s="154">
        <v>0.24</v>
      </c>
      <c r="X1254" s="154">
        <v>0.119</v>
      </c>
      <c r="Y1254" s="154">
        <v>0.054</v>
      </c>
      <c r="Z1254" s="148" t="s">
        <v>44</v>
      </c>
      <c r="AA1254" s="148" t="s">
        <v>45</v>
      </c>
    </row>
    <row r="1255" spans="1:27">
      <c r="A1255" s="147">
        <v>2622</v>
      </c>
      <c r="B1255" s="147" t="s">
        <v>66</v>
      </c>
      <c r="C1255" s="147" t="s">
        <v>53</v>
      </c>
      <c r="D1255" s="148" t="s">
        <v>56</v>
      </c>
      <c r="E1255" s="148" t="s">
        <v>30</v>
      </c>
      <c r="F1255" s="149">
        <v>2026</v>
      </c>
      <c r="G1255" s="148" t="s">
        <v>37</v>
      </c>
      <c r="H1255" s="148"/>
      <c r="I1255" s="150">
        <v>152154</v>
      </c>
      <c r="J1255" s="150">
        <v>3179</v>
      </c>
      <c r="K1255" s="150">
        <v>5861935</v>
      </c>
      <c r="L1255" s="152"/>
      <c r="M1255" s="152">
        <f t="shared" si="19"/>
        <v>0</v>
      </c>
      <c r="N1255" s="148"/>
      <c r="O1255" s="148"/>
      <c r="P1255" s="150">
        <v>157501</v>
      </c>
      <c r="Q1255" s="154">
        <v>0.43</v>
      </c>
      <c r="R1255" s="154">
        <v>0.56</v>
      </c>
      <c r="S1255" s="154">
        <v>0.01</v>
      </c>
      <c r="T1255" s="148" t="s">
        <v>44</v>
      </c>
      <c r="U1255" s="154">
        <v>0.185</v>
      </c>
      <c r="V1255" s="154">
        <v>0.397</v>
      </c>
      <c r="W1255" s="154">
        <v>0.243</v>
      </c>
      <c r="X1255" s="154">
        <v>0.12</v>
      </c>
      <c r="Y1255" s="154">
        <v>0.055</v>
      </c>
      <c r="Z1255" s="148" t="s">
        <v>44</v>
      </c>
      <c r="AA1255" s="148" t="s">
        <v>45</v>
      </c>
    </row>
    <row r="1256" spans="1:27">
      <c r="A1256" s="147">
        <v>2623</v>
      </c>
      <c r="B1256" s="147" t="s">
        <v>66</v>
      </c>
      <c r="C1256" s="147" t="s">
        <v>53</v>
      </c>
      <c r="D1256" s="148" t="s">
        <v>56</v>
      </c>
      <c r="E1256" s="148" t="s">
        <v>30</v>
      </c>
      <c r="F1256" s="149">
        <v>2026</v>
      </c>
      <c r="G1256" s="148" t="s">
        <v>38</v>
      </c>
      <c r="H1256" s="148"/>
      <c r="I1256" s="150">
        <v>155252</v>
      </c>
      <c r="J1256" s="150">
        <v>3098</v>
      </c>
      <c r="K1256" s="150">
        <v>2654277</v>
      </c>
      <c r="L1256" s="152"/>
      <c r="M1256" s="152">
        <f t="shared" si="19"/>
        <v>0</v>
      </c>
      <c r="N1256" s="148"/>
      <c r="O1256" s="148"/>
      <c r="P1256" s="150">
        <v>83110</v>
      </c>
      <c r="Q1256" s="154">
        <v>0.44</v>
      </c>
      <c r="R1256" s="154">
        <v>0.55</v>
      </c>
      <c r="S1256" s="154">
        <v>0.01</v>
      </c>
      <c r="T1256" s="148" t="s">
        <v>44</v>
      </c>
      <c r="U1256" s="154">
        <v>0.182</v>
      </c>
      <c r="V1256" s="154">
        <v>0.395</v>
      </c>
      <c r="W1256" s="154">
        <v>0.244</v>
      </c>
      <c r="X1256" s="154">
        <v>0.123</v>
      </c>
      <c r="Y1256" s="154">
        <v>0.056</v>
      </c>
      <c r="Z1256" s="148" t="s">
        <v>44</v>
      </c>
      <c r="AA1256" s="148" t="s">
        <v>45</v>
      </c>
    </row>
    <row r="1257" spans="1:27">
      <c r="A1257" s="147">
        <v>2624</v>
      </c>
      <c r="B1257" s="147" t="s">
        <v>66</v>
      </c>
      <c r="C1257" s="147" t="s">
        <v>53</v>
      </c>
      <c r="D1257" s="148" t="s">
        <v>56</v>
      </c>
      <c r="E1257" s="148" t="s">
        <v>30</v>
      </c>
      <c r="F1257" s="149">
        <v>2026</v>
      </c>
      <c r="G1257" s="148" t="s">
        <v>39</v>
      </c>
      <c r="H1257" s="148"/>
      <c r="I1257" s="148"/>
      <c r="J1257" s="148"/>
      <c r="K1257" s="148"/>
      <c r="L1257" s="152"/>
      <c r="M1257" s="152">
        <f t="shared" si="19"/>
        <v>0</v>
      </c>
      <c r="N1257" s="148"/>
      <c r="O1257" s="148"/>
      <c r="P1257" s="148"/>
      <c r="Q1257" s="148"/>
      <c r="R1257" s="148"/>
      <c r="S1257" s="148"/>
      <c r="T1257" s="148"/>
      <c r="U1257" s="148"/>
      <c r="V1257" s="148"/>
      <c r="W1257" s="148"/>
      <c r="X1257" s="148"/>
      <c r="Y1257" s="148"/>
      <c r="Z1257" s="148"/>
      <c r="AA1257" s="148"/>
    </row>
    <row r="1258" spans="1:27">
      <c r="A1258" s="147">
        <v>2625</v>
      </c>
      <c r="B1258" s="147" t="s">
        <v>66</v>
      </c>
      <c r="C1258" s="147" t="s">
        <v>53</v>
      </c>
      <c r="D1258" s="148" t="s">
        <v>56</v>
      </c>
      <c r="E1258" s="148" t="s">
        <v>30</v>
      </c>
      <c r="F1258" s="149">
        <v>2026</v>
      </c>
      <c r="G1258" s="148" t="s">
        <v>40</v>
      </c>
      <c r="H1258" s="148"/>
      <c r="I1258" s="148"/>
      <c r="J1258" s="148"/>
      <c r="K1258" s="148"/>
      <c r="L1258" s="152"/>
      <c r="M1258" s="152">
        <f t="shared" si="19"/>
        <v>0</v>
      </c>
      <c r="N1258" s="148"/>
      <c r="O1258" s="148"/>
      <c r="P1258" s="148"/>
      <c r="Q1258" s="148"/>
      <c r="R1258" s="148"/>
      <c r="S1258" s="148"/>
      <c r="T1258" s="148"/>
      <c r="U1258" s="148"/>
      <c r="V1258" s="148"/>
      <c r="W1258" s="148"/>
      <c r="X1258" s="148"/>
      <c r="Y1258" s="148"/>
      <c r="Z1258" s="148"/>
      <c r="AA1258" s="148"/>
    </row>
    <row r="1259" spans="1:27">
      <c r="A1259" s="147">
        <v>2626</v>
      </c>
      <c r="B1259" s="147" t="s">
        <v>66</v>
      </c>
      <c r="C1259" s="147" t="s">
        <v>53</v>
      </c>
      <c r="D1259" s="148" t="s">
        <v>56</v>
      </c>
      <c r="E1259" s="148" t="s">
        <v>30</v>
      </c>
      <c r="F1259" s="149">
        <v>2026</v>
      </c>
      <c r="G1259" s="148" t="s">
        <v>41</v>
      </c>
      <c r="H1259" s="148"/>
      <c r="I1259" s="148"/>
      <c r="J1259" s="148"/>
      <c r="K1259" s="148"/>
      <c r="L1259" s="152"/>
      <c r="M1259" s="152">
        <f t="shared" si="19"/>
        <v>0</v>
      </c>
      <c r="N1259" s="148"/>
      <c r="O1259" s="148"/>
      <c r="P1259" s="148"/>
      <c r="Q1259" s="148"/>
      <c r="R1259" s="148"/>
      <c r="S1259" s="148"/>
      <c r="T1259" s="148"/>
      <c r="U1259" s="148"/>
      <c r="V1259" s="148"/>
      <c r="W1259" s="148"/>
      <c r="X1259" s="148"/>
      <c r="Y1259" s="148"/>
      <c r="Z1259" s="148"/>
      <c r="AA1259" s="148"/>
    </row>
    <row r="1260" spans="1:27">
      <c r="A1260" s="147">
        <v>2627</v>
      </c>
      <c r="B1260" s="147" t="s">
        <v>66</v>
      </c>
      <c r="C1260" s="147" t="s">
        <v>53</v>
      </c>
      <c r="D1260" s="148" t="s">
        <v>56</v>
      </c>
      <c r="E1260" s="148" t="s">
        <v>30</v>
      </c>
      <c r="F1260" s="149">
        <v>2026</v>
      </c>
      <c r="G1260" s="148" t="s">
        <v>42</v>
      </c>
      <c r="H1260" s="148"/>
      <c r="I1260" s="148"/>
      <c r="J1260" s="148"/>
      <c r="K1260" s="148"/>
      <c r="L1260" s="152"/>
      <c r="M1260" s="152">
        <f t="shared" si="19"/>
        <v>0</v>
      </c>
      <c r="N1260" s="148"/>
      <c r="O1260" s="148"/>
      <c r="P1260" s="148"/>
      <c r="Q1260" s="148"/>
      <c r="R1260" s="148"/>
      <c r="S1260" s="148"/>
      <c r="T1260" s="148"/>
      <c r="U1260" s="148"/>
      <c r="V1260" s="148"/>
      <c r="W1260" s="148"/>
      <c r="X1260" s="148"/>
      <c r="Y1260" s="148"/>
      <c r="Z1260" s="148"/>
      <c r="AA1260" s="148"/>
    </row>
    <row r="1261" spans="1:27">
      <c r="A1261" s="147">
        <v>2628</v>
      </c>
      <c r="B1261" s="147" t="s">
        <v>66</v>
      </c>
      <c r="C1261" s="147" t="s">
        <v>53</v>
      </c>
      <c r="D1261" s="148" t="s">
        <v>56</v>
      </c>
      <c r="E1261" s="148" t="s">
        <v>30</v>
      </c>
      <c r="F1261" s="149">
        <v>2026</v>
      </c>
      <c r="G1261" s="148" t="s">
        <v>43</v>
      </c>
      <c r="H1261" s="148"/>
      <c r="I1261" s="148"/>
      <c r="J1261" s="148"/>
      <c r="K1261" s="148"/>
      <c r="L1261" s="152"/>
      <c r="M1261" s="152">
        <f t="shared" si="19"/>
        <v>0</v>
      </c>
      <c r="N1261" s="148"/>
      <c r="O1261" s="148"/>
      <c r="P1261" s="148"/>
      <c r="Q1261" s="148"/>
      <c r="R1261" s="148"/>
      <c r="S1261" s="148"/>
      <c r="T1261" s="148"/>
      <c r="U1261" s="148"/>
      <c r="V1261" s="148"/>
      <c r="W1261" s="148"/>
      <c r="X1261" s="148"/>
      <c r="Y1261" s="148"/>
      <c r="Z1261" s="148"/>
      <c r="AA1261" s="148"/>
    </row>
    <row r="1262" spans="1:27">
      <c r="A1262" s="147">
        <v>2641</v>
      </c>
      <c r="B1262" s="147" t="s">
        <v>66</v>
      </c>
      <c r="C1262" s="147" t="s">
        <v>53</v>
      </c>
      <c r="D1262" s="148" t="s">
        <v>57</v>
      </c>
      <c r="E1262" s="148" t="s">
        <v>30</v>
      </c>
      <c r="F1262" s="149">
        <v>2024</v>
      </c>
      <c r="G1262" s="148" t="s">
        <v>31</v>
      </c>
      <c r="H1262" s="149">
        <v>15</v>
      </c>
      <c r="I1262" s="150">
        <v>44045</v>
      </c>
      <c r="J1262" s="149">
        <v>614</v>
      </c>
      <c r="K1262" s="150">
        <v>1329861</v>
      </c>
      <c r="L1262" s="152"/>
      <c r="M1262" s="152">
        <f t="shared" si="19"/>
        <v>0</v>
      </c>
      <c r="N1262" s="148"/>
      <c r="O1262" s="148"/>
      <c r="P1262" s="148"/>
      <c r="Q1262" s="148"/>
      <c r="R1262" s="148"/>
      <c r="S1262" s="148"/>
      <c r="T1262" s="148"/>
      <c r="U1262" s="148"/>
      <c r="V1262" s="148"/>
      <c r="W1262" s="148"/>
      <c r="X1262" s="148"/>
      <c r="Y1262" s="148"/>
      <c r="Z1262" s="148"/>
      <c r="AA1262" s="148"/>
    </row>
    <row r="1263" spans="1:27">
      <c r="A1263" s="147">
        <v>2642</v>
      </c>
      <c r="B1263" s="147" t="s">
        <v>66</v>
      </c>
      <c r="C1263" s="147" t="s">
        <v>53</v>
      </c>
      <c r="D1263" s="148" t="s">
        <v>57</v>
      </c>
      <c r="E1263" s="148" t="s">
        <v>30</v>
      </c>
      <c r="F1263" s="149">
        <v>2024</v>
      </c>
      <c r="G1263" s="148" t="s">
        <v>33</v>
      </c>
      <c r="H1263" s="149">
        <v>12</v>
      </c>
      <c r="I1263" s="150">
        <v>44097</v>
      </c>
      <c r="J1263" s="149">
        <v>52</v>
      </c>
      <c r="K1263" s="150">
        <v>685443</v>
      </c>
      <c r="L1263" s="152"/>
      <c r="M1263" s="152">
        <f t="shared" si="19"/>
        <v>0</v>
      </c>
      <c r="N1263" s="148"/>
      <c r="O1263" s="148"/>
      <c r="P1263" s="148"/>
      <c r="Q1263" s="148"/>
      <c r="R1263" s="148"/>
      <c r="S1263" s="148"/>
      <c r="T1263" s="148"/>
      <c r="U1263" s="148"/>
      <c r="V1263" s="148"/>
      <c r="W1263" s="148"/>
      <c r="X1263" s="148"/>
      <c r="Y1263" s="148"/>
      <c r="Z1263" s="148"/>
      <c r="AA1263" s="148"/>
    </row>
    <row r="1264" spans="1:27">
      <c r="A1264" s="147">
        <v>2643</v>
      </c>
      <c r="B1264" s="147" t="s">
        <v>66</v>
      </c>
      <c r="C1264" s="147" t="s">
        <v>53</v>
      </c>
      <c r="D1264" s="148" t="s">
        <v>57</v>
      </c>
      <c r="E1264" s="148" t="s">
        <v>30</v>
      </c>
      <c r="F1264" s="149">
        <v>2024</v>
      </c>
      <c r="G1264" s="148" t="s">
        <v>34</v>
      </c>
      <c r="H1264" s="149">
        <v>12</v>
      </c>
      <c r="I1264" s="150">
        <v>44706</v>
      </c>
      <c r="J1264" s="149">
        <v>609</v>
      </c>
      <c r="K1264" s="150">
        <v>1768137</v>
      </c>
      <c r="L1264" s="152"/>
      <c r="M1264" s="152">
        <f t="shared" si="19"/>
        <v>0</v>
      </c>
      <c r="N1264" s="148"/>
      <c r="O1264" s="148"/>
      <c r="P1264" s="148"/>
      <c r="Q1264" s="148"/>
      <c r="R1264" s="148"/>
      <c r="S1264" s="148"/>
      <c r="T1264" s="148"/>
      <c r="U1264" s="148"/>
      <c r="V1264" s="148"/>
      <c r="W1264" s="148"/>
      <c r="X1264" s="148"/>
      <c r="Y1264" s="148"/>
      <c r="Z1264" s="148"/>
      <c r="AA1264" s="148"/>
    </row>
    <row r="1265" spans="1:27">
      <c r="A1265" s="147">
        <v>2644</v>
      </c>
      <c r="B1265" s="147" t="s">
        <v>66</v>
      </c>
      <c r="C1265" s="147" t="s">
        <v>53</v>
      </c>
      <c r="D1265" s="148" t="s">
        <v>57</v>
      </c>
      <c r="E1265" s="148" t="s">
        <v>30</v>
      </c>
      <c r="F1265" s="149">
        <v>2024</v>
      </c>
      <c r="G1265" s="148" t="s">
        <v>35</v>
      </c>
      <c r="H1265" s="149">
        <v>11</v>
      </c>
      <c r="I1265" s="150">
        <v>44835</v>
      </c>
      <c r="J1265" s="149">
        <v>129</v>
      </c>
      <c r="K1265" s="150">
        <v>886259</v>
      </c>
      <c r="L1265" s="152"/>
      <c r="M1265" s="152">
        <f t="shared" si="19"/>
        <v>0</v>
      </c>
      <c r="N1265" s="148"/>
      <c r="O1265" s="148"/>
      <c r="P1265" s="148"/>
      <c r="Q1265" s="148"/>
      <c r="R1265" s="148"/>
      <c r="S1265" s="148"/>
      <c r="T1265" s="148"/>
      <c r="U1265" s="148"/>
      <c r="V1265" s="148"/>
      <c r="W1265" s="148"/>
      <c r="X1265" s="148"/>
      <c r="Y1265" s="148"/>
      <c r="Z1265" s="148"/>
      <c r="AA1265" s="148"/>
    </row>
    <row r="1266" spans="1:27">
      <c r="A1266" s="147">
        <v>2645</v>
      </c>
      <c r="B1266" s="147" t="s">
        <v>66</v>
      </c>
      <c r="C1266" s="147" t="s">
        <v>53</v>
      </c>
      <c r="D1266" s="148" t="s">
        <v>57</v>
      </c>
      <c r="E1266" s="148" t="s">
        <v>30</v>
      </c>
      <c r="F1266" s="149">
        <v>2024</v>
      </c>
      <c r="G1266" s="148" t="s">
        <v>36</v>
      </c>
      <c r="H1266" s="149">
        <v>4</v>
      </c>
      <c r="I1266" s="150">
        <v>44925</v>
      </c>
      <c r="J1266" s="149">
        <v>90</v>
      </c>
      <c r="K1266" s="150">
        <v>2327994</v>
      </c>
      <c r="L1266" s="152"/>
      <c r="M1266" s="152">
        <f t="shared" si="19"/>
        <v>0</v>
      </c>
      <c r="N1266" s="148"/>
      <c r="O1266" s="148"/>
      <c r="P1266" s="148"/>
      <c r="Q1266" s="148"/>
      <c r="R1266" s="148"/>
      <c r="S1266" s="148"/>
      <c r="T1266" s="148"/>
      <c r="U1266" s="148"/>
      <c r="V1266" s="148"/>
      <c r="W1266" s="148"/>
      <c r="X1266" s="148"/>
      <c r="Y1266" s="148"/>
      <c r="Z1266" s="148"/>
      <c r="AA1266" s="148"/>
    </row>
    <row r="1267" spans="1:27">
      <c r="A1267" s="147">
        <v>2646</v>
      </c>
      <c r="B1267" s="147" t="s">
        <v>66</v>
      </c>
      <c r="C1267" s="147" t="s">
        <v>53</v>
      </c>
      <c r="D1267" s="148" t="s">
        <v>57</v>
      </c>
      <c r="E1267" s="148" t="s">
        <v>30</v>
      </c>
      <c r="F1267" s="149">
        <v>2024</v>
      </c>
      <c r="G1267" s="148" t="s">
        <v>37</v>
      </c>
      <c r="H1267" s="149">
        <v>3</v>
      </c>
      <c r="I1267" s="150">
        <v>44695</v>
      </c>
      <c r="J1267" s="149">
        <v>-230</v>
      </c>
      <c r="K1267" s="150">
        <v>984226</v>
      </c>
      <c r="L1267" s="152"/>
      <c r="M1267" s="152">
        <f t="shared" si="19"/>
        <v>0</v>
      </c>
      <c r="N1267" s="148"/>
      <c r="O1267" s="148"/>
      <c r="P1267" s="148"/>
      <c r="Q1267" s="148"/>
      <c r="R1267" s="148"/>
      <c r="S1267" s="148"/>
      <c r="T1267" s="148"/>
      <c r="U1267" s="148"/>
      <c r="V1267" s="148"/>
      <c r="W1267" s="148"/>
      <c r="X1267" s="148"/>
      <c r="Y1267" s="148"/>
      <c r="Z1267" s="148"/>
      <c r="AA1267" s="148"/>
    </row>
    <row r="1268" spans="1:27">
      <c r="A1268" s="147">
        <v>2647</v>
      </c>
      <c r="B1268" s="147" t="s">
        <v>66</v>
      </c>
      <c r="C1268" s="147" t="s">
        <v>53</v>
      </c>
      <c r="D1268" s="148" t="s">
        <v>57</v>
      </c>
      <c r="E1268" s="148" t="s">
        <v>30</v>
      </c>
      <c r="F1268" s="149">
        <v>2024</v>
      </c>
      <c r="G1268" s="148" t="s">
        <v>38</v>
      </c>
      <c r="H1268" s="149" t="s">
        <v>44</v>
      </c>
      <c r="I1268" s="150">
        <v>44593</v>
      </c>
      <c r="J1268" s="149">
        <v>-102</v>
      </c>
      <c r="K1268" s="150">
        <v>490690</v>
      </c>
      <c r="L1268" s="152"/>
      <c r="M1268" s="152">
        <f t="shared" si="19"/>
        <v>0</v>
      </c>
      <c r="N1268" s="148"/>
      <c r="O1268" s="148"/>
      <c r="P1268" s="148"/>
      <c r="Q1268" s="148"/>
      <c r="R1268" s="148"/>
      <c r="S1268" s="148"/>
      <c r="T1268" s="148"/>
      <c r="U1268" s="148"/>
      <c r="V1268" s="148"/>
      <c r="W1268" s="148"/>
      <c r="X1268" s="148"/>
      <c r="Y1268" s="148"/>
      <c r="Z1268" s="148"/>
      <c r="AA1268" s="148"/>
    </row>
    <row r="1269" spans="1:27">
      <c r="A1269" s="147">
        <v>2648</v>
      </c>
      <c r="B1269" s="147" t="s">
        <v>66</v>
      </c>
      <c r="C1269" s="147" t="s">
        <v>53</v>
      </c>
      <c r="D1269" s="148" t="s">
        <v>57</v>
      </c>
      <c r="E1269" s="148" t="s">
        <v>30</v>
      </c>
      <c r="F1269" s="149">
        <v>2024</v>
      </c>
      <c r="G1269" s="148" t="s">
        <v>39</v>
      </c>
      <c r="H1269" s="149">
        <v>2</v>
      </c>
      <c r="I1269" s="150">
        <v>44621</v>
      </c>
      <c r="J1269" s="149">
        <v>28</v>
      </c>
      <c r="K1269" s="150">
        <v>705102</v>
      </c>
      <c r="L1269" s="152"/>
      <c r="M1269" s="152">
        <f t="shared" si="19"/>
        <v>0</v>
      </c>
      <c r="N1269" s="148"/>
      <c r="O1269" s="148"/>
      <c r="P1269" s="148"/>
      <c r="Q1269" s="148"/>
      <c r="R1269" s="148"/>
      <c r="S1269" s="148"/>
      <c r="T1269" s="148"/>
      <c r="U1269" s="148"/>
      <c r="V1269" s="148"/>
      <c r="W1269" s="148"/>
      <c r="X1269" s="148"/>
      <c r="Y1269" s="148"/>
      <c r="Z1269" s="148"/>
      <c r="AA1269" s="148"/>
    </row>
    <row r="1270" spans="1:27">
      <c r="A1270" s="147">
        <v>2649</v>
      </c>
      <c r="B1270" s="147" t="s">
        <v>66</v>
      </c>
      <c r="C1270" s="147" t="s">
        <v>53</v>
      </c>
      <c r="D1270" s="148" t="s">
        <v>57</v>
      </c>
      <c r="E1270" s="148" t="s">
        <v>30</v>
      </c>
      <c r="F1270" s="149">
        <v>2024</v>
      </c>
      <c r="G1270" s="148" t="s">
        <v>40</v>
      </c>
      <c r="H1270" s="149">
        <v>11</v>
      </c>
      <c r="I1270" s="150">
        <v>44507</v>
      </c>
      <c r="J1270" s="149">
        <v>-114</v>
      </c>
      <c r="K1270" s="150">
        <v>580100</v>
      </c>
      <c r="L1270" s="152"/>
      <c r="M1270" s="152">
        <f t="shared" si="19"/>
        <v>0</v>
      </c>
      <c r="N1270" s="148"/>
      <c r="O1270" s="148"/>
      <c r="P1270" s="148"/>
      <c r="Q1270" s="148"/>
      <c r="R1270" s="148"/>
      <c r="S1270" s="148"/>
      <c r="T1270" s="148"/>
      <c r="U1270" s="148"/>
      <c r="V1270" s="148"/>
      <c r="W1270" s="148"/>
      <c r="X1270" s="148"/>
      <c r="Y1270" s="148"/>
      <c r="Z1270" s="148"/>
      <c r="AA1270" s="148"/>
    </row>
    <row r="1271" spans="1:27">
      <c r="A1271" s="147">
        <v>2650</v>
      </c>
      <c r="B1271" s="147" t="s">
        <v>66</v>
      </c>
      <c r="C1271" s="147" t="s">
        <v>53</v>
      </c>
      <c r="D1271" s="148" t="s">
        <v>57</v>
      </c>
      <c r="E1271" s="148" t="s">
        <v>30</v>
      </c>
      <c r="F1271" s="149">
        <v>2024</v>
      </c>
      <c r="G1271" s="148" t="s">
        <v>41</v>
      </c>
      <c r="H1271" s="149">
        <v>1</v>
      </c>
      <c r="I1271" s="150">
        <v>44460</v>
      </c>
      <c r="J1271" s="149">
        <v>-47</v>
      </c>
      <c r="K1271" s="150">
        <v>662650</v>
      </c>
      <c r="L1271" s="152"/>
      <c r="M1271" s="152">
        <f t="shared" si="19"/>
        <v>0</v>
      </c>
      <c r="N1271" s="148"/>
      <c r="O1271" s="148"/>
      <c r="P1271" s="148"/>
      <c r="Q1271" s="148"/>
      <c r="R1271" s="148"/>
      <c r="S1271" s="148"/>
      <c r="T1271" s="148"/>
      <c r="U1271" s="148"/>
      <c r="V1271" s="148"/>
      <c r="W1271" s="148"/>
      <c r="X1271" s="148"/>
      <c r="Y1271" s="148"/>
      <c r="Z1271" s="148"/>
      <c r="AA1271" s="148"/>
    </row>
    <row r="1272" spans="1:27">
      <c r="A1272" s="147">
        <v>2651</v>
      </c>
      <c r="B1272" s="147" t="s">
        <v>66</v>
      </c>
      <c r="C1272" s="147" t="s">
        <v>53</v>
      </c>
      <c r="D1272" s="148" t="s">
        <v>57</v>
      </c>
      <c r="E1272" s="148" t="s">
        <v>30</v>
      </c>
      <c r="F1272" s="149">
        <v>2024</v>
      </c>
      <c r="G1272" s="148" t="s">
        <v>42</v>
      </c>
      <c r="H1272" s="149">
        <v>4</v>
      </c>
      <c r="I1272" s="150">
        <v>44304</v>
      </c>
      <c r="J1272" s="149">
        <v>-156</v>
      </c>
      <c r="K1272" s="150">
        <v>473962</v>
      </c>
      <c r="L1272" s="152"/>
      <c r="M1272" s="152">
        <f t="shared" si="19"/>
        <v>0</v>
      </c>
      <c r="N1272" s="148"/>
      <c r="O1272" s="148"/>
      <c r="P1272" s="148"/>
      <c r="Q1272" s="148"/>
      <c r="R1272" s="148"/>
      <c r="S1272" s="148"/>
      <c r="T1272" s="148"/>
      <c r="U1272" s="148"/>
      <c r="V1272" s="148"/>
      <c r="W1272" s="148"/>
      <c r="X1272" s="148"/>
      <c r="Y1272" s="148"/>
      <c r="Z1272" s="148"/>
      <c r="AA1272" s="148"/>
    </row>
    <row r="1273" spans="1:27">
      <c r="A1273" s="147">
        <v>2652</v>
      </c>
      <c r="B1273" s="147" t="s">
        <v>66</v>
      </c>
      <c r="C1273" s="147" t="s">
        <v>53</v>
      </c>
      <c r="D1273" s="148" t="s">
        <v>57</v>
      </c>
      <c r="E1273" s="148" t="s">
        <v>30</v>
      </c>
      <c r="F1273" s="149">
        <v>2024</v>
      </c>
      <c r="G1273" s="148" t="s">
        <v>43</v>
      </c>
      <c r="H1273" s="149">
        <v>6</v>
      </c>
      <c r="I1273" s="150">
        <v>44325</v>
      </c>
      <c r="J1273" s="149">
        <v>21</v>
      </c>
      <c r="K1273" s="150">
        <v>1522606</v>
      </c>
      <c r="L1273" s="152"/>
      <c r="M1273" s="152">
        <f t="shared" si="19"/>
        <v>0</v>
      </c>
      <c r="N1273" s="148"/>
      <c r="O1273" s="148"/>
      <c r="P1273" s="148"/>
      <c r="Q1273" s="148"/>
      <c r="R1273" s="148"/>
      <c r="S1273" s="148"/>
      <c r="T1273" s="148"/>
      <c r="U1273" s="148"/>
      <c r="V1273" s="148"/>
      <c r="W1273" s="148"/>
      <c r="X1273" s="148"/>
      <c r="Y1273" s="148"/>
      <c r="Z1273" s="148"/>
      <c r="AA1273" s="148"/>
    </row>
    <row r="1274" spans="1:27">
      <c r="A1274" s="147">
        <v>2653</v>
      </c>
      <c r="B1274" s="147" t="s">
        <v>66</v>
      </c>
      <c r="C1274" s="147" t="s">
        <v>53</v>
      </c>
      <c r="D1274" s="148" t="s">
        <v>57</v>
      </c>
      <c r="E1274" s="148" t="s">
        <v>30</v>
      </c>
      <c r="F1274" s="149">
        <v>2025</v>
      </c>
      <c r="G1274" s="148" t="s">
        <v>31</v>
      </c>
      <c r="H1274" s="149">
        <v>6</v>
      </c>
      <c r="I1274" s="150">
        <v>44403</v>
      </c>
      <c r="J1274" s="149">
        <v>78</v>
      </c>
      <c r="K1274" s="150">
        <v>1071643</v>
      </c>
      <c r="L1274" s="152"/>
      <c r="M1274" s="152">
        <f t="shared" si="19"/>
        <v>0</v>
      </c>
      <c r="N1274" s="148"/>
      <c r="O1274" s="148"/>
      <c r="P1274" s="148"/>
      <c r="Q1274" s="148"/>
      <c r="R1274" s="148"/>
      <c r="S1274" s="148"/>
      <c r="T1274" s="148"/>
      <c r="U1274" s="148"/>
      <c r="V1274" s="148"/>
      <c r="W1274" s="148"/>
      <c r="X1274" s="148"/>
      <c r="Y1274" s="148"/>
      <c r="Z1274" s="148"/>
      <c r="AA1274" s="148"/>
    </row>
    <row r="1275" spans="1:27">
      <c r="A1275" s="147">
        <v>2654</v>
      </c>
      <c r="B1275" s="147" t="s">
        <v>66</v>
      </c>
      <c r="C1275" s="147" t="s">
        <v>53</v>
      </c>
      <c r="D1275" s="148" t="s">
        <v>57</v>
      </c>
      <c r="E1275" s="148" t="s">
        <v>30</v>
      </c>
      <c r="F1275" s="149">
        <v>2025</v>
      </c>
      <c r="G1275" s="148" t="s">
        <v>33</v>
      </c>
      <c r="H1275" s="149">
        <v>5</v>
      </c>
      <c r="I1275" s="150">
        <v>44363</v>
      </c>
      <c r="J1275" s="149">
        <v>-40</v>
      </c>
      <c r="K1275" s="150">
        <v>538181</v>
      </c>
      <c r="L1275" s="152"/>
      <c r="M1275" s="152">
        <f t="shared" si="19"/>
        <v>0</v>
      </c>
      <c r="N1275" s="148"/>
      <c r="O1275" s="148"/>
      <c r="P1275" s="148"/>
      <c r="Q1275" s="148"/>
      <c r="R1275" s="148"/>
      <c r="S1275" s="148"/>
      <c r="T1275" s="148"/>
      <c r="U1275" s="148"/>
      <c r="V1275" s="148"/>
      <c r="W1275" s="148"/>
      <c r="X1275" s="148"/>
      <c r="Y1275" s="148"/>
      <c r="Z1275" s="148"/>
      <c r="AA1275" s="148"/>
    </row>
    <row r="1276" spans="1:27">
      <c r="A1276" s="147">
        <v>2655</v>
      </c>
      <c r="B1276" s="147" t="s">
        <v>66</v>
      </c>
      <c r="C1276" s="147" t="s">
        <v>53</v>
      </c>
      <c r="D1276" s="148" t="s">
        <v>57</v>
      </c>
      <c r="E1276" s="148" t="s">
        <v>30</v>
      </c>
      <c r="F1276" s="149">
        <v>2025</v>
      </c>
      <c r="G1276" s="148" t="s">
        <v>34</v>
      </c>
      <c r="H1276" s="149">
        <v>6</v>
      </c>
      <c r="I1276" s="150">
        <v>44424</v>
      </c>
      <c r="J1276" s="149">
        <v>61</v>
      </c>
      <c r="K1276" s="150">
        <v>776322</v>
      </c>
      <c r="L1276" s="152"/>
      <c r="M1276" s="152">
        <f t="shared" si="19"/>
        <v>0</v>
      </c>
      <c r="N1276" s="148"/>
      <c r="O1276" s="148"/>
      <c r="P1276" s="148"/>
      <c r="Q1276" s="148"/>
      <c r="R1276" s="148"/>
      <c r="S1276" s="148"/>
      <c r="T1276" s="148"/>
      <c r="U1276" s="148"/>
      <c r="V1276" s="148"/>
      <c r="W1276" s="148"/>
      <c r="X1276" s="148"/>
      <c r="Y1276" s="148"/>
      <c r="Z1276" s="148"/>
      <c r="AA1276" s="148"/>
    </row>
    <row r="1277" spans="1:27">
      <c r="A1277" s="147">
        <v>2656</v>
      </c>
      <c r="B1277" s="147" t="s">
        <v>66</v>
      </c>
      <c r="C1277" s="147" t="s">
        <v>53</v>
      </c>
      <c r="D1277" s="148" t="s">
        <v>57</v>
      </c>
      <c r="E1277" s="148" t="s">
        <v>30</v>
      </c>
      <c r="F1277" s="149">
        <v>2025</v>
      </c>
      <c r="G1277" s="148" t="s">
        <v>35</v>
      </c>
      <c r="H1277" s="149">
        <v>6</v>
      </c>
      <c r="I1277" s="150">
        <v>44387</v>
      </c>
      <c r="J1277" s="149">
        <v>-37</v>
      </c>
      <c r="K1277" s="150">
        <v>568399</v>
      </c>
      <c r="L1277" s="152"/>
      <c r="M1277" s="152">
        <f t="shared" si="19"/>
        <v>0</v>
      </c>
      <c r="N1277" s="148"/>
      <c r="O1277" s="148"/>
      <c r="P1277" s="148"/>
      <c r="Q1277" s="148"/>
      <c r="R1277" s="148"/>
      <c r="S1277" s="148"/>
      <c r="T1277" s="148"/>
      <c r="U1277" s="148"/>
      <c r="V1277" s="148"/>
      <c r="W1277" s="148"/>
      <c r="X1277" s="148"/>
      <c r="Y1277" s="148"/>
      <c r="Z1277" s="148"/>
      <c r="AA1277" s="148"/>
    </row>
    <row r="1278" spans="1:27">
      <c r="A1278" s="147">
        <v>2657</v>
      </c>
      <c r="B1278" s="147" t="s">
        <v>66</v>
      </c>
      <c r="C1278" s="147" t="s">
        <v>53</v>
      </c>
      <c r="D1278" s="148" t="s">
        <v>57</v>
      </c>
      <c r="E1278" s="148" t="s">
        <v>30</v>
      </c>
      <c r="F1278" s="149">
        <v>2025</v>
      </c>
      <c r="G1278" s="148" t="s">
        <v>36</v>
      </c>
      <c r="H1278" s="149">
        <v>13</v>
      </c>
      <c r="I1278" s="150">
        <v>44305</v>
      </c>
      <c r="J1278" s="149">
        <v>-82</v>
      </c>
      <c r="K1278" s="150">
        <v>535849</v>
      </c>
      <c r="L1278" s="152"/>
      <c r="M1278" s="152">
        <f t="shared" si="19"/>
        <v>0</v>
      </c>
      <c r="N1278" s="148"/>
      <c r="O1278" s="148"/>
      <c r="P1278" s="148"/>
      <c r="Q1278" s="148"/>
      <c r="R1278" s="148"/>
      <c r="S1278" s="148"/>
      <c r="T1278" s="148"/>
      <c r="U1278" s="148"/>
      <c r="V1278" s="148"/>
      <c r="W1278" s="148"/>
      <c r="X1278" s="148"/>
      <c r="Y1278" s="148"/>
      <c r="Z1278" s="148"/>
      <c r="AA1278" s="148"/>
    </row>
    <row r="1279" spans="1:27">
      <c r="A1279" s="147">
        <v>2658</v>
      </c>
      <c r="B1279" s="147" t="s">
        <v>66</v>
      </c>
      <c r="C1279" s="147" t="s">
        <v>53</v>
      </c>
      <c r="D1279" s="148" t="s">
        <v>57</v>
      </c>
      <c r="E1279" s="148" t="s">
        <v>30</v>
      </c>
      <c r="F1279" s="149">
        <v>2025</v>
      </c>
      <c r="G1279" s="148" t="s">
        <v>37</v>
      </c>
      <c r="H1279" s="149">
        <v>14</v>
      </c>
      <c r="I1279" s="150">
        <v>44286</v>
      </c>
      <c r="J1279" s="149">
        <v>-19</v>
      </c>
      <c r="K1279" s="150">
        <v>900708</v>
      </c>
      <c r="L1279" s="152"/>
      <c r="M1279" s="152">
        <f t="shared" si="19"/>
        <v>0</v>
      </c>
      <c r="N1279" s="148"/>
      <c r="O1279" s="148"/>
      <c r="P1279" s="148"/>
      <c r="Q1279" s="148"/>
      <c r="R1279" s="148"/>
      <c r="S1279" s="148"/>
      <c r="T1279" s="148"/>
      <c r="U1279" s="148"/>
      <c r="V1279" s="148"/>
      <c r="W1279" s="148"/>
      <c r="X1279" s="148"/>
      <c r="Y1279" s="148"/>
      <c r="Z1279" s="148"/>
      <c r="AA1279" s="148"/>
    </row>
    <row r="1280" spans="1:27">
      <c r="A1280" s="147">
        <v>2659</v>
      </c>
      <c r="B1280" s="147" t="s">
        <v>66</v>
      </c>
      <c r="C1280" s="147" t="s">
        <v>53</v>
      </c>
      <c r="D1280" s="148" t="s">
        <v>57</v>
      </c>
      <c r="E1280" s="148" t="s">
        <v>30</v>
      </c>
      <c r="F1280" s="149">
        <v>2025</v>
      </c>
      <c r="G1280" s="148" t="s">
        <v>38</v>
      </c>
      <c r="H1280" s="149">
        <v>19</v>
      </c>
      <c r="I1280" s="150">
        <v>44305</v>
      </c>
      <c r="J1280" s="149">
        <v>28</v>
      </c>
      <c r="K1280" s="150">
        <v>998647</v>
      </c>
      <c r="L1280" s="152"/>
      <c r="M1280" s="152">
        <f t="shared" si="19"/>
        <v>0</v>
      </c>
      <c r="N1280" s="148"/>
      <c r="O1280" s="150">
        <v>918853</v>
      </c>
      <c r="P1280" s="150">
        <v>8582</v>
      </c>
      <c r="Q1280" s="154">
        <v>0.29</v>
      </c>
      <c r="R1280" s="154">
        <v>0.7</v>
      </c>
      <c r="S1280" s="154">
        <v>0.01</v>
      </c>
      <c r="T1280" s="148" t="s">
        <v>44</v>
      </c>
      <c r="U1280" s="154">
        <v>0.237</v>
      </c>
      <c r="V1280" s="154">
        <v>0.456</v>
      </c>
      <c r="W1280" s="154">
        <v>0.187</v>
      </c>
      <c r="X1280" s="154">
        <v>0.085</v>
      </c>
      <c r="Y1280" s="154">
        <v>0.035</v>
      </c>
      <c r="Z1280" s="148" t="s">
        <v>44</v>
      </c>
      <c r="AA1280" s="148" t="s">
        <v>45</v>
      </c>
    </row>
    <row r="1281" spans="1:27">
      <c r="A1281" s="147">
        <v>2660</v>
      </c>
      <c r="B1281" s="147" t="s">
        <v>66</v>
      </c>
      <c r="C1281" s="147" t="s">
        <v>53</v>
      </c>
      <c r="D1281" s="148" t="s">
        <v>57</v>
      </c>
      <c r="E1281" s="148" t="s">
        <v>30</v>
      </c>
      <c r="F1281" s="149">
        <v>2025</v>
      </c>
      <c r="G1281" s="148" t="s">
        <v>39</v>
      </c>
      <c r="H1281" s="149">
        <v>50</v>
      </c>
      <c r="I1281" s="150">
        <v>44547</v>
      </c>
      <c r="J1281" s="149">
        <v>212</v>
      </c>
      <c r="K1281" s="150">
        <v>1396599</v>
      </c>
      <c r="L1281" s="152"/>
      <c r="M1281" s="152">
        <f t="shared" si="19"/>
        <v>0</v>
      </c>
      <c r="N1281" s="148"/>
      <c r="O1281" s="150">
        <v>1254675</v>
      </c>
      <c r="P1281" s="150">
        <v>10498</v>
      </c>
      <c r="Q1281" s="154">
        <v>0.29</v>
      </c>
      <c r="R1281" s="154">
        <v>0.7</v>
      </c>
      <c r="S1281" s="154">
        <v>0.01</v>
      </c>
      <c r="T1281" s="148" t="s">
        <v>44</v>
      </c>
      <c r="U1281" s="154">
        <v>0.235</v>
      </c>
      <c r="V1281" s="154">
        <v>0.455</v>
      </c>
      <c r="W1281" s="154">
        <v>0.188</v>
      </c>
      <c r="X1281" s="154">
        <v>0.086</v>
      </c>
      <c r="Y1281" s="154">
        <v>0.036</v>
      </c>
      <c r="Z1281" s="148" t="s">
        <v>44</v>
      </c>
      <c r="AA1281" s="148" t="s">
        <v>45</v>
      </c>
    </row>
    <row r="1282" spans="1:27">
      <c r="A1282" s="147">
        <v>2661</v>
      </c>
      <c r="B1282" s="147" t="s">
        <v>66</v>
      </c>
      <c r="C1282" s="147" t="s">
        <v>53</v>
      </c>
      <c r="D1282" s="148" t="s">
        <v>57</v>
      </c>
      <c r="E1282" s="148" t="s">
        <v>30</v>
      </c>
      <c r="F1282" s="149">
        <v>2025</v>
      </c>
      <c r="G1282" s="148" t="s">
        <v>40</v>
      </c>
      <c r="H1282" s="149">
        <v>40</v>
      </c>
      <c r="I1282" s="150">
        <v>44922</v>
      </c>
      <c r="J1282" s="149">
        <v>392</v>
      </c>
      <c r="K1282" s="150">
        <v>951623</v>
      </c>
      <c r="L1282" s="152"/>
      <c r="M1282" s="152">
        <f t="shared" ref="M1282:M1345" si="20">L1282*17000</f>
        <v>0</v>
      </c>
      <c r="N1282" s="148"/>
      <c r="O1282" s="150">
        <v>823311</v>
      </c>
      <c r="P1282" s="150">
        <v>12716</v>
      </c>
      <c r="Q1282" s="154">
        <v>0.29</v>
      </c>
      <c r="R1282" s="154">
        <v>0.7</v>
      </c>
      <c r="S1282" s="154">
        <v>0.01</v>
      </c>
      <c r="T1282" s="148" t="s">
        <v>44</v>
      </c>
      <c r="U1282" s="154">
        <v>0.231</v>
      </c>
      <c r="V1282" s="154">
        <v>0.454</v>
      </c>
      <c r="W1282" s="154">
        <v>0.191</v>
      </c>
      <c r="X1282" s="154">
        <v>0.087</v>
      </c>
      <c r="Y1282" s="154">
        <v>0.037</v>
      </c>
      <c r="Z1282" s="148" t="s">
        <v>44</v>
      </c>
      <c r="AA1282" s="148" t="s">
        <v>45</v>
      </c>
    </row>
    <row r="1283" spans="1:27">
      <c r="A1283" s="147">
        <v>2662</v>
      </c>
      <c r="B1283" s="147" t="s">
        <v>66</v>
      </c>
      <c r="C1283" s="147" t="s">
        <v>53</v>
      </c>
      <c r="D1283" s="148" t="s">
        <v>57</v>
      </c>
      <c r="E1283" s="148" t="s">
        <v>30</v>
      </c>
      <c r="F1283" s="149">
        <v>2025</v>
      </c>
      <c r="G1283" s="148" t="s">
        <v>41</v>
      </c>
      <c r="H1283" s="149">
        <v>58</v>
      </c>
      <c r="I1283" s="150">
        <v>45575</v>
      </c>
      <c r="J1283" s="149">
        <v>470</v>
      </c>
      <c r="K1283" s="150">
        <v>1600837</v>
      </c>
      <c r="L1283" s="152"/>
      <c r="M1283" s="152">
        <f t="shared" si="20"/>
        <v>0</v>
      </c>
      <c r="N1283" s="148"/>
      <c r="O1283" s="150">
        <v>1578602</v>
      </c>
      <c r="P1283" s="150">
        <v>34397</v>
      </c>
      <c r="Q1283" s="154">
        <v>0.29</v>
      </c>
      <c r="R1283" s="154">
        <v>0.7</v>
      </c>
      <c r="S1283" s="154">
        <v>0.01</v>
      </c>
      <c r="T1283" s="148" t="s">
        <v>44</v>
      </c>
      <c r="U1283" s="154">
        <v>0.224</v>
      </c>
      <c r="V1283" s="154">
        <v>0.454</v>
      </c>
      <c r="W1283" s="154">
        <v>0.194</v>
      </c>
      <c r="X1283" s="154">
        <v>0.09</v>
      </c>
      <c r="Y1283" s="154">
        <v>0.038</v>
      </c>
      <c r="Z1283" s="148" t="s">
        <v>44</v>
      </c>
      <c r="AA1283" s="148" t="s">
        <v>45</v>
      </c>
    </row>
    <row r="1284" spans="1:27">
      <c r="A1284" s="147">
        <v>2663</v>
      </c>
      <c r="B1284" s="147" t="s">
        <v>66</v>
      </c>
      <c r="C1284" s="147" t="s">
        <v>53</v>
      </c>
      <c r="D1284" s="148" t="s">
        <v>57</v>
      </c>
      <c r="E1284" s="148" t="s">
        <v>30</v>
      </c>
      <c r="F1284" s="149">
        <v>2025</v>
      </c>
      <c r="G1284" s="148" t="s">
        <v>42</v>
      </c>
      <c r="H1284" s="149">
        <v>62</v>
      </c>
      <c r="I1284" s="150">
        <v>45690</v>
      </c>
      <c r="J1284" s="149">
        <v>102</v>
      </c>
      <c r="K1284" s="150">
        <v>654504</v>
      </c>
      <c r="L1284" s="152"/>
      <c r="M1284" s="152">
        <f t="shared" si="20"/>
        <v>0</v>
      </c>
      <c r="N1284" s="148"/>
      <c r="O1284" s="150">
        <v>489306</v>
      </c>
      <c r="P1284" s="150">
        <v>11228</v>
      </c>
      <c r="Q1284" s="154">
        <v>0.29</v>
      </c>
      <c r="R1284" s="154">
        <v>0.7</v>
      </c>
      <c r="S1284" s="154">
        <v>0.01</v>
      </c>
      <c r="T1284" s="148" t="s">
        <v>44</v>
      </c>
      <c r="U1284" s="154">
        <v>0.222</v>
      </c>
      <c r="V1284" s="154">
        <v>0.455</v>
      </c>
      <c r="W1284" s="154">
        <v>0.195</v>
      </c>
      <c r="X1284" s="154">
        <v>0.09</v>
      </c>
      <c r="Y1284" s="154">
        <v>0.038</v>
      </c>
      <c r="Z1284" s="148" t="s">
        <v>44</v>
      </c>
      <c r="AA1284" s="148" t="s">
        <v>45</v>
      </c>
    </row>
    <row r="1285" spans="1:27">
      <c r="A1285" s="147">
        <v>2664</v>
      </c>
      <c r="B1285" s="147" t="s">
        <v>66</v>
      </c>
      <c r="C1285" s="147" t="s">
        <v>53</v>
      </c>
      <c r="D1285" s="148" t="s">
        <v>57</v>
      </c>
      <c r="E1285" s="148" t="s">
        <v>30</v>
      </c>
      <c r="F1285" s="149">
        <v>2025</v>
      </c>
      <c r="G1285" s="148" t="s">
        <v>43</v>
      </c>
      <c r="H1285" s="149">
        <v>34</v>
      </c>
      <c r="I1285" s="150">
        <v>45717</v>
      </c>
      <c r="J1285" s="149">
        <v>27</v>
      </c>
      <c r="K1285" s="150">
        <v>696772</v>
      </c>
      <c r="L1285" s="152"/>
      <c r="M1285" s="152">
        <f t="shared" si="20"/>
        <v>0</v>
      </c>
      <c r="N1285" s="148"/>
      <c r="O1285" s="150">
        <v>598000</v>
      </c>
      <c r="P1285" s="150">
        <v>7572</v>
      </c>
      <c r="Q1285" s="154">
        <v>0.29</v>
      </c>
      <c r="R1285" s="154">
        <v>0.7</v>
      </c>
      <c r="S1285" s="154">
        <v>0.01</v>
      </c>
      <c r="T1285" s="148" t="s">
        <v>44</v>
      </c>
      <c r="U1285" s="154">
        <v>0.218</v>
      </c>
      <c r="V1285" s="154">
        <v>0.455</v>
      </c>
      <c r="W1285" s="154">
        <v>0.197</v>
      </c>
      <c r="X1285" s="154">
        <v>0.091</v>
      </c>
      <c r="Y1285" s="154">
        <v>0.039</v>
      </c>
      <c r="Z1285" s="148" t="s">
        <v>44</v>
      </c>
      <c r="AA1285" s="148" t="s">
        <v>45</v>
      </c>
    </row>
    <row r="1286" spans="1:27">
      <c r="A1286" s="147">
        <v>2665</v>
      </c>
      <c r="B1286" s="147" t="s">
        <v>66</v>
      </c>
      <c r="C1286" s="147" t="s">
        <v>53</v>
      </c>
      <c r="D1286" s="148" t="s">
        <v>57</v>
      </c>
      <c r="E1286" s="148" t="s">
        <v>30</v>
      </c>
      <c r="F1286" s="149">
        <v>2026</v>
      </c>
      <c r="G1286" s="148" t="s">
        <v>31</v>
      </c>
      <c r="H1286" s="149">
        <v>70</v>
      </c>
      <c r="I1286" s="150">
        <v>45775</v>
      </c>
      <c r="J1286" s="149">
        <v>58</v>
      </c>
      <c r="K1286" s="150">
        <v>860829</v>
      </c>
      <c r="L1286" s="152"/>
      <c r="M1286" s="152">
        <f t="shared" si="20"/>
        <v>0</v>
      </c>
      <c r="N1286" s="148"/>
      <c r="O1286" s="150">
        <v>747733</v>
      </c>
      <c r="P1286" s="150">
        <v>8618</v>
      </c>
      <c r="Q1286" s="154">
        <v>0.3</v>
      </c>
      <c r="R1286" s="154">
        <v>0.69</v>
      </c>
      <c r="S1286" s="154">
        <v>0.01</v>
      </c>
      <c r="T1286" s="148" t="s">
        <v>44</v>
      </c>
      <c r="U1286" s="154">
        <v>0.215</v>
      </c>
      <c r="V1286" s="154">
        <v>0.455</v>
      </c>
      <c r="W1286" s="154">
        <v>0.198</v>
      </c>
      <c r="X1286" s="154">
        <v>0.092</v>
      </c>
      <c r="Y1286" s="154">
        <v>0.04</v>
      </c>
      <c r="Z1286" s="148" t="s">
        <v>44</v>
      </c>
      <c r="AA1286" s="148" t="s">
        <v>45</v>
      </c>
    </row>
    <row r="1287" spans="1:27">
      <c r="A1287" s="147">
        <v>2666</v>
      </c>
      <c r="B1287" s="147" t="s">
        <v>66</v>
      </c>
      <c r="C1287" s="147" t="s">
        <v>53</v>
      </c>
      <c r="D1287" s="148" t="s">
        <v>57</v>
      </c>
      <c r="E1287" s="148" t="s">
        <v>30</v>
      </c>
      <c r="F1287" s="149">
        <v>2026</v>
      </c>
      <c r="G1287" s="148" t="s">
        <v>33</v>
      </c>
      <c r="H1287" s="149">
        <v>139</v>
      </c>
      <c r="I1287" s="150">
        <v>46571</v>
      </c>
      <c r="J1287" s="149">
        <v>796</v>
      </c>
      <c r="K1287" s="150">
        <v>2067981</v>
      </c>
      <c r="L1287" s="152"/>
      <c r="M1287" s="152">
        <f t="shared" si="20"/>
        <v>0</v>
      </c>
      <c r="N1287" s="148"/>
      <c r="O1287" s="150">
        <v>1958285</v>
      </c>
      <c r="P1287" s="150">
        <v>102315</v>
      </c>
      <c r="Q1287" s="154">
        <v>0.3</v>
      </c>
      <c r="R1287" s="154">
        <v>0.69</v>
      </c>
      <c r="S1287" s="154">
        <v>0.01</v>
      </c>
      <c r="T1287" s="148" t="s">
        <v>44</v>
      </c>
      <c r="U1287" s="154">
        <v>0.213</v>
      </c>
      <c r="V1287" s="154">
        <v>0.453</v>
      </c>
      <c r="W1287" s="154">
        <v>0.199</v>
      </c>
      <c r="X1287" s="154">
        <v>0.094</v>
      </c>
      <c r="Y1287" s="154">
        <v>0.041</v>
      </c>
      <c r="Z1287" s="148" t="s">
        <v>44</v>
      </c>
      <c r="AA1287" s="148" t="s">
        <v>45</v>
      </c>
    </row>
    <row r="1288" spans="1:27">
      <c r="A1288" s="147">
        <v>2667</v>
      </c>
      <c r="B1288" s="147" t="s">
        <v>66</v>
      </c>
      <c r="C1288" s="147" t="s">
        <v>53</v>
      </c>
      <c r="D1288" s="148" t="s">
        <v>57</v>
      </c>
      <c r="E1288" s="148" t="s">
        <v>30</v>
      </c>
      <c r="F1288" s="149">
        <v>2026</v>
      </c>
      <c r="G1288" s="148" t="s">
        <v>34</v>
      </c>
      <c r="H1288" s="149">
        <v>181</v>
      </c>
      <c r="I1288" s="150">
        <v>46738</v>
      </c>
      <c r="J1288" s="149">
        <v>167</v>
      </c>
      <c r="K1288" s="150">
        <v>1262694</v>
      </c>
      <c r="L1288" s="152"/>
      <c r="M1288" s="152">
        <f t="shared" si="20"/>
        <v>0</v>
      </c>
      <c r="N1288" s="148"/>
      <c r="O1288" s="150">
        <v>1151232</v>
      </c>
      <c r="P1288" s="150">
        <v>21815</v>
      </c>
      <c r="Q1288" s="154">
        <v>0.3</v>
      </c>
      <c r="R1288" s="154">
        <v>0.69</v>
      </c>
      <c r="S1288" s="154">
        <v>0.01</v>
      </c>
      <c r="T1288" s="148" t="s">
        <v>44</v>
      </c>
      <c r="U1288" s="154">
        <v>0.211</v>
      </c>
      <c r="V1288" s="154">
        <v>0.454</v>
      </c>
      <c r="W1288" s="154">
        <v>0.199</v>
      </c>
      <c r="X1288" s="154">
        <v>0.095</v>
      </c>
      <c r="Y1288" s="154">
        <v>0.041</v>
      </c>
      <c r="Z1288" s="148" t="s">
        <v>44</v>
      </c>
      <c r="AA1288" s="148" t="s">
        <v>45</v>
      </c>
    </row>
    <row r="1289" spans="1:27">
      <c r="A1289" s="147">
        <v>2668</v>
      </c>
      <c r="B1289" s="147" t="s">
        <v>66</v>
      </c>
      <c r="C1289" s="147" t="s">
        <v>53</v>
      </c>
      <c r="D1289" s="148" t="s">
        <v>57</v>
      </c>
      <c r="E1289" s="148" t="s">
        <v>30</v>
      </c>
      <c r="F1289" s="149">
        <v>2026</v>
      </c>
      <c r="G1289" s="148" t="s">
        <v>35</v>
      </c>
      <c r="H1289" s="149">
        <v>112</v>
      </c>
      <c r="I1289" s="150">
        <v>46882</v>
      </c>
      <c r="J1289" s="149">
        <v>144</v>
      </c>
      <c r="K1289" s="150">
        <v>645970</v>
      </c>
      <c r="L1289" s="152"/>
      <c r="M1289" s="152">
        <f t="shared" si="20"/>
        <v>0</v>
      </c>
      <c r="N1289" s="148"/>
      <c r="O1289" s="150">
        <v>528971</v>
      </c>
      <c r="P1289" s="150">
        <v>10118</v>
      </c>
      <c r="Q1289" s="154">
        <v>0.3</v>
      </c>
      <c r="R1289" s="154">
        <v>0.69</v>
      </c>
      <c r="S1289" s="154">
        <v>0.01</v>
      </c>
      <c r="T1289" s="148" t="s">
        <v>44</v>
      </c>
      <c r="U1289" s="154">
        <v>0.208</v>
      </c>
      <c r="V1289" s="154">
        <v>0.453</v>
      </c>
      <c r="W1289" s="154">
        <v>0.201</v>
      </c>
      <c r="X1289" s="154">
        <v>0.096</v>
      </c>
      <c r="Y1289" s="154">
        <v>0.042</v>
      </c>
      <c r="Z1289" s="148" t="s">
        <v>44</v>
      </c>
      <c r="AA1289" s="148" t="s">
        <v>45</v>
      </c>
    </row>
    <row r="1290" spans="1:27">
      <c r="A1290" s="147">
        <v>2669</v>
      </c>
      <c r="B1290" s="147" t="s">
        <v>66</v>
      </c>
      <c r="C1290" s="147" t="s">
        <v>53</v>
      </c>
      <c r="D1290" s="148" t="s">
        <v>57</v>
      </c>
      <c r="E1290" s="148" t="s">
        <v>30</v>
      </c>
      <c r="F1290" s="149">
        <v>2026</v>
      </c>
      <c r="G1290" s="148" t="s">
        <v>36</v>
      </c>
      <c r="H1290" s="148"/>
      <c r="I1290" s="150">
        <v>47053</v>
      </c>
      <c r="J1290" s="149">
        <v>171</v>
      </c>
      <c r="K1290" s="150">
        <v>614317</v>
      </c>
      <c r="L1290" s="152"/>
      <c r="M1290" s="152">
        <f t="shared" si="20"/>
        <v>0</v>
      </c>
      <c r="N1290" s="148"/>
      <c r="O1290" s="150">
        <v>179976</v>
      </c>
      <c r="P1290" s="150">
        <v>10587</v>
      </c>
      <c r="Q1290" s="154">
        <v>0.31</v>
      </c>
      <c r="R1290" s="154">
        <v>0.68</v>
      </c>
      <c r="S1290" s="154">
        <v>0.01</v>
      </c>
      <c r="T1290" s="148" t="s">
        <v>44</v>
      </c>
      <c r="U1290" s="154">
        <v>0.207</v>
      </c>
      <c r="V1290" s="154">
        <v>0.451</v>
      </c>
      <c r="W1290" s="154">
        <v>0.202</v>
      </c>
      <c r="X1290" s="154">
        <v>0.097</v>
      </c>
      <c r="Y1290" s="154">
        <v>0.043</v>
      </c>
      <c r="Z1290" s="148" t="s">
        <v>44</v>
      </c>
      <c r="AA1290" s="148" t="s">
        <v>45</v>
      </c>
    </row>
    <row r="1291" spans="1:27">
      <c r="A1291" s="147">
        <v>2670</v>
      </c>
      <c r="B1291" s="147" t="s">
        <v>66</v>
      </c>
      <c r="C1291" s="147" t="s">
        <v>53</v>
      </c>
      <c r="D1291" s="148" t="s">
        <v>57</v>
      </c>
      <c r="E1291" s="148" t="s">
        <v>30</v>
      </c>
      <c r="F1291" s="149">
        <v>2026</v>
      </c>
      <c r="G1291" s="148" t="s">
        <v>37</v>
      </c>
      <c r="H1291" s="148"/>
      <c r="I1291" s="150">
        <v>47650</v>
      </c>
      <c r="J1291" s="149">
        <v>592</v>
      </c>
      <c r="K1291" s="150">
        <v>1982919</v>
      </c>
      <c r="L1291" s="152"/>
      <c r="M1291" s="152">
        <f t="shared" si="20"/>
        <v>0</v>
      </c>
      <c r="N1291" s="148"/>
      <c r="O1291" s="149">
        <v>0</v>
      </c>
      <c r="P1291" s="150">
        <v>98360</v>
      </c>
      <c r="Q1291" s="154">
        <v>0.34</v>
      </c>
      <c r="R1291" s="154">
        <v>0.65</v>
      </c>
      <c r="S1291" s="154">
        <v>0.01</v>
      </c>
      <c r="T1291" s="148" t="s">
        <v>44</v>
      </c>
      <c r="U1291" s="154">
        <v>0.206</v>
      </c>
      <c r="V1291" s="154">
        <v>0.449</v>
      </c>
      <c r="W1291" s="154">
        <v>0.203</v>
      </c>
      <c r="X1291" s="154">
        <v>0.098</v>
      </c>
      <c r="Y1291" s="154">
        <v>0.044</v>
      </c>
      <c r="Z1291" s="148" t="s">
        <v>44</v>
      </c>
      <c r="AA1291" s="148" t="s">
        <v>45</v>
      </c>
    </row>
    <row r="1292" spans="1:27">
      <c r="A1292" s="147">
        <v>2671</v>
      </c>
      <c r="B1292" s="147" t="s">
        <v>66</v>
      </c>
      <c r="C1292" s="147" t="s">
        <v>53</v>
      </c>
      <c r="D1292" s="148" t="s">
        <v>57</v>
      </c>
      <c r="E1292" s="148" t="s">
        <v>30</v>
      </c>
      <c r="F1292" s="149">
        <v>2026</v>
      </c>
      <c r="G1292" s="148" t="s">
        <v>38</v>
      </c>
      <c r="H1292" s="148"/>
      <c r="I1292" s="150">
        <v>47937</v>
      </c>
      <c r="J1292" s="149">
        <v>287</v>
      </c>
      <c r="K1292" s="150">
        <v>1261777</v>
      </c>
      <c r="L1292" s="152"/>
      <c r="M1292" s="152">
        <f t="shared" si="20"/>
        <v>0</v>
      </c>
      <c r="N1292" s="148"/>
      <c r="O1292" s="148"/>
      <c r="P1292" s="150">
        <v>53340</v>
      </c>
      <c r="Q1292" s="154">
        <v>0.35</v>
      </c>
      <c r="R1292" s="154">
        <v>0.64</v>
      </c>
      <c r="S1292" s="154">
        <v>0.01</v>
      </c>
      <c r="T1292" s="148" t="s">
        <v>44</v>
      </c>
      <c r="U1292" s="154">
        <v>0.203</v>
      </c>
      <c r="V1292" s="154">
        <v>0.45</v>
      </c>
      <c r="W1292" s="154">
        <v>0.204</v>
      </c>
      <c r="X1292" s="154">
        <v>0.099</v>
      </c>
      <c r="Y1292" s="154">
        <v>0.044</v>
      </c>
      <c r="Z1292" s="148" t="s">
        <v>44</v>
      </c>
      <c r="AA1292" s="148" t="s">
        <v>45</v>
      </c>
    </row>
    <row r="1293" spans="1:27">
      <c r="A1293" s="147">
        <v>2672</v>
      </c>
      <c r="B1293" s="147" t="s">
        <v>66</v>
      </c>
      <c r="C1293" s="147" t="s">
        <v>53</v>
      </c>
      <c r="D1293" s="148" t="s">
        <v>57</v>
      </c>
      <c r="E1293" s="148" t="s">
        <v>30</v>
      </c>
      <c r="F1293" s="149">
        <v>2026</v>
      </c>
      <c r="G1293" s="148" t="s">
        <v>39</v>
      </c>
      <c r="H1293" s="148"/>
      <c r="I1293" s="148"/>
      <c r="J1293" s="148"/>
      <c r="K1293" s="148"/>
      <c r="L1293" s="152"/>
      <c r="M1293" s="152">
        <f t="shared" si="20"/>
        <v>0</v>
      </c>
      <c r="N1293" s="148"/>
      <c r="O1293" s="148"/>
      <c r="P1293" s="148"/>
      <c r="Q1293" s="148"/>
      <c r="R1293" s="148"/>
      <c r="S1293" s="148"/>
      <c r="T1293" s="148"/>
      <c r="U1293" s="148"/>
      <c r="V1293" s="148"/>
      <c r="W1293" s="148"/>
      <c r="X1293" s="148"/>
      <c r="Y1293" s="148"/>
      <c r="Z1293" s="148"/>
      <c r="AA1293" s="148"/>
    </row>
    <row r="1294" spans="1:27">
      <c r="A1294" s="147">
        <v>2673</v>
      </c>
      <c r="B1294" s="147" t="s">
        <v>66</v>
      </c>
      <c r="C1294" s="147" t="s">
        <v>53</v>
      </c>
      <c r="D1294" s="148" t="s">
        <v>57</v>
      </c>
      <c r="E1294" s="148" t="s">
        <v>30</v>
      </c>
      <c r="F1294" s="149">
        <v>2026</v>
      </c>
      <c r="G1294" s="148" t="s">
        <v>40</v>
      </c>
      <c r="H1294" s="148"/>
      <c r="I1294" s="148"/>
      <c r="J1294" s="148"/>
      <c r="K1294" s="148"/>
      <c r="L1294" s="152"/>
      <c r="M1294" s="152">
        <f t="shared" si="20"/>
        <v>0</v>
      </c>
      <c r="N1294" s="148"/>
      <c r="O1294" s="148"/>
      <c r="P1294" s="148"/>
      <c r="Q1294" s="148"/>
      <c r="R1294" s="148"/>
      <c r="S1294" s="148"/>
      <c r="T1294" s="148"/>
      <c r="U1294" s="148"/>
      <c r="V1294" s="148"/>
      <c r="W1294" s="148"/>
      <c r="X1294" s="148"/>
      <c r="Y1294" s="148"/>
      <c r="Z1294" s="148"/>
      <c r="AA1294" s="148"/>
    </row>
    <row r="1295" spans="1:27">
      <c r="A1295" s="147">
        <v>2674</v>
      </c>
      <c r="B1295" s="147" t="s">
        <v>66</v>
      </c>
      <c r="C1295" s="147" t="s">
        <v>53</v>
      </c>
      <c r="D1295" s="148" t="s">
        <v>57</v>
      </c>
      <c r="E1295" s="148" t="s">
        <v>30</v>
      </c>
      <c r="F1295" s="149">
        <v>2026</v>
      </c>
      <c r="G1295" s="148" t="s">
        <v>41</v>
      </c>
      <c r="H1295" s="148"/>
      <c r="I1295" s="148"/>
      <c r="J1295" s="148"/>
      <c r="K1295" s="148"/>
      <c r="L1295" s="152"/>
      <c r="M1295" s="152">
        <f t="shared" si="20"/>
        <v>0</v>
      </c>
      <c r="N1295" s="148"/>
      <c r="O1295" s="148"/>
      <c r="P1295" s="148"/>
      <c r="Q1295" s="148"/>
      <c r="R1295" s="148"/>
      <c r="S1295" s="148"/>
      <c r="T1295" s="148"/>
      <c r="U1295" s="148"/>
      <c r="V1295" s="148"/>
      <c r="W1295" s="148"/>
      <c r="X1295" s="148"/>
      <c r="Y1295" s="148"/>
      <c r="Z1295" s="148"/>
      <c r="AA1295" s="148"/>
    </row>
    <row r="1296" spans="1:27">
      <c r="A1296" s="147">
        <v>2675</v>
      </c>
      <c r="B1296" s="147" t="s">
        <v>66</v>
      </c>
      <c r="C1296" s="147" t="s">
        <v>53</v>
      </c>
      <c r="D1296" s="148" t="s">
        <v>57</v>
      </c>
      <c r="E1296" s="148" t="s">
        <v>30</v>
      </c>
      <c r="F1296" s="149">
        <v>2026</v>
      </c>
      <c r="G1296" s="148" t="s">
        <v>42</v>
      </c>
      <c r="H1296" s="148"/>
      <c r="I1296" s="148"/>
      <c r="J1296" s="148"/>
      <c r="K1296" s="148"/>
      <c r="L1296" s="152"/>
      <c r="M1296" s="152">
        <f t="shared" si="20"/>
        <v>0</v>
      </c>
      <c r="N1296" s="148"/>
      <c r="O1296" s="148"/>
      <c r="P1296" s="148"/>
      <c r="Q1296" s="148"/>
      <c r="R1296" s="148"/>
      <c r="S1296" s="148"/>
      <c r="T1296" s="148"/>
      <c r="U1296" s="148"/>
      <c r="V1296" s="148"/>
      <c r="W1296" s="148"/>
      <c r="X1296" s="148"/>
      <c r="Y1296" s="148"/>
      <c r="Z1296" s="148"/>
      <c r="AA1296" s="148"/>
    </row>
    <row r="1297" spans="1:27">
      <c r="A1297" s="147">
        <v>2676</v>
      </c>
      <c r="B1297" s="147" t="s">
        <v>66</v>
      </c>
      <c r="C1297" s="147" t="s">
        <v>53</v>
      </c>
      <c r="D1297" s="148" t="s">
        <v>57</v>
      </c>
      <c r="E1297" s="148" t="s">
        <v>30</v>
      </c>
      <c r="F1297" s="149">
        <v>2026</v>
      </c>
      <c r="G1297" s="148" t="s">
        <v>43</v>
      </c>
      <c r="H1297" s="148"/>
      <c r="I1297" s="148"/>
      <c r="J1297" s="148"/>
      <c r="K1297" s="148"/>
      <c r="L1297" s="152"/>
      <c r="M1297" s="152">
        <f t="shared" si="20"/>
        <v>0</v>
      </c>
      <c r="N1297" s="148"/>
      <c r="O1297" s="148"/>
      <c r="P1297" s="148"/>
      <c r="Q1297" s="148"/>
      <c r="R1297" s="148"/>
      <c r="S1297" s="148"/>
      <c r="T1297" s="148"/>
      <c r="U1297" s="148"/>
      <c r="V1297" s="148"/>
      <c r="W1297" s="148"/>
      <c r="X1297" s="148"/>
      <c r="Y1297" s="148"/>
      <c r="Z1297" s="148"/>
      <c r="AA1297" s="148"/>
    </row>
    <row r="1298" spans="1:27">
      <c r="A1298" s="147">
        <v>2689</v>
      </c>
      <c r="B1298" s="147" t="s">
        <v>66</v>
      </c>
      <c r="C1298" s="147" t="s">
        <v>58</v>
      </c>
      <c r="D1298" s="148" t="s">
        <v>59</v>
      </c>
      <c r="E1298" s="148" t="s">
        <v>30</v>
      </c>
      <c r="F1298" s="149">
        <v>2024</v>
      </c>
      <c r="G1298" s="148" t="s">
        <v>31</v>
      </c>
      <c r="H1298" s="149">
        <v>250</v>
      </c>
      <c r="I1298" s="149" t="s">
        <v>44</v>
      </c>
      <c r="J1298" s="149" t="s">
        <v>48</v>
      </c>
      <c r="K1298" s="149" t="s">
        <v>48</v>
      </c>
      <c r="L1298" s="152"/>
      <c r="M1298" s="152">
        <f t="shared" si="20"/>
        <v>0</v>
      </c>
      <c r="N1298" s="148"/>
      <c r="O1298" s="148"/>
      <c r="P1298" s="148"/>
      <c r="Q1298" s="148"/>
      <c r="R1298" s="148"/>
      <c r="S1298" s="148"/>
      <c r="T1298" s="148"/>
      <c r="U1298" s="148"/>
      <c r="V1298" s="148"/>
      <c r="W1298" s="148"/>
      <c r="X1298" s="148"/>
      <c r="Y1298" s="148"/>
      <c r="Z1298" s="148"/>
      <c r="AA1298" s="148"/>
    </row>
    <row r="1299" spans="1:27">
      <c r="A1299" s="147">
        <v>2690</v>
      </c>
      <c r="B1299" s="147" t="s">
        <v>66</v>
      </c>
      <c r="C1299" s="147" t="s">
        <v>58</v>
      </c>
      <c r="D1299" s="148" t="s">
        <v>59</v>
      </c>
      <c r="E1299" s="148" t="s">
        <v>30</v>
      </c>
      <c r="F1299" s="149">
        <v>2024</v>
      </c>
      <c r="G1299" s="148" t="s">
        <v>33</v>
      </c>
      <c r="H1299" s="149">
        <v>222</v>
      </c>
      <c r="I1299" s="149" t="s">
        <v>44</v>
      </c>
      <c r="J1299" s="149" t="s">
        <v>48</v>
      </c>
      <c r="K1299" s="149" t="s">
        <v>48</v>
      </c>
      <c r="L1299" s="152"/>
      <c r="M1299" s="152">
        <f t="shared" si="20"/>
        <v>0</v>
      </c>
      <c r="N1299" s="148"/>
      <c r="O1299" s="148"/>
      <c r="P1299" s="148"/>
      <c r="Q1299" s="148"/>
      <c r="R1299" s="148"/>
      <c r="S1299" s="148"/>
      <c r="T1299" s="148"/>
      <c r="U1299" s="148"/>
      <c r="V1299" s="148"/>
      <c r="W1299" s="148"/>
      <c r="X1299" s="148"/>
      <c r="Y1299" s="148"/>
      <c r="Z1299" s="148"/>
      <c r="AA1299" s="148"/>
    </row>
    <row r="1300" spans="1:27">
      <c r="A1300" s="147">
        <v>2691</v>
      </c>
      <c r="B1300" s="147" t="s">
        <v>66</v>
      </c>
      <c r="C1300" s="147" t="s">
        <v>58</v>
      </c>
      <c r="D1300" s="148" t="s">
        <v>59</v>
      </c>
      <c r="E1300" s="148" t="s">
        <v>30</v>
      </c>
      <c r="F1300" s="149">
        <v>2024</v>
      </c>
      <c r="G1300" s="148" t="s">
        <v>34</v>
      </c>
      <c r="H1300" s="149">
        <v>144</v>
      </c>
      <c r="I1300" s="149" t="s">
        <v>44</v>
      </c>
      <c r="J1300" s="149" t="s">
        <v>48</v>
      </c>
      <c r="K1300" s="149" t="s">
        <v>48</v>
      </c>
      <c r="L1300" s="152"/>
      <c r="M1300" s="152">
        <f t="shared" si="20"/>
        <v>0</v>
      </c>
      <c r="N1300" s="148"/>
      <c r="O1300" s="148"/>
      <c r="P1300" s="148"/>
      <c r="Q1300" s="148"/>
      <c r="R1300" s="148"/>
      <c r="S1300" s="148"/>
      <c r="T1300" s="148"/>
      <c r="U1300" s="148"/>
      <c r="V1300" s="148"/>
      <c r="W1300" s="148"/>
      <c r="X1300" s="148"/>
      <c r="Y1300" s="148"/>
      <c r="Z1300" s="148"/>
      <c r="AA1300" s="148"/>
    </row>
    <row r="1301" spans="1:27">
      <c r="A1301" s="147">
        <v>2692</v>
      </c>
      <c r="B1301" s="147" t="s">
        <v>66</v>
      </c>
      <c r="C1301" s="147" t="s">
        <v>58</v>
      </c>
      <c r="D1301" s="148" t="s">
        <v>59</v>
      </c>
      <c r="E1301" s="148" t="s">
        <v>30</v>
      </c>
      <c r="F1301" s="149">
        <v>2024</v>
      </c>
      <c r="G1301" s="148" t="s">
        <v>35</v>
      </c>
      <c r="H1301" s="149">
        <v>194</v>
      </c>
      <c r="I1301" s="149" t="s">
        <v>44</v>
      </c>
      <c r="J1301" s="149" t="s">
        <v>48</v>
      </c>
      <c r="K1301" s="149" t="s">
        <v>48</v>
      </c>
      <c r="L1301" s="152"/>
      <c r="M1301" s="152">
        <f t="shared" si="20"/>
        <v>0</v>
      </c>
      <c r="N1301" s="148"/>
      <c r="O1301" s="148"/>
      <c r="P1301" s="148"/>
      <c r="Q1301" s="148"/>
      <c r="R1301" s="148"/>
      <c r="S1301" s="148"/>
      <c r="T1301" s="148"/>
      <c r="U1301" s="148"/>
      <c r="V1301" s="148"/>
      <c r="W1301" s="148"/>
      <c r="X1301" s="148"/>
      <c r="Y1301" s="148"/>
      <c r="Z1301" s="148"/>
      <c r="AA1301" s="148"/>
    </row>
    <row r="1302" spans="1:27">
      <c r="A1302" s="147">
        <v>2693</v>
      </c>
      <c r="B1302" s="147" t="s">
        <v>66</v>
      </c>
      <c r="C1302" s="147" t="s">
        <v>58</v>
      </c>
      <c r="D1302" s="148" t="s">
        <v>59</v>
      </c>
      <c r="E1302" s="148" t="s">
        <v>30</v>
      </c>
      <c r="F1302" s="149">
        <v>2024</v>
      </c>
      <c r="G1302" s="148" t="s">
        <v>36</v>
      </c>
      <c r="H1302" s="149">
        <v>217</v>
      </c>
      <c r="I1302" s="150">
        <v>2510237</v>
      </c>
      <c r="J1302" s="149" t="s">
        <v>48</v>
      </c>
      <c r="K1302" s="149" t="s">
        <v>48</v>
      </c>
      <c r="L1302" s="152"/>
      <c r="M1302" s="152">
        <f t="shared" si="20"/>
        <v>0</v>
      </c>
      <c r="N1302" s="148"/>
      <c r="O1302" s="148"/>
      <c r="P1302" s="148"/>
      <c r="Q1302" s="148"/>
      <c r="R1302" s="148"/>
      <c r="S1302" s="148"/>
      <c r="T1302" s="148"/>
      <c r="U1302" s="148"/>
      <c r="V1302" s="148"/>
      <c r="W1302" s="148"/>
      <c r="X1302" s="148"/>
      <c r="Y1302" s="148"/>
      <c r="Z1302" s="148"/>
      <c r="AA1302" s="148"/>
    </row>
    <row r="1303" spans="1:27">
      <c r="A1303" s="147">
        <v>2694</v>
      </c>
      <c r="B1303" s="147" t="s">
        <v>66</v>
      </c>
      <c r="C1303" s="147" t="s">
        <v>58</v>
      </c>
      <c r="D1303" s="148" t="s">
        <v>59</v>
      </c>
      <c r="E1303" s="148" t="s">
        <v>30</v>
      </c>
      <c r="F1303" s="149">
        <v>2024</v>
      </c>
      <c r="G1303" s="148" t="s">
        <v>37</v>
      </c>
      <c r="H1303" s="149">
        <v>137</v>
      </c>
      <c r="I1303" s="150">
        <v>2501680</v>
      </c>
      <c r="J1303" s="150">
        <v>-8557</v>
      </c>
      <c r="K1303" s="150">
        <v>1523639</v>
      </c>
      <c r="L1303" s="152"/>
      <c r="M1303" s="152">
        <f t="shared" si="20"/>
        <v>0</v>
      </c>
      <c r="N1303" s="148"/>
      <c r="O1303" s="148"/>
      <c r="P1303" s="148"/>
      <c r="Q1303" s="148"/>
      <c r="R1303" s="148"/>
      <c r="S1303" s="148"/>
      <c r="T1303" s="148"/>
      <c r="U1303" s="148"/>
      <c r="V1303" s="148"/>
      <c r="W1303" s="148"/>
      <c r="X1303" s="148"/>
      <c r="Y1303" s="148"/>
      <c r="Z1303" s="148"/>
      <c r="AA1303" s="148"/>
    </row>
    <row r="1304" spans="1:27">
      <c r="A1304" s="147">
        <v>2695</v>
      </c>
      <c r="B1304" s="147" t="s">
        <v>66</v>
      </c>
      <c r="C1304" s="147" t="s">
        <v>58</v>
      </c>
      <c r="D1304" s="148" t="s">
        <v>59</v>
      </c>
      <c r="E1304" s="148" t="s">
        <v>30</v>
      </c>
      <c r="F1304" s="149">
        <v>2024</v>
      </c>
      <c r="G1304" s="148" t="s">
        <v>38</v>
      </c>
      <c r="H1304" s="149">
        <v>93</v>
      </c>
      <c r="I1304" s="150">
        <v>2498325</v>
      </c>
      <c r="J1304" s="150">
        <v>-3355</v>
      </c>
      <c r="K1304" s="150">
        <v>6280179</v>
      </c>
      <c r="L1304" s="152"/>
      <c r="M1304" s="152">
        <f t="shared" si="20"/>
        <v>0</v>
      </c>
      <c r="N1304" s="148"/>
      <c r="O1304" s="148"/>
      <c r="P1304" s="148"/>
      <c r="Q1304" s="148"/>
      <c r="R1304" s="148"/>
      <c r="S1304" s="148"/>
      <c r="T1304" s="148"/>
      <c r="U1304" s="148"/>
      <c r="V1304" s="148"/>
      <c r="W1304" s="148"/>
      <c r="X1304" s="148"/>
      <c r="Y1304" s="148"/>
      <c r="Z1304" s="148"/>
      <c r="AA1304" s="148"/>
    </row>
    <row r="1305" spans="1:27">
      <c r="A1305" s="147">
        <v>2696</v>
      </c>
      <c r="B1305" s="147" t="s">
        <v>66</v>
      </c>
      <c r="C1305" s="147" t="s">
        <v>58</v>
      </c>
      <c r="D1305" s="148" t="s">
        <v>59</v>
      </c>
      <c r="E1305" s="148" t="s">
        <v>30</v>
      </c>
      <c r="F1305" s="149">
        <v>2024</v>
      </c>
      <c r="G1305" s="148" t="s">
        <v>39</v>
      </c>
      <c r="H1305" s="149">
        <v>117</v>
      </c>
      <c r="I1305" s="150">
        <v>2496679</v>
      </c>
      <c r="J1305" s="150">
        <v>-1646</v>
      </c>
      <c r="K1305" s="150">
        <v>6820864</v>
      </c>
      <c r="L1305" s="152"/>
      <c r="M1305" s="152">
        <f t="shared" si="20"/>
        <v>0</v>
      </c>
      <c r="N1305" s="148"/>
      <c r="O1305" s="148"/>
      <c r="P1305" s="148"/>
      <c r="Q1305" s="148"/>
      <c r="R1305" s="148"/>
      <c r="S1305" s="148"/>
      <c r="T1305" s="148"/>
      <c r="U1305" s="148"/>
      <c r="V1305" s="148"/>
      <c r="W1305" s="148"/>
      <c r="X1305" s="148"/>
      <c r="Y1305" s="148"/>
      <c r="Z1305" s="148"/>
      <c r="AA1305" s="148"/>
    </row>
    <row r="1306" spans="1:27">
      <c r="A1306" s="147">
        <v>2697</v>
      </c>
      <c r="B1306" s="147" t="s">
        <v>66</v>
      </c>
      <c r="C1306" s="147" t="s">
        <v>58</v>
      </c>
      <c r="D1306" s="148" t="s">
        <v>59</v>
      </c>
      <c r="E1306" s="148" t="s">
        <v>30</v>
      </c>
      <c r="F1306" s="149">
        <v>2024</v>
      </c>
      <c r="G1306" s="148" t="s">
        <v>40</v>
      </c>
      <c r="H1306" s="149">
        <v>314</v>
      </c>
      <c r="I1306" s="150">
        <v>2494449</v>
      </c>
      <c r="J1306" s="150">
        <v>-2230</v>
      </c>
      <c r="K1306" s="150">
        <v>6280061</v>
      </c>
      <c r="L1306" s="152"/>
      <c r="M1306" s="152">
        <f t="shared" si="20"/>
        <v>0</v>
      </c>
      <c r="N1306" s="148"/>
      <c r="O1306" s="148"/>
      <c r="P1306" s="148"/>
      <c r="Q1306" s="148"/>
      <c r="R1306" s="148"/>
      <c r="S1306" s="148"/>
      <c r="T1306" s="148"/>
      <c r="U1306" s="148"/>
      <c r="V1306" s="148"/>
      <c r="W1306" s="148"/>
      <c r="X1306" s="148"/>
      <c r="Y1306" s="148"/>
      <c r="Z1306" s="148"/>
      <c r="AA1306" s="148"/>
    </row>
    <row r="1307" spans="1:27">
      <c r="A1307" s="147">
        <v>2698</v>
      </c>
      <c r="B1307" s="147" t="s">
        <v>66</v>
      </c>
      <c r="C1307" s="147" t="s">
        <v>58</v>
      </c>
      <c r="D1307" s="148" t="s">
        <v>59</v>
      </c>
      <c r="E1307" s="148" t="s">
        <v>30</v>
      </c>
      <c r="F1307" s="149">
        <v>2024</v>
      </c>
      <c r="G1307" s="148" t="s">
        <v>41</v>
      </c>
      <c r="H1307" s="149">
        <v>394</v>
      </c>
      <c r="I1307" s="150">
        <v>2500316</v>
      </c>
      <c r="J1307" s="150">
        <v>5867</v>
      </c>
      <c r="K1307" s="150">
        <v>17544785</v>
      </c>
      <c r="L1307" s="152"/>
      <c r="M1307" s="152">
        <f t="shared" si="20"/>
        <v>0</v>
      </c>
      <c r="N1307" s="148"/>
      <c r="O1307" s="148"/>
      <c r="P1307" s="148"/>
      <c r="Q1307" s="148"/>
      <c r="R1307" s="148"/>
      <c r="S1307" s="148"/>
      <c r="T1307" s="148"/>
      <c r="U1307" s="148"/>
      <c r="V1307" s="148"/>
      <c r="W1307" s="148"/>
      <c r="X1307" s="148"/>
      <c r="Y1307" s="148"/>
      <c r="Z1307" s="148"/>
      <c r="AA1307" s="148"/>
    </row>
    <row r="1308" spans="1:27">
      <c r="A1308" s="147">
        <v>2699</v>
      </c>
      <c r="B1308" s="147" t="s">
        <v>66</v>
      </c>
      <c r="C1308" s="147" t="s">
        <v>58</v>
      </c>
      <c r="D1308" s="148" t="s">
        <v>59</v>
      </c>
      <c r="E1308" s="148" t="s">
        <v>30</v>
      </c>
      <c r="F1308" s="149">
        <v>2024</v>
      </c>
      <c r="G1308" s="148" t="s">
        <v>42</v>
      </c>
      <c r="H1308" s="149">
        <v>366</v>
      </c>
      <c r="I1308" s="150">
        <v>2513654</v>
      </c>
      <c r="J1308" s="150">
        <v>13338</v>
      </c>
      <c r="K1308" s="150">
        <v>25270860</v>
      </c>
      <c r="L1308" s="152"/>
      <c r="M1308" s="152">
        <f t="shared" si="20"/>
        <v>0</v>
      </c>
      <c r="N1308" s="148"/>
      <c r="O1308" s="148"/>
      <c r="P1308" s="148"/>
      <c r="Q1308" s="148"/>
      <c r="R1308" s="148"/>
      <c r="S1308" s="148"/>
      <c r="T1308" s="148"/>
      <c r="U1308" s="148"/>
      <c r="V1308" s="148"/>
      <c r="W1308" s="148"/>
      <c r="X1308" s="148"/>
      <c r="Y1308" s="148"/>
      <c r="Z1308" s="148"/>
      <c r="AA1308" s="148"/>
    </row>
    <row r="1309" spans="1:27">
      <c r="A1309" s="147">
        <v>2700</v>
      </c>
      <c r="B1309" s="147" t="s">
        <v>66</v>
      </c>
      <c r="C1309" s="147" t="s">
        <v>58</v>
      </c>
      <c r="D1309" s="148" t="s">
        <v>59</v>
      </c>
      <c r="E1309" s="148" t="s">
        <v>30</v>
      </c>
      <c r="F1309" s="149">
        <v>2024</v>
      </c>
      <c r="G1309" s="148" t="s">
        <v>43</v>
      </c>
      <c r="H1309" s="149">
        <v>190</v>
      </c>
      <c r="I1309" s="150">
        <v>2526770</v>
      </c>
      <c r="J1309" s="150">
        <v>13116</v>
      </c>
      <c r="K1309" s="150">
        <v>20650605</v>
      </c>
      <c r="L1309" s="152"/>
      <c r="M1309" s="152">
        <f t="shared" si="20"/>
        <v>0</v>
      </c>
      <c r="N1309" s="148"/>
      <c r="O1309" s="148"/>
      <c r="P1309" s="148"/>
      <c r="Q1309" s="148"/>
      <c r="R1309" s="148"/>
      <c r="S1309" s="148"/>
      <c r="T1309" s="148"/>
      <c r="U1309" s="148"/>
      <c r="V1309" s="148"/>
      <c r="W1309" s="148"/>
      <c r="X1309" s="148"/>
      <c r="Y1309" s="148"/>
      <c r="Z1309" s="148"/>
      <c r="AA1309" s="148"/>
    </row>
    <row r="1310" spans="1:27">
      <c r="A1310" s="147">
        <v>2701</v>
      </c>
      <c r="B1310" s="147" t="s">
        <v>66</v>
      </c>
      <c r="C1310" s="147" t="s">
        <v>58</v>
      </c>
      <c r="D1310" s="148" t="s">
        <v>59</v>
      </c>
      <c r="E1310" s="148" t="s">
        <v>30</v>
      </c>
      <c r="F1310" s="149">
        <v>2025</v>
      </c>
      <c r="G1310" s="148" t="s">
        <v>31</v>
      </c>
      <c r="H1310" s="149">
        <v>182</v>
      </c>
      <c r="I1310" s="150">
        <v>2555707</v>
      </c>
      <c r="J1310" s="150">
        <v>28937</v>
      </c>
      <c r="K1310" s="150">
        <v>43828914</v>
      </c>
      <c r="L1310" s="152"/>
      <c r="M1310" s="152">
        <f t="shared" si="20"/>
        <v>0</v>
      </c>
      <c r="N1310" s="148"/>
      <c r="O1310" s="148"/>
      <c r="P1310" s="148"/>
      <c r="Q1310" s="148"/>
      <c r="R1310" s="148"/>
      <c r="S1310" s="148"/>
      <c r="T1310" s="148"/>
      <c r="U1310" s="148"/>
      <c r="V1310" s="148"/>
      <c r="W1310" s="148"/>
      <c r="X1310" s="148"/>
      <c r="Y1310" s="148"/>
      <c r="Z1310" s="148"/>
      <c r="AA1310" s="148"/>
    </row>
    <row r="1311" spans="1:27">
      <c r="A1311" s="147">
        <v>2702</v>
      </c>
      <c r="B1311" s="147" t="s">
        <v>66</v>
      </c>
      <c r="C1311" s="147" t="s">
        <v>58</v>
      </c>
      <c r="D1311" s="148" t="s">
        <v>59</v>
      </c>
      <c r="E1311" s="148" t="s">
        <v>30</v>
      </c>
      <c r="F1311" s="149">
        <v>2025</v>
      </c>
      <c r="G1311" s="148" t="s">
        <v>33</v>
      </c>
      <c r="H1311" s="149">
        <v>201</v>
      </c>
      <c r="I1311" s="150">
        <v>2559155</v>
      </c>
      <c r="J1311" s="150">
        <v>3448</v>
      </c>
      <c r="K1311" s="150">
        <v>13608502</v>
      </c>
      <c r="L1311" s="152"/>
      <c r="M1311" s="152">
        <f t="shared" si="20"/>
        <v>0</v>
      </c>
      <c r="N1311" s="148"/>
      <c r="O1311" s="148"/>
      <c r="P1311" s="148"/>
      <c r="Q1311" s="148"/>
      <c r="R1311" s="148"/>
      <c r="S1311" s="148"/>
      <c r="T1311" s="148"/>
      <c r="U1311" s="148"/>
      <c r="V1311" s="148"/>
      <c r="W1311" s="148"/>
      <c r="X1311" s="148"/>
      <c r="Y1311" s="148"/>
      <c r="Z1311" s="148"/>
      <c r="AA1311" s="148"/>
    </row>
    <row r="1312" spans="1:27">
      <c r="A1312" s="147">
        <v>2703</v>
      </c>
      <c r="B1312" s="147" t="s">
        <v>66</v>
      </c>
      <c r="C1312" s="147" t="s">
        <v>58</v>
      </c>
      <c r="D1312" s="148" t="s">
        <v>59</v>
      </c>
      <c r="E1312" s="148" t="s">
        <v>30</v>
      </c>
      <c r="F1312" s="149">
        <v>2025</v>
      </c>
      <c r="G1312" s="148" t="s">
        <v>34</v>
      </c>
      <c r="H1312" s="149">
        <v>178</v>
      </c>
      <c r="I1312" s="150">
        <v>2563012</v>
      </c>
      <c r="J1312" s="150">
        <v>3857</v>
      </c>
      <c r="K1312" s="150">
        <v>18059642</v>
      </c>
      <c r="L1312" s="152"/>
      <c r="M1312" s="152">
        <f t="shared" si="20"/>
        <v>0</v>
      </c>
      <c r="N1312" s="148"/>
      <c r="O1312" s="148"/>
      <c r="P1312" s="148"/>
      <c r="Q1312" s="148"/>
      <c r="R1312" s="148"/>
      <c r="S1312" s="148"/>
      <c r="T1312" s="148"/>
      <c r="U1312" s="148"/>
      <c r="V1312" s="148"/>
      <c r="W1312" s="148"/>
      <c r="X1312" s="148"/>
      <c r="Y1312" s="148"/>
      <c r="Z1312" s="148"/>
      <c r="AA1312" s="148"/>
    </row>
    <row r="1313" spans="1:27">
      <c r="A1313" s="147">
        <v>2704</v>
      </c>
      <c r="B1313" s="147" t="s">
        <v>66</v>
      </c>
      <c r="C1313" s="147" t="s">
        <v>58</v>
      </c>
      <c r="D1313" s="148" t="s">
        <v>59</v>
      </c>
      <c r="E1313" s="148" t="s">
        <v>30</v>
      </c>
      <c r="F1313" s="149">
        <v>2025</v>
      </c>
      <c r="G1313" s="148" t="s">
        <v>35</v>
      </c>
      <c r="H1313" s="149">
        <v>102</v>
      </c>
      <c r="I1313" s="150">
        <v>2565956</v>
      </c>
      <c r="J1313" s="150">
        <v>2944</v>
      </c>
      <c r="K1313" s="150">
        <v>17948127</v>
      </c>
      <c r="L1313" s="152"/>
      <c r="M1313" s="152">
        <f t="shared" si="20"/>
        <v>0</v>
      </c>
      <c r="N1313" s="148"/>
      <c r="O1313" s="148"/>
      <c r="P1313" s="148"/>
      <c r="Q1313" s="148"/>
      <c r="R1313" s="148"/>
      <c r="S1313" s="148"/>
      <c r="T1313" s="148"/>
      <c r="U1313" s="148"/>
      <c r="V1313" s="148"/>
      <c r="W1313" s="148"/>
      <c r="X1313" s="148"/>
      <c r="Y1313" s="148"/>
      <c r="Z1313" s="148"/>
      <c r="AA1313" s="148"/>
    </row>
    <row r="1314" spans="1:27">
      <c r="A1314" s="147">
        <v>2705</v>
      </c>
      <c r="B1314" s="147" t="s">
        <v>66</v>
      </c>
      <c r="C1314" s="147" t="s">
        <v>58</v>
      </c>
      <c r="D1314" s="148" t="s">
        <v>59</v>
      </c>
      <c r="E1314" s="148" t="s">
        <v>30</v>
      </c>
      <c r="F1314" s="149">
        <v>2025</v>
      </c>
      <c r="G1314" s="148" t="s">
        <v>36</v>
      </c>
      <c r="H1314" s="149">
        <v>131</v>
      </c>
      <c r="I1314" s="150">
        <v>2571916</v>
      </c>
      <c r="J1314" s="150">
        <v>5960</v>
      </c>
      <c r="K1314" s="150">
        <v>16215423</v>
      </c>
      <c r="L1314" s="152"/>
      <c r="M1314" s="152">
        <f t="shared" si="20"/>
        <v>0</v>
      </c>
      <c r="N1314" s="148"/>
      <c r="O1314" s="148"/>
      <c r="P1314" s="148"/>
      <c r="Q1314" s="148"/>
      <c r="R1314" s="148"/>
      <c r="S1314" s="148"/>
      <c r="T1314" s="148"/>
      <c r="U1314" s="148"/>
      <c r="V1314" s="148"/>
      <c r="W1314" s="148"/>
      <c r="X1314" s="148"/>
      <c r="Y1314" s="148"/>
      <c r="Z1314" s="148"/>
      <c r="AA1314" s="148"/>
    </row>
    <row r="1315" spans="1:27">
      <c r="A1315" s="147">
        <v>2706</v>
      </c>
      <c r="B1315" s="147" t="s">
        <v>66</v>
      </c>
      <c r="C1315" s="147" t="s">
        <v>58</v>
      </c>
      <c r="D1315" s="148" t="s">
        <v>59</v>
      </c>
      <c r="E1315" s="148" t="s">
        <v>30</v>
      </c>
      <c r="F1315" s="149">
        <v>2025</v>
      </c>
      <c r="G1315" s="148" t="s">
        <v>37</v>
      </c>
      <c r="H1315" s="149">
        <v>154</v>
      </c>
      <c r="I1315" s="150">
        <v>2574178</v>
      </c>
      <c r="J1315" s="150">
        <v>2262</v>
      </c>
      <c r="K1315" s="150">
        <v>14449667</v>
      </c>
      <c r="L1315" s="152"/>
      <c r="M1315" s="152">
        <f t="shared" si="20"/>
        <v>0</v>
      </c>
      <c r="N1315" s="148"/>
      <c r="O1315" s="148"/>
      <c r="P1315" s="148"/>
      <c r="Q1315" s="148"/>
      <c r="R1315" s="148"/>
      <c r="S1315" s="148"/>
      <c r="T1315" s="148"/>
      <c r="U1315" s="148"/>
      <c r="V1315" s="148"/>
      <c r="W1315" s="148"/>
      <c r="X1315" s="148"/>
      <c r="Y1315" s="148"/>
      <c r="Z1315" s="148"/>
      <c r="AA1315" s="148"/>
    </row>
    <row r="1316" spans="1:27">
      <c r="A1316" s="147">
        <v>2707</v>
      </c>
      <c r="B1316" s="147" t="s">
        <v>66</v>
      </c>
      <c r="C1316" s="147" t="s">
        <v>58</v>
      </c>
      <c r="D1316" s="148" t="s">
        <v>59</v>
      </c>
      <c r="E1316" s="148" t="s">
        <v>30</v>
      </c>
      <c r="F1316" s="149">
        <v>2025</v>
      </c>
      <c r="G1316" s="148" t="s">
        <v>38</v>
      </c>
      <c r="H1316" s="149">
        <v>125</v>
      </c>
      <c r="I1316" s="150">
        <v>2578871</v>
      </c>
      <c r="J1316" s="150">
        <v>6077</v>
      </c>
      <c r="K1316" s="150">
        <v>11837879</v>
      </c>
      <c r="L1316" s="152"/>
      <c r="M1316" s="152">
        <f t="shared" si="20"/>
        <v>0</v>
      </c>
      <c r="N1316" s="148"/>
      <c r="O1316" s="150">
        <v>10054556</v>
      </c>
      <c r="P1316" s="150">
        <v>239582</v>
      </c>
      <c r="Q1316" s="154">
        <v>0.48</v>
      </c>
      <c r="R1316" s="154">
        <v>0.37</v>
      </c>
      <c r="S1316" s="154">
        <v>0.15</v>
      </c>
      <c r="T1316" s="148" t="s">
        <v>44</v>
      </c>
      <c r="U1316" s="154">
        <v>0.28</v>
      </c>
      <c r="V1316" s="154">
        <v>0.481</v>
      </c>
      <c r="W1316" s="154">
        <v>0.156</v>
      </c>
      <c r="X1316" s="154">
        <v>0.057</v>
      </c>
      <c r="Y1316" s="154">
        <v>0.026</v>
      </c>
      <c r="Z1316" s="148" t="s">
        <v>44</v>
      </c>
      <c r="AA1316" s="148" t="s">
        <v>45</v>
      </c>
    </row>
    <row r="1317" spans="1:27">
      <c r="A1317" s="147">
        <v>2708</v>
      </c>
      <c r="B1317" s="147" t="s">
        <v>66</v>
      </c>
      <c r="C1317" s="147" t="s">
        <v>58</v>
      </c>
      <c r="D1317" s="148" t="s">
        <v>59</v>
      </c>
      <c r="E1317" s="148" t="s">
        <v>30</v>
      </c>
      <c r="F1317" s="149">
        <v>2025</v>
      </c>
      <c r="G1317" s="148" t="s">
        <v>39</v>
      </c>
      <c r="H1317" s="149">
        <v>151</v>
      </c>
      <c r="I1317" s="150">
        <v>2584119</v>
      </c>
      <c r="J1317" s="150">
        <v>4769</v>
      </c>
      <c r="K1317" s="150">
        <v>13801071</v>
      </c>
      <c r="L1317" s="152"/>
      <c r="M1317" s="152">
        <f t="shared" si="20"/>
        <v>0</v>
      </c>
      <c r="N1317" s="148"/>
      <c r="O1317" s="150">
        <v>11384438</v>
      </c>
      <c r="P1317" s="150">
        <v>313754</v>
      </c>
      <c r="Q1317" s="154">
        <v>0.48</v>
      </c>
      <c r="R1317" s="154">
        <v>0.37</v>
      </c>
      <c r="S1317" s="154">
        <v>0.15</v>
      </c>
      <c r="T1317" s="148" t="s">
        <v>44</v>
      </c>
      <c r="U1317" s="154">
        <v>0.278</v>
      </c>
      <c r="V1317" s="154">
        <v>0.48</v>
      </c>
      <c r="W1317" s="154">
        <v>0.157</v>
      </c>
      <c r="X1317" s="154">
        <v>0.058</v>
      </c>
      <c r="Y1317" s="154">
        <v>0.027</v>
      </c>
      <c r="Z1317" s="148" t="s">
        <v>44</v>
      </c>
      <c r="AA1317" s="148" t="s">
        <v>45</v>
      </c>
    </row>
    <row r="1318" spans="1:27">
      <c r="A1318" s="147">
        <v>2709</v>
      </c>
      <c r="B1318" s="147" t="s">
        <v>66</v>
      </c>
      <c r="C1318" s="147" t="s">
        <v>58</v>
      </c>
      <c r="D1318" s="148" t="s">
        <v>59</v>
      </c>
      <c r="E1318" s="148" t="s">
        <v>30</v>
      </c>
      <c r="F1318" s="149">
        <v>2025</v>
      </c>
      <c r="G1318" s="148" t="s">
        <v>40</v>
      </c>
      <c r="H1318" s="149">
        <v>180</v>
      </c>
      <c r="I1318" s="150">
        <v>2584419</v>
      </c>
      <c r="J1318" s="149">
        <v>738</v>
      </c>
      <c r="K1318" s="150">
        <v>7829984</v>
      </c>
      <c r="L1318" s="152"/>
      <c r="M1318" s="152">
        <f t="shared" si="20"/>
        <v>0</v>
      </c>
      <c r="N1318" s="148"/>
      <c r="O1318" s="150">
        <v>6289397</v>
      </c>
      <c r="P1318" s="150">
        <v>147471</v>
      </c>
      <c r="Q1318" s="154">
        <v>0.49</v>
      </c>
      <c r="R1318" s="154">
        <v>0.36</v>
      </c>
      <c r="S1318" s="154">
        <v>0.15</v>
      </c>
      <c r="T1318" s="148" t="s">
        <v>44</v>
      </c>
      <c r="U1318" s="154">
        <v>0.277</v>
      </c>
      <c r="V1318" s="154">
        <v>0.48</v>
      </c>
      <c r="W1318" s="154">
        <v>0.158</v>
      </c>
      <c r="X1318" s="154">
        <v>0.058</v>
      </c>
      <c r="Y1318" s="154">
        <v>0.027</v>
      </c>
      <c r="Z1318" s="148" t="s">
        <v>44</v>
      </c>
      <c r="AA1318" s="148" t="s">
        <v>45</v>
      </c>
    </row>
    <row r="1319" spans="1:27">
      <c r="A1319" s="147">
        <v>2710</v>
      </c>
      <c r="B1319" s="147" t="s">
        <v>66</v>
      </c>
      <c r="C1319" s="147" t="s">
        <v>58</v>
      </c>
      <c r="D1319" s="148" t="s">
        <v>59</v>
      </c>
      <c r="E1319" s="148" t="s">
        <v>30</v>
      </c>
      <c r="F1319" s="149">
        <v>2025</v>
      </c>
      <c r="G1319" s="148" t="s">
        <v>41</v>
      </c>
      <c r="H1319" s="149">
        <v>386</v>
      </c>
      <c r="I1319" s="150">
        <v>2586758</v>
      </c>
      <c r="J1319" s="150">
        <v>2468</v>
      </c>
      <c r="K1319" s="150">
        <v>14211713</v>
      </c>
      <c r="L1319" s="152"/>
      <c r="M1319" s="152">
        <f t="shared" si="20"/>
        <v>0</v>
      </c>
      <c r="N1319" s="148"/>
      <c r="O1319" s="150">
        <v>12270563</v>
      </c>
      <c r="P1319" s="150">
        <v>253449</v>
      </c>
      <c r="Q1319" s="154">
        <v>0.49</v>
      </c>
      <c r="R1319" s="154">
        <v>0.36</v>
      </c>
      <c r="S1319" s="154">
        <v>0.15</v>
      </c>
      <c r="T1319" s="148" t="s">
        <v>44</v>
      </c>
      <c r="U1319" s="154">
        <v>0.275</v>
      </c>
      <c r="V1319" s="154">
        <v>0.481</v>
      </c>
      <c r="W1319" s="154">
        <v>0.158</v>
      </c>
      <c r="X1319" s="154">
        <v>0.059</v>
      </c>
      <c r="Y1319" s="154">
        <v>0.027</v>
      </c>
      <c r="Z1319" s="148" t="s">
        <v>44</v>
      </c>
      <c r="AA1319" s="148" t="s">
        <v>45</v>
      </c>
    </row>
    <row r="1320" spans="1:27">
      <c r="A1320" s="147">
        <v>2711</v>
      </c>
      <c r="B1320" s="147" t="s">
        <v>66</v>
      </c>
      <c r="C1320" s="147" t="s">
        <v>58</v>
      </c>
      <c r="D1320" s="148" t="s">
        <v>59</v>
      </c>
      <c r="E1320" s="148" t="s">
        <v>30</v>
      </c>
      <c r="F1320" s="149">
        <v>2025</v>
      </c>
      <c r="G1320" s="148" t="s">
        <v>42</v>
      </c>
      <c r="H1320" s="149">
        <v>458</v>
      </c>
      <c r="I1320" s="150">
        <v>2592912</v>
      </c>
      <c r="J1320" s="150">
        <v>5807</v>
      </c>
      <c r="K1320" s="150">
        <v>29615098</v>
      </c>
      <c r="L1320" s="152"/>
      <c r="M1320" s="152">
        <f t="shared" si="20"/>
        <v>0</v>
      </c>
      <c r="N1320" s="148"/>
      <c r="O1320" s="150">
        <v>26758292</v>
      </c>
      <c r="P1320" s="150">
        <v>842610</v>
      </c>
      <c r="Q1320" s="154">
        <v>0.49</v>
      </c>
      <c r="R1320" s="154">
        <v>0.36</v>
      </c>
      <c r="S1320" s="154">
        <v>0.15</v>
      </c>
      <c r="T1320" s="148" t="s">
        <v>44</v>
      </c>
      <c r="U1320" s="154">
        <v>0.273</v>
      </c>
      <c r="V1320" s="154">
        <v>0.48</v>
      </c>
      <c r="W1320" s="154">
        <v>0.159</v>
      </c>
      <c r="X1320" s="154">
        <v>0.06</v>
      </c>
      <c r="Y1320" s="154">
        <v>0.028</v>
      </c>
      <c r="Z1320" s="148" t="s">
        <v>44</v>
      </c>
      <c r="AA1320" s="148" t="s">
        <v>45</v>
      </c>
    </row>
    <row r="1321" spans="1:27">
      <c r="A1321" s="147">
        <v>2712</v>
      </c>
      <c r="B1321" s="147" t="s">
        <v>66</v>
      </c>
      <c r="C1321" s="147" t="s">
        <v>58</v>
      </c>
      <c r="D1321" s="148" t="s">
        <v>59</v>
      </c>
      <c r="E1321" s="148" t="s">
        <v>30</v>
      </c>
      <c r="F1321" s="149">
        <v>2025</v>
      </c>
      <c r="G1321" s="148" t="s">
        <v>43</v>
      </c>
      <c r="H1321" s="149">
        <v>604</v>
      </c>
      <c r="I1321" s="150">
        <v>2624003</v>
      </c>
      <c r="J1321" s="150">
        <v>31091</v>
      </c>
      <c r="K1321" s="150">
        <v>92678774</v>
      </c>
      <c r="L1321" s="152"/>
      <c r="M1321" s="152">
        <f t="shared" si="20"/>
        <v>0</v>
      </c>
      <c r="N1321" s="148"/>
      <c r="O1321" s="150">
        <v>92176951</v>
      </c>
      <c r="P1321" s="150">
        <v>2676431</v>
      </c>
      <c r="Q1321" s="154">
        <v>0.49</v>
      </c>
      <c r="R1321" s="154">
        <v>0.36</v>
      </c>
      <c r="S1321" s="154">
        <v>0.15</v>
      </c>
      <c r="T1321" s="148" t="s">
        <v>44</v>
      </c>
      <c r="U1321" s="154">
        <v>0.269</v>
      </c>
      <c r="V1321" s="154">
        <v>0.478</v>
      </c>
      <c r="W1321" s="154">
        <v>0.162</v>
      </c>
      <c r="X1321" s="154">
        <v>0.062</v>
      </c>
      <c r="Y1321" s="154">
        <v>0.029</v>
      </c>
      <c r="Z1321" s="148" t="s">
        <v>44</v>
      </c>
      <c r="AA1321" s="148" t="s">
        <v>45</v>
      </c>
    </row>
    <row r="1322" spans="1:27">
      <c r="A1322" s="147">
        <v>2713</v>
      </c>
      <c r="B1322" s="147" t="s">
        <v>66</v>
      </c>
      <c r="C1322" s="147" t="s">
        <v>58</v>
      </c>
      <c r="D1322" s="148" t="s">
        <v>59</v>
      </c>
      <c r="E1322" s="148" t="s">
        <v>30</v>
      </c>
      <c r="F1322" s="149">
        <v>2026</v>
      </c>
      <c r="G1322" s="148" t="s">
        <v>31</v>
      </c>
      <c r="H1322" s="149">
        <v>809</v>
      </c>
      <c r="I1322" s="150">
        <v>2656224</v>
      </c>
      <c r="J1322" s="150">
        <v>32221</v>
      </c>
      <c r="K1322" s="150">
        <v>93807557</v>
      </c>
      <c r="L1322" s="152"/>
      <c r="M1322" s="152">
        <f t="shared" si="20"/>
        <v>0</v>
      </c>
      <c r="N1322" s="148"/>
      <c r="O1322" s="150">
        <v>93200160</v>
      </c>
      <c r="P1322" s="150">
        <v>2739710</v>
      </c>
      <c r="Q1322" s="154">
        <v>0.49</v>
      </c>
      <c r="R1322" s="154">
        <v>0.36</v>
      </c>
      <c r="S1322" s="154">
        <v>0.15</v>
      </c>
      <c r="T1322" s="148" t="s">
        <v>44</v>
      </c>
      <c r="U1322" s="154">
        <v>0.265</v>
      </c>
      <c r="V1322" s="154">
        <v>0.474</v>
      </c>
      <c r="W1322" s="154">
        <v>0.165</v>
      </c>
      <c r="X1322" s="154">
        <v>0.065</v>
      </c>
      <c r="Y1322" s="154">
        <v>0.031</v>
      </c>
      <c r="Z1322" s="148" t="s">
        <v>44</v>
      </c>
      <c r="AA1322" s="148" t="s">
        <v>45</v>
      </c>
    </row>
    <row r="1323" spans="1:27">
      <c r="A1323" s="147">
        <v>2714</v>
      </c>
      <c r="B1323" s="147" t="s">
        <v>66</v>
      </c>
      <c r="C1323" s="147" t="s">
        <v>58</v>
      </c>
      <c r="D1323" s="148" t="s">
        <v>59</v>
      </c>
      <c r="E1323" s="148" t="s">
        <v>30</v>
      </c>
      <c r="F1323" s="149">
        <v>2026</v>
      </c>
      <c r="G1323" s="148" t="s">
        <v>33</v>
      </c>
      <c r="H1323" s="149">
        <v>824</v>
      </c>
      <c r="I1323" s="150">
        <v>2717556</v>
      </c>
      <c r="J1323" s="150">
        <v>61332</v>
      </c>
      <c r="K1323" s="150">
        <v>204837089</v>
      </c>
      <c r="L1323" s="152"/>
      <c r="M1323" s="152">
        <f t="shared" si="20"/>
        <v>0</v>
      </c>
      <c r="N1323" s="148"/>
      <c r="O1323" s="150">
        <v>203851482</v>
      </c>
      <c r="P1323" s="150">
        <v>5144760</v>
      </c>
      <c r="Q1323" s="154">
        <v>0.49</v>
      </c>
      <c r="R1323" s="154">
        <v>0.36</v>
      </c>
      <c r="S1323" s="154">
        <v>0.15</v>
      </c>
      <c r="T1323" s="148" t="s">
        <v>44</v>
      </c>
      <c r="U1323" s="154">
        <v>0.261</v>
      </c>
      <c r="V1323" s="154">
        <v>0.471</v>
      </c>
      <c r="W1323" s="154">
        <v>0.167</v>
      </c>
      <c r="X1323" s="154">
        <v>0.068</v>
      </c>
      <c r="Y1323" s="154">
        <v>0.033</v>
      </c>
      <c r="Z1323" s="148" t="s">
        <v>44</v>
      </c>
      <c r="AA1323" s="148" t="s">
        <v>45</v>
      </c>
    </row>
    <row r="1324" spans="1:27">
      <c r="A1324" s="147">
        <v>2715</v>
      </c>
      <c r="B1324" s="147" t="s">
        <v>66</v>
      </c>
      <c r="C1324" s="147" t="s">
        <v>58</v>
      </c>
      <c r="D1324" s="148" t="s">
        <v>59</v>
      </c>
      <c r="E1324" s="148" t="s">
        <v>30</v>
      </c>
      <c r="F1324" s="149">
        <v>2026</v>
      </c>
      <c r="G1324" s="148" t="s">
        <v>34</v>
      </c>
      <c r="H1324" s="149">
        <v>862</v>
      </c>
      <c r="I1324" s="150">
        <v>2777034</v>
      </c>
      <c r="J1324" s="150">
        <v>59478</v>
      </c>
      <c r="K1324" s="150">
        <v>118563549</v>
      </c>
      <c r="L1324" s="152"/>
      <c r="M1324" s="152">
        <f t="shared" si="20"/>
        <v>0</v>
      </c>
      <c r="N1324" s="148"/>
      <c r="O1324" s="150">
        <v>117251328</v>
      </c>
      <c r="P1324" s="150">
        <v>2233944</v>
      </c>
      <c r="Q1324" s="154">
        <v>0.5</v>
      </c>
      <c r="R1324" s="154">
        <v>0.36</v>
      </c>
      <c r="S1324" s="154">
        <v>0.14</v>
      </c>
      <c r="T1324" s="148" t="s">
        <v>44</v>
      </c>
      <c r="U1324" s="154">
        <v>0.255</v>
      </c>
      <c r="V1324" s="154">
        <v>0.466</v>
      </c>
      <c r="W1324" s="154">
        <v>0.172</v>
      </c>
      <c r="X1324" s="154">
        <v>0.072</v>
      </c>
      <c r="Y1324" s="154">
        <v>0.035</v>
      </c>
      <c r="Z1324" s="148" t="s">
        <v>44</v>
      </c>
      <c r="AA1324" s="148" t="s">
        <v>45</v>
      </c>
    </row>
    <row r="1325" spans="1:27">
      <c r="A1325" s="147">
        <v>2716</v>
      </c>
      <c r="B1325" s="147" t="s">
        <v>66</v>
      </c>
      <c r="C1325" s="147" t="s">
        <v>58</v>
      </c>
      <c r="D1325" s="148" t="s">
        <v>59</v>
      </c>
      <c r="E1325" s="148" t="s">
        <v>30</v>
      </c>
      <c r="F1325" s="149">
        <v>2026</v>
      </c>
      <c r="G1325" s="148" t="s">
        <v>35</v>
      </c>
      <c r="H1325" s="149">
        <v>891</v>
      </c>
      <c r="I1325" s="150">
        <v>2844448</v>
      </c>
      <c r="J1325" s="150">
        <v>67414</v>
      </c>
      <c r="K1325" s="150">
        <v>241848875</v>
      </c>
      <c r="L1325" s="152"/>
      <c r="M1325" s="152">
        <f t="shared" si="20"/>
        <v>0</v>
      </c>
      <c r="N1325" s="148"/>
      <c r="O1325" s="150">
        <v>240636071</v>
      </c>
      <c r="P1325" s="150">
        <v>5542619</v>
      </c>
      <c r="Q1325" s="154">
        <v>0.49</v>
      </c>
      <c r="R1325" s="154">
        <v>0.37</v>
      </c>
      <c r="S1325" s="154">
        <v>0.14</v>
      </c>
      <c r="T1325" s="148" t="s">
        <v>44</v>
      </c>
      <c r="U1325" s="154">
        <v>0.249</v>
      </c>
      <c r="V1325" s="154">
        <v>0.462</v>
      </c>
      <c r="W1325" s="154">
        <v>0.175</v>
      </c>
      <c r="X1325" s="154">
        <v>0.076</v>
      </c>
      <c r="Y1325" s="154">
        <v>0.038</v>
      </c>
      <c r="Z1325" s="148" t="s">
        <v>44</v>
      </c>
      <c r="AA1325" s="148" t="s">
        <v>45</v>
      </c>
    </row>
    <row r="1326" spans="1:27">
      <c r="A1326" s="147">
        <v>2717</v>
      </c>
      <c r="B1326" s="147" t="s">
        <v>66</v>
      </c>
      <c r="C1326" s="147" t="s">
        <v>58</v>
      </c>
      <c r="D1326" s="148" t="s">
        <v>59</v>
      </c>
      <c r="E1326" s="148" t="s">
        <v>30</v>
      </c>
      <c r="F1326" s="149">
        <v>2026</v>
      </c>
      <c r="G1326" s="148" t="s">
        <v>36</v>
      </c>
      <c r="H1326" s="150">
        <v>1129</v>
      </c>
      <c r="I1326" s="150">
        <v>2869273</v>
      </c>
      <c r="J1326" s="150">
        <v>24825</v>
      </c>
      <c r="K1326" s="150">
        <v>111532193</v>
      </c>
      <c r="L1326" s="152"/>
      <c r="M1326" s="152">
        <f t="shared" si="20"/>
        <v>0</v>
      </c>
      <c r="N1326" s="148"/>
      <c r="O1326" s="150">
        <v>109799068</v>
      </c>
      <c r="P1326" s="150">
        <v>2335942</v>
      </c>
      <c r="Q1326" s="154">
        <v>0.49</v>
      </c>
      <c r="R1326" s="154">
        <v>0.37</v>
      </c>
      <c r="S1326" s="154">
        <v>0.14</v>
      </c>
      <c r="T1326" s="148" t="s">
        <v>44</v>
      </c>
      <c r="U1326" s="154">
        <v>0.247</v>
      </c>
      <c r="V1326" s="154">
        <v>0.46</v>
      </c>
      <c r="W1326" s="154">
        <v>0.177</v>
      </c>
      <c r="X1326" s="154">
        <v>0.077</v>
      </c>
      <c r="Y1326" s="154">
        <v>0.039</v>
      </c>
      <c r="Z1326" s="148" t="s">
        <v>44</v>
      </c>
      <c r="AA1326" s="148" t="s">
        <v>45</v>
      </c>
    </row>
    <row r="1327" spans="1:27">
      <c r="A1327" s="147">
        <v>2718</v>
      </c>
      <c r="B1327" s="147" t="s">
        <v>66</v>
      </c>
      <c r="C1327" s="147" t="s">
        <v>58</v>
      </c>
      <c r="D1327" s="148" t="s">
        <v>59</v>
      </c>
      <c r="E1327" s="148" t="s">
        <v>30</v>
      </c>
      <c r="F1327" s="149">
        <v>2026</v>
      </c>
      <c r="G1327" s="148" t="s">
        <v>37</v>
      </c>
      <c r="H1327" s="150">
        <v>1183</v>
      </c>
      <c r="I1327" s="150">
        <v>2890054</v>
      </c>
      <c r="J1327" s="150">
        <v>19057</v>
      </c>
      <c r="K1327" s="150">
        <v>86821405</v>
      </c>
      <c r="L1327" s="152"/>
      <c r="M1327" s="152">
        <f t="shared" si="20"/>
        <v>0</v>
      </c>
      <c r="N1327" s="148"/>
      <c r="O1327" s="150">
        <v>85073021</v>
      </c>
      <c r="P1327" s="150">
        <v>1899903</v>
      </c>
      <c r="Q1327" s="154">
        <v>0.5</v>
      </c>
      <c r="R1327" s="154">
        <v>0.36</v>
      </c>
      <c r="S1327" s="154">
        <v>0.14</v>
      </c>
      <c r="T1327" s="148" t="s">
        <v>44</v>
      </c>
      <c r="U1327" s="154">
        <v>0.245</v>
      </c>
      <c r="V1327" s="154">
        <v>0.459</v>
      </c>
      <c r="W1327" s="154">
        <v>0.178</v>
      </c>
      <c r="X1327" s="154">
        <v>0.078</v>
      </c>
      <c r="Y1327" s="154">
        <v>0.04</v>
      </c>
      <c r="Z1327" s="148" t="s">
        <v>44</v>
      </c>
      <c r="AA1327" s="148" t="s">
        <v>45</v>
      </c>
    </row>
    <row r="1328" spans="1:27">
      <c r="A1328" s="147">
        <v>2719</v>
      </c>
      <c r="B1328" s="147" t="s">
        <v>66</v>
      </c>
      <c r="C1328" s="147" t="s">
        <v>58</v>
      </c>
      <c r="D1328" s="148" t="s">
        <v>59</v>
      </c>
      <c r="E1328" s="148" t="s">
        <v>30</v>
      </c>
      <c r="F1328" s="149">
        <v>2026</v>
      </c>
      <c r="G1328" s="148" t="s">
        <v>38</v>
      </c>
      <c r="H1328" s="150">
        <v>1363</v>
      </c>
      <c r="I1328" s="150">
        <v>2941705</v>
      </c>
      <c r="J1328" s="150">
        <v>51651</v>
      </c>
      <c r="K1328" s="150">
        <v>129409683</v>
      </c>
      <c r="L1328" s="152"/>
      <c r="M1328" s="152">
        <f t="shared" si="20"/>
        <v>0</v>
      </c>
      <c r="N1328" s="148"/>
      <c r="O1328" s="150">
        <v>127408637</v>
      </c>
      <c r="P1328" s="150">
        <v>2797114</v>
      </c>
      <c r="Q1328" s="154">
        <v>0.51</v>
      </c>
      <c r="R1328" s="154">
        <v>0.36</v>
      </c>
      <c r="S1328" s="154">
        <v>0.13</v>
      </c>
      <c r="T1328" s="148" t="s">
        <v>44</v>
      </c>
      <c r="U1328" s="154">
        <v>0.242</v>
      </c>
      <c r="V1328" s="154">
        <v>0.455</v>
      </c>
      <c r="W1328" s="154">
        <v>0.18</v>
      </c>
      <c r="X1328" s="154">
        <v>0.081</v>
      </c>
      <c r="Y1328" s="154">
        <v>0.042</v>
      </c>
      <c r="Z1328" s="148" t="s">
        <v>44</v>
      </c>
      <c r="AA1328" s="148" t="s">
        <v>45</v>
      </c>
    </row>
    <row r="1329" spans="1:27">
      <c r="A1329" s="147">
        <v>2720</v>
      </c>
      <c r="B1329" s="147" t="s">
        <v>66</v>
      </c>
      <c r="C1329" s="147" t="s">
        <v>58</v>
      </c>
      <c r="D1329" s="148" t="s">
        <v>59</v>
      </c>
      <c r="E1329" s="148" t="s">
        <v>30</v>
      </c>
      <c r="F1329" s="149">
        <v>2026</v>
      </c>
      <c r="G1329" s="148" t="s">
        <v>39</v>
      </c>
      <c r="H1329" s="148"/>
      <c r="I1329" s="148"/>
      <c r="J1329" s="148"/>
      <c r="K1329" s="148"/>
      <c r="L1329" s="152"/>
      <c r="M1329" s="152">
        <f t="shared" si="20"/>
        <v>0</v>
      </c>
      <c r="N1329" s="148"/>
      <c r="O1329" s="148"/>
      <c r="P1329" s="148"/>
      <c r="Q1329" s="148"/>
      <c r="R1329" s="148"/>
      <c r="S1329" s="148"/>
      <c r="T1329" s="148"/>
      <c r="U1329" s="148"/>
      <c r="V1329" s="148"/>
      <c r="W1329" s="148"/>
      <c r="X1329" s="148"/>
      <c r="Y1329" s="148"/>
      <c r="Z1329" s="148"/>
      <c r="AA1329" s="148"/>
    </row>
    <row r="1330" spans="1:27">
      <c r="A1330" s="147">
        <v>2721</v>
      </c>
      <c r="B1330" s="147" t="s">
        <v>66</v>
      </c>
      <c r="C1330" s="147" t="s">
        <v>58</v>
      </c>
      <c r="D1330" s="148" t="s">
        <v>59</v>
      </c>
      <c r="E1330" s="148" t="s">
        <v>30</v>
      </c>
      <c r="F1330" s="149">
        <v>2026</v>
      </c>
      <c r="G1330" s="148" t="s">
        <v>40</v>
      </c>
      <c r="H1330" s="148"/>
      <c r="I1330" s="148"/>
      <c r="J1330" s="148"/>
      <c r="K1330" s="148"/>
      <c r="L1330" s="152"/>
      <c r="M1330" s="152">
        <f t="shared" si="20"/>
        <v>0</v>
      </c>
      <c r="N1330" s="148"/>
      <c r="O1330" s="148"/>
      <c r="P1330" s="148"/>
      <c r="Q1330" s="148"/>
      <c r="R1330" s="148"/>
      <c r="S1330" s="148"/>
      <c r="T1330" s="148"/>
      <c r="U1330" s="148"/>
      <c r="V1330" s="148"/>
      <c r="W1330" s="148"/>
      <c r="X1330" s="148"/>
      <c r="Y1330" s="148"/>
      <c r="Z1330" s="148"/>
      <c r="AA1330" s="148"/>
    </row>
    <row r="1331" spans="1:27">
      <c r="A1331" s="147">
        <v>2722</v>
      </c>
      <c r="B1331" s="147" t="s">
        <v>66</v>
      </c>
      <c r="C1331" s="147" t="s">
        <v>58</v>
      </c>
      <c r="D1331" s="148" t="s">
        <v>59</v>
      </c>
      <c r="E1331" s="148" t="s">
        <v>30</v>
      </c>
      <c r="F1331" s="149">
        <v>2026</v>
      </c>
      <c r="G1331" s="148" t="s">
        <v>41</v>
      </c>
      <c r="H1331" s="148"/>
      <c r="I1331" s="148"/>
      <c r="J1331" s="148"/>
      <c r="K1331" s="148"/>
      <c r="L1331" s="152"/>
      <c r="M1331" s="152">
        <f t="shared" si="20"/>
        <v>0</v>
      </c>
      <c r="N1331" s="148"/>
      <c r="O1331" s="148"/>
      <c r="P1331" s="148"/>
      <c r="Q1331" s="148"/>
      <c r="R1331" s="148"/>
      <c r="S1331" s="148"/>
      <c r="T1331" s="148"/>
      <c r="U1331" s="148"/>
      <c r="V1331" s="148"/>
      <c r="W1331" s="148"/>
      <c r="X1331" s="148"/>
      <c r="Y1331" s="148"/>
      <c r="Z1331" s="148"/>
      <c r="AA1331" s="148"/>
    </row>
    <row r="1332" spans="1:27">
      <c r="A1332" s="147">
        <v>2723</v>
      </c>
      <c r="B1332" s="147" t="s">
        <v>66</v>
      </c>
      <c r="C1332" s="147" t="s">
        <v>58</v>
      </c>
      <c r="D1332" s="148" t="s">
        <v>59</v>
      </c>
      <c r="E1332" s="148" t="s">
        <v>30</v>
      </c>
      <c r="F1332" s="149">
        <v>2026</v>
      </c>
      <c r="G1332" s="148" t="s">
        <v>42</v>
      </c>
      <c r="H1332" s="148"/>
      <c r="I1332" s="148"/>
      <c r="J1332" s="148"/>
      <c r="K1332" s="148"/>
      <c r="L1332" s="152"/>
      <c r="M1332" s="152">
        <f t="shared" si="20"/>
        <v>0</v>
      </c>
      <c r="N1332" s="148"/>
      <c r="O1332" s="148"/>
      <c r="P1332" s="148"/>
      <c r="Q1332" s="148"/>
      <c r="R1332" s="148"/>
      <c r="S1332" s="148"/>
      <c r="T1332" s="148"/>
      <c r="U1332" s="148"/>
      <c r="V1332" s="148"/>
      <c r="W1332" s="148"/>
      <c r="X1332" s="148"/>
      <c r="Y1332" s="148"/>
      <c r="Z1332" s="148"/>
      <c r="AA1332" s="148"/>
    </row>
    <row r="1333" spans="1:27">
      <c r="A1333" s="147">
        <v>2724</v>
      </c>
      <c r="B1333" s="147" t="s">
        <v>66</v>
      </c>
      <c r="C1333" s="147" t="s">
        <v>58</v>
      </c>
      <c r="D1333" s="148" t="s">
        <v>59</v>
      </c>
      <c r="E1333" s="148" t="s">
        <v>30</v>
      </c>
      <c r="F1333" s="149">
        <v>2026</v>
      </c>
      <c r="G1333" s="148" t="s">
        <v>43</v>
      </c>
      <c r="H1333" s="148"/>
      <c r="I1333" s="148"/>
      <c r="J1333" s="148"/>
      <c r="K1333" s="148"/>
      <c r="L1333" s="152"/>
      <c r="M1333" s="152">
        <f t="shared" si="20"/>
        <v>0</v>
      </c>
      <c r="N1333" s="148"/>
      <c r="O1333" s="148"/>
      <c r="P1333" s="148"/>
      <c r="Q1333" s="148"/>
      <c r="R1333" s="148"/>
      <c r="S1333" s="148"/>
      <c r="T1333" s="148"/>
      <c r="U1333" s="148"/>
      <c r="V1333" s="148"/>
      <c r="W1333" s="148"/>
      <c r="X1333" s="148"/>
      <c r="Y1333" s="148"/>
      <c r="Z1333" s="148"/>
      <c r="AA1333" s="148"/>
    </row>
    <row r="1334" spans="1:27">
      <c r="A1334" s="147">
        <v>2737</v>
      </c>
      <c r="B1334" s="147" t="s">
        <v>69</v>
      </c>
      <c r="C1334" s="147" t="s">
        <v>28</v>
      </c>
      <c r="D1334" s="148" t="s">
        <v>29</v>
      </c>
      <c r="E1334" s="148" t="s">
        <v>30</v>
      </c>
      <c r="F1334" s="149">
        <v>2024</v>
      </c>
      <c r="G1334" s="148" t="s">
        <v>31</v>
      </c>
      <c r="H1334" s="148" t="s">
        <v>48</v>
      </c>
      <c r="I1334" s="150">
        <v>15306</v>
      </c>
      <c r="J1334" s="149">
        <v>288</v>
      </c>
      <c r="K1334" s="148" t="s">
        <v>48</v>
      </c>
      <c r="L1334" s="152"/>
      <c r="M1334" s="152">
        <f t="shared" si="20"/>
        <v>0</v>
      </c>
      <c r="N1334" s="148" t="s">
        <v>48</v>
      </c>
      <c r="O1334" s="148"/>
      <c r="P1334" s="148"/>
      <c r="Q1334" s="148"/>
      <c r="R1334" s="148"/>
      <c r="S1334" s="148"/>
      <c r="T1334" s="148"/>
      <c r="U1334" s="148"/>
      <c r="V1334" s="148"/>
      <c r="W1334" s="148"/>
      <c r="X1334" s="148"/>
      <c r="Y1334" s="148"/>
      <c r="Z1334" s="148"/>
      <c r="AA1334" s="148"/>
    </row>
    <row r="1335" spans="1:27">
      <c r="A1335" s="147">
        <v>2738</v>
      </c>
      <c r="B1335" s="147" t="s">
        <v>69</v>
      </c>
      <c r="C1335" s="147" t="s">
        <v>28</v>
      </c>
      <c r="D1335" s="148" t="s">
        <v>29</v>
      </c>
      <c r="E1335" s="148" t="s">
        <v>30</v>
      </c>
      <c r="F1335" s="149">
        <v>2024</v>
      </c>
      <c r="G1335" s="148" t="s">
        <v>33</v>
      </c>
      <c r="H1335" s="148" t="s">
        <v>48</v>
      </c>
      <c r="I1335" s="150">
        <v>15574</v>
      </c>
      <c r="J1335" s="149">
        <v>268</v>
      </c>
      <c r="K1335" s="148" t="s">
        <v>48</v>
      </c>
      <c r="L1335" s="152"/>
      <c r="M1335" s="152">
        <f t="shared" si="20"/>
        <v>0</v>
      </c>
      <c r="N1335" s="148" t="s">
        <v>48</v>
      </c>
      <c r="O1335" s="148"/>
      <c r="P1335" s="148"/>
      <c r="Q1335" s="148"/>
      <c r="R1335" s="148"/>
      <c r="S1335" s="148"/>
      <c r="T1335" s="148"/>
      <c r="U1335" s="148"/>
      <c r="V1335" s="148"/>
      <c r="W1335" s="148"/>
      <c r="X1335" s="148"/>
      <c r="Y1335" s="148"/>
      <c r="Z1335" s="148"/>
      <c r="AA1335" s="148"/>
    </row>
    <row r="1336" spans="1:27">
      <c r="A1336" s="147">
        <v>2739</v>
      </c>
      <c r="B1336" s="147" t="s">
        <v>69</v>
      </c>
      <c r="C1336" s="147" t="s">
        <v>28</v>
      </c>
      <c r="D1336" s="148" t="s">
        <v>29</v>
      </c>
      <c r="E1336" s="148" t="s">
        <v>30</v>
      </c>
      <c r="F1336" s="149">
        <v>2024</v>
      </c>
      <c r="G1336" s="148" t="s">
        <v>34</v>
      </c>
      <c r="H1336" s="148" t="s">
        <v>48</v>
      </c>
      <c r="I1336" s="150">
        <v>15862</v>
      </c>
      <c r="J1336" s="149">
        <v>288</v>
      </c>
      <c r="K1336" s="148" t="s">
        <v>48</v>
      </c>
      <c r="L1336" s="152"/>
      <c r="M1336" s="152">
        <f t="shared" si="20"/>
        <v>0</v>
      </c>
      <c r="N1336" s="148" t="s">
        <v>48</v>
      </c>
      <c r="O1336" s="148"/>
      <c r="P1336" s="148"/>
      <c r="Q1336" s="148"/>
      <c r="R1336" s="148"/>
      <c r="S1336" s="148"/>
      <c r="T1336" s="148"/>
      <c r="U1336" s="148"/>
      <c r="V1336" s="148"/>
      <c r="W1336" s="148"/>
      <c r="X1336" s="148"/>
      <c r="Y1336" s="148"/>
      <c r="Z1336" s="148"/>
      <c r="AA1336" s="148"/>
    </row>
    <row r="1337" spans="1:27">
      <c r="A1337" s="147">
        <v>2740</v>
      </c>
      <c r="B1337" s="147" t="s">
        <v>69</v>
      </c>
      <c r="C1337" s="147" t="s">
        <v>28</v>
      </c>
      <c r="D1337" s="148" t="s">
        <v>29</v>
      </c>
      <c r="E1337" s="148" t="s">
        <v>30</v>
      </c>
      <c r="F1337" s="149">
        <v>2024</v>
      </c>
      <c r="G1337" s="148" t="s">
        <v>35</v>
      </c>
      <c r="H1337" s="148" t="s">
        <v>48</v>
      </c>
      <c r="I1337" s="150">
        <v>16032</v>
      </c>
      <c r="J1337" s="149">
        <v>170</v>
      </c>
      <c r="K1337" s="148" t="s">
        <v>48</v>
      </c>
      <c r="L1337" s="152"/>
      <c r="M1337" s="152">
        <f t="shared" si="20"/>
        <v>0</v>
      </c>
      <c r="N1337" s="148" t="s">
        <v>48</v>
      </c>
      <c r="O1337" s="148"/>
      <c r="P1337" s="148"/>
      <c r="Q1337" s="148"/>
      <c r="R1337" s="148"/>
      <c r="S1337" s="148"/>
      <c r="T1337" s="148"/>
      <c r="U1337" s="148"/>
      <c r="V1337" s="148"/>
      <c r="W1337" s="148"/>
      <c r="X1337" s="148"/>
      <c r="Y1337" s="148"/>
      <c r="Z1337" s="148"/>
      <c r="AA1337" s="148"/>
    </row>
    <row r="1338" spans="1:27">
      <c r="A1338" s="147">
        <v>2741</v>
      </c>
      <c r="B1338" s="147" t="s">
        <v>69</v>
      </c>
      <c r="C1338" s="147" t="s">
        <v>28</v>
      </c>
      <c r="D1338" s="148" t="s">
        <v>29</v>
      </c>
      <c r="E1338" s="148" t="s">
        <v>30</v>
      </c>
      <c r="F1338" s="149">
        <v>2024</v>
      </c>
      <c r="G1338" s="148" t="s">
        <v>36</v>
      </c>
      <c r="H1338" s="148" t="s">
        <v>48</v>
      </c>
      <c r="I1338" s="150">
        <v>16231</v>
      </c>
      <c r="J1338" s="149">
        <v>199</v>
      </c>
      <c r="K1338" s="148" t="s">
        <v>48</v>
      </c>
      <c r="L1338" s="152"/>
      <c r="M1338" s="152">
        <f t="shared" si="20"/>
        <v>0</v>
      </c>
      <c r="N1338" s="148" t="s">
        <v>48</v>
      </c>
      <c r="O1338" s="148"/>
      <c r="P1338" s="148"/>
      <c r="Q1338" s="148"/>
      <c r="R1338" s="148"/>
      <c r="S1338" s="148"/>
      <c r="T1338" s="148"/>
      <c r="U1338" s="148"/>
      <c r="V1338" s="148"/>
      <c r="W1338" s="148"/>
      <c r="X1338" s="148"/>
      <c r="Y1338" s="148"/>
      <c r="Z1338" s="148"/>
      <c r="AA1338" s="148"/>
    </row>
    <row r="1339" spans="1:27">
      <c r="A1339" s="147">
        <v>2742</v>
      </c>
      <c r="B1339" s="147" t="s">
        <v>69</v>
      </c>
      <c r="C1339" s="147" t="s">
        <v>28</v>
      </c>
      <c r="D1339" s="148" t="s">
        <v>29</v>
      </c>
      <c r="E1339" s="148" t="s">
        <v>30</v>
      </c>
      <c r="F1339" s="149">
        <v>2024</v>
      </c>
      <c r="G1339" s="148" t="s">
        <v>37</v>
      </c>
      <c r="H1339" s="148" t="s">
        <v>48</v>
      </c>
      <c r="I1339" s="150">
        <v>16426</v>
      </c>
      <c r="J1339" s="149">
        <v>195</v>
      </c>
      <c r="K1339" s="148" t="s">
        <v>48</v>
      </c>
      <c r="L1339" s="152"/>
      <c r="M1339" s="152">
        <f t="shared" si="20"/>
        <v>0</v>
      </c>
      <c r="N1339" s="148" t="s">
        <v>48</v>
      </c>
      <c r="O1339" s="148"/>
      <c r="P1339" s="148"/>
      <c r="Q1339" s="148"/>
      <c r="R1339" s="148"/>
      <c r="S1339" s="148"/>
      <c r="T1339" s="148"/>
      <c r="U1339" s="148"/>
      <c r="V1339" s="148"/>
      <c r="W1339" s="148"/>
      <c r="X1339" s="148"/>
      <c r="Y1339" s="148"/>
      <c r="Z1339" s="148"/>
      <c r="AA1339" s="148"/>
    </row>
    <row r="1340" spans="1:27">
      <c r="A1340" s="147">
        <v>2743</v>
      </c>
      <c r="B1340" s="147" t="s">
        <v>69</v>
      </c>
      <c r="C1340" s="147" t="s">
        <v>28</v>
      </c>
      <c r="D1340" s="148" t="s">
        <v>29</v>
      </c>
      <c r="E1340" s="148" t="s">
        <v>30</v>
      </c>
      <c r="F1340" s="149">
        <v>2024</v>
      </c>
      <c r="G1340" s="148" t="s">
        <v>38</v>
      </c>
      <c r="H1340" s="148" t="s">
        <v>48</v>
      </c>
      <c r="I1340" s="150">
        <v>16601</v>
      </c>
      <c r="J1340" s="149">
        <v>175</v>
      </c>
      <c r="K1340" s="148" t="s">
        <v>48</v>
      </c>
      <c r="L1340" s="152"/>
      <c r="M1340" s="152">
        <f t="shared" si="20"/>
        <v>0</v>
      </c>
      <c r="N1340" s="148" t="s">
        <v>48</v>
      </c>
      <c r="O1340" s="148"/>
      <c r="P1340" s="148"/>
      <c r="Q1340" s="148"/>
      <c r="R1340" s="148"/>
      <c r="S1340" s="148"/>
      <c r="T1340" s="148"/>
      <c r="U1340" s="148"/>
      <c r="V1340" s="148"/>
      <c r="W1340" s="148"/>
      <c r="X1340" s="148"/>
      <c r="Y1340" s="148"/>
      <c r="Z1340" s="148"/>
      <c r="AA1340" s="148"/>
    </row>
    <row r="1341" spans="1:27">
      <c r="A1341" s="147">
        <v>2744</v>
      </c>
      <c r="B1341" s="147" t="s">
        <v>69</v>
      </c>
      <c r="C1341" s="147" t="s">
        <v>28</v>
      </c>
      <c r="D1341" s="148" t="s">
        <v>29</v>
      </c>
      <c r="E1341" s="148" t="s">
        <v>30</v>
      </c>
      <c r="F1341" s="149">
        <v>2024</v>
      </c>
      <c r="G1341" s="148" t="s">
        <v>39</v>
      </c>
      <c r="H1341" s="150">
        <v>2800</v>
      </c>
      <c r="I1341" s="150">
        <v>16942</v>
      </c>
      <c r="J1341" s="149">
        <v>341</v>
      </c>
      <c r="K1341" s="149">
        <v>250</v>
      </c>
      <c r="L1341" s="152"/>
      <c r="M1341" s="152">
        <f t="shared" si="20"/>
        <v>0</v>
      </c>
      <c r="N1341" s="150">
        <v>1542340</v>
      </c>
      <c r="O1341" s="148"/>
      <c r="P1341" s="148"/>
      <c r="Q1341" s="148"/>
      <c r="R1341" s="148"/>
      <c r="S1341" s="148"/>
      <c r="T1341" s="148"/>
      <c r="U1341" s="148"/>
      <c r="V1341" s="148"/>
      <c r="W1341" s="148"/>
      <c r="X1341" s="148"/>
      <c r="Y1341" s="148"/>
      <c r="Z1341" s="148"/>
      <c r="AA1341" s="148"/>
    </row>
    <row r="1342" spans="1:27">
      <c r="A1342" s="147">
        <v>2745</v>
      </c>
      <c r="B1342" s="147" t="s">
        <v>69</v>
      </c>
      <c r="C1342" s="147" t="s">
        <v>28</v>
      </c>
      <c r="D1342" s="148" t="s">
        <v>29</v>
      </c>
      <c r="E1342" s="148" t="s">
        <v>30</v>
      </c>
      <c r="F1342" s="149">
        <v>2024</v>
      </c>
      <c r="G1342" s="148" t="s">
        <v>40</v>
      </c>
      <c r="H1342" s="150">
        <v>3349</v>
      </c>
      <c r="I1342" s="150">
        <v>17311</v>
      </c>
      <c r="J1342" s="149">
        <v>369</v>
      </c>
      <c r="K1342" s="149">
        <v>67</v>
      </c>
      <c r="L1342" s="152"/>
      <c r="M1342" s="152">
        <f t="shared" si="20"/>
        <v>0</v>
      </c>
      <c r="N1342" s="150">
        <v>1840080</v>
      </c>
      <c r="O1342" s="148"/>
      <c r="P1342" s="148"/>
      <c r="Q1342" s="148"/>
      <c r="R1342" s="148"/>
      <c r="S1342" s="148"/>
      <c r="T1342" s="148"/>
      <c r="U1342" s="148"/>
      <c r="V1342" s="148"/>
      <c r="W1342" s="148"/>
      <c r="X1342" s="148"/>
      <c r="Y1342" s="148"/>
      <c r="Z1342" s="148"/>
      <c r="AA1342" s="148"/>
    </row>
    <row r="1343" spans="1:27">
      <c r="A1343" s="147">
        <v>2746</v>
      </c>
      <c r="B1343" s="147" t="s">
        <v>69</v>
      </c>
      <c r="C1343" s="147" t="s">
        <v>28</v>
      </c>
      <c r="D1343" s="148" t="s">
        <v>29</v>
      </c>
      <c r="E1343" s="148" t="s">
        <v>30</v>
      </c>
      <c r="F1343" s="149">
        <v>2024</v>
      </c>
      <c r="G1343" s="148" t="s">
        <v>41</v>
      </c>
      <c r="H1343" s="150">
        <v>3363</v>
      </c>
      <c r="I1343" s="150">
        <v>17892</v>
      </c>
      <c r="J1343" s="149">
        <v>581</v>
      </c>
      <c r="K1343" s="149">
        <v>179</v>
      </c>
      <c r="L1343" s="152"/>
      <c r="M1343" s="152">
        <f t="shared" si="20"/>
        <v>0</v>
      </c>
      <c r="N1343" s="150">
        <v>4206285</v>
      </c>
      <c r="O1343" s="148"/>
      <c r="P1343" s="148"/>
      <c r="Q1343" s="148"/>
      <c r="R1343" s="148"/>
      <c r="S1343" s="148"/>
      <c r="T1343" s="148"/>
      <c r="U1343" s="148"/>
      <c r="V1343" s="148"/>
      <c r="W1343" s="148"/>
      <c r="X1343" s="148"/>
      <c r="Y1343" s="148"/>
      <c r="Z1343" s="148"/>
      <c r="AA1343" s="148"/>
    </row>
    <row r="1344" spans="1:27">
      <c r="A1344" s="147">
        <v>2747</v>
      </c>
      <c r="B1344" s="147" t="s">
        <v>69</v>
      </c>
      <c r="C1344" s="147" t="s">
        <v>28</v>
      </c>
      <c r="D1344" s="148" t="s">
        <v>29</v>
      </c>
      <c r="E1344" s="148" t="s">
        <v>30</v>
      </c>
      <c r="F1344" s="149">
        <v>2024</v>
      </c>
      <c r="G1344" s="148" t="s">
        <v>42</v>
      </c>
      <c r="H1344" s="150">
        <v>1332</v>
      </c>
      <c r="I1344" s="150">
        <v>18379</v>
      </c>
      <c r="J1344" s="149">
        <v>487</v>
      </c>
      <c r="K1344" s="150">
        <v>1439</v>
      </c>
      <c r="L1344" s="152"/>
      <c r="M1344" s="152">
        <f t="shared" si="20"/>
        <v>0</v>
      </c>
      <c r="N1344" s="150">
        <v>1572117</v>
      </c>
      <c r="O1344" s="148"/>
      <c r="P1344" s="148"/>
      <c r="Q1344" s="148"/>
      <c r="R1344" s="148"/>
      <c r="S1344" s="148"/>
      <c r="T1344" s="148"/>
      <c r="U1344" s="148"/>
      <c r="V1344" s="148"/>
      <c r="W1344" s="148"/>
      <c r="X1344" s="148"/>
      <c r="Y1344" s="148"/>
      <c r="Z1344" s="148"/>
      <c r="AA1344" s="148"/>
    </row>
    <row r="1345" spans="1:27">
      <c r="A1345" s="147">
        <v>2748</v>
      </c>
      <c r="B1345" s="147" t="s">
        <v>69</v>
      </c>
      <c r="C1345" s="147" t="s">
        <v>28</v>
      </c>
      <c r="D1345" s="148" t="s">
        <v>29</v>
      </c>
      <c r="E1345" s="148" t="s">
        <v>30</v>
      </c>
      <c r="F1345" s="149">
        <v>2024</v>
      </c>
      <c r="G1345" s="148" t="s">
        <v>43</v>
      </c>
      <c r="H1345" s="150">
        <v>1785</v>
      </c>
      <c r="I1345" s="150">
        <v>18802</v>
      </c>
      <c r="J1345" s="149">
        <v>423</v>
      </c>
      <c r="K1345" s="150">
        <v>2658</v>
      </c>
      <c r="L1345" s="152"/>
      <c r="M1345" s="152">
        <f t="shared" si="20"/>
        <v>0</v>
      </c>
      <c r="N1345" s="150">
        <v>609803</v>
      </c>
      <c r="O1345" s="148"/>
      <c r="P1345" s="148"/>
      <c r="Q1345" s="148"/>
      <c r="R1345" s="148"/>
      <c r="S1345" s="148"/>
      <c r="T1345" s="148"/>
      <c r="U1345" s="148"/>
      <c r="V1345" s="148"/>
      <c r="W1345" s="148"/>
      <c r="X1345" s="148"/>
      <c r="Y1345" s="148"/>
      <c r="Z1345" s="148"/>
      <c r="AA1345" s="148"/>
    </row>
    <row r="1346" spans="1:27">
      <c r="A1346" s="147">
        <v>2749</v>
      </c>
      <c r="B1346" s="147" t="s">
        <v>69</v>
      </c>
      <c r="C1346" s="147" t="s">
        <v>28</v>
      </c>
      <c r="D1346" s="148" t="s">
        <v>29</v>
      </c>
      <c r="E1346" s="148" t="s">
        <v>30</v>
      </c>
      <c r="F1346" s="149">
        <v>2025</v>
      </c>
      <c r="G1346" s="148" t="s">
        <v>31</v>
      </c>
      <c r="H1346" s="150">
        <v>1581</v>
      </c>
      <c r="I1346" s="150">
        <v>19703</v>
      </c>
      <c r="J1346" s="149">
        <v>901</v>
      </c>
      <c r="K1346" s="150">
        <v>8517</v>
      </c>
      <c r="L1346" s="152"/>
      <c r="M1346" s="152">
        <f t="shared" ref="M1346:M1409" si="21">L1346*17000</f>
        <v>0</v>
      </c>
      <c r="N1346" s="150">
        <v>763782</v>
      </c>
      <c r="O1346" s="148"/>
      <c r="P1346" s="148"/>
      <c r="Q1346" s="148"/>
      <c r="R1346" s="148"/>
      <c r="S1346" s="148"/>
      <c r="T1346" s="148"/>
      <c r="U1346" s="148"/>
      <c r="V1346" s="148"/>
      <c r="W1346" s="148"/>
      <c r="X1346" s="148"/>
      <c r="Y1346" s="148"/>
      <c r="Z1346" s="148"/>
      <c r="AA1346" s="148"/>
    </row>
    <row r="1347" spans="1:27">
      <c r="A1347" s="147">
        <v>2750</v>
      </c>
      <c r="B1347" s="147" t="s">
        <v>69</v>
      </c>
      <c r="C1347" s="147" t="s">
        <v>28</v>
      </c>
      <c r="D1347" s="148" t="s">
        <v>29</v>
      </c>
      <c r="E1347" s="148" t="s">
        <v>30</v>
      </c>
      <c r="F1347" s="149">
        <v>2025</v>
      </c>
      <c r="G1347" s="148" t="s">
        <v>33</v>
      </c>
      <c r="H1347" s="150">
        <v>1104</v>
      </c>
      <c r="I1347" s="150">
        <v>20105</v>
      </c>
      <c r="J1347" s="149">
        <v>402</v>
      </c>
      <c r="K1347" s="150">
        <v>8298</v>
      </c>
      <c r="L1347" s="152"/>
      <c r="M1347" s="152">
        <f t="shared" si="21"/>
        <v>0</v>
      </c>
      <c r="N1347" s="150">
        <v>503216</v>
      </c>
      <c r="O1347" s="148"/>
      <c r="P1347" s="148"/>
      <c r="Q1347" s="148"/>
      <c r="R1347" s="148"/>
      <c r="S1347" s="148"/>
      <c r="T1347" s="148"/>
      <c r="U1347" s="148"/>
      <c r="V1347" s="148"/>
      <c r="W1347" s="148"/>
      <c r="X1347" s="148"/>
      <c r="Y1347" s="148"/>
      <c r="Z1347" s="148"/>
      <c r="AA1347" s="148"/>
    </row>
    <row r="1348" spans="1:27">
      <c r="A1348" s="147">
        <v>2751</v>
      </c>
      <c r="B1348" s="147" t="s">
        <v>69</v>
      </c>
      <c r="C1348" s="147" t="s">
        <v>28</v>
      </c>
      <c r="D1348" s="148" t="s">
        <v>29</v>
      </c>
      <c r="E1348" s="148" t="s">
        <v>30</v>
      </c>
      <c r="F1348" s="149">
        <v>2025</v>
      </c>
      <c r="G1348" s="148" t="s">
        <v>34</v>
      </c>
      <c r="H1348" s="149">
        <v>832</v>
      </c>
      <c r="I1348" s="150">
        <v>21044</v>
      </c>
      <c r="J1348" s="149">
        <v>939</v>
      </c>
      <c r="K1348" s="150">
        <v>3034</v>
      </c>
      <c r="L1348" s="152"/>
      <c r="M1348" s="152">
        <f t="shared" si="21"/>
        <v>0</v>
      </c>
      <c r="N1348" s="150">
        <v>2752852</v>
      </c>
      <c r="O1348" s="148"/>
      <c r="P1348" s="148"/>
      <c r="Q1348" s="148"/>
      <c r="R1348" s="148"/>
      <c r="S1348" s="148"/>
      <c r="T1348" s="148"/>
      <c r="U1348" s="148"/>
      <c r="V1348" s="148"/>
      <c r="W1348" s="148"/>
      <c r="X1348" s="148"/>
      <c r="Y1348" s="148"/>
      <c r="Z1348" s="148"/>
      <c r="AA1348" s="148"/>
    </row>
    <row r="1349" spans="1:27">
      <c r="A1349" s="147">
        <v>2752</v>
      </c>
      <c r="B1349" s="147" t="s">
        <v>69</v>
      </c>
      <c r="C1349" s="147" t="s">
        <v>28</v>
      </c>
      <c r="D1349" s="148" t="s">
        <v>29</v>
      </c>
      <c r="E1349" s="148" t="s">
        <v>30</v>
      </c>
      <c r="F1349" s="149">
        <v>2025</v>
      </c>
      <c r="G1349" s="148" t="s">
        <v>35</v>
      </c>
      <c r="H1349" s="149">
        <v>416</v>
      </c>
      <c r="I1349" s="150">
        <v>21429</v>
      </c>
      <c r="J1349" s="149">
        <v>385</v>
      </c>
      <c r="K1349" s="150">
        <v>2542</v>
      </c>
      <c r="L1349" s="152"/>
      <c r="M1349" s="152">
        <f t="shared" si="21"/>
        <v>0</v>
      </c>
      <c r="N1349" s="150">
        <v>206439</v>
      </c>
      <c r="O1349" s="148"/>
      <c r="P1349" s="148"/>
      <c r="Q1349" s="148"/>
      <c r="R1349" s="148"/>
      <c r="S1349" s="148"/>
      <c r="T1349" s="148"/>
      <c r="U1349" s="148"/>
      <c r="V1349" s="148"/>
      <c r="W1349" s="148"/>
      <c r="X1349" s="148"/>
      <c r="Y1349" s="148"/>
      <c r="Z1349" s="148"/>
      <c r="AA1349" s="148"/>
    </row>
    <row r="1350" spans="1:27">
      <c r="A1350" s="147">
        <v>2753</v>
      </c>
      <c r="B1350" s="147" t="s">
        <v>69</v>
      </c>
      <c r="C1350" s="147" t="s">
        <v>28</v>
      </c>
      <c r="D1350" s="148" t="s">
        <v>29</v>
      </c>
      <c r="E1350" s="148" t="s">
        <v>30</v>
      </c>
      <c r="F1350" s="149">
        <v>2025</v>
      </c>
      <c r="G1350" s="148" t="s">
        <v>36</v>
      </c>
      <c r="H1350" s="149">
        <v>544</v>
      </c>
      <c r="I1350" s="150">
        <v>21724</v>
      </c>
      <c r="J1350" s="149">
        <v>295</v>
      </c>
      <c r="K1350" s="150">
        <v>2412</v>
      </c>
      <c r="L1350" s="152"/>
      <c r="M1350" s="152">
        <f t="shared" si="21"/>
        <v>0</v>
      </c>
      <c r="N1350" s="150">
        <v>112453</v>
      </c>
      <c r="O1350" s="148"/>
      <c r="P1350" s="148"/>
      <c r="Q1350" s="148"/>
      <c r="R1350" s="148"/>
      <c r="S1350" s="148"/>
      <c r="T1350" s="148"/>
      <c r="U1350" s="148"/>
      <c r="V1350" s="148"/>
      <c r="W1350" s="148"/>
      <c r="X1350" s="148"/>
      <c r="Y1350" s="148"/>
      <c r="Z1350" s="148"/>
      <c r="AA1350" s="148"/>
    </row>
    <row r="1351" spans="1:27">
      <c r="A1351" s="147">
        <v>2754</v>
      </c>
      <c r="B1351" s="147" t="s">
        <v>69</v>
      </c>
      <c r="C1351" s="147" t="s">
        <v>28</v>
      </c>
      <c r="D1351" s="148" t="s">
        <v>29</v>
      </c>
      <c r="E1351" s="148" t="s">
        <v>30</v>
      </c>
      <c r="F1351" s="149">
        <v>2025</v>
      </c>
      <c r="G1351" s="148" t="s">
        <v>37</v>
      </c>
      <c r="H1351" s="149">
        <v>138</v>
      </c>
      <c r="I1351" s="150">
        <v>22027</v>
      </c>
      <c r="J1351" s="149">
        <v>303</v>
      </c>
      <c r="K1351" s="149">
        <v>739</v>
      </c>
      <c r="L1351" s="152"/>
      <c r="M1351" s="152">
        <f t="shared" si="21"/>
        <v>0</v>
      </c>
      <c r="N1351" s="150">
        <v>55997</v>
      </c>
      <c r="O1351" s="148"/>
      <c r="P1351" s="148"/>
      <c r="Q1351" s="148"/>
      <c r="R1351" s="148"/>
      <c r="S1351" s="148"/>
      <c r="T1351" s="148"/>
      <c r="U1351" s="148"/>
      <c r="V1351" s="148"/>
      <c r="W1351" s="148"/>
      <c r="X1351" s="148"/>
      <c r="Y1351" s="148"/>
      <c r="Z1351" s="148"/>
      <c r="AA1351" s="148"/>
    </row>
    <row r="1352" spans="1:27">
      <c r="A1352" s="147">
        <v>2755</v>
      </c>
      <c r="B1352" s="147" t="s">
        <v>69</v>
      </c>
      <c r="C1352" s="147" t="s">
        <v>28</v>
      </c>
      <c r="D1352" s="148" t="s">
        <v>29</v>
      </c>
      <c r="E1352" s="148" t="s">
        <v>30</v>
      </c>
      <c r="F1352" s="149">
        <v>2025</v>
      </c>
      <c r="G1352" s="148" t="s">
        <v>38</v>
      </c>
      <c r="H1352" s="149">
        <v>174</v>
      </c>
      <c r="I1352" s="150">
        <v>22524</v>
      </c>
      <c r="J1352" s="149">
        <v>569</v>
      </c>
      <c r="K1352" s="149">
        <v>983</v>
      </c>
      <c r="L1352" s="152"/>
      <c r="M1352" s="152">
        <f t="shared" si="21"/>
        <v>0</v>
      </c>
      <c r="N1352" s="150">
        <v>78629</v>
      </c>
      <c r="O1352" s="148"/>
      <c r="P1352" s="150">
        <v>2799</v>
      </c>
      <c r="Q1352" s="154">
        <v>0.681</v>
      </c>
      <c r="R1352" s="154">
        <v>0.289</v>
      </c>
      <c r="S1352" s="154">
        <v>0.03</v>
      </c>
      <c r="T1352" s="154">
        <v>0.006</v>
      </c>
      <c r="U1352" s="154">
        <v>0.24</v>
      </c>
      <c r="V1352" s="154">
        <v>0.443</v>
      </c>
      <c r="W1352" s="154">
        <v>0.212</v>
      </c>
      <c r="X1352" s="154">
        <v>0.076</v>
      </c>
      <c r="Y1352" s="154">
        <v>0.018</v>
      </c>
      <c r="Z1352" s="154">
        <v>0.006</v>
      </c>
      <c r="AA1352" s="148" t="s">
        <v>70</v>
      </c>
    </row>
    <row r="1353" spans="1:27">
      <c r="A1353" s="147">
        <v>2756</v>
      </c>
      <c r="B1353" s="147" t="s">
        <v>69</v>
      </c>
      <c r="C1353" s="147" t="s">
        <v>28</v>
      </c>
      <c r="D1353" s="148" t="s">
        <v>29</v>
      </c>
      <c r="E1353" s="148" t="s">
        <v>30</v>
      </c>
      <c r="F1353" s="149">
        <v>2025</v>
      </c>
      <c r="G1353" s="148" t="s">
        <v>39</v>
      </c>
      <c r="H1353" s="149">
        <v>186</v>
      </c>
      <c r="I1353" s="150">
        <v>22910</v>
      </c>
      <c r="J1353" s="149">
        <v>450</v>
      </c>
      <c r="K1353" s="149">
        <v>141</v>
      </c>
      <c r="L1353" s="152"/>
      <c r="M1353" s="152">
        <f t="shared" si="21"/>
        <v>0</v>
      </c>
      <c r="N1353" s="150">
        <v>85703</v>
      </c>
      <c r="O1353" s="148"/>
      <c r="P1353" s="150">
        <v>2405</v>
      </c>
      <c r="Q1353" s="154">
        <v>0.663</v>
      </c>
      <c r="R1353" s="154">
        <v>0.275</v>
      </c>
      <c r="S1353" s="154">
        <v>0.062</v>
      </c>
      <c r="T1353" s="154">
        <v>0.006</v>
      </c>
      <c r="U1353" s="154">
        <v>0.222</v>
      </c>
      <c r="V1353" s="154">
        <v>0.461</v>
      </c>
      <c r="W1353" s="154">
        <v>0.207</v>
      </c>
      <c r="X1353" s="154">
        <v>0.08</v>
      </c>
      <c r="Y1353" s="154">
        <v>0.018</v>
      </c>
      <c r="Z1353" s="154">
        <v>0.006</v>
      </c>
      <c r="AA1353" s="148" t="s">
        <v>70</v>
      </c>
    </row>
    <row r="1354" spans="1:27">
      <c r="A1354" s="147">
        <v>2757</v>
      </c>
      <c r="B1354" s="147" t="s">
        <v>69</v>
      </c>
      <c r="C1354" s="147" t="s">
        <v>28</v>
      </c>
      <c r="D1354" s="148" t="s">
        <v>29</v>
      </c>
      <c r="E1354" s="148" t="s">
        <v>30</v>
      </c>
      <c r="F1354" s="149">
        <v>2025</v>
      </c>
      <c r="G1354" s="148" t="s">
        <v>40</v>
      </c>
      <c r="H1354" s="149">
        <v>125</v>
      </c>
      <c r="I1354" s="150">
        <v>23307</v>
      </c>
      <c r="J1354" s="149">
        <v>520</v>
      </c>
      <c r="K1354" s="149">
        <v>188</v>
      </c>
      <c r="L1354" s="152"/>
      <c r="M1354" s="152">
        <f t="shared" si="21"/>
        <v>0</v>
      </c>
      <c r="N1354" s="150">
        <v>65193</v>
      </c>
      <c r="O1354" s="148"/>
      <c r="P1354" s="150">
        <v>1948</v>
      </c>
      <c r="Q1354" s="154">
        <v>0.645</v>
      </c>
      <c r="R1354" s="154">
        <v>0.3</v>
      </c>
      <c r="S1354" s="154">
        <v>0.055</v>
      </c>
      <c r="T1354" s="154">
        <v>0.006</v>
      </c>
      <c r="U1354" s="154">
        <v>0.225</v>
      </c>
      <c r="V1354" s="154">
        <v>0.46</v>
      </c>
      <c r="W1354" s="154">
        <v>0.204</v>
      </c>
      <c r="X1354" s="154">
        <v>0.077</v>
      </c>
      <c r="Y1354" s="154">
        <v>0.02</v>
      </c>
      <c r="Z1354" s="154">
        <v>0.008</v>
      </c>
      <c r="AA1354" s="148" t="s">
        <v>70</v>
      </c>
    </row>
    <row r="1355" spans="1:27">
      <c r="A1355" s="147">
        <v>2758</v>
      </c>
      <c r="B1355" s="147" t="s">
        <v>69</v>
      </c>
      <c r="C1355" s="147" t="s">
        <v>28</v>
      </c>
      <c r="D1355" s="148" t="s">
        <v>29</v>
      </c>
      <c r="E1355" s="148" t="s">
        <v>30</v>
      </c>
      <c r="F1355" s="149">
        <v>2025</v>
      </c>
      <c r="G1355" s="148" t="s">
        <v>41</v>
      </c>
      <c r="H1355" s="149">
        <v>82</v>
      </c>
      <c r="I1355" s="150">
        <v>23795</v>
      </c>
      <c r="J1355" s="149">
        <v>638</v>
      </c>
      <c r="K1355" s="149">
        <v>278</v>
      </c>
      <c r="L1355" s="152"/>
      <c r="M1355" s="152">
        <f t="shared" si="21"/>
        <v>0</v>
      </c>
      <c r="N1355" s="150">
        <v>45031</v>
      </c>
      <c r="O1355" s="148"/>
      <c r="P1355" s="150">
        <v>1775</v>
      </c>
      <c r="Q1355" s="154">
        <v>0.647</v>
      </c>
      <c r="R1355" s="154">
        <v>0.313</v>
      </c>
      <c r="S1355" s="154">
        <v>0.04</v>
      </c>
      <c r="T1355" s="154">
        <v>0.015</v>
      </c>
      <c r="U1355" s="154">
        <v>0.264</v>
      </c>
      <c r="V1355" s="154">
        <v>0.466</v>
      </c>
      <c r="W1355" s="154">
        <v>0.164</v>
      </c>
      <c r="X1355" s="154">
        <v>0.059</v>
      </c>
      <c r="Y1355" s="154">
        <v>0.021</v>
      </c>
      <c r="Z1355" s="154">
        <v>0.011</v>
      </c>
      <c r="AA1355" s="148" t="s">
        <v>70</v>
      </c>
    </row>
    <row r="1356" spans="1:27">
      <c r="A1356" s="147">
        <v>2759</v>
      </c>
      <c r="B1356" s="147" t="s">
        <v>69</v>
      </c>
      <c r="C1356" s="147" t="s">
        <v>28</v>
      </c>
      <c r="D1356" s="148" t="s">
        <v>29</v>
      </c>
      <c r="E1356" s="148" t="s">
        <v>30</v>
      </c>
      <c r="F1356" s="149">
        <v>2025</v>
      </c>
      <c r="G1356" s="148" t="s">
        <v>42</v>
      </c>
      <c r="H1356" s="149">
        <v>315</v>
      </c>
      <c r="I1356" s="150">
        <v>24094</v>
      </c>
      <c r="J1356" s="149">
        <v>471</v>
      </c>
      <c r="K1356" s="150">
        <v>7541</v>
      </c>
      <c r="L1356" s="152"/>
      <c r="M1356" s="152">
        <f t="shared" si="21"/>
        <v>0</v>
      </c>
      <c r="N1356" s="150">
        <v>92180</v>
      </c>
      <c r="O1356" s="148"/>
      <c r="P1356" s="150">
        <v>2734</v>
      </c>
      <c r="Q1356" s="154">
        <v>0.687</v>
      </c>
      <c r="R1356" s="154">
        <v>0.248</v>
      </c>
      <c r="S1356" s="154">
        <v>0.065</v>
      </c>
      <c r="T1356" s="154">
        <v>0.016</v>
      </c>
      <c r="U1356" s="154">
        <v>0.212</v>
      </c>
      <c r="V1356" s="154">
        <v>0.438</v>
      </c>
      <c r="W1356" s="154">
        <v>0.197</v>
      </c>
      <c r="X1356" s="154">
        <v>0.091</v>
      </c>
      <c r="Y1356" s="154">
        <v>0.029</v>
      </c>
      <c r="Z1356" s="154">
        <v>0.016</v>
      </c>
      <c r="AA1356" s="148" t="s">
        <v>70</v>
      </c>
    </row>
    <row r="1357" spans="1:27">
      <c r="A1357" s="147">
        <v>2760</v>
      </c>
      <c r="B1357" s="147" t="s">
        <v>69</v>
      </c>
      <c r="C1357" s="147" t="s">
        <v>28</v>
      </c>
      <c r="D1357" s="148" t="s">
        <v>29</v>
      </c>
      <c r="E1357" s="148" t="s">
        <v>30</v>
      </c>
      <c r="F1357" s="149">
        <v>2025</v>
      </c>
      <c r="G1357" s="148" t="s">
        <v>43</v>
      </c>
      <c r="H1357" s="149">
        <v>448</v>
      </c>
      <c r="I1357" s="150">
        <v>24573</v>
      </c>
      <c r="J1357" s="149">
        <v>623</v>
      </c>
      <c r="K1357" s="150">
        <v>18946</v>
      </c>
      <c r="L1357" s="152"/>
      <c r="M1357" s="152">
        <f t="shared" si="21"/>
        <v>0</v>
      </c>
      <c r="N1357" s="150">
        <v>141176</v>
      </c>
      <c r="O1357" s="148"/>
      <c r="P1357" s="150">
        <v>5026</v>
      </c>
      <c r="Q1357" s="154">
        <v>0.699</v>
      </c>
      <c r="R1357" s="154">
        <v>0.263</v>
      </c>
      <c r="S1357" s="154">
        <v>0.038</v>
      </c>
      <c r="T1357" s="154">
        <v>0.015</v>
      </c>
      <c r="U1357" s="154">
        <v>0.217</v>
      </c>
      <c r="V1357" s="154">
        <v>0.445</v>
      </c>
      <c r="W1357" s="154">
        <v>0.2</v>
      </c>
      <c r="X1357" s="154">
        <v>0.086</v>
      </c>
      <c r="Y1357" s="154">
        <v>0.027</v>
      </c>
      <c r="Z1357" s="154">
        <v>0.011</v>
      </c>
      <c r="AA1357" s="148" t="s">
        <v>70</v>
      </c>
    </row>
    <row r="1358" spans="1:27">
      <c r="A1358" s="147">
        <v>2761</v>
      </c>
      <c r="B1358" s="147" t="s">
        <v>69</v>
      </c>
      <c r="C1358" s="147" t="s">
        <v>28</v>
      </c>
      <c r="D1358" s="148" t="s">
        <v>29</v>
      </c>
      <c r="E1358" s="148" t="s">
        <v>30</v>
      </c>
      <c r="F1358" s="149">
        <v>2026</v>
      </c>
      <c r="G1358" s="148" t="s">
        <v>31</v>
      </c>
      <c r="H1358" s="149">
        <v>572</v>
      </c>
      <c r="I1358" s="150">
        <v>25969</v>
      </c>
      <c r="J1358" s="150">
        <v>1383</v>
      </c>
      <c r="K1358" s="150">
        <v>19807</v>
      </c>
      <c r="L1358" s="152"/>
      <c r="M1358" s="152">
        <f t="shared" si="21"/>
        <v>0</v>
      </c>
      <c r="N1358" s="150">
        <v>213071</v>
      </c>
      <c r="O1358" s="148"/>
      <c r="P1358" s="150">
        <v>8119</v>
      </c>
      <c r="Q1358" s="154">
        <v>0.688</v>
      </c>
      <c r="R1358" s="154">
        <v>0.27</v>
      </c>
      <c r="S1358" s="154">
        <v>0.042</v>
      </c>
      <c r="T1358" s="154">
        <v>0.016</v>
      </c>
      <c r="U1358" s="154">
        <v>0.222</v>
      </c>
      <c r="V1358" s="154">
        <v>0.442</v>
      </c>
      <c r="W1358" s="154">
        <v>0.204</v>
      </c>
      <c r="X1358" s="154">
        <v>0.082</v>
      </c>
      <c r="Y1358" s="154">
        <v>0.025</v>
      </c>
      <c r="Z1358" s="154">
        <v>0.009</v>
      </c>
      <c r="AA1358" s="148" t="s">
        <v>70</v>
      </c>
    </row>
    <row r="1359" spans="1:27">
      <c r="A1359" s="147">
        <v>2762</v>
      </c>
      <c r="B1359" s="147" t="s">
        <v>69</v>
      </c>
      <c r="C1359" s="147" t="s">
        <v>28</v>
      </c>
      <c r="D1359" s="148" t="s">
        <v>29</v>
      </c>
      <c r="E1359" s="148" t="s">
        <v>30</v>
      </c>
      <c r="F1359" s="149">
        <v>2026</v>
      </c>
      <c r="G1359" s="148" t="s">
        <v>33</v>
      </c>
      <c r="H1359" s="149">
        <v>481</v>
      </c>
      <c r="I1359" s="150">
        <v>26983</v>
      </c>
      <c r="J1359" s="150">
        <v>1364</v>
      </c>
      <c r="K1359" s="150">
        <v>16650</v>
      </c>
      <c r="L1359" s="152"/>
      <c r="M1359" s="152">
        <f t="shared" si="21"/>
        <v>0</v>
      </c>
      <c r="N1359" s="150">
        <v>320670</v>
      </c>
      <c r="O1359" s="148"/>
      <c r="P1359" s="150">
        <v>9493</v>
      </c>
      <c r="Q1359" s="154">
        <v>0.736</v>
      </c>
      <c r="R1359" s="154">
        <v>0.229</v>
      </c>
      <c r="S1359" s="154">
        <v>0.035</v>
      </c>
      <c r="T1359" s="154">
        <v>0.012</v>
      </c>
      <c r="U1359" s="154">
        <v>0.192</v>
      </c>
      <c r="V1359" s="154">
        <v>0.51</v>
      </c>
      <c r="W1359" s="154">
        <v>0.198</v>
      </c>
      <c r="X1359" s="154">
        <v>0.057</v>
      </c>
      <c r="Y1359" s="154">
        <v>0.022</v>
      </c>
      <c r="Z1359" s="154">
        <v>0.008</v>
      </c>
      <c r="AA1359" s="148" t="s">
        <v>70</v>
      </c>
    </row>
    <row r="1360" spans="1:27">
      <c r="A1360" s="147">
        <v>2763</v>
      </c>
      <c r="B1360" s="147" t="s">
        <v>69</v>
      </c>
      <c r="C1360" s="147" t="s">
        <v>28</v>
      </c>
      <c r="D1360" s="148" t="s">
        <v>29</v>
      </c>
      <c r="E1360" s="148" t="s">
        <v>30</v>
      </c>
      <c r="F1360" s="149">
        <v>2026</v>
      </c>
      <c r="G1360" s="148" t="s">
        <v>34</v>
      </c>
      <c r="H1360" s="149">
        <v>659</v>
      </c>
      <c r="I1360" s="150">
        <v>28197</v>
      </c>
      <c r="J1360" s="150">
        <v>1523</v>
      </c>
      <c r="K1360" s="150">
        <v>23086</v>
      </c>
      <c r="L1360" s="152"/>
      <c r="M1360" s="152">
        <f t="shared" si="21"/>
        <v>0</v>
      </c>
      <c r="N1360" s="150">
        <v>238611</v>
      </c>
      <c r="O1360" s="148"/>
      <c r="P1360" s="150">
        <v>8490</v>
      </c>
      <c r="Q1360" s="154">
        <v>0.765</v>
      </c>
      <c r="R1360" s="154">
        <v>0.213</v>
      </c>
      <c r="S1360" s="154">
        <v>0.022</v>
      </c>
      <c r="T1360" s="154">
        <v>0.013</v>
      </c>
      <c r="U1360" s="154">
        <v>0.177</v>
      </c>
      <c r="V1360" s="154">
        <v>0.46</v>
      </c>
      <c r="W1360" s="154">
        <v>0.213</v>
      </c>
      <c r="X1360" s="154">
        <v>0.089</v>
      </c>
      <c r="Y1360" s="154">
        <v>0.032</v>
      </c>
      <c r="Z1360" s="154">
        <v>0.017</v>
      </c>
      <c r="AA1360" s="148" t="s">
        <v>70</v>
      </c>
    </row>
    <row r="1361" spans="1:27">
      <c r="A1361" s="147">
        <v>2764</v>
      </c>
      <c r="B1361" s="147" t="s">
        <v>69</v>
      </c>
      <c r="C1361" s="147" t="s">
        <v>28</v>
      </c>
      <c r="D1361" s="148" t="s">
        <v>29</v>
      </c>
      <c r="E1361" s="148" t="s">
        <v>30</v>
      </c>
      <c r="F1361" s="149">
        <v>2026</v>
      </c>
      <c r="G1361" s="148" t="s">
        <v>35</v>
      </c>
      <c r="H1361" s="150">
        <v>1069</v>
      </c>
      <c r="I1361" s="150">
        <v>30368</v>
      </c>
      <c r="J1361" s="150">
        <v>2612</v>
      </c>
      <c r="K1361" s="150">
        <v>13793</v>
      </c>
      <c r="L1361" s="152"/>
      <c r="M1361" s="152">
        <f t="shared" si="21"/>
        <v>0</v>
      </c>
      <c r="N1361" s="150">
        <v>352561</v>
      </c>
      <c r="O1361" s="148"/>
      <c r="P1361" s="150">
        <v>2926</v>
      </c>
      <c r="Q1361" s="154">
        <v>0.733</v>
      </c>
      <c r="R1361" s="154">
        <v>0.221</v>
      </c>
      <c r="S1361" s="154">
        <v>0.046</v>
      </c>
      <c r="T1361" s="154">
        <v>0.012</v>
      </c>
      <c r="U1361" s="154">
        <v>0.196</v>
      </c>
      <c r="V1361" s="154">
        <v>0.473</v>
      </c>
      <c r="W1361" s="154">
        <v>0.189</v>
      </c>
      <c r="X1361" s="154">
        <v>0.084</v>
      </c>
      <c r="Y1361" s="154">
        <v>0.027</v>
      </c>
      <c r="Z1361" s="154">
        <v>0.019</v>
      </c>
      <c r="AA1361" s="148" t="s">
        <v>70</v>
      </c>
    </row>
    <row r="1362" spans="1:27">
      <c r="A1362" s="147">
        <v>2765</v>
      </c>
      <c r="B1362" s="147" t="s">
        <v>69</v>
      </c>
      <c r="C1362" s="147" t="s">
        <v>28</v>
      </c>
      <c r="D1362" s="148" t="s">
        <v>29</v>
      </c>
      <c r="E1362" s="148" t="s">
        <v>30</v>
      </c>
      <c r="F1362" s="149">
        <v>2026</v>
      </c>
      <c r="G1362" s="148" t="s">
        <v>36</v>
      </c>
      <c r="H1362" s="149">
        <v>939</v>
      </c>
      <c r="I1362" s="150">
        <v>34648</v>
      </c>
      <c r="J1362" s="150">
        <v>4766</v>
      </c>
      <c r="K1362" s="150">
        <v>15850</v>
      </c>
      <c r="L1362" s="152"/>
      <c r="M1362" s="152">
        <f t="shared" si="21"/>
        <v>0</v>
      </c>
      <c r="N1362" s="150">
        <v>811952</v>
      </c>
      <c r="O1362" s="148"/>
      <c r="P1362" s="150">
        <v>4699</v>
      </c>
      <c r="Q1362" s="154">
        <v>0.75</v>
      </c>
      <c r="R1362" s="154">
        <v>0.209</v>
      </c>
      <c r="S1362" s="154">
        <v>0.041</v>
      </c>
      <c r="T1362" s="154">
        <v>0.008</v>
      </c>
      <c r="U1362" s="154">
        <v>0.172</v>
      </c>
      <c r="V1362" s="154">
        <v>0.524</v>
      </c>
      <c r="W1362" s="154">
        <v>0.201</v>
      </c>
      <c r="X1362" s="154">
        <v>0.059</v>
      </c>
      <c r="Y1362" s="154">
        <v>0.021</v>
      </c>
      <c r="Z1362" s="154">
        <v>0.014</v>
      </c>
      <c r="AA1362" s="148" t="s">
        <v>70</v>
      </c>
    </row>
    <row r="1363" spans="1:27">
      <c r="A1363" s="147">
        <v>2766</v>
      </c>
      <c r="B1363" s="147" t="s">
        <v>69</v>
      </c>
      <c r="C1363" s="147" t="s">
        <v>28</v>
      </c>
      <c r="D1363" s="148" t="s">
        <v>29</v>
      </c>
      <c r="E1363" s="148" t="s">
        <v>30</v>
      </c>
      <c r="F1363" s="149">
        <v>2026</v>
      </c>
      <c r="G1363" s="148" t="s">
        <v>37</v>
      </c>
      <c r="H1363" s="149">
        <v>784</v>
      </c>
      <c r="I1363" s="150">
        <v>40193</v>
      </c>
      <c r="J1363" s="150">
        <v>6644</v>
      </c>
      <c r="K1363" s="150">
        <v>8140</v>
      </c>
      <c r="L1363" s="152"/>
      <c r="M1363" s="152">
        <f t="shared" si="21"/>
        <v>0</v>
      </c>
      <c r="N1363" s="150">
        <v>480905</v>
      </c>
      <c r="O1363" s="148"/>
      <c r="P1363" s="150">
        <v>4767</v>
      </c>
      <c r="Q1363" s="154">
        <v>0.593</v>
      </c>
      <c r="R1363" s="154">
        <v>0.201</v>
      </c>
      <c r="S1363" s="154">
        <v>0.206</v>
      </c>
      <c r="T1363" s="154">
        <v>0.01</v>
      </c>
      <c r="U1363" s="154">
        <v>0.168</v>
      </c>
      <c r="V1363" s="154">
        <v>0.495</v>
      </c>
      <c r="W1363" s="154">
        <v>0.196</v>
      </c>
      <c r="X1363" s="154">
        <v>0.084</v>
      </c>
      <c r="Y1363" s="154">
        <v>0.03</v>
      </c>
      <c r="Z1363" s="154">
        <v>0.016</v>
      </c>
      <c r="AA1363" s="148" t="s">
        <v>70</v>
      </c>
    </row>
    <row r="1364" spans="1:27">
      <c r="A1364" s="147">
        <v>2767</v>
      </c>
      <c r="B1364" s="147" t="s">
        <v>69</v>
      </c>
      <c r="C1364" s="147" t="s">
        <v>28</v>
      </c>
      <c r="D1364" s="148" t="s">
        <v>29</v>
      </c>
      <c r="E1364" s="148" t="s">
        <v>30</v>
      </c>
      <c r="F1364" s="149">
        <v>2026</v>
      </c>
      <c r="G1364" s="148" t="s">
        <v>38</v>
      </c>
      <c r="H1364" s="148"/>
      <c r="I1364" s="150">
        <v>44900</v>
      </c>
      <c r="J1364" s="150">
        <v>4707</v>
      </c>
      <c r="K1364" s="148"/>
      <c r="L1364" s="152"/>
      <c r="M1364" s="152">
        <f t="shared" si="21"/>
        <v>0</v>
      </c>
      <c r="N1364" s="148"/>
      <c r="O1364" s="148"/>
      <c r="P1364" s="148"/>
      <c r="Q1364" s="148"/>
      <c r="R1364" s="148"/>
      <c r="S1364" s="148"/>
      <c r="T1364" s="148"/>
      <c r="U1364" s="148"/>
      <c r="V1364" s="148"/>
      <c r="W1364" s="148"/>
      <c r="X1364" s="148"/>
      <c r="Y1364" s="148"/>
      <c r="Z1364" s="148"/>
      <c r="AA1364" s="148" t="s">
        <v>70</v>
      </c>
    </row>
    <row r="1365" spans="1:27">
      <c r="A1365" s="147">
        <v>2768</v>
      </c>
      <c r="B1365" s="147" t="s">
        <v>69</v>
      </c>
      <c r="C1365" s="147" t="s">
        <v>28</v>
      </c>
      <c r="D1365" s="148" t="s">
        <v>29</v>
      </c>
      <c r="E1365" s="148" t="s">
        <v>30</v>
      </c>
      <c r="F1365" s="149">
        <v>2026</v>
      </c>
      <c r="G1365" s="148" t="s">
        <v>39</v>
      </c>
      <c r="H1365" s="148"/>
      <c r="I1365" s="148"/>
      <c r="J1365" s="148"/>
      <c r="K1365" s="148"/>
      <c r="L1365" s="152"/>
      <c r="M1365" s="152">
        <f t="shared" si="21"/>
        <v>0</v>
      </c>
      <c r="N1365" s="148"/>
      <c r="O1365" s="148"/>
      <c r="P1365" s="148"/>
      <c r="Q1365" s="148"/>
      <c r="R1365" s="148"/>
      <c r="S1365" s="148"/>
      <c r="T1365" s="148"/>
      <c r="U1365" s="148"/>
      <c r="V1365" s="148"/>
      <c r="W1365" s="148"/>
      <c r="X1365" s="148"/>
      <c r="Y1365" s="148"/>
      <c r="Z1365" s="148"/>
      <c r="AA1365" s="148"/>
    </row>
    <row r="1366" spans="1:27">
      <c r="A1366" s="147">
        <v>2769</v>
      </c>
      <c r="B1366" s="147" t="s">
        <v>69</v>
      </c>
      <c r="C1366" s="147" t="s">
        <v>28</v>
      </c>
      <c r="D1366" s="148" t="s">
        <v>29</v>
      </c>
      <c r="E1366" s="148" t="s">
        <v>30</v>
      </c>
      <c r="F1366" s="149">
        <v>2026</v>
      </c>
      <c r="G1366" s="148" t="s">
        <v>40</v>
      </c>
      <c r="H1366" s="148"/>
      <c r="I1366" s="148"/>
      <c r="J1366" s="148"/>
      <c r="K1366" s="148"/>
      <c r="L1366" s="152"/>
      <c r="M1366" s="152">
        <f t="shared" si="21"/>
        <v>0</v>
      </c>
      <c r="N1366" s="148"/>
      <c r="O1366" s="148"/>
      <c r="P1366" s="148"/>
      <c r="Q1366" s="148"/>
      <c r="R1366" s="148"/>
      <c r="S1366" s="148"/>
      <c r="T1366" s="148"/>
      <c r="U1366" s="148"/>
      <c r="V1366" s="148"/>
      <c r="W1366" s="148"/>
      <c r="X1366" s="148"/>
      <c r="Y1366" s="148"/>
      <c r="Z1366" s="148"/>
      <c r="AA1366" s="148"/>
    </row>
    <row r="1367" spans="1:27">
      <c r="A1367" s="147">
        <v>2770</v>
      </c>
      <c r="B1367" s="147" t="s">
        <v>69</v>
      </c>
      <c r="C1367" s="147" t="s">
        <v>28</v>
      </c>
      <c r="D1367" s="148" t="s">
        <v>29</v>
      </c>
      <c r="E1367" s="148" t="s">
        <v>30</v>
      </c>
      <c r="F1367" s="149">
        <v>2026</v>
      </c>
      <c r="G1367" s="148" t="s">
        <v>41</v>
      </c>
      <c r="H1367" s="148"/>
      <c r="I1367" s="148"/>
      <c r="J1367" s="148"/>
      <c r="K1367" s="148"/>
      <c r="L1367" s="152"/>
      <c r="M1367" s="152">
        <f t="shared" si="21"/>
        <v>0</v>
      </c>
      <c r="N1367" s="148"/>
      <c r="O1367" s="148"/>
      <c r="P1367" s="148"/>
      <c r="Q1367" s="148"/>
      <c r="R1367" s="148"/>
      <c r="S1367" s="148"/>
      <c r="T1367" s="148"/>
      <c r="U1367" s="148"/>
      <c r="V1367" s="148"/>
      <c r="W1367" s="148"/>
      <c r="X1367" s="148"/>
      <c r="Y1367" s="148"/>
      <c r="Z1367" s="148"/>
      <c r="AA1367" s="148"/>
    </row>
    <row r="1368" spans="1:27">
      <c r="A1368" s="147">
        <v>2771</v>
      </c>
      <c r="B1368" s="147" t="s">
        <v>69</v>
      </c>
      <c r="C1368" s="147" t="s">
        <v>28</v>
      </c>
      <c r="D1368" s="148" t="s">
        <v>29</v>
      </c>
      <c r="E1368" s="148" t="s">
        <v>30</v>
      </c>
      <c r="F1368" s="149">
        <v>2026</v>
      </c>
      <c r="G1368" s="148" t="s">
        <v>42</v>
      </c>
      <c r="H1368" s="148"/>
      <c r="I1368" s="148"/>
      <c r="J1368" s="148"/>
      <c r="K1368" s="148"/>
      <c r="L1368" s="152"/>
      <c r="M1368" s="152">
        <f t="shared" si="21"/>
        <v>0</v>
      </c>
      <c r="N1368" s="148"/>
      <c r="O1368" s="148"/>
      <c r="P1368" s="148"/>
      <c r="Q1368" s="148"/>
      <c r="R1368" s="148"/>
      <c r="S1368" s="148"/>
      <c r="T1368" s="148"/>
      <c r="U1368" s="148"/>
      <c r="V1368" s="148"/>
      <c r="W1368" s="148"/>
      <c r="X1368" s="148"/>
      <c r="Y1368" s="148"/>
      <c r="Z1368" s="148"/>
      <c r="AA1368" s="148"/>
    </row>
    <row r="1369" spans="1:27">
      <c r="A1369" s="147">
        <v>2772</v>
      </c>
      <c r="B1369" s="147" t="s">
        <v>69</v>
      </c>
      <c r="C1369" s="147" t="s">
        <v>28</v>
      </c>
      <c r="D1369" s="148" t="s">
        <v>29</v>
      </c>
      <c r="E1369" s="148" t="s">
        <v>30</v>
      </c>
      <c r="F1369" s="149">
        <v>2026</v>
      </c>
      <c r="G1369" s="148" t="s">
        <v>43</v>
      </c>
      <c r="H1369" s="148"/>
      <c r="I1369" s="148"/>
      <c r="J1369" s="148"/>
      <c r="K1369" s="148"/>
      <c r="L1369" s="152"/>
      <c r="M1369" s="152">
        <f t="shared" si="21"/>
        <v>0</v>
      </c>
      <c r="N1369" s="148"/>
      <c r="O1369" s="148"/>
      <c r="P1369" s="148"/>
      <c r="Q1369" s="148"/>
      <c r="R1369" s="148"/>
      <c r="S1369" s="148"/>
      <c r="T1369" s="148"/>
      <c r="U1369" s="148"/>
      <c r="V1369" s="148"/>
      <c r="W1369" s="148"/>
      <c r="X1369" s="148"/>
      <c r="Y1369" s="148"/>
      <c r="Z1369" s="148"/>
      <c r="AA1369" s="148"/>
    </row>
    <row r="1370" spans="1:27">
      <c r="A1370" s="147">
        <v>2785</v>
      </c>
      <c r="B1370" s="147" t="s">
        <v>69</v>
      </c>
      <c r="C1370" s="147" t="s">
        <v>46</v>
      </c>
      <c r="D1370" s="148" t="s">
        <v>47</v>
      </c>
      <c r="E1370" s="148" t="s">
        <v>30</v>
      </c>
      <c r="F1370" s="149">
        <v>2024</v>
      </c>
      <c r="G1370" s="148" t="s">
        <v>31</v>
      </c>
      <c r="H1370" s="148"/>
      <c r="I1370" s="148"/>
      <c r="J1370" s="148"/>
      <c r="K1370" s="148"/>
      <c r="L1370" s="152"/>
      <c r="M1370" s="152">
        <f t="shared" si="21"/>
        <v>0</v>
      </c>
      <c r="N1370" s="148"/>
      <c r="O1370" s="148"/>
      <c r="P1370" s="148"/>
      <c r="Q1370" s="148"/>
      <c r="R1370" s="148"/>
      <c r="S1370" s="148"/>
      <c r="T1370" s="148"/>
      <c r="U1370" s="148"/>
      <c r="V1370" s="148"/>
      <c r="W1370" s="148"/>
      <c r="X1370" s="148"/>
      <c r="Y1370" s="148"/>
      <c r="Z1370" s="148"/>
      <c r="AA1370" s="148"/>
    </row>
    <row r="1371" spans="1:27">
      <c r="A1371" s="147">
        <v>2786</v>
      </c>
      <c r="B1371" s="147" t="s">
        <v>69</v>
      </c>
      <c r="C1371" s="147" t="s">
        <v>46</v>
      </c>
      <c r="D1371" s="148" t="s">
        <v>47</v>
      </c>
      <c r="E1371" s="148" t="s">
        <v>30</v>
      </c>
      <c r="F1371" s="149">
        <v>2024</v>
      </c>
      <c r="G1371" s="148" t="s">
        <v>33</v>
      </c>
      <c r="H1371" s="148"/>
      <c r="I1371" s="148"/>
      <c r="J1371" s="148"/>
      <c r="K1371" s="148"/>
      <c r="L1371" s="152"/>
      <c r="M1371" s="152">
        <f t="shared" si="21"/>
        <v>0</v>
      </c>
      <c r="N1371" s="148"/>
      <c r="O1371" s="148"/>
      <c r="P1371" s="148"/>
      <c r="Q1371" s="148"/>
      <c r="R1371" s="148"/>
      <c r="S1371" s="148"/>
      <c r="T1371" s="148"/>
      <c r="U1371" s="148"/>
      <c r="V1371" s="148"/>
      <c r="W1371" s="148"/>
      <c r="X1371" s="148"/>
      <c r="Y1371" s="148"/>
      <c r="Z1371" s="148"/>
      <c r="AA1371" s="148"/>
    </row>
    <row r="1372" spans="1:27">
      <c r="A1372" s="147">
        <v>2787</v>
      </c>
      <c r="B1372" s="147" t="s">
        <v>69</v>
      </c>
      <c r="C1372" s="147" t="s">
        <v>46</v>
      </c>
      <c r="D1372" s="148" t="s">
        <v>47</v>
      </c>
      <c r="E1372" s="148" t="s">
        <v>30</v>
      </c>
      <c r="F1372" s="149">
        <v>2024</v>
      </c>
      <c r="G1372" s="148" t="s">
        <v>34</v>
      </c>
      <c r="H1372" s="148"/>
      <c r="I1372" s="148"/>
      <c r="J1372" s="148"/>
      <c r="K1372" s="148"/>
      <c r="L1372" s="152"/>
      <c r="M1372" s="152">
        <f t="shared" si="21"/>
        <v>0</v>
      </c>
      <c r="N1372" s="148"/>
      <c r="O1372" s="148"/>
      <c r="P1372" s="148"/>
      <c r="Q1372" s="148"/>
      <c r="R1372" s="148"/>
      <c r="S1372" s="148"/>
      <c r="T1372" s="148"/>
      <c r="U1372" s="148"/>
      <c r="V1372" s="148"/>
      <c r="W1372" s="148"/>
      <c r="X1372" s="148"/>
      <c r="Y1372" s="148"/>
      <c r="Z1372" s="148"/>
      <c r="AA1372" s="148"/>
    </row>
    <row r="1373" spans="1:27">
      <c r="A1373" s="147">
        <v>2788</v>
      </c>
      <c r="B1373" s="147" t="s">
        <v>69</v>
      </c>
      <c r="C1373" s="147" t="s">
        <v>46</v>
      </c>
      <c r="D1373" s="148" t="s">
        <v>47</v>
      </c>
      <c r="E1373" s="148" t="s">
        <v>30</v>
      </c>
      <c r="F1373" s="149">
        <v>2024</v>
      </c>
      <c r="G1373" s="148" t="s">
        <v>35</v>
      </c>
      <c r="H1373" s="148"/>
      <c r="I1373" s="148"/>
      <c r="J1373" s="148"/>
      <c r="K1373" s="148"/>
      <c r="L1373" s="152"/>
      <c r="M1373" s="152">
        <f t="shared" si="21"/>
        <v>0</v>
      </c>
      <c r="N1373" s="148"/>
      <c r="O1373" s="148"/>
      <c r="P1373" s="148"/>
      <c r="Q1373" s="148"/>
      <c r="R1373" s="148"/>
      <c r="S1373" s="148"/>
      <c r="T1373" s="148"/>
      <c r="U1373" s="148"/>
      <c r="V1373" s="148"/>
      <c r="W1373" s="148"/>
      <c r="X1373" s="148"/>
      <c r="Y1373" s="148"/>
      <c r="Z1373" s="148"/>
      <c r="AA1373" s="148"/>
    </row>
    <row r="1374" spans="1:27">
      <c r="A1374" s="147">
        <v>2789</v>
      </c>
      <c r="B1374" s="147" t="s">
        <v>69</v>
      </c>
      <c r="C1374" s="147" t="s">
        <v>46</v>
      </c>
      <c r="D1374" s="148" t="s">
        <v>47</v>
      </c>
      <c r="E1374" s="148" t="s">
        <v>30</v>
      </c>
      <c r="F1374" s="149">
        <v>2024</v>
      </c>
      <c r="G1374" s="148" t="s">
        <v>36</v>
      </c>
      <c r="H1374" s="148"/>
      <c r="I1374" s="148"/>
      <c r="J1374" s="148"/>
      <c r="K1374" s="148"/>
      <c r="L1374" s="152"/>
      <c r="M1374" s="152">
        <f t="shared" si="21"/>
        <v>0</v>
      </c>
      <c r="N1374" s="148"/>
      <c r="O1374" s="148"/>
      <c r="P1374" s="148"/>
      <c r="Q1374" s="148"/>
      <c r="R1374" s="148"/>
      <c r="S1374" s="148"/>
      <c r="T1374" s="148"/>
      <c r="U1374" s="148"/>
      <c r="V1374" s="148"/>
      <c r="W1374" s="148"/>
      <c r="X1374" s="148"/>
      <c r="Y1374" s="148"/>
      <c r="Z1374" s="148"/>
      <c r="AA1374" s="148"/>
    </row>
    <row r="1375" spans="1:27">
      <c r="A1375" s="147">
        <v>2790</v>
      </c>
      <c r="B1375" s="147" t="s">
        <v>69</v>
      </c>
      <c r="C1375" s="147" t="s">
        <v>46</v>
      </c>
      <c r="D1375" s="148" t="s">
        <v>47</v>
      </c>
      <c r="E1375" s="148" t="s">
        <v>30</v>
      </c>
      <c r="F1375" s="149">
        <v>2024</v>
      </c>
      <c r="G1375" s="148" t="s">
        <v>37</v>
      </c>
      <c r="H1375" s="148"/>
      <c r="I1375" s="148"/>
      <c r="J1375" s="148"/>
      <c r="K1375" s="148"/>
      <c r="L1375" s="152"/>
      <c r="M1375" s="152">
        <f t="shared" si="21"/>
        <v>0</v>
      </c>
      <c r="N1375" s="148"/>
      <c r="O1375" s="148"/>
      <c r="P1375" s="148"/>
      <c r="Q1375" s="148"/>
      <c r="R1375" s="148"/>
      <c r="S1375" s="148"/>
      <c r="T1375" s="148"/>
      <c r="U1375" s="148"/>
      <c r="V1375" s="148"/>
      <c r="W1375" s="148"/>
      <c r="X1375" s="148"/>
      <c r="Y1375" s="148"/>
      <c r="Z1375" s="148"/>
      <c r="AA1375" s="148"/>
    </row>
    <row r="1376" spans="1:27">
      <c r="A1376" s="147">
        <v>2791</v>
      </c>
      <c r="B1376" s="147" t="s">
        <v>69</v>
      </c>
      <c r="C1376" s="147" t="s">
        <v>46</v>
      </c>
      <c r="D1376" s="148" t="s">
        <v>47</v>
      </c>
      <c r="E1376" s="148" t="s">
        <v>30</v>
      </c>
      <c r="F1376" s="149">
        <v>2024</v>
      </c>
      <c r="G1376" s="148" t="s">
        <v>38</v>
      </c>
      <c r="H1376" s="148"/>
      <c r="I1376" s="148"/>
      <c r="J1376" s="148"/>
      <c r="K1376" s="148"/>
      <c r="L1376" s="152"/>
      <c r="M1376" s="152">
        <f t="shared" si="21"/>
        <v>0</v>
      </c>
      <c r="N1376" s="148"/>
      <c r="O1376" s="148"/>
      <c r="P1376" s="148"/>
      <c r="Q1376" s="148"/>
      <c r="R1376" s="148"/>
      <c r="S1376" s="148"/>
      <c r="T1376" s="148"/>
      <c r="U1376" s="148"/>
      <c r="V1376" s="148"/>
      <c r="W1376" s="148"/>
      <c r="X1376" s="148"/>
      <c r="Y1376" s="148"/>
      <c r="Z1376" s="148"/>
      <c r="AA1376" s="148"/>
    </row>
    <row r="1377" spans="1:27">
      <c r="A1377" s="147">
        <v>2792</v>
      </c>
      <c r="B1377" s="147" t="s">
        <v>69</v>
      </c>
      <c r="C1377" s="147" t="s">
        <v>46</v>
      </c>
      <c r="D1377" s="148" t="s">
        <v>47</v>
      </c>
      <c r="E1377" s="148" t="s">
        <v>30</v>
      </c>
      <c r="F1377" s="149">
        <v>2024</v>
      </c>
      <c r="G1377" s="148" t="s">
        <v>39</v>
      </c>
      <c r="H1377" s="148"/>
      <c r="I1377" s="148"/>
      <c r="J1377" s="148"/>
      <c r="K1377" s="148"/>
      <c r="L1377" s="152"/>
      <c r="M1377" s="152">
        <f t="shared" si="21"/>
        <v>0</v>
      </c>
      <c r="N1377" s="148"/>
      <c r="O1377" s="148"/>
      <c r="P1377" s="148"/>
      <c r="Q1377" s="148"/>
      <c r="R1377" s="148"/>
      <c r="S1377" s="148"/>
      <c r="T1377" s="148"/>
      <c r="U1377" s="148"/>
      <c r="V1377" s="148"/>
      <c r="W1377" s="148"/>
      <c r="X1377" s="148"/>
      <c r="Y1377" s="148"/>
      <c r="Z1377" s="148"/>
      <c r="AA1377" s="148"/>
    </row>
    <row r="1378" spans="1:27">
      <c r="A1378" s="147">
        <v>2793</v>
      </c>
      <c r="B1378" s="147" t="s">
        <v>69</v>
      </c>
      <c r="C1378" s="147" t="s">
        <v>46</v>
      </c>
      <c r="D1378" s="148" t="s">
        <v>47</v>
      </c>
      <c r="E1378" s="148" t="s">
        <v>30</v>
      </c>
      <c r="F1378" s="149">
        <v>2024</v>
      </c>
      <c r="G1378" s="148" t="s">
        <v>40</v>
      </c>
      <c r="H1378" s="148"/>
      <c r="I1378" s="148"/>
      <c r="J1378" s="148"/>
      <c r="K1378" s="148"/>
      <c r="L1378" s="152"/>
      <c r="M1378" s="152">
        <f t="shared" si="21"/>
        <v>0</v>
      </c>
      <c r="N1378" s="148"/>
      <c r="O1378" s="148"/>
      <c r="P1378" s="148"/>
      <c r="Q1378" s="148"/>
      <c r="R1378" s="148"/>
      <c r="S1378" s="148"/>
      <c r="T1378" s="148"/>
      <c r="U1378" s="148"/>
      <c r="V1378" s="148"/>
      <c r="W1378" s="148"/>
      <c r="X1378" s="148"/>
      <c r="Y1378" s="148"/>
      <c r="Z1378" s="148"/>
      <c r="AA1378" s="148"/>
    </row>
    <row r="1379" spans="1:27">
      <c r="A1379" s="147">
        <v>2794</v>
      </c>
      <c r="B1379" s="147" t="s">
        <v>69</v>
      </c>
      <c r="C1379" s="147" t="s">
        <v>46</v>
      </c>
      <c r="D1379" s="148" t="s">
        <v>47</v>
      </c>
      <c r="E1379" s="148" t="s">
        <v>30</v>
      </c>
      <c r="F1379" s="149">
        <v>2024</v>
      </c>
      <c r="G1379" s="148" t="s">
        <v>41</v>
      </c>
      <c r="H1379" s="148"/>
      <c r="I1379" s="148"/>
      <c r="J1379" s="148"/>
      <c r="K1379" s="148"/>
      <c r="L1379" s="152"/>
      <c r="M1379" s="152">
        <f t="shared" si="21"/>
        <v>0</v>
      </c>
      <c r="N1379" s="148"/>
      <c r="O1379" s="148"/>
      <c r="P1379" s="148"/>
      <c r="Q1379" s="148"/>
      <c r="R1379" s="148"/>
      <c r="S1379" s="148"/>
      <c r="T1379" s="148"/>
      <c r="U1379" s="148"/>
      <c r="V1379" s="148"/>
      <c r="W1379" s="148"/>
      <c r="X1379" s="148"/>
      <c r="Y1379" s="148"/>
      <c r="Z1379" s="148"/>
      <c r="AA1379" s="148"/>
    </row>
    <row r="1380" spans="1:27">
      <c r="A1380" s="147">
        <v>2795</v>
      </c>
      <c r="B1380" s="147" t="s">
        <v>69</v>
      </c>
      <c r="C1380" s="147" t="s">
        <v>46</v>
      </c>
      <c r="D1380" s="148" t="s">
        <v>47</v>
      </c>
      <c r="E1380" s="148" t="s">
        <v>30</v>
      </c>
      <c r="F1380" s="149">
        <v>2024</v>
      </c>
      <c r="G1380" s="148" t="s">
        <v>42</v>
      </c>
      <c r="H1380" s="148"/>
      <c r="I1380" s="148"/>
      <c r="J1380" s="148"/>
      <c r="K1380" s="148"/>
      <c r="L1380" s="152"/>
      <c r="M1380" s="152">
        <f t="shared" si="21"/>
        <v>0</v>
      </c>
      <c r="N1380" s="148"/>
      <c r="O1380" s="148"/>
      <c r="P1380" s="148"/>
      <c r="Q1380" s="148"/>
      <c r="R1380" s="148"/>
      <c r="S1380" s="148"/>
      <c r="T1380" s="148"/>
      <c r="U1380" s="148"/>
      <c r="V1380" s="148"/>
      <c r="W1380" s="148"/>
      <c r="X1380" s="148"/>
      <c r="Y1380" s="148"/>
      <c r="Z1380" s="148"/>
      <c r="AA1380" s="148"/>
    </row>
    <row r="1381" spans="1:27">
      <c r="A1381" s="147">
        <v>2796</v>
      </c>
      <c r="B1381" s="147" t="s">
        <v>69</v>
      </c>
      <c r="C1381" s="147" t="s">
        <v>46</v>
      </c>
      <c r="D1381" s="148" t="s">
        <v>47</v>
      </c>
      <c r="E1381" s="148" t="s">
        <v>30</v>
      </c>
      <c r="F1381" s="149">
        <v>2024</v>
      </c>
      <c r="G1381" s="148" t="s">
        <v>43</v>
      </c>
      <c r="H1381" s="148"/>
      <c r="I1381" s="148"/>
      <c r="J1381" s="148"/>
      <c r="K1381" s="148"/>
      <c r="L1381" s="152"/>
      <c r="M1381" s="152">
        <f t="shared" si="21"/>
        <v>0</v>
      </c>
      <c r="N1381" s="148"/>
      <c r="O1381" s="148"/>
      <c r="P1381" s="148"/>
      <c r="Q1381" s="148"/>
      <c r="R1381" s="148"/>
      <c r="S1381" s="148"/>
      <c r="T1381" s="148"/>
      <c r="U1381" s="148"/>
      <c r="V1381" s="148"/>
      <c r="W1381" s="148"/>
      <c r="X1381" s="148"/>
      <c r="Y1381" s="148"/>
      <c r="Z1381" s="148"/>
      <c r="AA1381" s="148"/>
    </row>
    <row r="1382" spans="1:27">
      <c r="A1382" s="147">
        <v>2797</v>
      </c>
      <c r="B1382" s="147" t="s">
        <v>69</v>
      </c>
      <c r="C1382" s="147" t="s">
        <v>46</v>
      </c>
      <c r="D1382" s="148" t="s">
        <v>47</v>
      </c>
      <c r="E1382" s="148" t="s">
        <v>30</v>
      </c>
      <c r="F1382" s="149">
        <v>2025</v>
      </c>
      <c r="G1382" s="148" t="s">
        <v>31</v>
      </c>
      <c r="H1382" s="148"/>
      <c r="I1382" s="148"/>
      <c r="J1382" s="148"/>
      <c r="K1382" s="148"/>
      <c r="L1382" s="152"/>
      <c r="M1382" s="152">
        <f t="shared" si="21"/>
        <v>0</v>
      </c>
      <c r="N1382" s="148"/>
      <c r="O1382" s="148"/>
      <c r="P1382" s="148"/>
      <c r="Q1382" s="148"/>
      <c r="R1382" s="148"/>
      <c r="S1382" s="148"/>
      <c r="T1382" s="148"/>
      <c r="U1382" s="148"/>
      <c r="V1382" s="148"/>
      <c r="W1382" s="148"/>
      <c r="X1382" s="148"/>
      <c r="Y1382" s="148"/>
      <c r="Z1382" s="148"/>
      <c r="AA1382" s="148"/>
    </row>
    <row r="1383" spans="1:27">
      <c r="A1383" s="147">
        <v>2798</v>
      </c>
      <c r="B1383" s="147" t="s">
        <v>69</v>
      </c>
      <c r="C1383" s="147" t="s">
        <v>46</v>
      </c>
      <c r="D1383" s="148" t="s">
        <v>47</v>
      </c>
      <c r="E1383" s="148" t="s">
        <v>30</v>
      </c>
      <c r="F1383" s="149">
        <v>2025</v>
      </c>
      <c r="G1383" s="148" t="s">
        <v>33</v>
      </c>
      <c r="H1383" s="148"/>
      <c r="I1383" s="148"/>
      <c r="J1383" s="148"/>
      <c r="K1383" s="148"/>
      <c r="L1383" s="152"/>
      <c r="M1383" s="152">
        <f t="shared" si="21"/>
        <v>0</v>
      </c>
      <c r="N1383" s="148"/>
      <c r="O1383" s="148"/>
      <c r="P1383" s="148"/>
      <c r="Q1383" s="148"/>
      <c r="R1383" s="148"/>
      <c r="S1383" s="148"/>
      <c r="T1383" s="148"/>
      <c r="U1383" s="148"/>
      <c r="V1383" s="148"/>
      <c r="W1383" s="148"/>
      <c r="X1383" s="148"/>
      <c r="Y1383" s="148"/>
      <c r="Z1383" s="148"/>
      <c r="AA1383" s="148"/>
    </row>
    <row r="1384" spans="1:27">
      <c r="A1384" s="147">
        <v>2799</v>
      </c>
      <c r="B1384" s="147" t="s">
        <v>69</v>
      </c>
      <c r="C1384" s="147" t="s">
        <v>46</v>
      </c>
      <c r="D1384" s="148" t="s">
        <v>47</v>
      </c>
      <c r="E1384" s="148" t="s">
        <v>30</v>
      </c>
      <c r="F1384" s="149">
        <v>2025</v>
      </c>
      <c r="G1384" s="148" t="s">
        <v>34</v>
      </c>
      <c r="H1384" s="148"/>
      <c r="I1384" s="148"/>
      <c r="J1384" s="148"/>
      <c r="K1384" s="148"/>
      <c r="L1384" s="152"/>
      <c r="M1384" s="152">
        <f t="shared" si="21"/>
        <v>0</v>
      </c>
      <c r="N1384" s="148"/>
      <c r="O1384" s="148"/>
      <c r="P1384" s="148"/>
      <c r="Q1384" s="148"/>
      <c r="R1384" s="148"/>
      <c r="S1384" s="148"/>
      <c r="T1384" s="148"/>
      <c r="U1384" s="148"/>
      <c r="V1384" s="148"/>
      <c r="W1384" s="148"/>
      <c r="X1384" s="148"/>
      <c r="Y1384" s="148"/>
      <c r="Z1384" s="148"/>
      <c r="AA1384" s="148"/>
    </row>
    <row r="1385" spans="1:27">
      <c r="A1385" s="147">
        <v>2800</v>
      </c>
      <c r="B1385" s="147" t="s">
        <v>69</v>
      </c>
      <c r="C1385" s="147" t="s">
        <v>46</v>
      </c>
      <c r="D1385" s="148" t="s">
        <v>47</v>
      </c>
      <c r="E1385" s="148" t="s">
        <v>30</v>
      </c>
      <c r="F1385" s="149">
        <v>2025</v>
      </c>
      <c r="G1385" s="148" t="s">
        <v>35</v>
      </c>
      <c r="H1385" s="148"/>
      <c r="I1385" s="148"/>
      <c r="J1385" s="148"/>
      <c r="K1385" s="148"/>
      <c r="L1385" s="152"/>
      <c r="M1385" s="152">
        <f t="shared" si="21"/>
        <v>0</v>
      </c>
      <c r="N1385" s="148"/>
      <c r="O1385" s="148"/>
      <c r="P1385" s="148"/>
      <c r="Q1385" s="148"/>
      <c r="R1385" s="148"/>
      <c r="S1385" s="148"/>
      <c r="T1385" s="148"/>
      <c r="U1385" s="148"/>
      <c r="V1385" s="148"/>
      <c r="W1385" s="148"/>
      <c r="X1385" s="148"/>
      <c r="Y1385" s="148"/>
      <c r="Z1385" s="148"/>
      <c r="AA1385" s="148"/>
    </row>
    <row r="1386" spans="1:27">
      <c r="A1386" s="147">
        <v>2801</v>
      </c>
      <c r="B1386" s="147" t="s">
        <v>69</v>
      </c>
      <c r="C1386" s="147" t="s">
        <v>46</v>
      </c>
      <c r="D1386" s="148" t="s">
        <v>47</v>
      </c>
      <c r="E1386" s="148" t="s">
        <v>30</v>
      </c>
      <c r="F1386" s="149">
        <v>2025</v>
      </c>
      <c r="G1386" s="148" t="s">
        <v>36</v>
      </c>
      <c r="H1386" s="148"/>
      <c r="I1386" s="148"/>
      <c r="J1386" s="148"/>
      <c r="K1386" s="148"/>
      <c r="L1386" s="152"/>
      <c r="M1386" s="152">
        <f t="shared" si="21"/>
        <v>0</v>
      </c>
      <c r="N1386" s="148"/>
      <c r="O1386" s="148"/>
      <c r="P1386" s="148"/>
      <c r="Q1386" s="148"/>
      <c r="R1386" s="148"/>
      <c r="S1386" s="148"/>
      <c r="T1386" s="148"/>
      <c r="U1386" s="148"/>
      <c r="V1386" s="148"/>
      <c r="W1386" s="148"/>
      <c r="X1386" s="148"/>
      <c r="Y1386" s="148"/>
      <c r="Z1386" s="148"/>
      <c r="AA1386" s="148"/>
    </row>
    <row r="1387" spans="1:27">
      <c r="A1387" s="147">
        <v>2802</v>
      </c>
      <c r="B1387" s="147" t="s">
        <v>69</v>
      </c>
      <c r="C1387" s="147" t="s">
        <v>46</v>
      </c>
      <c r="D1387" s="148" t="s">
        <v>47</v>
      </c>
      <c r="E1387" s="148" t="s">
        <v>30</v>
      </c>
      <c r="F1387" s="149">
        <v>2025</v>
      </c>
      <c r="G1387" s="148" t="s">
        <v>37</v>
      </c>
      <c r="H1387" s="148"/>
      <c r="I1387" s="150">
        <v>11619</v>
      </c>
      <c r="J1387" s="148"/>
      <c r="K1387" s="148"/>
      <c r="L1387" s="152"/>
      <c r="M1387" s="152">
        <f t="shared" si="21"/>
        <v>0</v>
      </c>
      <c r="N1387" s="148"/>
      <c r="O1387" s="148"/>
      <c r="P1387" s="148"/>
      <c r="Q1387" s="148"/>
      <c r="R1387" s="148"/>
      <c r="S1387" s="148"/>
      <c r="T1387" s="148"/>
      <c r="U1387" s="148"/>
      <c r="V1387" s="148"/>
      <c r="W1387" s="148"/>
      <c r="X1387" s="148"/>
      <c r="Y1387" s="148"/>
      <c r="Z1387" s="148"/>
      <c r="AA1387" s="148"/>
    </row>
    <row r="1388" spans="1:27">
      <c r="A1388" s="147">
        <v>2803</v>
      </c>
      <c r="B1388" s="147" t="s">
        <v>69</v>
      </c>
      <c r="C1388" s="147" t="s">
        <v>46</v>
      </c>
      <c r="D1388" s="148" t="s">
        <v>47</v>
      </c>
      <c r="E1388" s="148" t="s">
        <v>30</v>
      </c>
      <c r="F1388" s="149">
        <v>2025</v>
      </c>
      <c r="G1388" s="148" t="s">
        <v>38</v>
      </c>
      <c r="H1388" s="148"/>
      <c r="I1388" s="150">
        <v>11621</v>
      </c>
      <c r="J1388" s="150">
        <v>11621</v>
      </c>
      <c r="K1388" s="148"/>
      <c r="L1388" s="152"/>
      <c r="M1388" s="152">
        <f t="shared" si="21"/>
        <v>0</v>
      </c>
      <c r="N1388" s="148"/>
      <c r="O1388" s="148"/>
      <c r="P1388" s="148"/>
      <c r="Q1388" s="148"/>
      <c r="R1388" s="148"/>
      <c r="S1388" s="148"/>
      <c r="T1388" s="148"/>
      <c r="U1388" s="148"/>
      <c r="V1388" s="148"/>
      <c r="W1388" s="148"/>
      <c r="X1388" s="148"/>
      <c r="Y1388" s="148"/>
      <c r="Z1388" s="148"/>
      <c r="AA1388" s="148"/>
    </row>
    <row r="1389" spans="1:27">
      <c r="A1389" s="147">
        <v>2804</v>
      </c>
      <c r="B1389" s="147" t="s">
        <v>69</v>
      </c>
      <c r="C1389" s="147" t="s">
        <v>46</v>
      </c>
      <c r="D1389" s="148" t="s">
        <v>47</v>
      </c>
      <c r="E1389" s="148" t="s">
        <v>30</v>
      </c>
      <c r="F1389" s="149">
        <v>2025</v>
      </c>
      <c r="G1389" s="148" t="s">
        <v>39</v>
      </c>
      <c r="H1389" s="148"/>
      <c r="I1389" s="150">
        <v>11616</v>
      </c>
      <c r="J1389" s="150">
        <v>11616</v>
      </c>
      <c r="K1389" s="148"/>
      <c r="L1389" s="152"/>
      <c r="M1389" s="152">
        <f t="shared" si="21"/>
        <v>0</v>
      </c>
      <c r="N1389" s="148"/>
      <c r="O1389" s="148"/>
      <c r="P1389" s="148"/>
      <c r="Q1389" s="148"/>
      <c r="R1389" s="148"/>
      <c r="S1389" s="148"/>
      <c r="T1389" s="148"/>
      <c r="U1389" s="148"/>
      <c r="V1389" s="148"/>
      <c r="W1389" s="148"/>
      <c r="X1389" s="148"/>
      <c r="Y1389" s="148"/>
      <c r="Z1389" s="148"/>
      <c r="AA1389" s="148"/>
    </row>
    <row r="1390" spans="1:27">
      <c r="A1390" s="147">
        <v>2805</v>
      </c>
      <c r="B1390" s="147" t="s">
        <v>69</v>
      </c>
      <c r="C1390" s="147" t="s">
        <v>46</v>
      </c>
      <c r="D1390" s="148" t="s">
        <v>47</v>
      </c>
      <c r="E1390" s="148" t="s">
        <v>30</v>
      </c>
      <c r="F1390" s="149">
        <v>2025</v>
      </c>
      <c r="G1390" s="148" t="s">
        <v>40</v>
      </c>
      <c r="H1390" s="148"/>
      <c r="I1390" s="150">
        <v>11573</v>
      </c>
      <c r="J1390" s="149">
        <v>192</v>
      </c>
      <c r="K1390" s="148"/>
      <c r="L1390" s="152"/>
      <c r="M1390" s="152">
        <f t="shared" si="21"/>
        <v>0</v>
      </c>
      <c r="N1390" s="148"/>
      <c r="O1390" s="148"/>
      <c r="P1390" s="148"/>
      <c r="Q1390" s="148"/>
      <c r="R1390" s="148"/>
      <c r="S1390" s="148"/>
      <c r="T1390" s="148"/>
      <c r="U1390" s="148"/>
      <c r="V1390" s="148"/>
      <c r="W1390" s="148"/>
      <c r="X1390" s="148"/>
      <c r="Y1390" s="148"/>
      <c r="Z1390" s="148"/>
      <c r="AA1390" s="148"/>
    </row>
    <row r="1391" spans="1:27">
      <c r="A1391" s="147">
        <v>2806</v>
      </c>
      <c r="B1391" s="147" t="s">
        <v>69</v>
      </c>
      <c r="C1391" s="147" t="s">
        <v>46</v>
      </c>
      <c r="D1391" s="148" t="s">
        <v>47</v>
      </c>
      <c r="E1391" s="148" t="s">
        <v>30</v>
      </c>
      <c r="F1391" s="149">
        <v>2025</v>
      </c>
      <c r="G1391" s="148" t="s">
        <v>41</v>
      </c>
      <c r="H1391" s="148"/>
      <c r="I1391" s="150">
        <v>11381</v>
      </c>
      <c r="J1391" s="149">
        <v>711</v>
      </c>
      <c r="K1391" s="148"/>
      <c r="L1391" s="152"/>
      <c r="M1391" s="152">
        <f t="shared" si="21"/>
        <v>0</v>
      </c>
      <c r="N1391" s="148"/>
      <c r="O1391" s="148"/>
      <c r="P1391" s="148"/>
      <c r="Q1391" s="148"/>
      <c r="R1391" s="148"/>
      <c r="S1391" s="148"/>
      <c r="T1391" s="148"/>
      <c r="U1391" s="148"/>
      <c r="V1391" s="148"/>
      <c r="W1391" s="148"/>
      <c r="X1391" s="148"/>
      <c r="Y1391" s="148"/>
      <c r="Z1391" s="148"/>
      <c r="AA1391" s="148"/>
    </row>
    <row r="1392" spans="1:27">
      <c r="A1392" s="147">
        <v>2807</v>
      </c>
      <c r="B1392" s="147" t="s">
        <v>69</v>
      </c>
      <c r="C1392" s="147" t="s">
        <v>46</v>
      </c>
      <c r="D1392" s="148" t="s">
        <v>47</v>
      </c>
      <c r="E1392" s="148" t="s">
        <v>30</v>
      </c>
      <c r="F1392" s="149">
        <v>2025</v>
      </c>
      <c r="G1392" s="148" t="s">
        <v>42</v>
      </c>
      <c r="H1392" s="148"/>
      <c r="I1392" s="150">
        <v>10670</v>
      </c>
      <c r="J1392" s="150">
        <v>10670</v>
      </c>
      <c r="K1392" s="148"/>
      <c r="L1392" s="152"/>
      <c r="M1392" s="152">
        <f t="shared" si="21"/>
        <v>0</v>
      </c>
      <c r="N1392" s="148"/>
      <c r="O1392" s="148"/>
      <c r="P1392" s="148"/>
      <c r="Q1392" s="148"/>
      <c r="R1392" s="148"/>
      <c r="S1392" s="148"/>
      <c r="T1392" s="148"/>
      <c r="U1392" s="148"/>
      <c r="V1392" s="148"/>
      <c r="W1392" s="148"/>
      <c r="X1392" s="148"/>
      <c r="Y1392" s="148"/>
      <c r="Z1392" s="148"/>
      <c r="AA1392" s="148"/>
    </row>
    <row r="1393" spans="1:27">
      <c r="A1393" s="147">
        <v>2808</v>
      </c>
      <c r="B1393" s="147" t="s">
        <v>69</v>
      </c>
      <c r="C1393" s="147" t="s">
        <v>46</v>
      </c>
      <c r="D1393" s="148" t="s">
        <v>47</v>
      </c>
      <c r="E1393" s="148" t="s">
        <v>30</v>
      </c>
      <c r="F1393" s="149">
        <v>2025</v>
      </c>
      <c r="G1393" s="148" t="s">
        <v>43</v>
      </c>
      <c r="H1393" s="148"/>
      <c r="I1393" s="150">
        <v>10629</v>
      </c>
      <c r="J1393" s="149">
        <v>-987</v>
      </c>
      <c r="K1393" s="148"/>
      <c r="L1393" s="152"/>
      <c r="M1393" s="152">
        <f t="shared" si="21"/>
        <v>0</v>
      </c>
      <c r="N1393" s="148"/>
      <c r="O1393" s="148"/>
      <c r="P1393" s="148"/>
      <c r="Q1393" s="148"/>
      <c r="R1393" s="148"/>
      <c r="S1393" s="148"/>
      <c r="T1393" s="148"/>
      <c r="U1393" s="148"/>
      <c r="V1393" s="148"/>
      <c r="W1393" s="148"/>
      <c r="X1393" s="148"/>
      <c r="Y1393" s="148"/>
      <c r="Z1393" s="148"/>
      <c r="AA1393" s="148"/>
    </row>
    <row r="1394" spans="1:27">
      <c r="A1394" s="147">
        <v>2809</v>
      </c>
      <c r="B1394" s="147" t="s">
        <v>69</v>
      </c>
      <c r="C1394" s="147" t="s">
        <v>46</v>
      </c>
      <c r="D1394" s="148" t="s">
        <v>47</v>
      </c>
      <c r="E1394" s="148" t="s">
        <v>30</v>
      </c>
      <c r="F1394" s="149">
        <v>2026</v>
      </c>
      <c r="G1394" s="148" t="s">
        <v>31</v>
      </c>
      <c r="H1394" s="148"/>
      <c r="I1394" s="150">
        <v>10620</v>
      </c>
      <c r="J1394" s="149">
        <v>-5</v>
      </c>
      <c r="K1394" s="148"/>
      <c r="L1394" s="152"/>
      <c r="M1394" s="152">
        <f t="shared" si="21"/>
        <v>0</v>
      </c>
      <c r="N1394" s="148"/>
      <c r="O1394" s="148"/>
      <c r="P1394" s="148"/>
      <c r="Q1394" s="148"/>
      <c r="R1394" s="148"/>
      <c r="S1394" s="148"/>
      <c r="T1394" s="148"/>
      <c r="U1394" s="148"/>
      <c r="V1394" s="148"/>
      <c r="W1394" s="148"/>
      <c r="X1394" s="148"/>
      <c r="Y1394" s="148"/>
      <c r="Z1394" s="148"/>
      <c r="AA1394" s="148"/>
    </row>
    <row r="1395" spans="1:27">
      <c r="A1395" s="147">
        <v>2810</v>
      </c>
      <c r="B1395" s="147" t="s">
        <v>69</v>
      </c>
      <c r="C1395" s="147" t="s">
        <v>46</v>
      </c>
      <c r="D1395" s="148" t="s">
        <v>47</v>
      </c>
      <c r="E1395" s="148" t="s">
        <v>30</v>
      </c>
      <c r="F1395" s="149">
        <v>2026</v>
      </c>
      <c r="G1395" s="148" t="s">
        <v>33</v>
      </c>
      <c r="H1395" s="148"/>
      <c r="I1395" s="150">
        <v>10625</v>
      </c>
      <c r="J1395" s="150">
        <v>10625</v>
      </c>
      <c r="K1395" s="148"/>
      <c r="L1395" s="152"/>
      <c r="M1395" s="152">
        <f t="shared" si="21"/>
        <v>0</v>
      </c>
      <c r="N1395" s="148"/>
      <c r="O1395" s="148"/>
      <c r="P1395" s="148"/>
      <c r="Q1395" s="148"/>
      <c r="R1395" s="148"/>
      <c r="S1395" s="148"/>
      <c r="T1395" s="148"/>
      <c r="U1395" s="148"/>
      <c r="V1395" s="148"/>
      <c r="W1395" s="148"/>
      <c r="X1395" s="148"/>
      <c r="Y1395" s="148"/>
      <c r="Z1395" s="148"/>
      <c r="AA1395" s="148"/>
    </row>
    <row r="1396" spans="1:27">
      <c r="A1396" s="147">
        <v>2811</v>
      </c>
      <c r="B1396" s="147" t="s">
        <v>69</v>
      </c>
      <c r="C1396" s="147" t="s">
        <v>46</v>
      </c>
      <c r="D1396" s="148" t="s">
        <v>47</v>
      </c>
      <c r="E1396" s="148" t="s">
        <v>30</v>
      </c>
      <c r="F1396" s="149">
        <v>2026</v>
      </c>
      <c r="G1396" s="148" t="s">
        <v>34</v>
      </c>
      <c r="H1396" s="148"/>
      <c r="I1396" s="150">
        <v>10622</v>
      </c>
      <c r="J1396" s="149">
        <v>27</v>
      </c>
      <c r="K1396" s="148"/>
      <c r="L1396" s="152"/>
      <c r="M1396" s="152">
        <f t="shared" si="21"/>
        <v>0</v>
      </c>
      <c r="N1396" s="148"/>
      <c r="O1396" s="148"/>
      <c r="P1396" s="148"/>
      <c r="Q1396" s="148"/>
      <c r="R1396" s="148"/>
      <c r="S1396" s="148"/>
      <c r="T1396" s="148"/>
      <c r="U1396" s="148"/>
      <c r="V1396" s="148"/>
      <c r="W1396" s="148"/>
      <c r="X1396" s="148"/>
      <c r="Y1396" s="148"/>
      <c r="Z1396" s="148"/>
      <c r="AA1396" s="148"/>
    </row>
    <row r="1397" spans="1:27">
      <c r="A1397" s="147">
        <v>2812</v>
      </c>
      <c r="B1397" s="147" t="s">
        <v>69</v>
      </c>
      <c r="C1397" s="147" t="s">
        <v>46</v>
      </c>
      <c r="D1397" s="148" t="s">
        <v>47</v>
      </c>
      <c r="E1397" s="148" t="s">
        <v>30</v>
      </c>
      <c r="F1397" s="149">
        <v>2026</v>
      </c>
      <c r="G1397" s="148" t="s">
        <v>35</v>
      </c>
      <c r="H1397" s="148"/>
      <c r="I1397" s="150">
        <v>10619</v>
      </c>
      <c r="J1397" s="149">
        <v>-954</v>
      </c>
      <c r="K1397" s="148"/>
      <c r="L1397" s="152"/>
      <c r="M1397" s="152">
        <f t="shared" si="21"/>
        <v>0</v>
      </c>
      <c r="N1397" s="148"/>
      <c r="O1397" s="148"/>
      <c r="P1397" s="148"/>
      <c r="Q1397" s="148"/>
      <c r="R1397" s="148"/>
      <c r="S1397" s="148"/>
      <c r="T1397" s="148"/>
      <c r="U1397" s="148"/>
      <c r="V1397" s="148"/>
      <c r="W1397" s="148"/>
      <c r="X1397" s="148"/>
      <c r="Y1397" s="148"/>
      <c r="Z1397" s="148"/>
      <c r="AA1397" s="148"/>
    </row>
    <row r="1398" spans="1:27">
      <c r="A1398" s="147">
        <v>2813</v>
      </c>
      <c r="B1398" s="147" t="s">
        <v>69</v>
      </c>
      <c r="C1398" s="147" t="s">
        <v>46</v>
      </c>
      <c r="D1398" s="148" t="s">
        <v>47</v>
      </c>
      <c r="E1398" s="148" t="s">
        <v>30</v>
      </c>
      <c r="F1398" s="149">
        <v>2026</v>
      </c>
      <c r="G1398" s="148" t="s">
        <v>36</v>
      </c>
      <c r="H1398" s="148"/>
      <c r="I1398" s="150">
        <v>10606</v>
      </c>
      <c r="J1398" s="149">
        <v>-16</v>
      </c>
      <c r="K1398" s="148"/>
      <c r="L1398" s="152"/>
      <c r="M1398" s="152">
        <f t="shared" si="21"/>
        <v>0</v>
      </c>
      <c r="N1398" s="148"/>
      <c r="O1398" s="148"/>
      <c r="P1398" s="148"/>
      <c r="Q1398" s="148"/>
      <c r="R1398" s="148"/>
      <c r="S1398" s="148"/>
      <c r="T1398" s="148"/>
      <c r="U1398" s="148"/>
      <c r="V1398" s="148"/>
      <c r="W1398" s="148"/>
      <c r="X1398" s="148"/>
      <c r="Y1398" s="148"/>
      <c r="Z1398" s="148"/>
      <c r="AA1398" s="148"/>
    </row>
    <row r="1399" spans="1:27">
      <c r="A1399" s="147">
        <v>2814</v>
      </c>
      <c r="B1399" s="147" t="s">
        <v>69</v>
      </c>
      <c r="C1399" s="147" t="s">
        <v>46</v>
      </c>
      <c r="D1399" s="148" t="s">
        <v>47</v>
      </c>
      <c r="E1399" s="148" t="s">
        <v>30</v>
      </c>
      <c r="F1399" s="149">
        <v>2026</v>
      </c>
      <c r="G1399" s="148" t="s">
        <v>37</v>
      </c>
      <c r="H1399" s="148"/>
      <c r="I1399" s="150">
        <v>10595</v>
      </c>
      <c r="J1399" s="150">
        <v>10595</v>
      </c>
      <c r="K1399" s="148"/>
      <c r="L1399" s="152"/>
      <c r="M1399" s="152">
        <f t="shared" si="21"/>
        <v>0</v>
      </c>
      <c r="N1399" s="148"/>
      <c r="O1399" s="148"/>
      <c r="P1399" s="148"/>
      <c r="Q1399" s="148"/>
      <c r="R1399" s="148"/>
      <c r="S1399" s="148"/>
      <c r="T1399" s="148"/>
      <c r="U1399" s="148"/>
      <c r="V1399" s="148"/>
      <c r="W1399" s="148"/>
      <c r="X1399" s="148"/>
      <c r="Y1399" s="148"/>
      <c r="Z1399" s="148"/>
      <c r="AA1399" s="148"/>
    </row>
    <row r="1400" spans="1:27">
      <c r="A1400" s="147">
        <v>2815</v>
      </c>
      <c r="B1400" s="147" t="s">
        <v>69</v>
      </c>
      <c r="C1400" s="147" t="s">
        <v>46</v>
      </c>
      <c r="D1400" s="148" t="s">
        <v>47</v>
      </c>
      <c r="E1400" s="148" t="s">
        <v>30</v>
      </c>
      <c r="F1400" s="149">
        <v>2026</v>
      </c>
      <c r="G1400" s="148" t="s">
        <v>38</v>
      </c>
      <c r="H1400" s="148"/>
      <c r="I1400" s="150">
        <v>10583</v>
      </c>
      <c r="J1400" s="149">
        <v>-12</v>
      </c>
      <c r="K1400" s="148"/>
      <c r="L1400" s="152"/>
      <c r="M1400" s="152">
        <f t="shared" si="21"/>
        <v>0</v>
      </c>
      <c r="N1400" s="148"/>
      <c r="O1400" s="148"/>
      <c r="P1400" s="148"/>
      <c r="Q1400" s="148"/>
      <c r="R1400" s="148"/>
      <c r="S1400" s="148"/>
      <c r="T1400" s="148"/>
      <c r="U1400" s="148"/>
      <c r="V1400" s="148"/>
      <c r="W1400" s="148"/>
      <c r="X1400" s="148"/>
      <c r="Y1400" s="148"/>
      <c r="Z1400" s="148"/>
      <c r="AA1400" s="148"/>
    </row>
    <row r="1401" spans="1:27">
      <c r="A1401" s="147">
        <v>2816</v>
      </c>
      <c r="B1401" s="147" t="s">
        <v>69</v>
      </c>
      <c r="C1401" s="147" t="s">
        <v>46</v>
      </c>
      <c r="D1401" s="148" t="s">
        <v>47</v>
      </c>
      <c r="E1401" s="148" t="s">
        <v>30</v>
      </c>
      <c r="F1401" s="149">
        <v>2026</v>
      </c>
      <c r="G1401" s="148" t="s">
        <v>39</v>
      </c>
      <c r="H1401" s="148"/>
      <c r="I1401" s="148"/>
      <c r="J1401" s="148"/>
      <c r="K1401" s="148"/>
      <c r="L1401" s="152"/>
      <c r="M1401" s="152">
        <f t="shared" si="21"/>
        <v>0</v>
      </c>
      <c r="N1401" s="148"/>
      <c r="O1401" s="148"/>
      <c r="P1401" s="148"/>
      <c r="Q1401" s="148"/>
      <c r="R1401" s="148"/>
      <c r="S1401" s="148"/>
      <c r="T1401" s="148"/>
      <c r="U1401" s="148"/>
      <c r="V1401" s="148"/>
      <c r="W1401" s="148"/>
      <c r="X1401" s="148"/>
      <c r="Y1401" s="148"/>
      <c r="Z1401" s="148"/>
      <c r="AA1401" s="148"/>
    </row>
    <row r="1402" spans="1:27">
      <c r="A1402" s="147">
        <v>2817</v>
      </c>
      <c r="B1402" s="147" t="s">
        <v>69</v>
      </c>
      <c r="C1402" s="147" t="s">
        <v>46</v>
      </c>
      <c r="D1402" s="148" t="s">
        <v>47</v>
      </c>
      <c r="E1402" s="148" t="s">
        <v>30</v>
      </c>
      <c r="F1402" s="149">
        <v>2026</v>
      </c>
      <c r="G1402" s="148" t="s">
        <v>40</v>
      </c>
      <c r="H1402" s="148"/>
      <c r="I1402" s="148"/>
      <c r="J1402" s="148"/>
      <c r="K1402" s="148"/>
      <c r="L1402" s="152"/>
      <c r="M1402" s="152">
        <f t="shared" si="21"/>
        <v>0</v>
      </c>
      <c r="N1402" s="148"/>
      <c r="O1402" s="148"/>
      <c r="P1402" s="148"/>
      <c r="Q1402" s="148"/>
      <c r="R1402" s="148"/>
      <c r="S1402" s="148"/>
      <c r="T1402" s="148"/>
      <c r="U1402" s="148"/>
      <c r="V1402" s="148"/>
      <c r="W1402" s="148"/>
      <c r="X1402" s="148"/>
      <c r="Y1402" s="148"/>
      <c r="Z1402" s="148"/>
      <c r="AA1402" s="148"/>
    </row>
    <row r="1403" spans="1:27">
      <c r="A1403" s="147">
        <v>2818</v>
      </c>
      <c r="B1403" s="147" t="s">
        <v>69</v>
      </c>
      <c r="C1403" s="147" t="s">
        <v>46</v>
      </c>
      <c r="D1403" s="148" t="s">
        <v>47</v>
      </c>
      <c r="E1403" s="148" t="s">
        <v>30</v>
      </c>
      <c r="F1403" s="149">
        <v>2026</v>
      </c>
      <c r="G1403" s="148" t="s">
        <v>41</v>
      </c>
      <c r="H1403" s="148"/>
      <c r="I1403" s="148"/>
      <c r="J1403" s="148"/>
      <c r="K1403" s="148"/>
      <c r="L1403" s="152"/>
      <c r="M1403" s="152">
        <f t="shared" si="21"/>
        <v>0</v>
      </c>
      <c r="N1403" s="148"/>
      <c r="O1403" s="148"/>
      <c r="P1403" s="148"/>
      <c r="Q1403" s="148"/>
      <c r="R1403" s="148"/>
      <c r="S1403" s="148"/>
      <c r="T1403" s="148"/>
      <c r="U1403" s="148"/>
      <c r="V1403" s="148"/>
      <c r="W1403" s="148"/>
      <c r="X1403" s="148"/>
      <c r="Y1403" s="148"/>
      <c r="Z1403" s="148"/>
      <c r="AA1403" s="148"/>
    </row>
    <row r="1404" spans="1:27">
      <c r="A1404" s="147">
        <v>2819</v>
      </c>
      <c r="B1404" s="147" t="s">
        <v>69</v>
      </c>
      <c r="C1404" s="147" t="s">
        <v>46</v>
      </c>
      <c r="D1404" s="148" t="s">
        <v>47</v>
      </c>
      <c r="E1404" s="148" t="s">
        <v>30</v>
      </c>
      <c r="F1404" s="149">
        <v>2026</v>
      </c>
      <c r="G1404" s="148" t="s">
        <v>42</v>
      </c>
      <c r="H1404" s="148"/>
      <c r="I1404" s="148"/>
      <c r="J1404" s="148"/>
      <c r="K1404" s="148"/>
      <c r="L1404" s="152"/>
      <c r="M1404" s="152">
        <f t="shared" si="21"/>
        <v>0</v>
      </c>
      <c r="N1404" s="148"/>
      <c r="O1404" s="148"/>
      <c r="P1404" s="148"/>
      <c r="Q1404" s="148"/>
      <c r="R1404" s="148"/>
      <c r="S1404" s="148"/>
      <c r="T1404" s="148"/>
      <c r="U1404" s="148"/>
      <c r="V1404" s="148"/>
      <c r="W1404" s="148"/>
      <c r="X1404" s="148"/>
      <c r="Y1404" s="148"/>
      <c r="Z1404" s="148"/>
      <c r="AA1404" s="148"/>
    </row>
    <row r="1405" spans="1:27">
      <c r="A1405" s="147">
        <v>2820</v>
      </c>
      <c r="B1405" s="147" t="s">
        <v>69</v>
      </c>
      <c r="C1405" s="147" t="s">
        <v>46</v>
      </c>
      <c r="D1405" s="148" t="s">
        <v>47</v>
      </c>
      <c r="E1405" s="148" t="s">
        <v>30</v>
      </c>
      <c r="F1405" s="149">
        <v>2026</v>
      </c>
      <c r="G1405" s="148" t="s">
        <v>43</v>
      </c>
      <c r="H1405" s="148"/>
      <c r="I1405" s="148"/>
      <c r="J1405" s="148"/>
      <c r="K1405" s="148"/>
      <c r="L1405" s="152"/>
      <c r="M1405" s="152">
        <f t="shared" si="21"/>
        <v>0</v>
      </c>
      <c r="N1405" s="148"/>
      <c r="O1405" s="148"/>
      <c r="P1405" s="148"/>
      <c r="Q1405" s="148"/>
      <c r="R1405" s="148"/>
      <c r="S1405" s="148"/>
      <c r="T1405" s="148"/>
      <c r="U1405" s="148"/>
      <c r="V1405" s="148"/>
      <c r="W1405" s="148"/>
      <c r="X1405" s="148"/>
      <c r="Y1405" s="148"/>
      <c r="Z1405" s="148"/>
      <c r="AA1405" s="148"/>
    </row>
    <row r="1406" spans="1:27">
      <c r="A1406" s="147">
        <v>2833</v>
      </c>
      <c r="B1406" s="147" t="s">
        <v>69</v>
      </c>
      <c r="C1406" s="147" t="s">
        <v>46</v>
      </c>
      <c r="D1406" s="148" t="s">
        <v>49</v>
      </c>
      <c r="E1406" s="148" t="s">
        <v>30</v>
      </c>
      <c r="F1406" s="149">
        <v>2024</v>
      </c>
      <c r="G1406" s="148" t="s">
        <v>31</v>
      </c>
      <c r="H1406" s="148"/>
      <c r="I1406" s="148"/>
      <c r="J1406" s="148"/>
      <c r="K1406" s="148"/>
      <c r="L1406" s="152"/>
      <c r="M1406" s="152">
        <f t="shared" si="21"/>
        <v>0</v>
      </c>
      <c r="N1406" s="148"/>
      <c r="O1406" s="148"/>
      <c r="P1406" s="148"/>
      <c r="Q1406" s="148"/>
      <c r="R1406" s="148"/>
      <c r="S1406" s="148"/>
      <c r="T1406" s="148"/>
      <c r="U1406" s="148"/>
      <c r="V1406" s="148"/>
      <c r="W1406" s="148"/>
      <c r="X1406" s="148"/>
      <c r="Y1406" s="148"/>
      <c r="Z1406" s="148"/>
      <c r="AA1406" s="148"/>
    </row>
    <row r="1407" spans="1:27">
      <c r="A1407" s="147">
        <v>2834</v>
      </c>
      <c r="B1407" s="147" t="s">
        <v>69</v>
      </c>
      <c r="C1407" s="147" t="s">
        <v>46</v>
      </c>
      <c r="D1407" s="148" t="s">
        <v>49</v>
      </c>
      <c r="E1407" s="148" t="s">
        <v>30</v>
      </c>
      <c r="F1407" s="149">
        <v>2024</v>
      </c>
      <c r="G1407" s="148" t="s">
        <v>33</v>
      </c>
      <c r="H1407" s="148"/>
      <c r="I1407" s="148"/>
      <c r="J1407" s="148"/>
      <c r="K1407" s="148"/>
      <c r="L1407" s="152"/>
      <c r="M1407" s="152">
        <f t="shared" si="21"/>
        <v>0</v>
      </c>
      <c r="N1407" s="148"/>
      <c r="O1407" s="148"/>
      <c r="P1407" s="148"/>
      <c r="Q1407" s="148"/>
      <c r="R1407" s="148"/>
      <c r="S1407" s="148"/>
      <c r="T1407" s="148"/>
      <c r="U1407" s="148"/>
      <c r="V1407" s="148"/>
      <c r="W1407" s="148"/>
      <c r="X1407" s="148"/>
      <c r="Y1407" s="148"/>
      <c r="Z1407" s="148"/>
      <c r="AA1407" s="148"/>
    </row>
    <row r="1408" spans="1:27">
      <c r="A1408" s="147">
        <v>2835</v>
      </c>
      <c r="B1408" s="147" t="s">
        <v>69</v>
      </c>
      <c r="C1408" s="147" t="s">
        <v>46</v>
      </c>
      <c r="D1408" s="148" t="s">
        <v>49</v>
      </c>
      <c r="E1408" s="148" t="s">
        <v>30</v>
      </c>
      <c r="F1408" s="149">
        <v>2024</v>
      </c>
      <c r="G1408" s="148" t="s">
        <v>34</v>
      </c>
      <c r="H1408" s="148"/>
      <c r="I1408" s="148"/>
      <c r="J1408" s="148"/>
      <c r="K1408" s="148"/>
      <c r="L1408" s="152"/>
      <c r="M1408" s="152">
        <f t="shared" si="21"/>
        <v>0</v>
      </c>
      <c r="N1408" s="148"/>
      <c r="O1408" s="148"/>
      <c r="P1408" s="148"/>
      <c r="Q1408" s="148"/>
      <c r="R1408" s="148"/>
      <c r="S1408" s="148"/>
      <c r="T1408" s="148"/>
      <c r="U1408" s="148"/>
      <c r="V1408" s="148"/>
      <c r="W1408" s="148"/>
      <c r="X1408" s="148"/>
      <c r="Y1408" s="148"/>
      <c r="Z1408" s="148"/>
      <c r="AA1408" s="148"/>
    </row>
    <row r="1409" spans="1:27">
      <c r="A1409" s="147">
        <v>2836</v>
      </c>
      <c r="B1409" s="147" t="s">
        <v>69</v>
      </c>
      <c r="C1409" s="147" t="s">
        <v>46</v>
      </c>
      <c r="D1409" s="148" t="s">
        <v>49</v>
      </c>
      <c r="E1409" s="148" t="s">
        <v>30</v>
      </c>
      <c r="F1409" s="149">
        <v>2024</v>
      </c>
      <c r="G1409" s="148" t="s">
        <v>35</v>
      </c>
      <c r="H1409" s="148"/>
      <c r="I1409" s="148"/>
      <c r="J1409" s="148"/>
      <c r="K1409" s="148"/>
      <c r="L1409" s="152"/>
      <c r="M1409" s="152">
        <f t="shared" si="21"/>
        <v>0</v>
      </c>
      <c r="N1409" s="148"/>
      <c r="O1409" s="148"/>
      <c r="P1409" s="148"/>
      <c r="Q1409" s="148"/>
      <c r="R1409" s="148"/>
      <c r="S1409" s="148"/>
      <c r="T1409" s="148"/>
      <c r="U1409" s="148"/>
      <c r="V1409" s="148"/>
      <c r="W1409" s="148"/>
      <c r="X1409" s="148"/>
      <c r="Y1409" s="148"/>
      <c r="Z1409" s="148"/>
      <c r="AA1409" s="148"/>
    </row>
    <row r="1410" spans="1:27">
      <c r="A1410" s="147">
        <v>2837</v>
      </c>
      <c r="B1410" s="147" t="s">
        <v>69</v>
      </c>
      <c r="C1410" s="147" t="s">
        <v>46</v>
      </c>
      <c r="D1410" s="148" t="s">
        <v>49</v>
      </c>
      <c r="E1410" s="148" t="s">
        <v>30</v>
      </c>
      <c r="F1410" s="149">
        <v>2024</v>
      </c>
      <c r="G1410" s="148" t="s">
        <v>36</v>
      </c>
      <c r="H1410" s="148"/>
      <c r="I1410" s="148"/>
      <c r="J1410" s="148"/>
      <c r="K1410" s="148"/>
      <c r="L1410" s="152"/>
      <c r="M1410" s="152">
        <f t="shared" ref="M1410:M1473" si="22">L1410*17000</f>
        <v>0</v>
      </c>
      <c r="N1410" s="148"/>
      <c r="O1410" s="148"/>
      <c r="P1410" s="148"/>
      <c r="Q1410" s="148"/>
      <c r="R1410" s="148"/>
      <c r="S1410" s="148"/>
      <c r="T1410" s="148"/>
      <c r="U1410" s="148"/>
      <c r="V1410" s="148"/>
      <c r="W1410" s="148"/>
      <c r="X1410" s="148"/>
      <c r="Y1410" s="148"/>
      <c r="Z1410" s="148"/>
      <c r="AA1410" s="148"/>
    </row>
    <row r="1411" spans="1:27">
      <c r="A1411" s="147">
        <v>2838</v>
      </c>
      <c r="B1411" s="147" t="s">
        <v>69</v>
      </c>
      <c r="C1411" s="147" t="s">
        <v>46</v>
      </c>
      <c r="D1411" s="148" t="s">
        <v>49</v>
      </c>
      <c r="E1411" s="148" t="s">
        <v>30</v>
      </c>
      <c r="F1411" s="149">
        <v>2024</v>
      </c>
      <c r="G1411" s="148" t="s">
        <v>37</v>
      </c>
      <c r="H1411" s="148"/>
      <c r="I1411" s="148"/>
      <c r="J1411" s="148"/>
      <c r="K1411" s="148"/>
      <c r="L1411" s="152"/>
      <c r="M1411" s="152">
        <f t="shared" si="22"/>
        <v>0</v>
      </c>
      <c r="N1411" s="148"/>
      <c r="O1411" s="148"/>
      <c r="P1411" s="148"/>
      <c r="Q1411" s="148"/>
      <c r="R1411" s="148"/>
      <c r="S1411" s="148"/>
      <c r="T1411" s="148"/>
      <c r="U1411" s="148"/>
      <c r="V1411" s="148"/>
      <c r="W1411" s="148"/>
      <c r="X1411" s="148"/>
      <c r="Y1411" s="148"/>
      <c r="Z1411" s="148"/>
      <c r="AA1411" s="148"/>
    </row>
    <row r="1412" spans="1:27">
      <c r="A1412" s="147">
        <v>2839</v>
      </c>
      <c r="B1412" s="147" t="s">
        <v>69</v>
      </c>
      <c r="C1412" s="147" t="s">
        <v>46</v>
      </c>
      <c r="D1412" s="148" t="s">
        <v>49</v>
      </c>
      <c r="E1412" s="148" t="s">
        <v>30</v>
      </c>
      <c r="F1412" s="149">
        <v>2024</v>
      </c>
      <c r="G1412" s="148" t="s">
        <v>38</v>
      </c>
      <c r="H1412" s="148"/>
      <c r="I1412" s="148"/>
      <c r="J1412" s="148"/>
      <c r="K1412" s="148"/>
      <c r="L1412" s="152"/>
      <c r="M1412" s="152">
        <f t="shared" si="22"/>
        <v>0</v>
      </c>
      <c r="N1412" s="148"/>
      <c r="O1412" s="148"/>
      <c r="P1412" s="148"/>
      <c r="Q1412" s="148"/>
      <c r="R1412" s="148"/>
      <c r="S1412" s="148"/>
      <c r="T1412" s="148"/>
      <c r="U1412" s="148"/>
      <c r="V1412" s="148"/>
      <c r="W1412" s="148"/>
      <c r="X1412" s="148"/>
      <c r="Y1412" s="148"/>
      <c r="Z1412" s="148"/>
      <c r="AA1412" s="148"/>
    </row>
    <row r="1413" spans="1:27">
      <c r="A1413" s="147">
        <v>2840</v>
      </c>
      <c r="B1413" s="147" t="s">
        <v>69</v>
      </c>
      <c r="C1413" s="147" t="s">
        <v>46</v>
      </c>
      <c r="D1413" s="148" t="s">
        <v>49</v>
      </c>
      <c r="E1413" s="148" t="s">
        <v>30</v>
      </c>
      <c r="F1413" s="149">
        <v>2024</v>
      </c>
      <c r="G1413" s="148" t="s">
        <v>39</v>
      </c>
      <c r="H1413" s="148"/>
      <c r="I1413" s="148"/>
      <c r="J1413" s="148"/>
      <c r="K1413" s="148"/>
      <c r="L1413" s="152"/>
      <c r="M1413" s="152">
        <f t="shared" si="22"/>
        <v>0</v>
      </c>
      <c r="N1413" s="148"/>
      <c r="O1413" s="148"/>
      <c r="P1413" s="148"/>
      <c r="Q1413" s="148"/>
      <c r="R1413" s="148"/>
      <c r="S1413" s="148"/>
      <c r="T1413" s="148"/>
      <c r="U1413" s="148"/>
      <c r="V1413" s="148"/>
      <c r="W1413" s="148"/>
      <c r="X1413" s="148"/>
      <c r="Y1413" s="148"/>
      <c r="Z1413" s="148"/>
      <c r="AA1413" s="148"/>
    </row>
    <row r="1414" spans="1:27">
      <c r="A1414" s="147">
        <v>2841</v>
      </c>
      <c r="B1414" s="147" t="s">
        <v>69</v>
      </c>
      <c r="C1414" s="147" t="s">
        <v>46</v>
      </c>
      <c r="D1414" s="148" t="s">
        <v>49</v>
      </c>
      <c r="E1414" s="148" t="s">
        <v>30</v>
      </c>
      <c r="F1414" s="149">
        <v>2024</v>
      </c>
      <c r="G1414" s="148" t="s">
        <v>40</v>
      </c>
      <c r="H1414" s="148"/>
      <c r="I1414" s="148"/>
      <c r="J1414" s="148"/>
      <c r="K1414" s="148"/>
      <c r="L1414" s="152"/>
      <c r="M1414" s="152">
        <f t="shared" si="22"/>
        <v>0</v>
      </c>
      <c r="N1414" s="148"/>
      <c r="O1414" s="148"/>
      <c r="P1414" s="148"/>
      <c r="Q1414" s="148"/>
      <c r="R1414" s="148"/>
      <c r="S1414" s="148"/>
      <c r="T1414" s="148"/>
      <c r="U1414" s="148"/>
      <c r="V1414" s="148"/>
      <c r="W1414" s="148"/>
      <c r="X1414" s="148"/>
      <c r="Y1414" s="148"/>
      <c r="Z1414" s="148"/>
      <c r="AA1414" s="148"/>
    </row>
    <row r="1415" spans="1:27">
      <c r="A1415" s="147">
        <v>2842</v>
      </c>
      <c r="B1415" s="147" t="s">
        <v>69</v>
      </c>
      <c r="C1415" s="147" t="s">
        <v>46</v>
      </c>
      <c r="D1415" s="148" t="s">
        <v>49</v>
      </c>
      <c r="E1415" s="148" t="s">
        <v>30</v>
      </c>
      <c r="F1415" s="149">
        <v>2024</v>
      </c>
      <c r="G1415" s="148" t="s">
        <v>41</v>
      </c>
      <c r="H1415" s="148"/>
      <c r="I1415" s="148"/>
      <c r="J1415" s="148"/>
      <c r="K1415" s="148"/>
      <c r="L1415" s="152"/>
      <c r="M1415" s="152">
        <f t="shared" si="22"/>
        <v>0</v>
      </c>
      <c r="N1415" s="148"/>
      <c r="O1415" s="148"/>
      <c r="P1415" s="148"/>
      <c r="Q1415" s="148"/>
      <c r="R1415" s="148"/>
      <c r="S1415" s="148"/>
      <c r="T1415" s="148"/>
      <c r="U1415" s="148"/>
      <c r="V1415" s="148"/>
      <c r="W1415" s="148"/>
      <c r="X1415" s="148"/>
      <c r="Y1415" s="148"/>
      <c r="Z1415" s="148"/>
      <c r="AA1415" s="148"/>
    </row>
    <row r="1416" spans="1:27">
      <c r="A1416" s="147">
        <v>2843</v>
      </c>
      <c r="B1416" s="147" t="s">
        <v>69</v>
      </c>
      <c r="C1416" s="147" t="s">
        <v>46</v>
      </c>
      <c r="D1416" s="148" t="s">
        <v>49</v>
      </c>
      <c r="E1416" s="148" t="s">
        <v>30</v>
      </c>
      <c r="F1416" s="149">
        <v>2024</v>
      </c>
      <c r="G1416" s="148" t="s">
        <v>42</v>
      </c>
      <c r="H1416" s="148"/>
      <c r="I1416" s="148"/>
      <c r="J1416" s="148"/>
      <c r="K1416" s="148"/>
      <c r="L1416" s="152"/>
      <c r="M1416" s="152">
        <f t="shared" si="22"/>
        <v>0</v>
      </c>
      <c r="N1416" s="148"/>
      <c r="O1416" s="148"/>
      <c r="P1416" s="148"/>
      <c r="Q1416" s="148"/>
      <c r="R1416" s="148"/>
      <c r="S1416" s="148"/>
      <c r="T1416" s="148"/>
      <c r="U1416" s="148"/>
      <c r="V1416" s="148"/>
      <c r="W1416" s="148"/>
      <c r="X1416" s="148"/>
      <c r="Y1416" s="148"/>
      <c r="Z1416" s="148"/>
      <c r="AA1416" s="148"/>
    </row>
    <row r="1417" spans="1:27">
      <c r="A1417" s="147">
        <v>2844</v>
      </c>
      <c r="B1417" s="147" t="s">
        <v>69</v>
      </c>
      <c r="C1417" s="147" t="s">
        <v>46</v>
      </c>
      <c r="D1417" s="148" t="s">
        <v>49</v>
      </c>
      <c r="E1417" s="148" t="s">
        <v>30</v>
      </c>
      <c r="F1417" s="149">
        <v>2024</v>
      </c>
      <c r="G1417" s="148" t="s">
        <v>43</v>
      </c>
      <c r="H1417" s="148"/>
      <c r="I1417" s="148"/>
      <c r="J1417" s="148"/>
      <c r="K1417" s="148"/>
      <c r="L1417" s="152"/>
      <c r="M1417" s="152">
        <f t="shared" si="22"/>
        <v>0</v>
      </c>
      <c r="N1417" s="148"/>
      <c r="O1417" s="148"/>
      <c r="P1417" s="148"/>
      <c r="Q1417" s="148"/>
      <c r="R1417" s="148"/>
      <c r="S1417" s="148"/>
      <c r="T1417" s="148"/>
      <c r="U1417" s="148"/>
      <c r="V1417" s="148"/>
      <c r="W1417" s="148"/>
      <c r="X1417" s="148"/>
      <c r="Y1417" s="148"/>
      <c r="Z1417" s="148"/>
      <c r="AA1417" s="148"/>
    </row>
    <row r="1418" spans="1:27">
      <c r="A1418" s="147">
        <v>2845</v>
      </c>
      <c r="B1418" s="147" t="s">
        <v>69</v>
      </c>
      <c r="C1418" s="147" t="s">
        <v>46</v>
      </c>
      <c r="D1418" s="148" t="s">
        <v>49</v>
      </c>
      <c r="E1418" s="148" t="s">
        <v>30</v>
      </c>
      <c r="F1418" s="149">
        <v>2025</v>
      </c>
      <c r="G1418" s="148" t="s">
        <v>31</v>
      </c>
      <c r="H1418" s="148"/>
      <c r="I1418" s="148"/>
      <c r="J1418" s="148"/>
      <c r="K1418" s="148"/>
      <c r="L1418" s="152"/>
      <c r="M1418" s="152">
        <f t="shared" si="22"/>
        <v>0</v>
      </c>
      <c r="N1418" s="148"/>
      <c r="O1418" s="148"/>
      <c r="P1418" s="148"/>
      <c r="Q1418" s="148"/>
      <c r="R1418" s="148"/>
      <c r="S1418" s="148"/>
      <c r="T1418" s="148"/>
      <c r="U1418" s="148"/>
      <c r="V1418" s="148"/>
      <c r="W1418" s="148"/>
      <c r="X1418" s="148"/>
      <c r="Y1418" s="148"/>
      <c r="Z1418" s="148"/>
      <c r="AA1418" s="148"/>
    </row>
    <row r="1419" spans="1:27">
      <c r="A1419" s="147">
        <v>2846</v>
      </c>
      <c r="B1419" s="147" t="s">
        <v>69</v>
      </c>
      <c r="C1419" s="147" t="s">
        <v>46</v>
      </c>
      <c r="D1419" s="148" t="s">
        <v>49</v>
      </c>
      <c r="E1419" s="148" t="s">
        <v>30</v>
      </c>
      <c r="F1419" s="149">
        <v>2025</v>
      </c>
      <c r="G1419" s="148" t="s">
        <v>33</v>
      </c>
      <c r="H1419" s="148"/>
      <c r="I1419" s="148"/>
      <c r="J1419" s="148"/>
      <c r="K1419" s="148"/>
      <c r="L1419" s="152"/>
      <c r="M1419" s="152">
        <f t="shared" si="22"/>
        <v>0</v>
      </c>
      <c r="N1419" s="148"/>
      <c r="O1419" s="148"/>
      <c r="P1419" s="148"/>
      <c r="Q1419" s="148"/>
      <c r="R1419" s="148"/>
      <c r="S1419" s="148"/>
      <c r="T1419" s="148"/>
      <c r="U1419" s="148"/>
      <c r="V1419" s="148"/>
      <c r="W1419" s="148"/>
      <c r="X1419" s="148"/>
      <c r="Y1419" s="148"/>
      <c r="Z1419" s="148"/>
      <c r="AA1419" s="148"/>
    </row>
    <row r="1420" spans="1:27">
      <c r="A1420" s="147">
        <v>2847</v>
      </c>
      <c r="B1420" s="147" t="s">
        <v>69</v>
      </c>
      <c r="C1420" s="147" t="s">
        <v>46</v>
      </c>
      <c r="D1420" s="148" t="s">
        <v>49</v>
      </c>
      <c r="E1420" s="148" t="s">
        <v>30</v>
      </c>
      <c r="F1420" s="149">
        <v>2025</v>
      </c>
      <c r="G1420" s="148" t="s">
        <v>34</v>
      </c>
      <c r="H1420" s="148"/>
      <c r="I1420" s="148"/>
      <c r="J1420" s="148"/>
      <c r="K1420" s="148"/>
      <c r="L1420" s="152"/>
      <c r="M1420" s="152">
        <f t="shared" si="22"/>
        <v>0</v>
      </c>
      <c r="N1420" s="148"/>
      <c r="O1420" s="148"/>
      <c r="P1420" s="148"/>
      <c r="Q1420" s="148"/>
      <c r="R1420" s="148"/>
      <c r="S1420" s="148"/>
      <c r="T1420" s="148"/>
      <c r="U1420" s="148"/>
      <c r="V1420" s="148"/>
      <c r="W1420" s="148"/>
      <c r="X1420" s="148"/>
      <c r="Y1420" s="148"/>
      <c r="Z1420" s="148"/>
      <c r="AA1420" s="148"/>
    </row>
    <row r="1421" spans="1:27">
      <c r="A1421" s="147">
        <v>2848</v>
      </c>
      <c r="B1421" s="147" t="s">
        <v>69</v>
      </c>
      <c r="C1421" s="147" t="s">
        <v>46</v>
      </c>
      <c r="D1421" s="148" t="s">
        <v>49</v>
      </c>
      <c r="E1421" s="148" t="s">
        <v>30</v>
      </c>
      <c r="F1421" s="149">
        <v>2025</v>
      </c>
      <c r="G1421" s="148" t="s">
        <v>35</v>
      </c>
      <c r="H1421" s="148"/>
      <c r="I1421" s="148"/>
      <c r="J1421" s="148"/>
      <c r="K1421" s="148"/>
      <c r="L1421" s="152"/>
      <c r="M1421" s="152">
        <f t="shared" si="22"/>
        <v>0</v>
      </c>
      <c r="N1421" s="148"/>
      <c r="O1421" s="148"/>
      <c r="P1421" s="148"/>
      <c r="Q1421" s="148"/>
      <c r="R1421" s="148"/>
      <c r="S1421" s="148"/>
      <c r="T1421" s="148"/>
      <c r="U1421" s="148"/>
      <c r="V1421" s="148"/>
      <c r="W1421" s="148"/>
      <c r="X1421" s="148"/>
      <c r="Y1421" s="148"/>
      <c r="Z1421" s="148"/>
      <c r="AA1421" s="148"/>
    </row>
    <row r="1422" spans="1:27">
      <c r="A1422" s="147">
        <v>2849</v>
      </c>
      <c r="B1422" s="147" t="s">
        <v>69</v>
      </c>
      <c r="C1422" s="147" t="s">
        <v>46</v>
      </c>
      <c r="D1422" s="148" t="s">
        <v>49</v>
      </c>
      <c r="E1422" s="148" t="s">
        <v>30</v>
      </c>
      <c r="F1422" s="149">
        <v>2025</v>
      </c>
      <c r="G1422" s="148" t="s">
        <v>36</v>
      </c>
      <c r="H1422" s="148"/>
      <c r="I1422" s="148"/>
      <c r="J1422" s="148"/>
      <c r="K1422" s="148"/>
      <c r="L1422" s="152"/>
      <c r="M1422" s="152">
        <f t="shared" si="22"/>
        <v>0</v>
      </c>
      <c r="N1422" s="148"/>
      <c r="O1422" s="148"/>
      <c r="P1422" s="148"/>
      <c r="Q1422" s="148"/>
      <c r="R1422" s="148"/>
      <c r="S1422" s="148"/>
      <c r="T1422" s="148"/>
      <c r="U1422" s="148"/>
      <c r="V1422" s="148"/>
      <c r="W1422" s="148"/>
      <c r="X1422" s="148"/>
      <c r="Y1422" s="148"/>
      <c r="Z1422" s="148"/>
      <c r="AA1422" s="148"/>
    </row>
    <row r="1423" spans="1:27">
      <c r="A1423" s="147">
        <v>2850</v>
      </c>
      <c r="B1423" s="147" t="s">
        <v>69</v>
      </c>
      <c r="C1423" s="147" t="s">
        <v>46</v>
      </c>
      <c r="D1423" s="148" t="s">
        <v>49</v>
      </c>
      <c r="E1423" s="148" t="s">
        <v>30</v>
      </c>
      <c r="F1423" s="149">
        <v>2025</v>
      </c>
      <c r="G1423" s="148" t="s">
        <v>37</v>
      </c>
      <c r="H1423" s="148"/>
      <c r="I1423" s="150">
        <v>35274</v>
      </c>
      <c r="J1423" s="148"/>
      <c r="K1423" s="148"/>
      <c r="L1423" s="152"/>
      <c r="M1423" s="152">
        <f t="shared" si="22"/>
        <v>0</v>
      </c>
      <c r="N1423" s="148"/>
      <c r="O1423" s="148"/>
      <c r="P1423" s="148"/>
      <c r="Q1423" s="148"/>
      <c r="R1423" s="148"/>
      <c r="S1423" s="148"/>
      <c r="T1423" s="148"/>
      <c r="U1423" s="148"/>
      <c r="V1423" s="148"/>
      <c r="W1423" s="148"/>
      <c r="X1423" s="148"/>
      <c r="Y1423" s="148"/>
      <c r="Z1423" s="148"/>
      <c r="AA1423" s="148"/>
    </row>
    <row r="1424" spans="1:27">
      <c r="A1424" s="147">
        <v>2851</v>
      </c>
      <c r="B1424" s="147" t="s">
        <v>69</v>
      </c>
      <c r="C1424" s="147" t="s">
        <v>46</v>
      </c>
      <c r="D1424" s="148" t="s">
        <v>49</v>
      </c>
      <c r="E1424" s="148" t="s">
        <v>30</v>
      </c>
      <c r="F1424" s="149">
        <v>2025</v>
      </c>
      <c r="G1424" s="148" t="s">
        <v>38</v>
      </c>
      <c r="H1424" s="148"/>
      <c r="I1424" s="150">
        <v>35277</v>
      </c>
      <c r="J1424" s="150">
        <v>35277</v>
      </c>
      <c r="K1424" s="148"/>
      <c r="L1424" s="152"/>
      <c r="M1424" s="152">
        <f t="shared" si="22"/>
        <v>0</v>
      </c>
      <c r="N1424" s="148"/>
      <c r="O1424" s="148"/>
      <c r="P1424" s="148"/>
      <c r="Q1424" s="148"/>
      <c r="R1424" s="148"/>
      <c r="S1424" s="148"/>
      <c r="T1424" s="148"/>
      <c r="U1424" s="148"/>
      <c r="V1424" s="148"/>
      <c r="W1424" s="148"/>
      <c r="X1424" s="148"/>
      <c r="Y1424" s="148"/>
      <c r="Z1424" s="148"/>
      <c r="AA1424" s="148"/>
    </row>
    <row r="1425" spans="1:27">
      <c r="A1425" s="147">
        <v>2852</v>
      </c>
      <c r="B1425" s="147" t="s">
        <v>69</v>
      </c>
      <c r="C1425" s="147" t="s">
        <v>46</v>
      </c>
      <c r="D1425" s="148" t="s">
        <v>49</v>
      </c>
      <c r="E1425" s="148" t="s">
        <v>30</v>
      </c>
      <c r="F1425" s="149">
        <v>2025</v>
      </c>
      <c r="G1425" s="148" t="s">
        <v>39</v>
      </c>
      <c r="H1425" s="148"/>
      <c r="I1425" s="150">
        <v>35255</v>
      </c>
      <c r="J1425" s="150">
        <v>35255</v>
      </c>
      <c r="K1425" s="148"/>
      <c r="L1425" s="152"/>
      <c r="M1425" s="152">
        <f t="shared" si="22"/>
        <v>0</v>
      </c>
      <c r="N1425" s="148"/>
      <c r="O1425" s="148"/>
      <c r="P1425" s="148"/>
      <c r="Q1425" s="148"/>
      <c r="R1425" s="148"/>
      <c r="S1425" s="148"/>
      <c r="T1425" s="148"/>
      <c r="U1425" s="148"/>
      <c r="V1425" s="148"/>
      <c r="W1425" s="148"/>
      <c r="X1425" s="148"/>
      <c r="Y1425" s="148"/>
      <c r="Z1425" s="148"/>
      <c r="AA1425" s="148"/>
    </row>
    <row r="1426" spans="1:27">
      <c r="A1426" s="147">
        <v>2853</v>
      </c>
      <c r="B1426" s="147" t="s">
        <v>69</v>
      </c>
      <c r="C1426" s="147" t="s">
        <v>46</v>
      </c>
      <c r="D1426" s="148" t="s">
        <v>49</v>
      </c>
      <c r="E1426" s="148" t="s">
        <v>30</v>
      </c>
      <c r="F1426" s="149">
        <v>2025</v>
      </c>
      <c r="G1426" s="148" t="s">
        <v>40</v>
      </c>
      <c r="H1426" s="148"/>
      <c r="I1426" s="150">
        <v>35008</v>
      </c>
      <c r="J1426" s="149">
        <v>637</v>
      </c>
      <c r="K1426" s="148"/>
      <c r="L1426" s="152"/>
      <c r="M1426" s="152">
        <f t="shared" si="22"/>
        <v>0</v>
      </c>
      <c r="N1426" s="148"/>
      <c r="O1426" s="148"/>
      <c r="P1426" s="148"/>
      <c r="Q1426" s="148"/>
      <c r="R1426" s="148"/>
      <c r="S1426" s="148"/>
      <c r="T1426" s="148"/>
      <c r="U1426" s="148"/>
      <c r="V1426" s="148"/>
      <c r="W1426" s="148"/>
      <c r="X1426" s="148"/>
      <c r="Y1426" s="148"/>
      <c r="Z1426" s="148"/>
      <c r="AA1426" s="148"/>
    </row>
    <row r="1427" spans="1:27">
      <c r="A1427" s="147">
        <v>2854</v>
      </c>
      <c r="B1427" s="147" t="s">
        <v>69</v>
      </c>
      <c r="C1427" s="147" t="s">
        <v>46</v>
      </c>
      <c r="D1427" s="148" t="s">
        <v>49</v>
      </c>
      <c r="E1427" s="148" t="s">
        <v>30</v>
      </c>
      <c r="F1427" s="149">
        <v>2025</v>
      </c>
      <c r="G1427" s="148" t="s">
        <v>41</v>
      </c>
      <c r="H1427" s="148"/>
      <c r="I1427" s="150">
        <v>34371</v>
      </c>
      <c r="J1427" s="150">
        <v>2413</v>
      </c>
      <c r="K1427" s="148"/>
      <c r="L1427" s="152"/>
      <c r="M1427" s="152">
        <f t="shared" si="22"/>
        <v>0</v>
      </c>
      <c r="N1427" s="148"/>
      <c r="O1427" s="148"/>
      <c r="P1427" s="148"/>
      <c r="Q1427" s="148"/>
      <c r="R1427" s="148"/>
      <c r="S1427" s="148"/>
      <c r="T1427" s="148"/>
      <c r="U1427" s="148"/>
      <c r="V1427" s="148"/>
      <c r="W1427" s="148"/>
      <c r="X1427" s="148"/>
      <c r="Y1427" s="148"/>
      <c r="Z1427" s="148"/>
      <c r="AA1427" s="148"/>
    </row>
    <row r="1428" spans="1:27">
      <c r="A1428" s="147">
        <v>2855</v>
      </c>
      <c r="B1428" s="147" t="s">
        <v>69</v>
      </c>
      <c r="C1428" s="147" t="s">
        <v>46</v>
      </c>
      <c r="D1428" s="148" t="s">
        <v>49</v>
      </c>
      <c r="E1428" s="148" t="s">
        <v>30</v>
      </c>
      <c r="F1428" s="149">
        <v>2025</v>
      </c>
      <c r="G1428" s="148" t="s">
        <v>42</v>
      </c>
      <c r="H1428" s="148"/>
      <c r="I1428" s="150">
        <v>31958</v>
      </c>
      <c r="J1428" s="150">
        <v>31958</v>
      </c>
      <c r="K1428" s="148"/>
      <c r="L1428" s="152"/>
      <c r="M1428" s="152">
        <f t="shared" si="22"/>
        <v>0</v>
      </c>
      <c r="N1428" s="148"/>
      <c r="O1428" s="148"/>
      <c r="P1428" s="148"/>
      <c r="Q1428" s="148"/>
      <c r="R1428" s="148"/>
      <c r="S1428" s="148"/>
      <c r="T1428" s="148"/>
      <c r="U1428" s="148"/>
      <c r="V1428" s="148"/>
      <c r="W1428" s="148"/>
      <c r="X1428" s="148"/>
      <c r="Y1428" s="148"/>
      <c r="Z1428" s="148"/>
      <c r="AA1428" s="148"/>
    </row>
    <row r="1429" spans="1:27">
      <c r="A1429" s="147">
        <v>2856</v>
      </c>
      <c r="B1429" s="147" t="s">
        <v>69</v>
      </c>
      <c r="C1429" s="147" t="s">
        <v>46</v>
      </c>
      <c r="D1429" s="148" t="s">
        <v>49</v>
      </c>
      <c r="E1429" s="148" t="s">
        <v>30</v>
      </c>
      <c r="F1429" s="149">
        <v>2025</v>
      </c>
      <c r="G1429" s="148" t="s">
        <v>43</v>
      </c>
      <c r="H1429" s="148"/>
      <c r="I1429" s="150">
        <v>31783</v>
      </c>
      <c r="J1429" s="150">
        <v>-3472</v>
      </c>
      <c r="K1429" s="148"/>
      <c r="L1429" s="152"/>
      <c r="M1429" s="152">
        <f t="shared" si="22"/>
        <v>0</v>
      </c>
      <c r="N1429" s="148"/>
      <c r="O1429" s="148"/>
      <c r="P1429" s="148"/>
      <c r="Q1429" s="148"/>
      <c r="R1429" s="148"/>
      <c r="S1429" s="148"/>
      <c r="T1429" s="148"/>
      <c r="U1429" s="148"/>
      <c r="V1429" s="148"/>
      <c r="W1429" s="148"/>
      <c r="X1429" s="148"/>
      <c r="Y1429" s="148"/>
      <c r="Z1429" s="148"/>
      <c r="AA1429" s="148"/>
    </row>
    <row r="1430" spans="1:27">
      <c r="A1430" s="147">
        <v>2857</v>
      </c>
      <c r="B1430" s="147" t="s">
        <v>69</v>
      </c>
      <c r="C1430" s="147" t="s">
        <v>46</v>
      </c>
      <c r="D1430" s="148" t="s">
        <v>49</v>
      </c>
      <c r="E1430" s="148" t="s">
        <v>30</v>
      </c>
      <c r="F1430" s="149">
        <v>2026</v>
      </c>
      <c r="G1430" s="148" t="s">
        <v>31</v>
      </c>
      <c r="H1430" s="148"/>
      <c r="I1430" s="150">
        <v>31735</v>
      </c>
      <c r="J1430" s="149">
        <v>-10</v>
      </c>
      <c r="K1430" s="148"/>
      <c r="L1430" s="152"/>
      <c r="M1430" s="152">
        <f t="shared" si="22"/>
        <v>0</v>
      </c>
      <c r="N1430" s="148"/>
      <c r="O1430" s="148"/>
      <c r="P1430" s="148"/>
      <c r="Q1430" s="148"/>
      <c r="R1430" s="148"/>
      <c r="S1430" s="148"/>
      <c r="T1430" s="148"/>
      <c r="U1430" s="148"/>
      <c r="V1430" s="148"/>
      <c r="W1430" s="148"/>
      <c r="X1430" s="148"/>
      <c r="Y1430" s="148"/>
      <c r="Z1430" s="148"/>
      <c r="AA1430" s="148"/>
    </row>
    <row r="1431" spans="1:27">
      <c r="A1431" s="147">
        <v>2858</v>
      </c>
      <c r="B1431" s="147" t="s">
        <v>69</v>
      </c>
      <c r="C1431" s="147" t="s">
        <v>46</v>
      </c>
      <c r="D1431" s="148" t="s">
        <v>49</v>
      </c>
      <c r="E1431" s="148" t="s">
        <v>30</v>
      </c>
      <c r="F1431" s="149">
        <v>2026</v>
      </c>
      <c r="G1431" s="148" t="s">
        <v>33</v>
      </c>
      <c r="H1431" s="148"/>
      <c r="I1431" s="150">
        <v>31745</v>
      </c>
      <c r="J1431" s="150">
        <v>31745</v>
      </c>
      <c r="K1431" s="148"/>
      <c r="L1431" s="152"/>
      <c r="M1431" s="152">
        <f t="shared" si="22"/>
        <v>0</v>
      </c>
      <c r="N1431" s="148"/>
      <c r="O1431" s="148"/>
      <c r="P1431" s="148"/>
      <c r="Q1431" s="148"/>
      <c r="R1431" s="148"/>
      <c r="S1431" s="148"/>
      <c r="T1431" s="148"/>
      <c r="U1431" s="148"/>
      <c r="V1431" s="148"/>
      <c r="W1431" s="148"/>
      <c r="X1431" s="148"/>
      <c r="Y1431" s="148"/>
      <c r="Z1431" s="148"/>
      <c r="AA1431" s="148"/>
    </row>
    <row r="1432" spans="1:27">
      <c r="A1432" s="147">
        <v>2859</v>
      </c>
      <c r="B1432" s="147" t="s">
        <v>69</v>
      </c>
      <c r="C1432" s="147" t="s">
        <v>46</v>
      </c>
      <c r="D1432" s="148" t="s">
        <v>49</v>
      </c>
      <c r="E1432" s="148" t="s">
        <v>30</v>
      </c>
      <c r="F1432" s="149">
        <v>2026</v>
      </c>
      <c r="G1432" s="148" t="s">
        <v>34</v>
      </c>
      <c r="H1432" s="148"/>
      <c r="I1432" s="150">
        <v>31735</v>
      </c>
      <c r="J1432" s="149">
        <v>42</v>
      </c>
      <c r="K1432" s="148"/>
      <c r="L1432" s="152"/>
      <c r="M1432" s="152">
        <f t="shared" si="22"/>
        <v>0</v>
      </c>
      <c r="N1432" s="148"/>
      <c r="O1432" s="148"/>
      <c r="P1432" s="148"/>
      <c r="Q1432" s="148"/>
      <c r="R1432" s="148"/>
      <c r="S1432" s="148"/>
      <c r="T1432" s="148"/>
      <c r="U1432" s="148"/>
      <c r="V1432" s="148"/>
      <c r="W1432" s="148"/>
      <c r="X1432" s="148"/>
      <c r="Y1432" s="148"/>
      <c r="Z1432" s="148"/>
      <c r="AA1432" s="148"/>
    </row>
    <row r="1433" spans="1:27">
      <c r="A1433" s="147">
        <v>2860</v>
      </c>
      <c r="B1433" s="147" t="s">
        <v>69</v>
      </c>
      <c r="C1433" s="147" t="s">
        <v>46</v>
      </c>
      <c r="D1433" s="148" t="s">
        <v>49</v>
      </c>
      <c r="E1433" s="148" t="s">
        <v>30</v>
      </c>
      <c r="F1433" s="149">
        <v>2026</v>
      </c>
      <c r="G1433" s="148" t="s">
        <v>35</v>
      </c>
      <c r="H1433" s="148"/>
      <c r="I1433" s="150">
        <v>31736</v>
      </c>
      <c r="J1433" s="150">
        <v>-3272</v>
      </c>
      <c r="K1433" s="148"/>
      <c r="L1433" s="152"/>
      <c r="M1433" s="152">
        <f t="shared" si="22"/>
        <v>0</v>
      </c>
      <c r="N1433" s="148"/>
      <c r="O1433" s="148"/>
      <c r="P1433" s="148"/>
      <c r="Q1433" s="148"/>
      <c r="R1433" s="148"/>
      <c r="S1433" s="148"/>
      <c r="T1433" s="148"/>
      <c r="U1433" s="148"/>
      <c r="V1433" s="148"/>
      <c r="W1433" s="148"/>
      <c r="X1433" s="148"/>
      <c r="Y1433" s="148"/>
      <c r="Z1433" s="148"/>
      <c r="AA1433" s="148"/>
    </row>
    <row r="1434" spans="1:27">
      <c r="A1434" s="147">
        <v>2861</v>
      </c>
      <c r="B1434" s="147" t="s">
        <v>69</v>
      </c>
      <c r="C1434" s="147" t="s">
        <v>46</v>
      </c>
      <c r="D1434" s="148" t="s">
        <v>49</v>
      </c>
      <c r="E1434" s="148" t="s">
        <v>30</v>
      </c>
      <c r="F1434" s="149">
        <v>2026</v>
      </c>
      <c r="G1434" s="148" t="s">
        <v>36</v>
      </c>
      <c r="H1434" s="148"/>
      <c r="I1434" s="150">
        <v>31724</v>
      </c>
      <c r="J1434" s="149">
        <v>-11</v>
      </c>
      <c r="K1434" s="148"/>
      <c r="L1434" s="152"/>
      <c r="M1434" s="152">
        <f t="shared" si="22"/>
        <v>0</v>
      </c>
      <c r="N1434" s="148"/>
      <c r="O1434" s="148"/>
      <c r="P1434" s="148"/>
      <c r="Q1434" s="148"/>
      <c r="R1434" s="148"/>
      <c r="S1434" s="148"/>
      <c r="T1434" s="148"/>
      <c r="U1434" s="148"/>
      <c r="V1434" s="148"/>
      <c r="W1434" s="148"/>
      <c r="X1434" s="148"/>
      <c r="Y1434" s="148"/>
      <c r="Z1434" s="148"/>
      <c r="AA1434" s="148"/>
    </row>
    <row r="1435" spans="1:27">
      <c r="A1435" s="147">
        <v>2862</v>
      </c>
      <c r="B1435" s="147" t="s">
        <v>69</v>
      </c>
      <c r="C1435" s="147" t="s">
        <v>46</v>
      </c>
      <c r="D1435" s="148" t="s">
        <v>49</v>
      </c>
      <c r="E1435" s="148" t="s">
        <v>30</v>
      </c>
      <c r="F1435" s="149">
        <v>2026</v>
      </c>
      <c r="G1435" s="148" t="s">
        <v>37</v>
      </c>
      <c r="H1435" s="148"/>
      <c r="I1435" s="150">
        <v>31693</v>
      </c>
      <c r="J1435" s="150">
        <v>31693</v>
      </c>
      <c r="K1435" s="148"/>
      <c r="L1435" s="152"/>
      <c r="M1435" s="152">
        <f t="shared" si="22"/>
        <v>0</v>
      </c>
      <c r="N1435" s="148"/>
      <c r="O1435" s="148"/>
      <c r="P1435" s="148"/>
      <c r="Q1435" s="148"/>
      <c r="R1435" s="148"/>
      <c r="S1435" s="148"/>
      <c r="T1435" s="148"/>
      <c r="U1435" s="148"/>
      <c r="V1435" s="148"/>
      <c r="W1435" s="148"/>
      <c r="X1435" s="148"/>
      <c r="Y1435" s="148"/>
      <c r="Z1435" s="148"/>
      <c r="AA1435" s="148"/>
    </row>
    <row r="1436" spans="1:27">
      <c r="A1436" s="147">
        <v>2863</v>
      </c>
      <c r="B1436" s="147" t="s">
        <v>69</v>
      </c>
      <c r="C1436" s="147" t="s">
        <v>46</v>
      </c>
      <c r="D1436" s="148" t="s">
        <v>49</v>
      </c>
      <c r="E1436" s="148" t="s">
        <v>30</v>
      </c>
      <c r="F1436" s="149">
        <v>2026</v>
      </c>
      <c r="G1436" s="148" t="s">
        <v>38</v>
      </c>
      <c r="H1436" s="148"/>
      <c r="I1436" s="150">
        <v>31668</v>
      </c>
      <c r="J1436" s="149">
        <v>-25</v>
      </c>
      <c r="K1436" s="148"/>
      <c r="L1436" s="152"/>
      <c r="M1436" s="152">
        <f t="shared" si="22"/>
        <v>0</v>
      </c>
      <c r="N1436" s="148"/>
      <c r="O1436" s="148"/>
      <c r="P1436" s="148"/>
      <c r="Q1436" s="148"/>
      <c r="R1436" s="148"/>
      <c r="S1436" s="148"/>
      <c r="T1436" s="148"/>
      <c r="U1436" s="148"/>
      <c r="V1436" s="148"/>
      <c r="W1436" s="148"/>
      <c r="X1436" s="148"/>
      <c r="Y1436" s="148"/>
      <c r="Z1436" s="148"/>
      <c r="AA1436" s="148"/>
    </row>
    <row r="1437" spans="1:27">
      <c r="A1437" s="147">
        <v>2864</v>
      </c>
      <c r="B1437" s="147" t="s">
        <v>69</v>
      </c>
      <c r="C1437" s="147" t="s">
        <v>46</v>
      </c>
      <c r="D1437" s="148" t="s">
        <v>49</v>
      </c>
      <c r="E1437" s="148" t="s">
        <v>30</v>
      </c>
      <c r="F1437" s="149">
        <v>2026</v>
      </c>
      <c r="G1437" s="148" t="s">
        <v>39</v>
      </c>
      <c r="H1437" s="148"/>
      <c r="I1437" s="148"/>
      <c r="J1437" s="148"/>
      <c r="K1437" s="148"/>
      <c r="L1437" s="152"/>
      <c r="M1437" s="152">
        <f t="shared" si="22"/>
        <v>0</v>
      </c>
      <c r="N1437" s="148"/>
      <c r="O1437" s="148"/>
      <c r="P1437" s="148"/>
      <c r="Q1437" s="148"/>
      <c r="R1437" s="148"/>
      <c r="S1437" s="148"/>
      <c r="T1437" s="148"/>
      <c r="U1437" s="148"/>
      <c r="V1437" s="148"/>
      <c r="W1437" s="148"/>
      <c r="X1437" s="148"/>
      <c r="Y1437" s="148"/>
      <c r="Z1437" s="148"/>
      <c r="AA1437" s="148"/>
    </row>
    <row r="1438" spans="1:27">
      <c r="A1438" s="147">
        <v>2865</v>
      </c>
      <c r="B1438" s="147" t="s">
        <v>69</v>
      </c>
      <c r="C1438" s="147" t="s">
        <v>46</v>
      </c>
      <c r="D1438" s="148" t="s">
        <v>49</v>
      </c>
      <c r="E1438" s="148" t="s">
        <v>30</v>
      </c>
      <c r="F1438" s="149">
        <v>2026</v>
      </c>
      <c r="G1438" s="148" t="s">
        <v>40</v>
      </c>
      <c r="H1438" s="148"/>
      <c r="I1438" s="148"/>
      <c r="J1438" s="148"/>
      <c r="K1438" s="148"/>
      <c r="L1438" s="152"/>
      <c r="M1438" s="152">
        <f t="shared" si="22"/>
        <v>0</v>
      </c>
      <c r="N1438" s="148"/>
      <c r="O1438" s="148"/>
      <c r="P1438" s="148"/>
      <c r="Q1438" s="148"/>
      <c r="R1438" s="148"/>
      <c r="S1438" s="148"/>
      <c r="T1438" s="148"/>
      <c r="U1438" s="148"/>
      <c r="V1438" s="148"/>
      <c r="W1438" s="148"/>
      <c r="X1438" s="148"/>
      <c r="Y1438" s="148"/>
      <c r="Z1438" s="148"/>
      <c r="AA1438" s="148"/>
    </row>
    <row r="1439" spans="1:27">
      <c r="A1439" s="147">
        <v>2866</v>
      </c>
      <c r="B1439" s="147" t="s">
        <v>69</v>
      </c>
      <c r="C1439" s="147" t="s">
        <v>46</v>
      </c>
      <c r="D1439" s="148" t="s">
        <v>49</v>
      </c>
      <c r="E1439" s="148" t="s">
        <v>30</v>
      </c>
      <c r="F1439" s="149">
        <v>2026</v>
      </c>
      <c r="G1439" s="148" t="s">
        <v>41</v>
      </c>
      <c r="H1439" s="148"/>
      <c r="I1439" s="148"/>
      <c r="J1439" s="148"/>
      <c r="K1439" s="148"/>
      <c r="L1439" s="152"/>
      <c r="M1439" s="152">
        <f t="shared" si="22"/>
        <v>0</v>
      </c>
      <c r="N1439" s="148"/>
      <c r="O1439" s="148"/>
      <c r="P1439" s="148"/>
      <c r="Q1439" s="148"/>
      <c r="R1439" s="148"/>
      <c r="S1439" s="148"/>
      <c r="T1439" s="148"/>
      <c r="U1439" s="148"/>
      <c r="V1439" s="148"/>
      <c r="W1439" s="148"/>
      <c r="X1439" s="148"/>
      <c r="Y1439" s="148"/>
      <c r="Z1439" s="148"/>
      <c r="AA1439" s="148"/>
    </row>
    <row r="1440" spans="1:27">
      <c r="A1440" s="147">
        <v>2867</v>
      </c>
      <c r="B1440" s="147" t="s">
        <v>69</v>
      </c>
      <c r="C1440" s="147" t="s">
        <v>46</v>
      </c>
      <c r="D1440" s="148" t="s">
        <v>49</v>
      </c>
      <c r="E1440" s="148" t="s">
        <v>30</v>
      </c>
      <c r="F1440" s="149">
        <v>2026</v>
      </c>
      <c r="G1440" s="148" t="s">
        <v>42</v>
      </c>
      <c r="H1440" s="148"/>
      <c r="I1440" s="148"/>
      <c r="J1440" s="148"/>
      <c r="K1440" s="148"/>
      <c r="L1440" s="152"/>
      <c r="M1440" s="152">
        <f t="shared" si="22"/>
        <v>0</v>
      </c>
      <c r="N1440" s="148"/>
      <c r="O1440" s="148"/>
      <c r="P1440" s="148"/>
      <c r="Q1440" s="148"/>
      <c r="R1440" s="148"/>
      <c r="S1440" s="148"/>
      <c r="T1440" s="148"/>
      <c r="U1440" s="148"/>
      <c r="V1440" s="148"/>
      <c r="W1440" s="148"/>
      <c r="X1440" s="148"/>
      <c r="Y1440" s="148"/>
      <c r="Z1440" s="148"/>
      <c r="AA1440" s="148"/>
    </row>
    <row r="1441" spans="1:27">
      <c r="A1441" s="147">
        <v>2868</v>
      </c>
      <c r="B1441" s="147" t="s">
        <v>69</v>
      </c>
      <c r="C1441" s="147" t="s">
        <v>46</v>
      </c>
      <c r="D1441" s="148" t="s">
        <v>49</v>
      </c>
      <c r="E1441" s="148" t="s">
        <v>30</v>
      </c>
      <c r="F1441" s="149">
        <v>2026</v>
      </c>
      <c r="G1441" s="148" t="s">
        <v>43</v>
      </c>
      <c r="H1441" s="148"/>
      <c r="I1441" s="148"/>
      <c r="J1441" s="148"/>
      <c r="K1441" s="148"/>
      <c r="L1441" s="152"/>
      <c r="M1441" s="152">
        <f t="shared" si="22"/>
        <v>0</v>
      </c>
      <c r="N1441" s="148"/>
      <c r="O1441" s="148"/>
      <c r="P1441" s="148"/>
      <c r="Q1441" s="148"/>
      <c r="R1441" s="148"/>
      <c r="S1441" s="148"/>
      <c r="T1441" s="148"/>
      <c r="U1441" s="148"/>
      <c r="V1441" s="148"/>
      <c r="W1441" s="148"/>
      <c r="X1441" s="148"/>
      <c r="Y1441" s="148"/>
      <c r="Z1441" s="148"/>
      <c r="AA1441" s="148"/>
    </row>
    <row r="1442" spans="1:27">
      <c r="A1442" s="147">
        <v>2881</v>
      </c>
      <c r="B1442" s="147" t="s">
        <v>69</v>
      </c>
      <c r="C1442" s="147" t="s">
        <v>46</v>
      </c>
      <c r="D1442" s="148" t="s">
        <v>50</v>
      </c>
      <c r="E1442" s="148" t="s">
        <v>30</v>
      </c>
      <c r="F1442" s="149">
        <v>2024</v>
      </c>
      <c r="G1442" s="148" t="s">
        <v>31</v>
      </c>
      <c r="H1442" s="148"/>
      <c r="I1442" s="148"/>
      <c r="J1442" s="148"/>
      <c r="K1442" s="148"/>
      <c r="L1442" s="152"/>
      <c r="M1442" s="152">
        <f t="shared" si="22"/>
        <v>0</v>
      </c>
      <c r="N1442" s="148"/>
      <c r="O1442" s="148"/>
      <c r="P1442" s="148"/>
      <c r="Q1442" s="148"/>
      <c r="R1442" s="148"/>
      <c r="S1442" s="148"/>
      <c r="T1442" s="148"/>
      <c r="U1442" s="148"/>
      <c r="V1442" s="148"/>
      <c r="W1442" s="148"/>
      <c r="X1442" s="148"/>
      <c r="Y1442" s="148"/>
      <c r="Z1442" s="148"/>
      <c r="AA1442" s="148"/>
    </row>
    <row r="1443" spans="1:27">
      <c r="A1443" s="147">
        <v>2882</v>
      </c>
      <c r="B1443" s="147" t="s">
        <v>69</v>
      </c>
      <c r="C1443" s="147" t="s">
        <v>46</v>
      </c>
      <c r="D1443" s="148" t="s">
        <v>50</v>
      </c>
      <c r="E1443" s="148" t="s">
        <v>30</v>
      </c>
      <c r="F1443" s="149">
        <v>2024</v>
      </c>
      <c r="G1443" s="148" t="s">
        <v>33</v>
      </c>
      <c r="H1443" s="148"/>
      <c r="I1443" s="148"/>
      <c r="J1443" s="148"/>
      <c r="K1443" s="148"/>
      <c r="L1443" s="152"/>
      <c r="M1443" s="152">
        <f t="shared" si="22"/>
        <v>0</v>
      </c>
      <c r="N1443" s="148"/>
      <c r="O1443" s="148"/>
      <c r="P1443" s="148"/>
      <c r="Q1443" s="148"/>
      <c r="R1443" s="148"/>
      <c r="S1443" s="148"/>
      <c r="T1443" s="148"/>
      <c r="U1443" s="148"/>
      <c r="V1443" s="148"/>
      <c r="W1443" s="148"/>
      <c r="X1443" s="148"/>
      <c r="Y1443" s="148"/>
      <c r="Z1443" s="148"/>
      <c r="AA1443" s="148"/>
    </row>
    <row r="1444" spans="1:27">
      <c r="A1444" s="147">
        <v>2883</v>
      </c>
      <c r="B1444" s="147" t="s">
        <v>69</v>
      </c>
      <c r="C1444" s="147" t="s">
        <v>46</v>
      </c>
      <c r="D1444" s="148" t="s">
        <v>50</v>
      </c>
      <c r="E1444" s="148" t="s">
        <v>30</v>
      </c>
      <c r="F1444" s="149">
        <v>2024</v>
      </c>
      <c r="G1444" s="148" t="s">
        <v>34</v>
      </c>
      <c r="H1444" s="148"/>
      <c r="I1444" s="148"/>
      <c r="J1444" s="148"/>
      <c r="K1444" s="148"/>
      <c r="L1444" s="152"/>
      <c r="M1444" s="152">
        <f t="shared" si="22"/>
        <v>0</v>
      </c>
      <c r="N1444" s="148"/>
      <c r="O1444" s="148"/>
      <c r="P1444" s="148"/>
      <c r="Q1444" s="148"/>
      <c r="R1444" s="148"/>
      <c r="S1444" s="148"/>
      <c r="T1444" s="148"/>
      <c r="U1444" s="148"/>
      <c r="V1444" s="148"/>
      <c r="W1444" s="148"/>
      <c r="X1444" s="148"/>
      <c r="Y1444" s="148"/>
      <c r="Z1444" s="148"/>
      <c r="AA1444" s="148"/>
    </row>
    <row r="1445" spans="1:27">
      <c r="A1445" s="147">
        <v>2884</v>
      </c>
      <c r="B1445" s="147" t="s">
        <v>69</v>
      </c>
      <c r="C1445" s="147" t="s">
        <v>46</v>
      </c>
      <c r="D1445" s="148" t="s">
        <v>50</v>
      </c>
      <c r="E1445" s="148" t="s">
        <v>30</v>
      </c>
      <c r="F1445" s="149">
        <v>2024</v>
      </c>
      <c r="G1445" s="148" t="s">
        <v>35</v>
      </c>
      <c r="H1445" s="148"/>
      <c r="I1445" s="148"/>
      <c r="J1445" s="148"/>
      <c r="K1445" s="148"/>
      <c r="L1445" s="152"/>
      <c r="M1445" s="152">
        <f t="shared" si="22"/>
        <v>0</v>
      </c>
      <c r="N1445" s="148"/>
      <c r="O1445" s="148"/>
      <c r="P1445" s="148"/>
      <c r="Q1445" s="148"/>
      <c r="R1445" s="148"/>
      <c r="S1445" s="148"/>
      <c r="T1445" s="148"/>
      <c r="U1445" s="148"/>
      <c r="V1445" s="148"/>
      <c r="W1445" s="148"/>
      <c r="X1445" s="148"/>
      <c r="Y1445" s="148"/>
      <c r="Z1445" s="148"/>
      <c r="AA1445" s="148"/>
    </row>
    <row r="1446" spans="1:27">
      <c r="A1446" s="147">
        <v>2885</v>
      </c>
      <c r="B1446" s="147" t="s">
        <v>69</v>
      </c>
      <c r="C1446" s="147" t="s">
        <v>46</v>
      </c>
      <c r="D1446" s="148" t="s">
        <v>50</v>
      </c>
      <c r="E1446" s="148" t="s">
        <v>30</v>
      </c>
      <c r="F1446" s="149">
        <v>2024</v>
      </c>
      <c r="G1446" s="148" t="s">
        <v>36</v>
      </c>
      <c r="H1446" s="148"/>
      <c r="I1446" s="148"/>
      <c r="J1446" s="148"/>
      <c r="K1446" s="148"/>
      <c r="L1446" s="152"/>
      <c r="M1446" s="152">
        <f t="shared" si="22"/>
        <v>0</v>
      </c>
      <c r="N1446" s="148"/>
      <c r="O1446" s="148"/>
      <c r="P1446" s="148"/>
      <c r="Q1446" s="148"/>
      <c r="R1446" s="148"/>
      <c r="S1446" s="148"/>
      <c r="T1446" s="148"/>
      <c r="U1446" s="148"/>
      <c r="V1446" s="148"/>
      <c r="W1446" s="148"/>
      <c r="X1446" s="148"/>
      <c r="Y1446" s="148"/>
      <c r="Z1446" s="148"/>
      <c r="AA1446" s="148"/>
    </row>
    <row r="1447" spans="1:27">
      <c r="A1447" s="147">
        <v>2886</v>
      </c>
      <c r="B1447" s="147" t="s">
        <v>69</v>
      </c>
      <c r="C1447" s="147" t="s">
        <v>46</v>
      </c>
      <c r="D1447" s="148" t="s">
        <v>50</v>
      </c>
      <c r="E1447" s="148" t="s">
        <v>30</v>
      </c>
      <c r="F1447" s="149">
        <v>2024</v>
      </c>
      <c r="G1447" s="148" t="s">
        <v>37</v>
      </c>
      <c r="H1447" s="148"/>
      <c r="I1447" s="148"/>
      <c r="J1447" s="148"/>
      <c r="K1447" s="148"/>
      <c r="L1447" s="152"/>
      <c r="M1447" s="152">
        <f t="shared" si="22"/>
        <v>0</v>
      </c>
      <c r="N1447" s="148"/>
      <c r="O1447" s="148"/>
      <c r="P1447" s="148"/>
      <c r="Q1447" s="148"/>
      <c r="R1447" s="148"/>
      <c r="S1447" s="148"/>
      <c r="T1447" s="148"/>
      <c r="U1447" s="148"/>
      <c r="V1447" s="148"/>
      <c r="W1447" s="148"/>
      <c r="X1447" s="148"/>
      <c r="Y1447" s="148"/>
      <c r="Z1447" s="148"/>
      <c r="AA1447" s="148"/>
    </row>
    <row r="1448" spans="1:27">
      <c r="A1448" s="147">
        <v>2887</v>
      </c>
      <c r="B1448" s="147" t="s">
        <v>69</v>
      </c>
      <c r="C1448" s="147" t="s">
        <v>46</v>
      </c>
      <c r="D1448" s="148" t="s">
        <v>50</v>
      </c>
      <c r="E1448" s="148" t="s">
        <v>30</v>
      </c>
      <c r="F1448" s="149">
        <v>2024</v>
      </c>
      <c r="G1448" s="148" t="s">
        <v>38</v>
      </c>
      <c r="H1448" s="148"/>
      <c r="I1448" s="148"/>
      <c r="J1448" s="148"/>
      <c r="K1448" s="148"/>
      <c r="L1448" s="152"/>
      <c r="M1448" s="152">
        <f t="shared" si="22"/>
        <v>0</v>
      </c>
      <c r="N1448" s="148"/>
      <c r="O1448" s="148"/>
      <c r="P1448" s="148"/>
      <c r="Q1448" s="148"/>
      <c r="R1448" s="148"/>
      <c r="S1448" s="148"/>
      <c r="T1448" s="148"/>
      <c r="U1448" s="148"/>
      <c r="V1448" s="148"/>
      <c r="W1448" s="148"/>
      <c r="X1448" s="148"/>
      <c r="Y1448" s="148"/>
      <c r="Z1448" s="148"/>
      <c r="AA1448" s="148"/>
    </row>
    <row r="1449" spans="1:27">
      <c r="A1449" s="147">
        <v>2888</v>
      </c>
      <c r="B1449" s="147" t="s">
        <v>69</v>
      </c>
      <c r="C1449" s="147" t="s">
        <v>46</v>
      </c>
      <c r="D1449" s="148" t="s">
        <v>50</v>
      </c>
      <c r="E1449" s="148" t="s">
        <v>30</v>
      </c>
      <c r="F1449" s="149">
        <v>2024</v>
      </c>
      <c r="G1449" s="148" t="s">
        <v>39</v>
      </c>
      <c r="H1449" s="148"/>
      <c r="I1449" s="148"/>
      <c r="J1449" s="148"/>
      <c r="K1449" s="148"/>
      <c r="L1449" s="152"/>
      <c r="M1449" s="152">
        <f t="shared" si="22"/>
        <v>0</v>
      </c>
      <c r="N1449" s="148"/>
      <c r="O1449" s="148"/>
      <c r="P1449" s="148"/>
      <c r="Q1449" s="148"/>
      <c r="R1449" s="148"/>
      <c r="S1449" s="148"/>
      <c r="T1449" s="148"/>
      <c r="U1449" s="148"/>
      <c r="V1449" s="148"/>
      <c r="W1449" s="148"/>
      <c r="X1449" s="148"/>
      <c r="Y1449" s="148"/>
      <c r="Z1449" s="148"/>
      <c r="AA1449" s="148"/>
    </row>
    <row r="1450" spans="1:27">
      <c r="A1450" s="147">
        <v>2889</v>
      </c>
      <c r="B1450" s="147" t="s">
        <v>69</v>
      </c>
      <c r="C1450" s="147" t="s">
        <v>46</v>
      </c>
      <c r="D1450" s="148" t="s">
        <v>50</v>
      </c>
      <c r="E1450" s="148" t="s">
        <v>30</v>
      </c>
      <c r="F1450" s="149">
        <v>2024</v>
      </c>
      <c r="G1450" s="148" t="s">
        <v>40</v>
      </c>
      <c r="H1450" s="148"/>
      <c r="I1450" s="148"/>
      <c r="J1450" s="148"/>
      <c r="K1450" s="148"/>
      <c r="L1450" s="152"/>
      <c r="M1450" s="152">
        <f t="shared" si="22"/>
        <v>0</v>
      </c>
      <c r="N1450" s="148"/>
      <c r="O1450" s="148"/>
      <c r="P1450" s="148"/>
      <c r="Q1450" s="148"/>
      <c r="R1450" s="148"/>
      <c r="S1450" s="148"/>
      <c r="T1450" s="148"/>
      <c r="U1450" s="148"/>
      <c r="V1450" s="148"/>
      <c r="W1450" s="148"/>
      <c r="X1450" s="148"/>
      <c r="Y1450" s="148"/>
      <c r="Z1450" s="148"/>
      <c r="AA1450" s="148"/>
    </row>
    <row r="1451" spans="1:27">
      <c r="A1451" s="147">
        <v>2890</v>
      </c>
      <c r="B1451" s="147" t="s">
        <v>69</v>
      </c>
      <c r="C1451" s="147" t="s">
        <v>46</v>
      </c>
      <c r="D1451" s="148" t="s">
        <v>50</v>
      </c>
      <c r="E1451" s="148" t="s">
        <v>30</v>
      </c>
      <c r="F1451" s="149">
        <v>2024</v>
      </c>
      <c r="G1451" s="148" t="s">
        <v>41</v>
      </c>
      <c r="H1451" s="148"/>
      <c r="I1451" s="148"/>
      <c r="J1451" s="148"/>
      <c r="K1451" s="148"/>
      <c r="L1451" s="152"/>
      <c r="M1451" s="152">
        <f t="shared" si="22"/>
        <v>0</v>
      </c>
      <c r="N1451" s="148"/>
      <c r="O1451" s="148"/>
      <c r="P1451" s="148"/>
      <c r="Q1451" s="148"/>
      <c r="R1451" s="148"/>
      <c r="S1451" s="148"/>
      <c r="T1451" s="148"/>
      <c r="U1451" s="148"/>
      <c r="V1451" s="148"/>
      <c r="W1451" s="148"/>
      <c r="X1451" s="148"/>
      <c r="Y1451" s="148"/>
      <c r="Z1451" s="148"/>
      <c r="AA1451" s="148"/>
    </row>
    <row r="1452" spans="1:27">
      <c r="A1452" s="147">
        <v>2891</v>
      </c>
      <c r="B1452" s="147" t="s">
        <v>69</v>
      </c>
      <c r="C1452" s="147" t="s">
        <v>46</v>
      </c>
      <c r="D1452" s="148" t="s">
        <v>50</v>
      </c>
      <c r="E1452" s="148" t="s">
        <v>30</v>
      </c>
      <c r="F1452" s="149">
        <v>2024</v>
      </c>
      <c r="G1452" s="148" t="s">
        <v>42</v>
      </c>
      <c r="H1452" s="148"/>
      <c r="I1452" s="148"/>
      <c r="J1452" s="148"/>
      <c r="K1452" s="148"/>
      <c r="L1452" s="152"/>
      <c r="M1452" s="152">
        <f t="shared" si="22"/>
        <v>0</v>
      </c>
      <c r="N1452" s="148"/>
      <c r="O1452" s="148"/>
      <c r="P1452" s="148"/>
      <c r="Q1452" s="148"/>
      <c r="R1452" s="148"/>
      <c r="S1452" s="148"/>
      <c r="T1452" s="148"/>
      <c r="U1452" s="148"/>
      <c r="V1452" s="148"/>
      <c r="W1452" s="148"/>
      <c r="X1452" s="148"/>
      <c r="Y1452" s="148"/>
      <c r="Z1452" s="148"/>
      <c r="AA1452" s="148"/>
    </row>
    <row r="1453" spans="1:27">
      <c r="A1453" s="147">
        <v>2892</v>
      </c>
      <c r="B1453" s="147" t="s">
        <v>69</v>
      </c>
      <c r="C1453" s="147" t="s">
        <v>46</v>
      </c>
      <c r="D1453" s="148" t="s">
        <v>50</v>
      </c>
      <c r="E1453" s="148" t="s">
        <v>30</v>
      </c>
      <c r="F1453" s="149">
        <v>2024</v>
      </c>
      <c r="G1453" s="148" t="s">
        <v>43</v>
      </c>
      <c r="H1453" s="148"/>
      <c r="I1453" s="148"/>
      <c r="J1453" s="148"/>
      <c r="K1453" s="148"/>
      <c r="L1453" s="152"/>
      <c r="M1453" s="152">
        <f t="shared" si="22"/>
        <v>0</v>
      </c>
      <c r="N1453" s="148"/>
      <c r="O1453" s="148"/>
      <c r="P1453" s="148"/>
      <c r="Q1453" s="148"/>
      <c r="R1453" s="148"/>
      <c r="S1453" s="148"/>
      <c r="T1453" s="148"/>
      <c r="U1453" s="148"/>
      <c r="V1453" s="148"/>
      <c r="W1453" s="148"/>
      <c r="X1453" s="148"/>
      <c r="Y1453" s="148"/>
      <c r="Z1453" s="148"/>
      <c r="AA1453" s="148"/>
    </row>
    <row r="1454" spans="1:27">
      <c r="A1454" s="147">
        <v>2893</v>
      </c>
      <c r="B1454" s="147" t="s">
        <v>69</v>
      </c>
      <c r="C1454" s="147" t="s">
        <v>46</v>
      </c>
      <c r="D1454" s="148" t="s">
        <v>50</v>
      </c>
      <c r="E1454" s="148" t="s">
        <v>30</v>
      </c>
      <c r="F1454" s="149">
        <v>2025</v>
      </c>
      <c r="G1454" s="148" t="s">
        <v>31</v>
      </c>
      <c r="H1454" s="148"/>
      <c r="I1454" s="148"/>
      <c r="J1454" s="148"/>
      <c r="K1454" s="148"/>
      <c r="L1454" s="152"/>
      <c r="M1454" s="152">
        <f t="shared" si="22"/>
        <v>0</v>
      </c>
      <c r="N1454" s="148"/>
      <c r="O1454" s="148"/>
      <c r="P1454" s="148"/>
      <c r="Q1454" s="148"/>
      <c r="R1454" s="148"/>
      <c r="S1454" s="148"/>
      <c r="T1454" s="148"/>
      <c r="U1454" s="148"/>
      <c r="V1454" s="148"/>
      <c r="W1454" s="148"/>
      <c r="X1454" s="148"/>
      <c r="Y1454" s="148"/>
      <c r="Z1454" s="148"/>
      <c r="AA1454" s="148"/>
    </row>
    <row r="1455" spans="1:27">
      <c r="A1455" s="147">
        <v>2894</v>
      </c>
      <c r="B1455" s="147" t="s">
        <v>69</v>
      </c>
      <c r="C1455" s="147" t="s">
        <v>46</v>
      </c>
      <c r="D1455" s="148" t="s">
        <v>50</v>
      </c>
      <c r="E1455" s="148" t="s">
        <v>30</v>
      </c>
      <c r="F1455" s="149">
        <v>2025</v>
      </c>
      <c r="G1455" s="148" t="s">
        <v>33</v>
      </c>
      <c r="H1455" s="148"/>
      <c r="I1455" s="148"/>
      <c r="J1455" s="148"/>
      <c r="K1455" s="148"/>
      <c r="L1455" s="152"/>
      <c r="M1455" s="152">
        <f t="shared" si="22"/>
        <v>0</v>
      </c>
      <c r="N1455" s="148"/>
      <c r="O1455" s="148"/>
      <c r="P1455" s="148"/>
      <c r="Q1455" s="148"/>
      <c r="R1455" s="148"/>
      <c r="S1455" s="148"/>
      <c r="T1455" s="148"/>
      <c r="U1455" s="148"/>
      <c r="V1455" s="148"/>
      <c r="W1455" s="148"/>
      <c r="X1455" s="148"/>
      <c r="Y1455" s="148"/>
      <c r="Z1455" s="148"/>
      <c r="AA1455" s="148"/>
    </row>
    <row r="1456" spans="1:27">
      <c r="A1456" s="147">
        <v>2895</v>
      </c>
      <c r="B1456" s="147" t="s">
        <v>69</v>
      </c>
      <c r="C1456" s="147" t="s">
        <v>46</v>
      </c>
      <c r="D1456" s="148" t="s">
        <v>50</v>
      </c>
      <c r="E1456" s="148" t="s">
        <v>30</v>
      </c>
      <c r="F1456" s="149">
        <v>2025</v>
      </c>
      <c r="G1456" s="148" t="s">
        <v>34</v>
      </c>
      <c r="H1456" s="148"/>
      <c r="I1456" s="148"/>
      <c r="J1456" s="148"/>
      <c r="K1456" s="148"/>
      <c r="L1456" s="152"/>
      <c r="M1456" s="152">
        <f t="shared" si="22"/>
        <v>0</v>
      </c>
      <c r="N1456" s="148"/>
      <c r="O1456" s="148"/>
      <c r="P1456" s="148"/>
      <c r="Q1456" s="148"/>
      <c r="R1456" s="148"/>
      <c r="S1456" s="148"/>
      <c r="T1456" s="148"/>
      <c r="U1456" s="148"/>
      <c r="V1456" s="148"/>
      <c r="W1456" s="148"/>
      <c r="X1456" s="148"/>
      <c r="Y1456" s="148"/>
      <c r="Z1456" s="148"/>
      <c r="AA1456" s="148"/>
    </row>
    <row r="1457" spans="1:27">
      <c r="A1457" s="147">
        <v>2896</v>
      </c>
      <c r="B1457" s="147" t="s">
        <v>69</v>
      </c>
      <c r="C1457" s="147" t="s">
        <v>46</v>
      </c>
      <c r="D1457" s="148" t="s">
        <v>50</v>
      </c>
      <c r="E1457" s="148" t="s">
        <v>30</v>
      </c>
      <c r="F1457" s="149">
        <v>2025</v>
      </c>
      <c r="G1457" s="148" t="s">
        <v>35</v>
      </c>
      <c r="H1457" s="148"/>
      <c r="I1457" s="148"/>
      <c r="J1457" s="148"/>
      <c r="K1457" s="148"/>
      <c r="L1457" s="152"/>
      <c r="M1457" s="152">
        <f t="shared" si="22"/>
        <v>0</v>
      </c>
      <c r="N1457" s="148"/>
      <c r="O1457" s="148"/>
      <c r="P1457" s="148"/>
      <c r="Q1457" s="148"/>
      <c r="R1457" s="148"/>
      <c r="S1457" s="148"/>
      <c r="T1457" s="148"/>
      <c r="U1457" s="148"/>
      <c r="V1457" s="148"/>
      <c r="W1457" s="148"/>
      <c r="X1457" s="148"/>
      <c r="Y1457" s="148"/>
      <c r="Z1457" s="148"/>
      <c r="AA1457" s="148"/>
    </row>
    <row r="1458" spans="1:27">
      <c r="A1458" s="147">
        <v>2897</v>
      </c>
      <c r="B1458" s="147" t="s">
        <v>69</v>
      </c>
      <c r="C1458" s="147" t="s">
        <v>46</v>
      </c>
      <c r="D1458" s="148" t="s">
        <v>50</v>
      </c>
      <c r="E1458" s="148" t="s">
        <v>30</v>
      </c>
      <c r="F1458" s="149">
        <v>2025</v>
      </c>
      <c r="G1458" s="148" t="s">
        <v>36</v>
      </c>
      <c r="H1458" s="148"/>
      <c r="I1458" s="148"/>
      <c r="J1458" s="148"/>
      <c r="K1458" s="148"/>
      <c r="L1458" s="152"/>
      <c r="M1458" s="152">
        <f t="shared" si="22"/>
        <v>0</v>
      </c>
      <c r="N1458" s="148"/>
      <c r="O1458" s="148"/>
      <c r="P1458" s="148"/>
      <c r="Q1458" s="148"/>
      <c r="R1458" s="148"/>
      <c r="S1458" s="148"/>
      <c r="T1458" s="148"/>
      <c r="U1458" s="148"/>
      <c r="V1458" s="148"/>
      <c r="W1458" s="148"/>
      <c r="X1458" s="148"/>
      <c r="Y1458" s="148"/>
      <c r="Z1458" s="148"/>
      <c r="AA1458" s="148"/>
    </row>
    <row r="1459" spans="1:27">
      <c r="A1459" s="147">
        <v>2898</v>
      </c>
      <c r="B1459" s="147" t="s">
        <v>69</v>
      </c>
      <c r="C1459" s="147" t="s">
        <v>46</v>
      </c>
      <c r="D1459" s="148" t="s">
        <v>50</v>
      </c>
      <c r="E1459" s="148" t="s">
        <v>30</v>
      </c>
      <c r="F1459" s="149">
        <v>2025</v>
      </c>
      <c r="G1459" s="148" t="s">
        <v>37</v>
      </c>
      <c r="H1459" s="148"/>
      <c r="I1459" s="150">
        <v>41809</v>
      </c>
      <c r="J1459" s="148"/>
      <c r="K1459" s="148"/>
      <c r="L1459" s="152"/>
      <c r="M1459" s="152">
        <f t="shared" si="22"/>
        <v>0</v>
      </c>
      <c r="N1459" s="148"/>
      <c r="O1459" s="148"/>
      <c r="P1459" s="148"/>
      <c r="Q1459" s="148"/>
      <c r="R1459" s="148"/>
      <c r="S1459" s="148"/>
      <c r="T1459" s="148"/>
      <c r="U1459" s="148"/>
      <c r="V1459" s="148"/>
      <c r="W1459" s="148"/>
      <c r="X1459" s="148"/>
      <c r="Y1459" s="148"/>
      <c r="Z1459" s="148"/>
      <c r="AA1459" s="148"/>
    </row>
    <row r="1460" spans="1:27">
      <c r="A1460" s="147">
        <v>2899</v>
      </c>
      <c r="B1460" s="147" t="s">
        <v>69</v>
      </c>
      <c r="C1460" s="147" t="s">
        <v>46</v>
      </c>
      <c r="D1460" s="148" t="s">
        <v>50</v>
      </c>
      <c r="E1460" s="148" t="s">
        <v>30</v>
      </c>
      <c r="F1460" s="149">
        <v>2025</v>
      </c>
      <c r="G1460" s="148" t="s">
        <v>38</v>
      </c>
      <c r="H1460" s="148"/>
      <c r="I1460" s="150">
        <v>41802</v>
      </c>
      <c r="J1460" s="150">
        <v>41802</v>
      </c>
      <c r="K1460" s="148"/>
      <c r="L1460" s="152"/>
      <c r="M1460" s="152">
        <f t="shared" si="22"/>
        <v>0</v>
      </c>
      <c r="N1460" s="148"/>
      <c r="O1460" s="148"/>
      <c r="P1460" s="148"/>
      <c r="Q1460" s="148"/>
      <c r="R1460" s="148"/>
      <c r="S1460" s="148"/>
      <c r="T1460" s="148"/>
      <c r="U1460" s="148"/>
      <c r="V1460" s="148"/>
      <c r="W1460" s="148"/>
      <c r="X1460" s="148"/>
      <c r="Y1460" s="148"/>
      <c r="Z1460" s="148"/>
      <c r="AA1460" s="148"/>
    </row>
    <row r="1461" spans="1:27">
      <c r="A1461" s="147">
        <v>2900</v>
      </c>
      <c r="B1461" s="147" t="s">
        <v>69</v>
      </c>
      <c r="C1461" s="147" t="s">
        <v>46</v>
      </c>
      <c r="D1461" s="148" t="s">
        <v>50</v>
      </c>
      <c r="E1461" s="148" t="s">
        <v>30</v>
      </c>
      <c r="F1461" s="149">
        <v>2025</v>
      </c>
      <c r="G1461" s="148" t="s">
        <v>39</v>
      </c>
      <c r="H1461" s="148"/>
      <c r="I1461" s="150">
        <v>41820</v>
      </c>
      <c r="J1461" s="150">
        <v>41820</v>
      </c>
      <c r="K1461" s="148"/>
      <c r="L1461" s="152"/>
      <c r="M1461" s="152">
        <f t="shared" si="22"/>
        <v>0</v>
      </c>
      <c r="N1461" s="148"/>
      <c r="O1461" s="148"/>
      <c r="P1461" s="148"/>
      <c r="Q1461" s="148"/>
      <c r="R1461" s="148"/>
      <c r="S1461" s="148"/>
      <c r="T1461" s="148"/>
      <c r="U1461" s="148"/>
      <c r="V1461" s="148"/>
      <c r="W1461" s="148"/>
      <c r="X1461" s="148"/>
      <c r="Y1461" s="148"/>
      <c r="Z1461" s="148"/>
      <c r="AA1461" s="148"/>
    </row>
    <row r="1462" spans="1:27">
      <c r="A1462" s="147">
        <v>2901</v>
      </c>
      <c r="B1462" s="147" t="s">
        <v>69</v>
      </c>
      <c r="C1462" s="147" t="s">
        <v>46</v>
      </c>
      <c r="D1462" s="148" t="s">
        <v>50</v>
      </c>
      <c r="E1462" s="148" t="s">
        <v>30</v>
      </c>
      <c r="F1462" s="149">
        <v>2025</v>
      </c>
      <c r="G1462" s="148" t="s">
        <v>40</v>
      </c>
      <c r="H1462" s="148"/>
      <c r="I1462" s="150">
        <v>41719</v>
      </c>
      <c r="J1462" s="149">
        <v>328</v>
      </c>
      <c r="K1462" s="148"/>
      <c r="L1462" s="152"/>
      <c r="M1462" s="152">
        <f t="shared" si="22"/>
        <v>0</v>
      </c>
      <c r="N1462" s="148"/>
      <c r="O1462" s="148"/>
      <c r="P1462" s="148"/>
      <c r="Q1462" s="148"/>
      <c r="R1462" s="148"/>
      <c r="S1462" s="148"/>
      <c r="T1462" s="148"/>
      <c r="U1462" s="148"/>
      <c r="V1462" s="148"/>
      <c r="W1462" s="148"/>
      <c r="X1462" s="148"/>
      <c r="Y1462" s="148"/>
      <c r="Z1462" s="148"/>
      <c r="AA1462" s="148"/>
    </row>
    <row r="1463" spans="1:27">
      <c r="A1463" s="147">
        <v>2902</v>
      </c>
      <c r="B1463" s="147" t="s">
        <v>69</v>
      </c>
      <c r="C1463" s="147" t="s">
        <v>46</v>
      </c>
      <c r="D1463" s="148" t="s">
        <v>50</v>
      </c>
      <c r="E1463" s="148" t="s">
        <v>30</v>
      </c>
      <c r="F1463" s="149">
        <v>2025</v>
      </c>
      <c r="G1463" s="148" t="s">
        <v>41</v>
      </c>
      <c r="H1463" s="148"/>
      <c r="I1463" s="150">
        <v>41391</v>
      </c>
      <c r="J1463" s="150">
        <v>1665</v>
      </c>
      <c r="K1463" s="148"/>
      <c r="L1463" s="152"/>
      <c r="M1463" s="152">
        <f t="shared" si="22"/>
        <v>0</v>
      </c>
      <c r="N1463" s="148"/>
      <c r="O1463" s="148"/>
      <c r="P1463" s="148"/>
      <c r="Q1463" s="148"/>
      <c r="R1463" s="148"/>
      <c r="S1463" s="148"/>
      <c r="T1463" s="148"/>
      <c r="U1463" s="148"/>
      <c r="V1463" s="148"/>
      <c r="W1463" s="148"/>
      <c r="X1463" s="148"/>
      <c r="Y1463" s="148"/>
      <c r="Z1463" s="148"/>
      <c r="AA1463" s="148"/>
    </row>
    <row r="1464" spans="1:27">
      <c r="A1464" s="147">
        <v>2903</v>
      </c>
      <c r="B1464" s="147" t="s">
        <v>69</v>
      </c>
      <c r="C1464" s="147" t="s">
        <v>46</v>
      </c>
      <c r="D1464" s="148" t="s">
        <v>50</v>
      </c>
      <c r="E1464" s="148" t="s">
        <v>30</v>
      </c>
      <c r="F1464" s="149">
        <v>2025</v>
      </c>
      <c r="G1464" s="148" t="s">
        <v>42</v>
      </c>
      <c r="H1464" s="148"/>
      <c r="I1464" s="150">
        <v>39726</v>
      </c>
      <c r="J1464" s="150">
        <v>39726</v>
      </c>
      <c r="K1464" s="148"/>
      <c r="L1464" s="152"/>
      <c r="M1464" s="152">
        <f t="shared" si="22"/>
        <v>0</v>
      </c>
      <c r="N1464" s="148"/>
      <c r="O1464" s="148"/>
      <c r="P1464" s="148"/>
      <c r="Q1464" s="148"/>
      <c r="R1464" s="148"/>
      <c r="S1464" s="148"/>
      <c r="T1464" s="148"/>
      <c r="U1464" s="148"/>
      <c r="V1464" s="148"/>
      <c r="W1464" s="148"/>
      <c r="X1464" s="148"/>
      <c r="Y1464" s="148"/>
      <c r="Z1464" s="148"/>
      <c r="AA1464" s="148"/>
    </row>
    <row r="1465" spans="1:27">
      <c r="A1465" s="147">
        <v>2904</v>
      </c>
      <c r="B1465" s="147" t="s">
        <v>69</v>
      </c>
      <c r="C1465" s="147" t="s">
        <v>46</v>
      </c>
      <c r="D1465" s="148" t="s">
        <v>50</v>
      </c>
      <c r="E1465" s="148" t="s">
        <v>30</v>
      </c>
      <c r="F1465" s="149">
        <v>2025</v>
      </c>
      <c r="G1465" s="148" t="s">
        <v>43</v>
      </c>
      <c r="H1465" s="148"/>
      <c r="I1465" s="150">
        <v>39637</v>
      </c>
      <c r="J1465" s="150">
        <v>-2183</v>
      </c>
      <c r="K1465" s="148"/>
      <c r="L1465" s="152"/>
      <c r="M1465" s="152">
        <f t="shared" si="22"/>
        <v>0</v>
      </c>
      <c r="N1465" s="148"/>
      <c r="O1465" s="148"/>
      <c r="P1465" s="148"/>
      <c r="Q1465" s="148"/>
      <c r="R1465" s="148"/>
      <c r="S1465" s="148"/>
      <c r="T1465" s="148"/>
      <c r="U1465" s="148"/>
      <c r="V1465" s="148"/>
      <c r="W1465" s="148"/>
      <c r="X1465" s="148"/>
      <c r="Y1465" s="148"/>
      <c r="Z1465" s="148"/>
      <c r="AA1465" s="148"/>
    </row>
    <row r="1466" spans="1:27">
      <c r="A1466" s="147">
        <v>2905</v>
      </c>
      <c r="B1466" s="147" t="s">
        <v>69</v>
      </c>
      <c r="C1466" s="147" t="s">
        <v>46</v>
      </c>
      <c r="D1466" s="148" t="s">
        <v>50</v>
      </c>
      <c r="E1466" s="148" t="s">
        <v>30</v>
      </c>
      <c r="F1466" s="149">
        <v>2026</v>
      </c>
      <c r="G1466" s="148" t="s">
        <v>31</v>
      </c>
      <c r="H1466" s="148"/>
      <c r="I1466" s="150">
        <v>39556</v>
      </c>
      <c r="J1466" s="149">
        <v>-7</v>
      </c>
      <c r="K1466" s="148"/>
      <c r="L1466" s="152"/>
      <c r="M1466" s="152">
        <f t="shared" si="22"/>
        <v>0</v>
      </c>
      <c r="N1466" s="148"/>
      <c r="O1466" s="148"/>
      <c r="P1466" s="148"/>
      <c r="Q1466" s="148"/>
      <c r="R1466" s="148"/>
      <c r="S1466" s="148"/>
      <c r="T1466" s="148"/>
      <c r="U1466" s="148"/>
      <c r="V1466" s="148"/>
      <c r="W1466" s="148"/>
      <c r="X1466" s="148"/>
      <c r="Y1466" s="148"/>
      <c r="Z1466" s="148"/>
      <c r="AA1466" s="148"/>
    </row>
    <row r="1467" spans="1:27">
      <c r="A1467" s="147">
        <v>2906</v>
      </c>
      <c r="B1467" s="147" t="s">
        <v>69</v>
      </c>
      <c r="C1467" s="147" t="s">
        <v>46</v>
      </c>
      <c r="D1467" s="148" t="s">
        <v>50</v>
      </c>
      <c r="E1467" s="148" t="s">
        <v>30</v>
      </c>
      <c r="F1467" s="149">
        <v>2026</v>
      </c>
      <c r="G1467" s="148" t="s">
        <v>33</v>
      </c>
      <c r="H1467" s="148"/>
      <c r="I1467" s="150">
        <v>39563</v>
      </c>
      <c r="J1467" s="150">
        <v>39563</v>
      </c>
      <c r="K1467" s="148"/>
      <c r="L1467" s="152"/>
      <c r="M1467" s="152">
        <f t="shared" si="22"/>
        <v>0</v>
      </c>
      <c r="N1467" s="148"/>
      <c r="O1467" s="148"/>
      <c r="P1467" s="148"/>
      <c r="Q1467" s="148"/>
      <c r="R1467" s="148"/>
      <c r="S1467" s="148"/>
      <c r="T1467" s="148"/>
      <c r="U1467" s="148"/>
      <c r="V1467" s="148"/>
      <c r="W1467" s="148"/>
      <c r="X1467" s="148"/>
      <c r="Y1467" s="148"/>
      <c r="Z1467" s="148"/>
      <c r="AA1467" s="148"/>
    </row>
    <row r="1468" spans="1:27">
      <c r="A1468" s="147">
        <v>2907</v>
      </c>
      <c r="B1468" s="147" t="s">
        <v>69</v>
      </c>
      <c r="C1468" s="147" t="s">
        <v>46</v>
      </c>
      <c r="D1468" s="148" t="s">
        <v>50</v>
      </c>
      <c r="E1468" s="148" t="s">
        <v>30</v>
      </c>
      <c r="F1468" s="149">
        <v>2026</v>
      </c>
      <c r="G1468" s="148" t="s">
        <v>34</v>
      </c>
      <c r="H1468" s="148"/>
      <c r="I1468" s="150">
        <v>39548</v>
      </c>
      <c r="J1468" s="149">
        <v>59</v>
      </c>
      <c r="K1468" s="148"/>
      <c r="L1468" s="152"/>
      <c r="M1468" s="152">
        <f t="shared" si="22"/>
        <v>0</v>
      </c>
      <c r="N1468" s="148"/>
      <c r="O1468" s="148"/>
      <c r="P1468" s="148"/>
      <c r="Q1468" s="148"/>
      <c r="R1468" s="148"/>
      <c r="S1468" s="148"/>
      <c r="T1468" s="148"/>
      <c r="U1468" s="148"/>
      <c r="V1468" s="148"/>
      <c r="W1468" s="148"/>
      <c r="X1468" s="148"/>
      <c r="Y1468" s="148"/>
      <c r="Z1468" s="148"/>
      <c r="AA1468" s="148"/>
    </row>
    <row r="1469" spans="1:27">
      <c r="A1469" s="147">
        <v>2908</v>
      </c>
      <c r="B1469" s="147" t="s">
        <v>69</v>
      </c>
      <c r="C1469" s="147" t="s">
        <v>46</v>
      </c>
      <c r="D1469" s="148" t="s">
        <v>50</v>
      </c>
      <c r="E1469" s="148" t="s">
        <v>30</v>
      </c>
      <c r="F1469" s="149">
        <v>2026</v>
      </c>
      <c r="G1469" s="148" t="s">
        <v>35</v>
      </c>
      <c r="H1469" s="148"/>
      <c r="I1469" s="150">
        <v>39550</v>
      </c>
      <c r="J1469" s="150">
        <v>-2169</v>
      </c>
      <c r="K1469" s="148"/>
      <c r="L1469" s="152"/>
      <c r="M1469" s="152">
        <f t="shared" si="22"/>
        <v>0</v>
      </c>
      <c r="N1469" s="148"/>
      <c r="O1469" s="148"/>
      <c r="P1469" s="148"/>
      <c r="Q1469" s="148"/>
      <c r="R1469" s="148"/>
      <c r="S1469" s="148"/>
      <c r="T1469" s="148"/>
      <c r="U1469" s="148"/>
      <c r="V1469" s="148"/>
      <c r="W1469" s="148"/>
      <c r="X1469" s="148"/>
      <c r="Y1469" s="148"/>
      <c r="Z1469" s="148"/>
      <c r="AA1469" s="148"/>
    </row>
    <row r="1470" spans="1:27">
      <c r="A1470" s="147">
        <v>2909</v>
      </c>
      <c r="B1470" s="147" t="s">
        <v>69</v>
      </c>
      <c r="C1470" s="147" t="s">
        <v>46</v>
      </c>
      <c r="D1470" s="148" t="s">
        <v>50</v>
      </c>
      <c r="E1470" s="148" t="s">
        <v>30</v>
      </c>
      <c r="F1470" s="149">
        <v>2026</v>
      </c>
      <c r="G1470" s="148" t="s">
        <v>36</v>
      </c>
      <c r="H1470" s="148"/>
      <c r="I1470" s="150">
        <v>39525</v>
      </c>
      <c r="J1470" s="149">
        <v>-23</v>
      </c>
      <c r="K1470" s="148"/>
      <c r="L1470" s="152"/>
      <c r="M1470" s="152">
        <f t="shared" si="22"/>
        <v>0</v>
      </c>
      <c r="N1470" s="148"/>
      <c r="O1470" s="148"/>
      <c r="P1470" s="148"/>
      <c r="Q1470" s="148"/>
      <c r="R1470" s="148"/>
      <c r="S1470" s="148"/>
      <c r="T1470" s="148"/>
      <c r="U1470" s="148"/>
      <c r="V1470" s="148"/>
      <c r="W1470" s="148"/>
      <c r="X1470" s="148"/>
      <c r="Y1470" s="148"/>
      <c r="Z1470" s="148"/>
      <c r="AA1470" s="148"/>
    </row>
    <row r="1471" spans="1:27">
      <c r="A1471" s="147">
        <v>2910</v>
      </c>
      <c r="B1471" s="147" t="s">
        <v>69</v>
      </c>
      <c r="C1471" s="147" t="s">
        <v>46</v>
      </c>
      <c r="D1471" s="148" t="s">
        <v>50</v>
      </c>
      <c r="E1471" s="148" t="s">
        <v>30</v>
      </c>
      <c r="F1471" s="149">
        <v>2026</v>
      </c>
      <c r="G1471" s="148" t="s">
        <v>37</v>
      </c>
      <c r="H1471" s="148"/>
      <c r="I1471" s="150">
        <v>39489</v>
      </c>
      <c r="J1471" s="150">
        <v>39489</v>
      </c>
      <c r="K1471" s="148"/>
      <c r="L1471" s="152"/>
      <c r="M1471" s="152">
        <f t="shared" si="22"/>
        <v>0</v>
      </c>
      <c r="N1471" s="148"/>
      <c r="O1471" s="148"/>
      <c r="P1471" s="148"/>
      <c r="Q1471" s="148"/>
      <c r="R1471" s="148"/>
      <c r="S1471" s="148"/>
      <c r="T1471" s="148"/>
      <c r="U1471" s="148"/>
      <c r="V1471" s="148"/>
      <c r="W1471" s="148"/>
      <c r="X1471" s="148"/>
      <c r="Y1471" s="148"/>
      <c r="Z1471" s="148"/>
      <c r="AA1471" s="148"/>
    </row>
    <row r="1472" spans="1:27">
      <c r="A1472" s="147">
        <v>2911</v>
      </c>
      <c r="B1472" s="147" t="s">
        <v>69</v>
      </c>
      <c r="C1472" s="147" t="s">
        <v>46</v>
      </c>
      <c r="D1472" s="148" t="s">
        <v>50</v>
      </c>
      <c r="E1472" s="148" t="s">
        <v>30</v>
      </c>
      <c r="F1472" s="149">
        <v>2026</v>
      </c>
      <c r="G1472" s="148" t="s">
        <v>38</v>
      </c>
      <c r="H1472" s="148"/>
      <c r="I1472" s="150">
        <v>39464</v>
      </c>
      <c r="J1472" s="149">
        <v>-25</v>
      </c>
      <c r="K1472" s="148"/>
      <c r="L1472" s="152"/>
      <c r="M1472" s="152">
        <f t="shared" si="22"/>
        <v>0</v>
      </c>
      <c r="N1472" s="148"/>
      <c r="O1472" s="148"/>
      <c r="P1472" s="148"/>
      <c r="Q1472" s="148"/>
      <c r="R1472" s="148"/>
      <c r="S1472" s="148"/>
      <c r="T1472" s="148"/>
      <c r="U1472" s="148"/>
      <c r="V1472" s="148"/>
      <c r="W1472" s="148"/>
      <c r="X1472" s="148"/>
      <c r="Y1472" s="148"/>
      <c r="Z1472" s="148"/>
      <c r="AA1472" s="148"/>
    </row>
    <row r="1473" spans="1:27">
      <c r="A1473" s="147">
        <v>2912</v>
      </c>
      <c r="B1473" s="147" t="s">
        <v>69</v>
      </c>
      <c r="C1473" s="147" t="s">
        <v>46</v>
      </c>
      <c r="D1473" s="148" t="s">
        <v>50</v>
      </c>
      <c r="E1473" s="148" t="s">
        <v>30</v>
      </c>
      <c r="F1473" s="149">
        <v>2026</v>
      </c>
      <c r="G1473" s="148" t="s">
        <v>39</v>
      </c>
      <c r="H1473" s="148"/>
      <c r="I1473" s="148"/>
      <c r="J1473" s="148"/>
      <c r="K1473" s="148"/>
      <c r="L1473" s="152"/>
      <c r="M1473" s="152">
        <f t="shared" si="22"/>
        <v>0</v>
      </c>
      <c r="N1473" s="148"/>
      <c r="O1473" s="148"/>
      <c r="P1473" s="148"/>
      <c r="Q1473" s="148"/>
      <c r="R1473" s="148"/>
      <c r="S1473" s="148"/>
      <c r="T1473" s="148"/>
      <c r="U1473" s="148"/>
      <c r="V1473" s="148"/>
      <c r="W1473" s="148"/>
      <c r="X1473" s="148"/>
      <c r="Y1473" s="148"/>
      <c r="Z1473" s="148"/>
      <c r="AA1473" s="148"/>
    </row>
    <row r="1474" spans="1:27">
      <c r="A1474" s="147">
        <v>2913</v>
      </c>
      <c r="B1474" s="147" t="s">
        <v>69</v>
      </c>
      <c r="C1474" s="147" t="s">
        <v>46</v>
      </c>
      <c r="D1474" s="148" t="s">
        <v>50</v>
      </c>
      <c r="E1474" s="148" t="s">
        <v>30</v>
      </c>
      <c r="F1474" s="149">
        <v>2026</v>
      </c>
      <c r="G1474" s="148" t="s">
        <v>40</v>
      </c>
      <c r="H1474" s="148"/>
      <c r="I1474" s="148"/>
      <c r="J1474" s="148"/>
      <c r="K1474" s="148"/>
      <c r="L1474" s="152"/>
      <c r="M1474" s="152">
        <f t="shared" ref="M1474:M1537" si="23">L1474*17000</f>
        <v>0</v>
      </c>
      <c r="N1474" s="148"/>
      <c r="O1474" s="148"/>
      <c r="P1474" s="148"/>
      <c r="Q1474" s="148"/>
      <c r="R1474" s="148"/>
      <c r="S1474" s="148"/>
      <c r="T1474" s="148"/>
      <c r="U1474" s="148"/>
      <c r="V1474" s="148"/>
      <c r="W1474" s="148"/>
      <c r="X1474" s="148"/>
      <c r="Y1474" s="148"/>
      <c r="Z1474" s="148"/>
      <c r="AA1474" s="148"/>
    </row>
    <row r="1475" spans="1:27">
      <c r="A1475" s="147">
        <v>2914</v>
      </c>
      <c r="B1475" s="147" t="s">
        <v>69</v>
      </c>
      <c r="C1475" s="147" t="s">
        <v>46</v>
      </c>
      <c r="D1475" s="148" t="s">
        <v>50</v>
      </c>
      <c r="E1475" s="148" t="s">
        <v>30</v>
      </c>
      <c r="F1475" s="149">
        <v>2026</v>
      </c>
      <c r="G1475" s="148" t="s">
        <v>41</v>
      </c>
      <c r="H1475" s="148"/>
      <c r="I1475" s="148"/>
      <c r="J1475" s="148"/>
      <c r="K1475" s="148"/>
      <c r="L1475" s="152"/>
      <c r="M1475" s="152">
        <f t="shared" si="23"/>
        <v>0</v>
      </c>
      <c r="N1475" s="148"/>
      <c r="O1475" s="148"/>
      <c r="P1475" s="148"/>
      <c r="Q1475" s="148"/>
      <c r="R1475" s="148"/>
      <c r="S1475" s="148"/>
      <c r="T1475" s="148"/>
      <c r="U1475" s="148"/>
      <c r="V1475" s="148"/>
      <c r="W1475" s="148"/>
      <c r="X1475" s="148"/>
      <c r="Y1475" s="148"/>
      <c r="Z1475" s="148"/>
      <c r="AA1475" s="148"/>
    </row>
    <row r="1476" spans="1:27">
      <c r="A1476" s="147">
        <v>2915</v>
      </c>
      <c r="B1476" s="147" t="s">
        <v>69</v>
      </c>
      <c r="C1476" s="147" t="s">
        <v>46</v>
      </c>
      <c r="D1476" s="148" t="s">
        <v>50</v>
      </c>
      <c r="E1476" s="148" t="s">
        <v>30</v>
      </c>
      <c r="F1476" s="149">
        <v>2026</v>
      </c>
      <c r="G1476" s="148" t="s">
        <v>42</v>
      </c>
      <c r="H1476" s="148"/>
      <c r="I1476" s="148"/>
      <c r="J1476" s="148"/>
      <c r="K1476" s="148"/>
      <c r="L1476" s="152"/>
      <c r="M1476" s="152">
        <f t="shared" si="23"/>
        <v>0</v>
      </c>
      <c r="N1476" s="148"/>
      <c r="O1476" s="148"/>
      <c r="P1476" s="148"/>
      <c r="Q1476" s="148"/>
      <c r="R1476" s="148"/>
      <c r="S1476" s="148"/>
      <c r="T1476" s="148"/>
      <c r="U1476" s="148"/>
      <c r="V1476" s="148"/>
      <c r="W1476" s="148"/>
      <c r="X1476" s="148"/>
      <c r="Y1476" s="148"/>
      <c r="Z1476" s="148"/>
      <c r="AA1476" s="148"/>
    </row>
    <row r="1477" spans="1:27">
      <c r="A1477" s="147">
        <v>2916</v>
      </c>
      <c r="B1477" s="147" t="s">
        <v>69</v>
      </c>
      <c r="C1477" s="147" t="s">
        <v>46</v>
      </c>
      <c r="D1477" s="148" t="s">
        <v>50</v>
      </c>
      <c r="E1477" s="148" t="s">
        <v>30</v>
      </c>
      <c r="F1477" s="149">
        <v>2026</v>
      </c>
      <c r="G1477" s="148" t="s">
        <v>43</v>
      </c>
      <c r="H1477" s="148"/>
      <c r="I1477" s="148"/>
      <c r="J1477" s="148"/>
      <c r="K1477" s="148"/>
      <c r="L1477" s="152"/>
      <c r="M1477" s="152">
        <f t="shared" si="23"/>
        <v>0</v>
      </c>
      <c r="N1477" s="148"/>
      <c r="O1477" s="148"/>
      <c r="P1477" s="148"/>
      <c r="Q1477" s="148"/>
      <c r="R1477" s="148"/>
      <c r="S1477" s="148"/>
      <c r="T1477" s="148"/>
      <c r="U1477" s="148"/>
      <c r="V1477" s="148"/>
      <c r="W1477" s="148"/>
      <c r="X1477" s="148"/>
      <c r="Y1477" s="148"/>
      <c r="Z1477" s="148"/>
      <c r="AA1477" s="148"/>
    </row>
    <row r="1478" spans="1:27">
      <c r="A1478" s="147">
        <v>2929</v>
      </c>
      <c r="B1478" s="147" t="s">
        <v>69</v>
      </c>
      <c r="C1478" s="147" t="s">
        <v>46</v>
      </c>
      <c r="D1478" s="148" t="s">
        <v>51</v>
      </c>
      <c r="E1478" s="148" t="s">
        <v>30</v>
      </c>
      <c r="F1478" s="149">
        <v>2024</v>
      </c>
      <c r="G1478" s="148" t="s">
        <v>31</v>
      </c>
      <c r="H1478" s="148" t="s">
        <v>48</v>
      </c>
      <c r="I1478" s="150">
        <v>418540</v>
      </c>
      <c r="J1478" s="149">
        <v>482</v>
      </c>
      <c r="K1478" s="148" t="s">
        <v>48</v>
      </c>
      <c r="L1478" s="152"/>
      <c r="M1478" s="152">
        <f t="shared" si="23"/>
        <v>0</v>
      </c>
      <c r="N1478" s="148" t="s">
        <v>48</v>
      </c>
      <c r="O1478" s="148"/>
      <c r="P1478" s="148"/>
      <c r="Q1478" s="148"/>
      <c r="R1478" s="148"/>
      <c r="S1478" s="148"/>
      <c r="T1478" s="148"/>
      <c r="U1478" s="148"/>
      <c r="V1478" s="148"/>
      <c r="W1478" s="148"/>
      <c r="X1478" s="148"/>
      <c r="Y1478" s="148"/>
      <c r="Z1478" s="148"/>
      <c r="AA1478" s="148"/>
    </row>
    <row r="1479" spans="1:27">
      <c r="A1479" s="147">
        <v>2930</v>
      </c>
      <c r="B1479" s="147" t="s">
        <v>69</v>
      </c>
      <c r="C1479" s="147" t="s">
        <v>46</v>
      </c>
      <c r="D1479" s="148" t="s">
        <v>51</v>
      </c>
      <c r="E1479" s="148" t="s">
        <v>30</v>
      </c>
      <c r="F1479" s="149">
        <v>2024</v>
      </c>
      <c r="G1479" s="148" t="s">
        <v>33</v>
      </c>
      <c r="H1479" s="148" t="s">
        <v>48</v>
      </c>
      <c r="I1479" s="150">
        <v>419062</v>
      </c>
      <c r="J1479" s="149">
        <v>522</v>
      </c>
      <c r="K1479" s="148" t="s">
        <v>48</v>
      </c>
      <c r="L1479" s="152"/>
      <c r="M1479" s="152">
        <f t="shared" si="23"/>
        <v>0</v>
      </c>
      <c r="N1479" s="148" t="s">
        <v>48</v>
      </c>
      <c r="O1479" s="148"/>
      <c r="P1479" s="148"/>
      <c r="Q1479" s="148"/>
      <c r="R1479" s="148"/>
      <c r="S1479" s="148"/>
      <c r="T1479" s="148"/>
      <c r="U1479" s="148"/>
      <c r="V1479" s="148"/>
      <c r="W1479" s="148"/>
      <c r="X1479" s="148"/>
      <c r="Y1479" s="148"/>
      <c r="Z1479" s="148"/>
      <c r="AA1479" s="148"/>
    </row>
    <row r="1480" spans="1:27">
      <c r="A1480" s="147">
        <v>2931</v>
      </c>
      <c r="B1480" s="147" t="s">
        <v>69</v>
      </c>
      <c r="C1480" s="147" t="s">
        <v>46</v>
      </c>
      <c r="D1480" s="148" t="s">
        <v>51</v>
      </c>
      <c r="E1480" s="148" t="s">
        <v>30</v>
      </c>
      <c r="F1480" s="149">
        <v>2024</v>
      </c>
      <c r="G1480" s="148" t="s">
        <v>34</v>
      </c>
      <c r="H1480" s="148" t="s">
        <v>48</v>
      </c>
      <c r="I1480" s="150">
        <v>419092</v>
      </c>
      <c r="J1480" s="149">
        <v>30</v>
      </c>
      <c r="K1480" s="148" t="s">
        <v>48</v>
      </c>
      <c r="L1480" s="152"/>
      <c r="M1480" s="152">
        <f t="shared" si="23"/>
        <v>0</v>
      </c>
      <c r="N1480" s="148" t="s">
        <v>48</v>
      </c>
      <c r="O1480" s="148"/>
      <c r="P1480" s="148"/>
      <c r="Q1480" s="148"/>
      <c r="R1480" s="148"/>
      <c r="S1480" s="148"/>
      <c r="T1480" s="148"/>
      <c r="U1480" s="148"/>
      <c r="V1480" s="148"/>
      <c r="W1480" s="148"/>
      <c r="X1480" s="148"/>
      <c r="Y1480" s="148"/>
      <c r="Z1480" s="148"/>
      <c r="AA1480" s="148"/>
    </row>
    <row r="1481" spans="1:27">
      <c r="A1481" s="147">
        <v>2932</v>
      </c>
      <c r="B1481" s="147" t="s">
        <v>69</v>
      </c>
      <c r="C1481" s="147" t="s">
        <v>46</v>
      </c>
      <c r="D1481" s="148" t="s">
        <v>51</v>
      </c>
      <c r="E1481" s="148" t="s">
        <v>30</v>
      </c>
      <c r="F1481" s="149">
        <v>2024</v>
      </c>
      <c r="G1481" s="148" t="s">
        <v>35</v>
      </c>
      <c r="H1481" s="148" t="s">
        <v>48</v>
      </c>
      <c r="I1481" s="150">
        <v>419618</v>
      </c>
      <c r="J1481" s="149">
        <v>526</v>
      </c>
      <c r="K1481" s="148" t="s">
        <v>48</v>
      </c>
      <c r="L1481" s="152"/>
      <c r="M1481" s="152">
        <f t="shared" si="23"/>
        <v>0</v>
      </c>
      <c r="N1481" s="148" t="s">
        <v>48</v>
      </c>
      <c r="O1481" s="148"/>
      <c r="P1481" s="148"/>
      <c r="Q1481" s="148"/>
      <c r="R1481" s="148"/>
      <c r="S1481" s="148"/>
      <c r="T1481" s="148"/>
      <c r="U1481" s="148"/>
      <c r="V1481" s="148"/>
      <c r="W1481" s="148"/>
      <c r="X1481" s="148"/>
      <c r="Y1481" s="148"/>
      <c r="Z1481" s="148"/>
      <c r="AA1481" s="148"/>
    </row>
    <row r="1482" spans="1:27">
      <c r="A1482" s="147">
        <v>2933</v>
      </c>
      <c r="B1482" s="147" t="s">
        <v>69</v>
      </c>
      <c r="C1482" s="147" t="s">
        <v>46</v>
      </c>
      <c r="D1482" s="148" t="s">
        <v>51</v>
      </c>
      <c r="E1482" s="148" t="s">
        <v>30</v>
      </c>
      <c r="F1482" s="149">
        <v>2024</v>
      </c>
      <c r="G1482" s="148" t="s">
        <v>36</v>
      </c>
      <c r="H1482" s="148" t="s">
        <v>48</v>
      </c>
      <c r="I1482" s="150">
        <v>419945</v>
      </c>
      <c r="J1482" s="149">
        <v>327</v>
      </c>
      <c r="K1482" s="148" t="s">
        <v>48</v>
      </c>
      <c r="L1482" s="152"/>
      <c r="M1482" s="152">
        <f t="shared" si="23"/>
        <v>0</v>
      </c>
      <c r="N1482" s="148" t="s">
        <v>48</v>
      </c>
      <c r="O1482" s="148"/>
      <c r="P1482" s="148"/>
      <c r="Q1482" s="148"/>
      <c r="R1482" s="148"/>
      <c r="S1482" s="148"/>
      <c r="T1482" s="148"/>
      <c r="U1482" s="148"/>
      <c r="V1482" s="148"/>
      <c r="W1482" s="148"/>
      <c r="X1482" s="148"/>
      <c r="Y1482" s="148"/>
      <c r="Z1482" s="148"/>
      <c r="AA1482" s="148"/>
    </row>
    <row r="1483" spans="1:27">
      <c r="A1483" s="147">
        <v>2934</v>
      </c>
      <c r="B1483" s="147" t="s">
        <v>69</v>
      </c>
      <c r="C1483" s="147" t="s">
        <v>46</v>
      </c>
      <c r="D1483" s="148" t="s">
        <v>51</v>
      </c>
      <c r="E1483" s="148" t="s">
        <v>30</v>
      </c>
      <c r="F1483" s="149">
        <v>2024</v>
      </c>
      <c r="G1483" s="148" t="s">
        <v>37</v>
      </c>
      <c r="H1483" s="148" t="s">
        <v>48</v>
      </c>
      <c r="I1483" s="150">
        <v>420086</v>
      </c>
      <c r="J1483" s="149">
        <v>141</v>
      </c>
      <c r="K1483" s="148" t="s">
        <v>48</v>
      </c>
      <c r="L1483" s="152"/>
      <c r="M1483" s="152">
        <f t="shared" si="23"/>
        <v>0</v>
      </c>
      <c r="N1483" s="148" t="s">
        <v>48</v>
      </c>
      <c r="O1483" s="148"/>
      <c r="P1483" s="148"/>
      <c r="Q1483" s="148"/>
      <c r="R1483" s="148"/>
      <c r="S1483" s="148"/>
      <c r="T1483" s="148"/>
      <c r="U1483" s="148"/>
      <c r="V1483" s="148"/>
      <c r="W1483" s="148"/>
      <c r="X1483" s="148"/>
      <c r="Y1483" s="148"/>
      <c r="Z1483" s="148"/>
      <c r="AA1483" s="148"/>
    </row>
    <row r="1484" spans="1:27">
      <c r="A1484" s="147">
        <v>2935</v>
      </c>
      <c r="B1484" s="147" t="s">
        <v>69</v>
      </c>
      <c r="C1484" s="147" t="s">
        <v>46</v>
      </c>
      <c r="D1484" s="148" t="s">
        <v>51</v>
      </c>
      <c r="E1484" s="148" t="s">
        <v>30</v>
      </c>
      <c r="F1484" s="149">
        <v>2024</v>
      </c>
      <c r="G1484" s="148" t="s">
        <v>38</v>
      </c>
      <c r="H1484" s="148" t="s">
        <v>48</v>
      </c>
      <c r="I1484" s="150">
        <v>420277</v>
      </c>
      <c r="J1484" s="149">
        <v>191</v>
      </c>
      <c r="K1484" s="148" t="s">
        <v>48</v>
      </c>
      <c r="L1484" s="152"/>
      <c r="M1484" s="152">
        <f t="shared" si="23"/>
        <v>0</v>
      </c>
      <c r="N1484" s="148" t="s">
        <v>48</v>
      </c>
      <c r="O1484" s="148"/>
      <c r="P1484" s="148"/>
      <c r="Q1484" s="148"/>
      <c r="R1484" s="148"/>
      <c r="S1484" s="148"/>
      <c r="T1484" s="148"/>
      <c r="U1484" s="148"/>
      <c r="V1484" s="148"/>
      <c r="W1484" s="148"/>
      <c r="X1484" s="148"/>
      <c r="Y1484" s="148"/>
      <c r="Z1484" s="148"/>
      <c r="AA1484" s="148"/>
    </row>
    <row r="1485" spans="1:27">
      <c r="A1485" s="147">
        <v>2936</v>
      </c>
      <c r="B1485" s="147" t="s">
        <v>69</v>
      </c>
      <c r="C1485" s="147" t="s">
        <v>46</v>
      </c>
      <c r="D1485" s="148" t="s">
        <v>51</v>
      </c>
      <c r="E1485" s="148" t="s">
        <v>30</v>
      </c>
      <c r="F1485" s="149">
        <v>2024</v>
      </c>
      <c r="G1485" s="148" t="s">
        <v>39</v>
      </c>
      <c r="H1485" s="150">
        <v>7808</v>
      </c>
      <c r="I1485" s="150">
        <v>422332</v>
      </c>
      <c r="J1485" s="150">
        <v>2055</v>
      </c>
      <c r="K1485" s="150">
        <v>45804</v>
      </c>
      <c r="L1485" s="152"/>
      <c r="M1485" s="152">
        <f t="shared" si="23"/>
        <v>0</v>
      </c>
      <c r="N1485" s="150">
        <v>69388459</v>
      </c>
      <c r="O1485" s="148"/>
      <c r="P1485" s="148"/>
      <c r="Q1485" s="148"/>
      <c r="R1485" s="148"/>
      <c r="S1485" s="148"/>
      <c r="T1485" s="148"/>
      <c r="U1485" s="148"/>
      <c r="V1485" s="148"/>
      <c r="W1485" s="148"/>
      <c r="X1485" s="148"/>
      <c r="Y1485" s="148"/>
      <c r="Z1485" s="148"/>
      <c r="AA1485" s="148"/>
    </row>
    <row r="1486" spans="1:27">
      <c r="A1486" s="147">
        <v>2937</v>
      </c>
      <c r="B1486" s="147" t="s">
        <v>69</v>
      </c>
      <c r="C1486" s="147" t="s">
        <v>46</v>
      </c>
      <c r="D1486" s="148" t="s">
        <v>51</v>
      </c>
      <c r="E1486" s="148" t="s">
        <v>30</v>
      </c>
      <c r="F1486" s="149">
        <v>2024</v>
      </c>
      <c r="G1486" s="148" t="s">
        <v>40</v>
      </c>
      <c r="H1486" s="150">
        <v>5048</v>
      </c>
      <c r="I1486" s="150">
        <v>424660</v>
      </c>
      <c r="J1486" s="150">
        <v>2328</v>
      </c>
      <c r="K1486" s="150">
        <v>66883</v>
      </c>
      <c r="L1486" s="152"/>
      <c r="M1486" s="152">
        <f t="shared" si="23"/>
        <v>0</v>
      </c>
      <c r="N1486" s="150">
        <v>59190966</v>
      </c>
      <c r="O1486" s="148"/>
      <c r="P1486" s="148"/>
      <c r="Q1486" s="148"/>
      <c r="R1486" s="148"/>
      <c r="S1486" s="148"/>
      <c r="T1486" s="148"/>
      <c r="U1486" s="148"/>
      <c r="V1486" s="148"/>
      <c r="W1486" s="148"/>
      <c r="X1486" s="148"/>
      <c r="Y1486" s="148"/>
      <c r="Z1486" s="148"/>
      <c r="AA1486" s="148"/>
    </row>
    <row r="1487" spans="1:27">
      <c r="A1487" s="147">
        <v>2938</v>
      </c>
      <c r="B1487" s="147" t="s">
        <v>69</v>
      </c>
      <c r="C1487" s="147" t="s">
        <v>46</v>
      </c>
      <c r="D1487" s="148" t="s">
        <v>51</v>
      </c>
      <c r="E1487" s="148" t="s">
        <v>30</v>
      </c>
      <c r="F1487" s="149">
        <v>2024</v>
      </c>
      <c r="G1487" s="148" t="s">
        <v>41</v>
      </c>
      <c r="H1487" s="150">
        <v>5061</v>
      </c>
      <c r="I1487" s="150">
        <v>426166</v>
      </c>
      <c r="J1487" s="150">
        <v>1506</v>
      </c>
      <c r="K1487" s="150">
        <v>30410</v>
      </c>
      <c r="L1487" s="152"/>
      <c r="M1487" s="152">
        <f t="shared" si="23"/>
        <v>0</v>
      </c>
      <c r="N1487" s="150">
        <v>61792082</v>
      </c>
      <c r="O1487" s="148"/>
      <c r="P1487" s="148"/>
      <c r="Q1487" s="148"/>
      <c r="R1487" s="148"/>
      <c r="S1487" s="148"/>
      <c r="T1487" s="148"/>
      <c r="U1487" s="148"/>
      <c r="V1487" s="148"/>
      <c r="W1487" s="148"/>
      <c r="X1487" s="148"/>
      <c r="Y1487" s="148"/>
      <c r="Z1487" s="148"/>
      <c r="AA1487" s="148"/>
    </row>
    <row r="1488" spans="1:27">
      <c r="A1488" s="147">
        <v>2939</v>
      </c>
      <c r="B1488" s="147" t="s">
        <v>69</v>
      </c>
      <c r="C1488" s="147" t="s">
        <v>46</v>
      </c>
      <c r="D1488" s="148" t="s">
        <v>51</v>
      </c>
      <c r="E1488" s="148" t="s">
        <v>30</v>
      </c>
      <c r="F1488" s="149">
        <v>2024</v>
      </c>
      <c r="G1488" s="148" t="s">
        <v>42</v>
      </c>
      <c r="H1488" s="150">
        <v>5446</v>
      </c>
      <c r="I1488" s="150">
        <v>427156</v>
      </c>
      <c r="J1488" s="149">
        <v>990</v>
      </c>
      <c r="K1488" s="150">
        <v>30954</v>
      </c>
      <c r="L1488" s="152"/>
      <c r="M1488" s="152">
        <f t="shared" si="23"/>
        <v>0</v>
      </c>
      <c r="N1488" s="150">
        <v>24703604</v>
      </c>
      <c r="O1488" s="148"/>
      <c r="P1488" s="148"/>
      <c r="Q1488" s="148"/>
      <c r="R1488" s="148"/>
      <c r="S1488" s="148"/>
      <c r="T1488" s="148"/>
      <c r="U1488" s="148"/>
      <c r="V1488" s="148"/>
      <c r="W1488" s="148"/>
      <c r="X1488" s="148"/>
      <c r="Y1488" s="148"/>
      <c r="Z1488" s="148"/>
      <c r="AA1488" s="148"/>
    </row>
    <row r="1489" spans="1:27">
      <c r="A1489" s="147">
        <v>2940</v>
      </c>
      <c r="B1489" s="147" t="s">
        <v>69</v>
      </c>
      <c r="C1489" s="147" t="s">
        <v>46</v>
      </c>
      <c r="D1489" s="148" t="s">
        <v>51</v>
      </c>
      <c r="E1489" s="148" t="s">
        <v>30</v>
      </c>
      <c r="F1489" s="149">
        <v>2024</v>
      </c>
      <c r="G1489" s="148" t="s">
        <v>43</v>
      </c>
      <c r="H1489" s="150">
        <v>5934</v>
      </c>
      <c r="I1489" s="150">
        <v>428007</v>
      </c>
      <c r="J1489" s="149">
        <v>851</v>
      </c>
      <c r="K1489" s="150">
        <v>258300</v>
      </c>
      <c r="L1489" s="152"/>
      <c r="M1489" s="152">
        <f t="shared" si="23"/>
        <v>0</v>
      </c>
      <c r="N1489" s="150">
        <v>20422302</v>
      </c>
      <c r="O1489" s="148"/>
      <c r="P1489" s="148"/>
      <c r="Q1489" s="148"/>
      <c r="R1489" s="148"/>
      <c r="S1489" s="148"/>
      <c r="T1489" s="148"/>
      <c r="U1489" s="148"/>
      <c r="V1489" s="148"/>
      <c r="W1489" s="148"/>
      <c r="X1489" s="148"/>
      <c r="Y1489" s="148"/>
      <c r="Z1489" s="148"/>
      <c r="AA1489" s="148"/>
    </row>
    <row r="1490" spans="1:27">
      <c r="A1490" s="147">
        <v>2941</v>
      </c>
      <c r="B1490" s="147" t="s">
        <v>69</v>
      </c>
      <c r="C1490" s="147" t="s">
        <v>46</v>
      </c>
      <c r="D1490" s="148" t="s">
        <v>51</v>
      </c>
      <c r="E1490" s="148" t="s">
        <v>30</v>
      </c>
      <c r="F1490" s="149">
        <v>2025</v>
      </c>
      <c r="G1490" s="148" t="s">
        <v>31</v>
      </c>
      <c r="H1490" s="150">
        <v>5762</v>
      </c>
      <c r="I1490" s="150">
        <v>428745</v>
      </c>
      <c r="J1490" s="149">
        <v>738</v>
      </c>
      <c r="K1490" s="150">
        <v>123322</v>
      </c>
      <c r="L1490" s="152"/>
      <c r="M1490" s="152">
        <f t="shared" si="23"/>
        <v>0</v>
      </c>
      <c r="N1490" s="150">
        <v>18021223</v>
      </c>
      <c r="O1490" s="148"/>
      <c r="P1490" s="148"/>
      <c r="Q1490" s="148"/>
      <c r="R1490" s="148"/>
      <c r="S1490" s="148"/>
      <c r="T1490" s="148"/>
      <c r="U1490" s="148"/>
      <c r="V1490" s="148"/>
      <c r="W1490" s="148"/>
      <c r="X1490" s="148"/>
      <c r="Y1490" s="148"/>
      <c r="Z1490" s="148"/>
      <c r="AA1490" s="148"/>
    </row>
    <row r="1491" spans="1:27">
      <c r="A1491" s="147">
        <v>2942</v>
      </c>
      <c r="B1491" s="147" t="s">
        <v>69</v>
      </c>
      <c r="C1491" s="147" t="s">
        <v>46</v>
      </c>
      <c r="D1491" s="148" t="s">
        <v>51</v>
      </c>
      <c r="E1491" s="148" t="s">
        <v>30</v>
      </c>
      <c r="F1491" s="149">
        <v>2025</v>
      </c>
      <c r="G1491" s="148" t="s">
        <v>33</v>
      </c>
      <c r="H1491" s="150">
        <v>5218</v>
      </c>
      <c r="I1491" s="150">
        <v>429538</v>
      </c>
      <c r="J1491" s="149">
        <v>793</v>
      </c>
      <c r="K1491" s="150">
        <v>284920</v>
      </c>
      <c r="L1491" s="152"/>
      <c r="M1491" s="152">
        <f t="shared" si="23"/>
        <v>0</v>
      </c>
      <c r="N1491" s="150">
        <v>13604481</v>
      </c>
      <c r="O1491" s="148"/>
      <c r="P1491" s="148"/>
      <c r="Q1491" s="148"/>
      <c r="R1491" s="148"/>
      <c r="S1491" s="148"/>
      <c r="T1491" s="148"/>
      <c r="U1491" s="148"/>
      <c r="V1491" s="148"/>
      <c r="W1491" s="148"/>
      <c r="X1491" s="148"/>
      <c r="Y1491" s="148"/>
      <c r="Z1491" s="148"/>
      <c r="AA1491" s="148"/>
    </row>
    <row r="1492" spans="1:27">
      <c r="A1492" s="147">
        <v>2943</v>
      </c>
      <c r="B1492" s="147" t="s">
        <v>69</v>
      </c>
      <c r="C1492" s="147" t="s">
        <v>46</v>
      </c>
      <c r="D1492" s="148" t="s">
        <v>51</v>
      </c>
      <c r="E1492" s="148" t="s">
        <v>30</v>
      </c>
      <c r="F1492" s="149">
        <v>2025</v>
      </c>
      <c r="G1492" s="148" t="s">
        <v>34</v>
      </c>
      <c r="H1492" s="150">
        <v>5234</v>
      </c>
      <c r="I1492" s="150">
        <v>430032</v>
      </c>
      <c r="J1492" s="149">
        <v>494</v>
      </c>
      <c r="K1492" s="150">
        <v>126070</v>
      </c>
      <c r="L1492" s="152"/>
      <c r="M1492" s="152">
        <f t="shared" si="23"/>
        <v>0</v>
      </c>
      <c r="N1492" s="150">
        <v>6512817</v>
      </c>
      <c r="O1492" s="148"/>
      <c r="P1492" s="148"/>
      <c r="Q1492" s="148"/>
      <c r="R1492" s="148"/>
      <c r="S1492" s="148"/>
      <c r="T1492" s="148"/>
      <c r="U1492" s="148"/>
      <c r="V1492" s="148"/>
      <c r="W1492" s="148"/>
      <c r="X1492" s="148"/>
      <c r="Y1492" s="148"/>
      <c r="Z1492" s="148"/>
      <c r="AA1492" s="148"/>
    </row>
    <row r="1493" spans="1:27">
      <c r="A1493" s="147">
        <v>2944</v>
      </c>
      <c r="B1493" s="147" t="s">
        <v>69</v>
      </c>
      <c r="C1493" s="147" t="s">
        <v>46</v>
      </c>
      <c r="D1493" s="148" t="s">
        <v>51</v>
      </c>
      <c r="E1493" s="148" t="s">
        <v>30</v>
      </c>
      <c r="F1493" s="149">
        <v>2025</v>
      </c>
      <c r="G1493" s="148" t="s">
        <v>35</v>
      </c>
      <c r="H1493" s="150">
        <v>4773</v>
      </c>
      <c r="I1493" s="150">
        <v>430578</v>
      </c>
      <c r="J1493" s="149">
        <v>546</v>
      </c>
      <c r="K1493" s="150">
        <v>114941</v>
      </c>
      <c r="L1493" s="152"/>
      <c r="M1493" s="152">
        <f t="shared" si="23"/>
        <v>0</v>
      </c>
      <c r="N1493" s="150">
        <v>5223977</v>
      </c>
      <c r="O1493" s="148"/>
      <c r="P1493" s="148"/>
      <c r="Q1493" s="148"/>
      <c r="R1493" s="148"/>
      <c r="S1493" s="148"/>
      <c r="T1493" s="148"/>
      <c r="U1493" s="148"/>
      <c r="V1493" s="148"/>
      <c r="W1493" s="148"/>
      <c r="X1493" s="148"/>
      <c r="Y1493" s="148"/>
      <c r="Z1493" s="148"/>
      <c r="AA1493" s="148"/>
    </row>
    <row r="1494" spans="1:27">
      <c r="A1494" s="147">
        <v>2945</v>
      </c>
      <c r="B1494" s="147" t="s">
        <v>69</v>
      </c>
      <c r="C1494" s="147" t="s">
        <v>46</v>
      </c>
      <c r="D1494" s="148" t="s">
        <v>51</v>
      </c>
      <c r="E1494" s="148" t="s">
        <v>30</v>
      </c>
      <c r="F1494" s="149">
        <v>2025</v>
      </c>
      <c r="G1494" s="148" t="s">
        <v>36</v>
      </c>
      <c r="H1494" s="150">
        <v>4824</v>
      </c>
      <c r="I1494" s="150">
        <v>431076</v>
      </c>
      <c r="J1494" s="149">
        <v>498</v>
      </c>
      <c r="K1494" s="150">
        <v>172008</v>
      </c>
      <c r="L1494" s="152"/>
      <c r="M1494" s="152">
        <f t="shared" si="23"/>
        <v>0</v>
      </c>
      <c r="N1494" s="150">
        <v>4073285</v>
      </c>
      <c r="O1494" s="148"/>
      <c r="P1494" s="148"/>
      <c r="Q1494" s="148"/>
      <c r="R1494" s="148"/>
      <c r="S1494" s="148"/>
      <c r="T1494" s="148"/>
      <c r="U1494" s="148"/>
      <c r="V1494" s="148"/>
      <c r="W1494" s="148"/>
      <c r="X1494" s="148"/>
      <c r="Y1494" s="148"/>
      <c r="Z1494" s="148"/>
      <c r="AA1494" s="148"/>
    </row>
    <row r="1495" spans="1:27">
      <c r="A1495" s="147">
        <v>2946</v>
      </c>
      <c r="B1495" s="147" t="s">
        <v>69</v>
      </c>
      <c r="C1495" s="147" t="s">
        <v>46</v>
      </c>
      <c r="D1495" s="148" t="s">
        <v>51</v>
      </c>
      <c r="E1495" s="148" t="s">
        <v>30</v>
      </c>
      <c r="F1495" s="149">
        <v>2025</v>
      </c>
      <c r="G1495" s="148" t="s">
        <v>37</v>
      </c>
      <c r="H1495" s="150">
        <v>3912</v>
      </c>
      <c r="I1495" s="150">
        <v>431484</v>
      </c>
      <c r="J1495" s="149">
        <v>408</v>
      </c>
      <c r="K1495" s="150">
        <v>189032</v>
      </c>
      <c r="L1495" s="152"/>
      <c r="M1495" s="152">
        <f t="shared" si="23"/>
        <v>0</v>
      </c>
      <c r="N1495" s="150">
        <v>1615169</v>
      </c>
      <c r="O1495" s="148"/>
      <c r="P1495" s="148"/>
      <c r="Q1495" s="148"/>
      <c r="R1495" s="148"/>
      <c r="S1495" s="148"/>
      <c r="T1495" s="148"/>
      <c r="U1495" s="148"/>
      <c r="V1495" s="148"/>
      <c r="W1495" s="148"/>
      <c r="X1495" s="148"/>
      <c r="Y1495" s="148"/>
      <c r="Z1495" s="148"/>
      <c r="AA1495" s="148"/>
    </row>
    <row r="1496" spans="1:27">
      <c r="A1496" s="147">
        <v>2947</v>
      </c>
      <c r="B1496" s="147" t="s">
        <v>69</v>
      </c>
      <c r="C1496" s="147" t="s">
        <v>46</v>
      </c>
      <c r="D1496" s="148" t="s">
        <v>51</v>
      </c>
      <c r="E1496" s="148" t="s">
        <v>30</v>
      </c>
      <c r="F1496" s="149">
        <v>2025</v>
      </c>
      <c r="G1496" s="148" t="s">
        <v>38</v>
      </c>
      <c r="H1496" s="150">
        <v>4179</v>
      </c>
      <c r="I1496" s="150">
        <v>431553</v>
      </c>
      <c r="J1496" s="149">
        <v>401</v>
      </c>
      <c r="K1496" s="150">
        <v>134649</v>
      </c>
      <c r="L1496" s="152"/>
      <c r="M1496" s="152">
        <f t="shared" si="23"/>
        <v>0</v>
      </c>
      <c r="N1496" s="150">
        <v>1988985</v>
      </c>
      <c r="O1496" s="148"/>
      <c r="P1496" s="150">
        <v>43337</v>
      </c>
      <c r="Q1496" s="154">
        <v>0.637</v>
      </c>
      <c r="R1496" s="154">
        <v>0.352</v>
      </c>
      <c r="S1496" s="154">
        <v>0.011</v>
      </c>
      <c r="T1496" s="154">
        <v>0.007</v>
      </c>
      <c r="U1496" s="154">
        <v>0.212</v>
      </c>
      <c r="V1496" s="154">
        <v>0.416</v>
      </c>
      <c r="W1496" s="154">
        <v>0.211</v>
      </c>
      <c r="X1496" s="154">
        <v>0.118</v>
      </c>
      <c r="Y1496" s="154">
        <v>0.027</v>
      </c>
      <c r="Z1496" s="154">
        <v>0.009</v>
      </c>
      <c r="AA1496" s="148" t="s">
        <v>70</v>
      </c>
    </row>
    <row r="1497" spans="1:27">
      <c r="A1497" s="147">
        <v>2948</v>
      </c>
      <c r="B1497" s="147" t="s">
        <v>69</v>
      </c>
      <c r="C1497" s="147" t="s">
        <v>46</v>
      </c>
      <c r="D1497" s="148" t="s">
        <v>51</v>
      </c>
      <c r="E1497" s="148" t="s">
        <v>30</v>
      </c>
      <c r="F1497" s="149">
        <v>2025</v>
      </c>
      <c r="G1497" s="148" t="s">
        <v>39</v>
      </c>
      <c r="H1497" s="150">
        <v>3738</v>
      </c>
      <c r="I1497" s="150">
        <v>431818</v>
      </c>
      <c r="J1497" s="149">
        <v>671</v>
      </c>
      <c r="K1497" s="150">
        <v>400075</v>
      </c>
      <c r="L1497" s="152"/>
      <c r="M1497" s="152">
        <f t="shared" si="23"/>
        <v>0</v>
      </c>
      <c r="N1497" s="150">
        <v>2541004</v>
      </c>
      <c r="O1497" s="148"/>
      <c r="P1497" s="150">
        <v>51991</v>
      </c>
      <c r="Q1497" s="154">
        <v>0.631</v>
      </c>
      <c r="R1497" s="154">
        <v>0.358</v>
      </c>
      <c r="S1497" s="154">
        <v>0.011</v>
      </c>
      <c r="T1497" s="154">
        <v>0.007</v>
      </c>
      <c r="U1497" s="154">
        <v>0.217</v>
      </c>
      <c r="V1497" s="154">
        <v>0.417</v>
      </c>
      <c r="W1497" s="154">
        <v>0.205</v>
      </c>
      <c r="X1497" s="154">
        <v>0.117</v>
      </c>
      <c r="Y1497" s="154">
        <v>0.027</v>
      </c>
      <c r="Z1497" s="154">
        <v>0.009</v>
      </c>
      <c r="AA1497" s="148" t="s">
        <v>70</v>
      </c>
    </row>
    <row r="1498" spans="1:27">
      <c r="A1498" s="147">
        <v>2949</v>
      </c>
      <c r="B1498" s="147" t="s">
        <v>69</v>
      </c>
      <c r="C1498" s="147" t="s">
        <v>46</v>
      </c>
      <c r="D1498" s="148" t="s">
        <v>51</v>
      </c>
      <c r="E1498" s="148" t="s">
        <v>30</v>
      </c>
      <c r="F1498" s="149">
        <v>2025</v>
      </c>
      <c r="G1498" s="148" t="s">
        <v>40</v>
      </c>
      <c r="H1498" s="150">
        <v>1746</v>
      </c>
      <c r="I1498" s="150">
        <v>429893</v>
      </c>
      <c r="J1498" s="149">
        <v>785</v>
      </c>
      <c r="K1498" s="150">
        <v>100567</v>
      </c>
      <c r="L1498" s="152"/>
      <c r="M1498" s="152">
        <f t="shared" si="23"/>
        <v>0</v>
      </c>
      <c r="N1498" s="150">
        <v>2985834</v>
      </c>
      <c r="O1498" s="148"/>
      <c r="P1498" s="150">
        <v>61321</v>
      </c>
      <c r="Q1498" s="154">
        <v>0.579</v>
      </c>
      <c r="R1498" s="154">
        <v>0.398</v>
      </c>
      <c r="S1498" s="154">
        <v>0.023</v>
      </c>
      <c r="T1498" s="154">
        <v>0.008</v>
      </c>
      <c r="U1498" s="154">
        <v>0.254</v>
      </c>
      <c r="V1498" s="154">
        <v>0.446</v>
      </c>
      <c r="W1498" s="154">
        <v>0.174</v>
      </c>
      <c r="X1498" s="154">
        <v>0.088</v>
      </c>
      <c r="Y1498" s="154">
        <v>0.021</v>
      </c>
      <c r="Z1498" s="154">
        <v>0.009</v>
      </c>
      <c r="AA1498" s="148" t="s">
        <v>70</v>
      </c>
    </row>
    <row r="1499" spans="1:27">
      <c r="A1499" s="147">
        <v>2950</v>
      </c>
      <c r="B1499" s="147" t="s">
        <v>69</v>
      </c>
      <c r="C1499" s="147" t="s">
        <v>46</v>
      </c>
      <c r="D1499" s="148" t="s">
        <v>51</v>
      </c>
      <c r="E1499" s="148" t="s">
        <v>30</v>
      </c>
      <c r="F1499" s="149">
        <v>2025</v>
      </c>
      <c r="G1499" s="148" t="s">
        <v>41</v>
      </c>
      <c r="H1499" s="150">
        <v>1706</v>
      </c>
      <c r="I1499" s="150">
        <v>422206</v>
      </c>
      <c r="J1499" s="149">
        <v>351</v>
      </c>
      <c r="K1499" s="150">
        <v>336862</v>
      </c>
      <c r="L1499" s="152"/>
      <c r="M1499" s="152">
        <f t="shared" si="23"/>
        <v>0</v>
      </c>
      <c r="N1499" s="150">
        <v>1943997</v>
      </c>
      <c r="O1499" s="148"/>
      <c r="P1499" s="150">
        <v>44369</v>
      </c>
      <c r="Q1499" s="154">
        <v>0.649</v>
      </c>
      <c r="R1499" s="154">
        <v>0.336</v>
      </c>
      <c r="S1499" s="154">
        <v>0.015</v>
      </c>
      <c r="T1499" s="154">
        <v>0.014</v>
      </c>
      <c r="U1499" s="154">
        <v>0.222</v>
      </c>
      <c r="V1499" s="154">
        <v>0.432</v>
      </c>
      <c r="W1499" s="154">
        <v>0.176</v>
      </c>
      <c r="X1499" s="154">
        <v>0.093</v>
      </c>
      <c r="Y1499" s="154">
        <v>0.036</v>
      </c>
      <c r="Z1499" s="154">
        <v>0.027</v>
      </c>
      <c r="AA1499" s="148" t="s">
        <v>70</v>
      </c>
    </row>
    <row r="1500" spans="1:27">
      <c r="A1500" s="147">
        <v>2951</v>
      </c>
      <c r="B1500" s="147" t="s">
        <v>69</v>
      </c>
      <c r="C1500" s="147" t="s">
        <v>46</v>
      </c>
      <c r="D1500" s="148" t="s">
        <v>51</v>
      </c>
      <c r="E1500" s="148" t="s">
        <v>30</v>
      </c>
      <c r="F1500" s="149">
        <v>2025</v>
      </c>
      <c r="G1500" s="148" t="s">
        <v>42</v>
      </c>
      <c r="H1500" s="150">
        <v>1432</v>
      </c>
      <c r="I1500" s="150">
        <v>382121</v>
      </c>
      <c r="J1500" s="149">
        <v>353</v>
      </c>
      <c r="K1500" s="150">
        <v>421582</v>
      </c>
      <c r="L1500" s="152"/>
      <c r="M1500" s="152">
        <f t="shared" si="23"/>
        <v>0</v>
      </c>
      <c r="N1500" s="150">
        <v>1764108</v>
      </c>
      <c r="O1500" s="148"/>
      <c r="P1500" s="150">
        <v>43863</v>
      </c>
      <c r="Q1500" s="154">
        <v>0.575</v>
      </c>
      <c r="R1500" s="154">
        <v>0.402</v>
      </c>
      <c r="S1500" s="154">
        <v>0.023</v>
      </c>
      <c r="T1500" s="154">
        <v>0.013</v>
      </c>
      <c r="U1500" s="154">
        <v>0.227</v>
      </c>
      <c r="V1500" s="154">
        <v>0.446</v>
      </c>
      <c r="W1500" s="154">
        <v>0.173</v>
      </c>
      <c r="X1500" s="154">
        <v>0.083</v>
      </c>
      <c r="Y1500" s="154">
        <v>0.033</v>
      </c>
      <c r="Z1500" s="154">
        <v>0.024</v>
      </c>
      <c r="AA1500" s="148" t="s">
        <v>70</v>
      </c>
    </row>
    <row r="1501" spans="1:27">
      <c r="A1501" s="147">
        <v>2952</v>
      </c>
      <c r="B1501" s="147" t="s">
        <v>69</v>
      </c>
      <c r="C1501" s="147" t="s">
        <v>46</v>
      </c>
      <c r="D1501" s="148" t="s">
        <v>51</v>
      </c>
      <c r="E1501" s="148" t="s">
        <v>30</v>
      </c>
      <c r="F1501" s="149">
        <v>2025</v>
      </c>
      <c r="G1501" s="148" t="s">
        <v>43</v>
      </c>
      <c r="H1501" s="150">
        <v>1515</v>
      </c>
      <c r="I1501" s="150">
        <v>379689</v>
      </c>
      <c r="J1501" s="149">
        <v>332</v>
      </c>
      <c r="K1501" s="150">
        <v>436449</v>
      </c>
      <c r="L1501" s="152"/>
      <c r="M1501" s="152">
        <f t="shared" si="23"/>
        <v>0</v>
      </c>
      <c r="N1501" s="150">
        <v>2520610</v>
      </c>
      <c r="O1501" s="148"/>
      <c r="P1501" s="150">
        <v>61361</v>
      </c>
      <c r="Q1501" s="154">
        <v>0.541</v>
      </c>
      <c r="R1501" s="154">
        <v>0.44</v>
      </c>
      <c r="S1501" s="154">
        <v>0.019</v>
      </c>
      <c r="T1501" s="154">
        <v>0.013</v>
      </c>
      <c r="U1501" s="154">
        <v>0.215</v>
      </c>
      <c r="V1501" s="154">
        <v>0.483</v>
      </c>
      <c r="W1501" s="154">
        <v>0.176</v>
      </c>
      <c r="X1501" s="154">
        <v>0.069</v>
      </c>
      <c r="Y1501" s="154">
        <v>0.027</v>
      </c>
      <c r="Z1501" s="154">
        <v>0.018</v>
      </c>
      <c r="AA1501" s="148" t="s">
        <v>70</v>
      </c>
    </row>
    <row r="1502" spans="1:27">
      <c r="A1502" s="147">
        <v>2953</v>
      </c>
      <c r="B1502" s="147" t="s">
        <v>69</v>
      </c>
      <c r="C1502" s="147" t="s">
        <v>46</v>
      </c>
      <c r="D1502" s="148" t="s">
        <v>51</v>
      </c>
      <c r="E1502" s="148" t="s">
        <v>30</v>
      </c>
      <c r="F1502" s="149">
        <v>2026</v>
      </c>
      <c r="G1502" s="148" t="s">
        <v>31</v>
      </c>
      <c r="H1502" s="150">
        <v>1647</v>
      </c>
      <c r="I1502" s="150">
        <v>379225</v>
      </c>
      <c r="J1502" s="149">
        <v>259</v>
      </c>
      <c r="K1502" s="150">
        <v>40956</v>
      </c>
      <c r="L1502" s="152"/>
      <c r="M1502" s="152">
        <f t="shared" si="23"/>
        <v>0</v>
      </c>
      <c r="N1502" s="150">
        <v>1217106</v>
      </c>
      <c r="O1502" s="148"/>
      <c r="P1502" s="150">
        <v>30455</v>
      </c>
      <c r="Q1502" s="154">
        <v>0.55</v>
      </c>
      <c r="R1502" s="154">
        <v>0.423</v>
      </c>
      <c r="S1502" s="154">
        <v>0.027</v>
      </c>
      <c r="T1502" s="154">
        <v>0.013</v>
      </c>
      <c r="U1502" s="154">
        <v>0.226</v>
      </c>
      <c r="V1502" s="154">
        <v>0.474</v>
      </c>
      <c r="W1502" s="154">
        <v>0.174</v>
      </c>
      <c r="X1502" s="154">
        <v>0.07</v>
      </c>
      <c r="Y1502" s="154">
        <v>0.031</v>
      </c>
      <c r="Z1502" s="154">
        <v>0.013</v>
      </c>
      <c r="AA1502" s="148" t="s">
        <v>70</v>
      </c>
    </row>
    <row r="1503" spans="1:27">
      <c r="A1503" s="147">
        <v>2954</v>
      </c>
      <c r="B1503" s="147" t="s">
        <v>69</v>
      </c>
      <c r="C1503" s="147" t="s">
        <v>46</v>
      </c>
      <c r="D1503" s="148" t="s">
        <v>51</v>
      </c>
      <c r="E1503" s="148" t="s">
        <v>30</v>
      </c>
      <c r="F1503" s="149">
        <v>2026</v>
      </c>
      <c r="G1503" s="148" t="s">
        <v>33</v>
      </c>
      <c r="H1503" s="150">
        <v>1241</v>
      </c>
      <c r="I1503" s="150">
        <v>379230</v>
      </c>
      <c r="J1503" s="149">
        <v>234</v>
      </c>
      <c r="K1503" s="150">
        <v>9296</v>
      </c>
      <c r="L1503" s="152"/>
      <c r="M1503" s="152">
        <f t="shared" si="23"/>
        <v>0</v>
      </c>
      <c r="N1503" s="150">
        <v>896817</v>
      </c>
      <c r="O1503" s="148"/>
      <c r="P1503" s="150">
        <v>29719</v>
      </c>
      <c r="Q1503" s="154">
        <v>0.583</v>
      </c>
      <c r="R1503" s="154">
        <v>0.385</v>
      </c>
      <c r="S1503" s="154">
        <v>0.032</v>
      </c>
      <c r="T1503" s="154">
        <v>0.012</v>
      </c>
      <c r="U1503" s="154">
        <v>0.2</v>
      </c>
      <c r="V1503" s="154">
        <v>0.461</v>
      </c>
      <c r="W1503" s="154">
        <v>0.194</v>
      </c>
      <c r="X1503" s="154">
        <v>0.083</v>
      </c>
      <c r="Y1503" s="154">
        <v>0.036</v>
      </c>
      <c r="Z1503" s="154">
        <v>0.015</v>
      </c>
      <c r="AA1503" s="148" t="s">
        <v>70</v>
      </c>
    </row>
    <row r="1504" spans="1:27">
      <c r="A1504" s="147">
        <v>2955</v>
      </c>
      <c r="B1504" s="147" t="s">
        <v>69</v>
      </c>
      <c r="C1504" s="147" t="s">
        <v>46</v>
      </c>
      <c r="D1504" s="148" t="s">
        <v>51</v>
      </c>
      <c r="E1504" s="148" t="s">
        <v>30</v>
      </c>
      <c r="F1504" s="149">
        <v>2026</v>
      </c>
      <c r="G1504" s="148" t="s">
        <v>34</v>
      </c>
      <c r="H1504" s="150">
        <v>1250</v>
      </c>
      <c r="I1504" s="150">
        <v>379380</v>
      </c>
      <c r="J1504" s="149">
        <v>461</v>
      </c>
      <c r="K1504" s="150">
        <v>7729</v>
      </c>
      <c r="L1504" s="152"/>
      <c r="M1504" s="152">
        <f t="shared" si="23"/>
        <v>0</v>
      </c>
      <c r="N1504" s="150">
        <v>605101</v>
      </c>
      <c r="O1504" s="148"/>
      <c r="P1504" s="150">
        <v>23573</v>
      </c>
      <c r="Q1504" s="154">
        <v>0.659</v>
      </c>
      <c r="R1504" s="154">
        <v>0.325</v>
      </c>
      <c r="S1504" s="154">
        <v>0.02</v>
      </c>
      <c r="T1504" s="154">
        <v>0.017</v>
      </c>
      <c r="U1504" s="154">
        <v>0.195</v>
      </c>
      <c r="V1504" s="154">
        <v>0.386</v>
      </c>
      <c r="W1504" s="154">
        <v>0.205</v>
      </c>
      <c r="X1504" s="154">
        <v>0.111</v>
      </c>
      <c r="Y1504" s="154">
        <v>0.052</v>
      </c>
      <c r="Z1504" s="154">
        <v>0.035</v>
      </c>
      <c r="AA1504" s="148" t="s">
        <v>70</v>
      </c>
    </row>
    <row r="1505" spans="1:27">
      <c r="A1505" s="147">
        <v>2956</v>
      </c>
      <c r="B1505" s="147" t="s">
        <v>69</v>
      </c>
      <c r="C1505" s="147" t="s">
        <v>46</v>
      </c>
      <c r="D1505" s="148" t="s">
        <v>51</v>
      </c>
      <c r="E1505" s="148" t="s">
        <v>30</v>
      </c>
      <c r="F1505" s="149">
        <v>2026</v>
      </c>
      <c r="G1505" s="148" t="s">
        <v>35</v>
      </c>
      <c r="H1505" s="150">
        <v>1825</v>
      </c>
      <c r="I1505" s="150">
        <v>379578</v>
      </c>
      <c r="J1505" s="149">
        <v>198</v>
      </c>
      <c r="K1505" s="148"/>
      <c r="L1505" s="152"/>
      <c r="M1505" s="152">
        <f t="shared" si="23"/>
        <v>0</v>
      </c>
      <c r="N1505" s="150">
        <v>408664</v>
      </c>
      <c r="O1505" s="148"/>
      <c r="P1505" s="150">
        <v>14203</v>
      </c>
      <c r="Q1505" s="154">
        <v>0.684</v>
      </c>
      <c r="R1505" s="154">
        <v>0.294</v>
      </c>
      <c r="S1505" s="154">
        <v>0.022</v>
      </c>
      <c r="T1505" s="154">
        <v>0.005</v>
      </c>
      <c r="U1505" s="154">
        <v>0.134</v>
      </c>
      <c r="V1505" s="154">
        <v>0.333</v>
      </c>
      <c r="W1505" s="154">
        <v>0.184</v>
      </c>
      <c r="X1505" s="154">
        <v>0.116</v>
      </c>
      <c r="Y1505" s="154">
        <v>0.152</v>
      </c>
      <c r="Z1505" s="154">
        <v>0.075</v>
      </c>
      <c r="AA1505" s="148" t="s">
        <v>70</v>
      </c>
    </row>
    <row r="1506" spans="1:27">
      <c r="A1506" s="147">
        <v>2957</v>
      </c>
      <c r="B1506" s="147" t="s">
        <v>69</v>
      </c>
      <c r="C1506" s="147" t="s">
        <v>46</v>
      </c>
      <c r="D1506" s="148" t="s">
        <v>51</v>
      </c>
      <c r="E1506" s="148" t="s">
        <v>30</v>
      </c>
      <c r="F1506" s="149">
        <v>2026</v>
      </c>
      <c r="G1506" s="148" t="s">
        <v>36</v>
      </c>
      <c r="H1506" s="149">
        <v>931</v>
      </c>
      <c r="I1506" s="150">
        <v>379453</v>
      </c>
      <c r="J1506" s="149">
        <v>246</v>
      </c>
      <c r="K1506" s="150">
        <v>8266</v>
      </c>
      <c r="L1506" s="152"/>
      <c r="M1506" s="152">
        <f t="shared" si="23"/>
        <v>0</v>
      </c>
      <c r="N1506" s="150">
        <v>598504</v>
      </c>
      <c r="O1506" s="148"/>
      <c r="P1506" s="150">
        <v>1900</v>
      </c>
      <c r="Q1506" s="154">
        <v>0.66</v>
      </c>
      <c r="R1506" s="154">
        <v>0.294</v>
      </c>
      <c r="S1506" s="154">
        <v>0.046</v>
      </c>
      <c r="T1506" s="154">
        <v>0.008</v>
      </c>
      <c r="U1506" s="154">
        <v>0.198</v>
      </c>
      <c r="V1506" s="154">
        <v>0.451</v>
      </c>
      <c r="W1506" s="154">
        <v>0.193</v>
      </c>
      <c r="X1506" s="154">
        <v>0.085</v>
      </c>
      <c r="Y1506" s="154">
        <v>0.04</v>
      </c>
      <c r="Z1506" s="154">
        <v>0.025</v>
      </c>
      <c r="AA1506" s="148" t="s">
        <v>70</v>
      </c>
    </row>
    <row r="1507" spans="1:27">
      <c r="A1507" s="147">
        <v>2958</v>
      </c>
      <c r="B1507" s="147" t="s">
        <v>69</v>
      </c>
      <c r="C1507" s="147" t="s">
        <v>46</v>
      </c>
      <c r="D1507" s="148" t="s">
        <v>51</v>
      </c>
      <c r="E1507" s="148" t="s">
        <v>30</v>
      </c>
      <c r="F1507" s="149">
        <v>2026</v>
      </c>
      <c r="G1507" s="148" t="s">
        <v>37</v>
      </c>
      <c r="H1507" s="150">
        <v>1544</v>
      </c>
      <c r="I1507" s="150">
        <v>379328</v>
      </c>
      <c r="J1507" s="149">
        <v>245</v>
      </c>
      <c r="K1507" s="150">
        <v>10835</v>
      </c>
      <c r="L1507" s="152"/>
      <c r="M1507" s="152">
        <f t="shared" si="23"/>
        <v>0</v>
      </c>
      <c r="N1507" s="150">
        <v>1167994</v>
      </c>
      <c r="O1507" s="148"/>
      <c r="P1507" s="150">
        <v>3751</v>
      </c>
      <c r="Q1507" s="154">
        <v>0.638</v>
      </c>
      <c r="R1507" s="154">
        <v>0.321</v>
      </c>
      <c r="S1507" s="154">
        <v>0.041</v>
      </c>
      <c r="T1507" s="154">
        <v>0.01</v>
      </c>
      <c r="U1507" s="154">
        <v>0.186</v>
      </c>
      <c r="V1507" s="154">
        <v>0.367</v>
      </c>
      <c r="W1507" s="154">
        <v>0.157</v>
      </c>
      <c r="X1507" s="154">
        <v>0.102</v>
      </c>
      <c r="Y1507" s="154">
        <v>0.105</v>
      </c>
      <c r="Z1507" s="154">
        <v>0.073</v>
      </c>
      <c r="AA1507" s="148" t="s">
        <v>70</v>
      </c>
    </row>
    <row r="1508" spans="1:27">
      <c r="A1508" s="147">
        <v>2959</v>
      </c>
      <c r="B1508" s="147" t="s">
        <v>69</v>
      </c>
      <c r="C1508" s="147" t="s">
        <v>46</v>
      </c>
      <c r="D1508" s="148" t="s">
        <v>51</v>
      </c>
      <c r="E1508" s="148" t="s">
        <v>30</v>
      </c>
      <c r="F1508" s="149">
        <v>2026</v>
      </c>
      <c r="G1508" s="148" t="s">
        <v>38</v>
      </c>
      <c r="H1508" s="149">
        <v>328</v>
      </c>
      <c r="I1508" s="150">
        <v>379148</v>
      </c>
      <c r="J1508" s="149">
        <v>-180</v>
      </c>
      <c r="K1508" s="150">
        <v>13852</v>
      </c>
      <c r="L1508" s="152"/>
      <c r="M1508" s="152">
        <f t="shared" si="23"/>
        <v>0</v>
      </c>
      <c r="N1508" s="150">
        <v>816016</v>
      </c>
      <c r="O1508" s="148"/>
      <c r="P1508" s="150">
        <v>2075</v>
      </c>
      <c r="Q1508" s="154">
        <v>0.378</v>
      </c>
      <c r="R1508" s="154">
        <v>0.174</v>
      </c>
      <c r="S1508" s="154">
        <v>0.448</v>
      </c>
      <c r="T1508" s="154">
        <v>0.012</v>
      </c>
      <c r="U1508" s="154">
        <v>0.172</v>
      </c>
      <c r="V1508" s="154">
        <v>0.426</v>
      </c>
      <c r="W1508" s="154">
        <v>0.206</v>
      </c>
      <c r="X1508" s="154">
        <v>0.11</v>
      </c>
      <c r="Y1508" s="154">
        <v>0.046</v>
      </c>
      <c r="Z1508" s="154">
        <v>0.029</v>
      </c>
      <c r="AA1508" s="148" t="s">
        <v>70</v>
      </c>
    </row>
    <row r="1509" spans="1:27">
      <c r="A1509" s="147">
        <v>2960</v>
      </c>
      <c r="B1509" s="147" t="s">
        <v>69</v>
      </c>
      <c r="C1509" s="147" t="s">
        <v>46</v>
      </c>
      <c r="D1509" s="148" t="s">
        <v>51</v>
      </c>
      <c r="E1509" s="148" t="s">
        <v>30</v>
      </c>
      <c r="F1509" s="149">
        <v>2026</v>
      </c>
      <c r="G1509" s="148" t="s">
        <v>39</v>
      </c>
      <c r="H1509" s="148"/>
      <c r="I1509" s="148"/>
      <c r="J1509" s="148"/>
      <c r="K1509" s="148"/>
      <c r="L1509" s="152"/>
      <c r="M1509" s="152">
        <f t="shared" si="23"/>
        <v>0</v>
      </c>
      <c r="N1509" s="148"/>
      <c r="O1509" s="148"/>
      <c r="P1509" s="148"/>
      <c r="Q1509" s="148"/>
      <c r="R1509" s="148"/>
      <c r="S1509" s="148"/>
      <c r="T1509" s="148"/>
      <c r="U1509" s="148"/>
      <c r="V1509" s="148"/>
      <c r="W1509" s="148"/>
      <c r="X1509" s="148"/>
      <c r="Y1509" s="148"/>
      <c r="Z1509" s="148"/>
      <c r="AA1509" s="148"/>
    </row>
    <row r="1510" spans="1:27">
      <c r="A1510" s="147">
        <v>2961</v>
      </c>
      <c r="B1510" s="147" t="s">
        <v>69</v>
      </c>
      <c r="C1510" s="147" t="s">
        <v>46</v>
      </c>
      <c r="D1510" s="148" t="s">
        <v>51</v>
      </c>
      <c r="E1510" s="148" t="s">
        <v>30</v>
      </c>
      <c r="F1510" s="149">
        <v>2026</v>
      </c>
      <c r="G1510" s="148" t="s">
        <v>40</v>
      </c>
      <c r="H1510" s="148"/>
      <c r="I1510" s="148"/>
      <c r="J1510" s="148"/>
      <c r="K1510" s="148"/>
      <c r="L1510" s="152"/>
      <c r="M1510" s="152">
        <f t="shared" si="23"/>
        <v>0</v>
      </c>
      <c r="N1510" s="148"/>
      <c r="O1510" s="148"/>
      <c r="P1510" s="148"/>
      <c r="Q1510" s="148"/>
      <c r="R1510" s="148"/>
      <c r="S1510" s="148"/>
      <c r="T1510" s="148"/>
      <c r="U1510" s="148"/>
      <c r="V1510" s="148"/>
      <c r="W1510" s="148"/>
      <c r="X1510" s="148"/>
      <c r="Y1510" s="148"/>
      <c r="Z1510" s="148"/>
      <c r="AA1510" s="148"/>
    </row>
    <row r="1511" spans="1:27">
      <c r="A1511" s="147">
        <v>2962</v>
      </c>
      <c r="B1511" s="147" t="s">
        <v>69</v>
      </c>
      <c r="C1511" s="147" t="s">
        <v>46</v>
      </c>
      <c r="D1511" s="148" t="s">
        <v>51</v>
      </c>
      <c r="E1511" s="148" t="s">
        <v>30</v>
      </c>
      <c r="F1511" s="149">
        <v>2026</v>
      </c>
      <c r="G1511" s="148" t="s">
        <v>41</v>
      </c>
      <c r="H1511" s="148"/>
      <c r="I1511" s="148"/>
      <c r="J1511" s="148"/>
      <c r="K1511" s="148"/>
      <c r="L1511" s="152"/>
      <c r="M1511" s="152">
        <f t="shared" si="23"/>
        <v>0</v>
      </c>
      <c r="N1511" s="148"/>
      <c r="O1511" s="148"/>
      <c r="P1511" s="148"/>
      <c r="Q1511" s="148"/>
      <c r="R1511" s="148"/>
      <c r="S1511" s="148"/>
      <c r="T1511" s="148"/>
      <c r="U1511" s="148"/>
      <c r="V1511" s="148"/>
      <c r="W1511" s="148"/>
      <c r="X1511" s="148"/>
      <c r="Y1511" s="148"/>
      <c r="Z1511" s="148"/>
      <c r="AA1511" s="148"/>
    </row>
    <row r="1512" spans="1:27">
      <c r="A1512" s="147">
        <v>2963</v>
      </c>
      <c r="B1512" s="147" t="s">
        <v>69</v>
      </c>
      <c r="C1512" s="147" t="s">
        <v>46</v>
      </c>
      <c r="D1512" s="148" t="s">
        <v>51</v>
      </c>
      <c r="E1512" s="148" t="s">
        <v>30</v>
      </c>
      <c r="F1512" s="149">
        <v>2026</v>
      </c>
      <c r="G1512" s="148" t="s">
        <v>42</v>
      </c>
      <c r="H1512" s="148"/>
      <c r="I1512" s="148"/>
      <c r="J1512" s="148"/>
      <c r="K1512" s="148"/>
      <c r="L1512" s="152"/>
      <c r="M1512" s="152">
        <f t="shared" si="23"/>
        <v>0</v>
      </c>
      <c r="N1512" s="148"/>
      <c r="O1512" s="148"/>
      <c r="P1512" s="148"/>
      <c r="Q1512" s="148"/>
      <c r="R1512" s="148"/>
      <c r="S1512" s="148"/>
      <c r="T1512" s="148"/>
      <c r="U1512" s="148"/>
      <c r="V1512" s="148"/>
      <c r="W1512" s="148"/>
      <c r="X1512" s="148"/>
      <c r="Y1512" s="148"/>
      <c r="Z1512" s="148"/>
      <c r="AA1512" s="148"/>
    </row>
    <row r="1513" spans="1:27">
      <c r="A1513" s="147">
        <v>2964</v>
      </c>
      <c r="B1513" s="147" t="s">
        <v>69</v>
      </c>
      <c r="C1513" s="147" t="s">
        <v>46</v>
      </c>
      <c r="D1513" s="148" t="s">
        <v>51</v>
      </c>
      <c r="E1513" s="148" t="s">
        <v>30</v>
      </c>
      <c r="F1513" s="149">
        <v>2026</v>
      </c>
      <c r="G1513" s="148" t="s">
        <v>43</v>
      </c>
      <c r="H1513" s="148"/>
      <c r="I1513" s="148"/>
      <c r="J1513" s="148"/>
      <c r="K1513" s="148"/>
      <c r="L1513" s="152"/>
      <c r="M1513" s="152">
        <f t="shared" si="23"/>
        <v>0</v>
      </c>
      <c r="N1513" s="148"/>
      <c r="O1513" s="148"/>
      <c r="P1513" s="148"/>
      <c r="Q1513" s="148"/>
      <c r="R1513" s="148"/>
      <c r="S1513" s="148"/>
      <c r="T1513" s="148"/>
      <c r="U1513" s="148"/>
      <c r="V1513" s="148"/>
      <c r="W1513" s="148"/>
      <c r="X1513" s="148"/>
      <c r="Y1513" s="148"/>
      <c r="Z1513" s="148"/>
      <c r="AA1513" s="148"/>
    </row>
    <row r="1514" spans="1:27">
      <c r="A1514" s="147">
        <v>2977</v>
      </c>
      <c r="B1514" s="147" t="s">
        <v>69</v>
      </c>
      <c r="C1514" s="147" t="s">
        <v>46</v>
      </c>
      <c r="D1514" s="148" t="s">
        <v>52</v>
      </c>
      <c r="E1514" s="148" t="s">
        <v>30</v>
      </c>
      <c r="F1514" s="149">
        <v>2024</v>
      </c>
      <c r="G1514" s="148" t="s">
        <v>31</v>
      </c>
      <c r="H1514" s="148"/>
      <c r="I1514" s="148"/>
      <c r="J1514" s="148"/>
      <c r="K1514" s="148"/>
      <c r="L1514" s="152"/>
      <c r="M1514" s="152">
        <f t="shared" si="23"/>
        <v>0</v>
      </c>
      <c r="N1514" s="148"/>
      <c r="O1514" s="148"/>
      <c r="P1514" s="148"/>
      <c r="Q1514" s="148"/>
      <c r="R1514" s="148"/>
      <c r="S1514" s="148"/>
      <c r="T1514" s="148"/>
      <c r="U1514" s="148"/>
      <c r="V1514" s="148"/>
      <c r="W1514" s="148"/>
      <c r="X1514" s="148"/>
      <c r="Y1514" s="148"/>
      <c r="Z1514" s="148"/>
      <c r="AA1514" s="148"/>
    </row>
    <row r="1515" spans="1:27">
      <c r="A1515" s="147">
        <v>2978</v>
      </c>
      <c r="B1515" s="147" t="s">
        <v>69</v>
      </c>
      <c r="C1515" s="147" t="s">
        <v>46</v>
      </c>
      <c r="D1515" s="148" t="s">
        <v>52</v>
      </c>
      <c r="E1515" s="148" t="s">
        <v>30</v>
      </c>
      <c r="F1515" s="149">
        <v>2024</v>
      </c>
      <c r="G1515" s="148" t="s">
        <v>33</v>
      </c>
      <c r="H1515" s="148"/>
      <c r="I1515" s="148"/>
      <c r="J1515" s="148"/>
      <c r="K1515" s="148"/>
      <c r="L1515" s="152"/>
      <c r="M1515" s="152">
        <f t="shared" si="23"/>
        <v>0</v>
      </c>
      <c r="N1515" s="148"/>
      <c r="O1515" s="148"/>
      <c r="P1515" s="148"/>
      <c r="Q1515" s="148"/>
      <c r="R1515" s="148"/>
      <c r="S1515" s="148"/>
      <c r="T1515" s="148"/>
      <c r="U1515" s="148"/>
      <c r="V1515" s="148"/>
      <c r="W1515" s="148"/>
      <c r="X1515" s="148"/>
      <c r="Y1515" s="148"/>
      <c r="Z1515" s="148"/>
      <c r="AA1515" s="148"/>
    </row>
    <row r="1516" spans="1:27">
      <c r="A1516" s="147">
        <v>2979</v>
      </c>
      <c r="B1516" s="147" t="s">
        <v>69</v>
      </c>
      <c r="C1516" s="147" t="s">
        <v>46</v>
      </c>
      <c r="D1516" s="148" t="s">
        <v>52</v>
      </c>
      <c r="E1516" s="148" t="s">
        <v>30</v>
      </c>
      <c r="F1516" s="149">
        <v>2024</v>
      </c>
      <c r="G1516" s="148" t="s">
        <v>34</v>
      </c>
      <c r="H1516" s="148"/>
      <c r="I1516" s="148"/>
      <c r="J1516" s="148"/>
      <c r="K1516" s="148"/>
      <c r="L1516" s="152"/>
      <c r="M1516" s="152">
        <f t="shared" si="23"/>
        <v>0</v>
      </c>
      <c r="N1516" s="148"/>
      <c r="O1516" s="148"/>
      <c r="P1516" s="148"/>
      <c r="Q1516" s="148"/>
      <c r="R1516" s="148"/>
      <c r="S1516" s="148"/>
      <c r="T1516" s="148"/>
      <c r="U1516" s="148"/>
      <c r="V1516" s="148"/>
      <c r="W1516" s="148"/>
      <c r="X1516" s="148"/>
      <c r="Y1516" s="148"/>
      <c r="Z1516" s="148"/>
      <c r="AA1516" s="148"/>
    </row>
    <row r="1517" spans="1:27">
      <c r="A1517" s="147">
        <v>2980</v>
      </c>
      <c r="B1517" s="147" t="s">
        <v>69</v>
      </c>
      <c r="C1517" s="147" t="s">
        <v>46</v>
      </c>
      <c r="D1517" s="148" t="s">
        <v>52</v>
      </c>
      <c r="E1517" s="148" t="s">
        <v>30</v>
      </c>
      <c r="F1517" s="149">
        <v>2024</v>
      </c>
      <c r="G1517" s="148" t="s">
        <v>35</v>
      </c>
      <c r="H1517" s="148"/>
      <c r="I1517" s="148"/>
      <c r="J1517" s="148"/>
      <c r="K1517" s="148"/>
      <c r="L1517" s="152"/>
      <c r="M1517" s="152">
        <f t="shared" si="23"/>
        <v>0</v>
      </c>
      <c r="N1517" s="148"/>
      <c r="O1517" s="148"/>
      <c r="P1517" s="148"/>
      <c r="Q1517" s="148"/>
      <c r="R1517" s="148"/>
      <c r="S1517" s="148"/>
      <c r="T1517" s="148"/>
      <c r="U1517" s="148"/>
      <c r="V1517" s="148"/>
      <c r="W1517" s="148"/>
      <c r="X1517" s="148"/>
      <c r="Y1517" s="148"/>
      <c r="Z1517" s="148"/>
      <c r="AA1517" s="148"/>
    </row>
    <row r="1518" spans="1:27">
      <c r="A1518" s="147">
        <v>2981</v>
      </c>
      <c r="B1518" s="147" t="s">
        <v>69</v>
      </c>
      <c r="C1518" s="147" t="s">
        <v>46</v>
      </c>
      <c r="D1518" s="148" t="s">
        <v>52</v>
      </c>
      <c r="E1518" s="148" t="s">
        <v>30</v>
      </c>
      <c r="F1518" s="149">
        <v>2024</v>
      </c>
      <c r="G1518" s="148" t="s">
        <v>36</v>
      </c>
      <c r="H1518" s="148"/>
      <c r="I1518" s="148"/>
      <c r="J1518" s="148"/>
      <c r="K1518" s="148"/>
      <c r="L1518" s="152"/>
      <c r="M1518" s="152">
        <f t="shared" si="23"/>
        <v>0</v>
      </c>
      <c r="N1518" s="148"/>
      <c r="O1518" s="148"/>
      <c r="P1518" s="148"/>
      <c r="Q1518" s="148"/>
      <c r="R1518" s="148"/>
      <c r="S1518" s="148"/>
      <c r="T1518" s="148"/>
      <c r="U1518" s="148"/>
      <c r="V1518" s="148"/>
      <c r="W1518" s="148"/>
      <c r="X1518" s="148"/>
      <c r="Y1518" s="148"/>
      <c r="Z1518" s="148"/>
      <c r="AA1518" s="148"/>
    </row>
    <row r="1519" spans="1:27">
      <c r="A1519" s="147">
        <v>2982</v>
      </c>
      <c r="B1519" s="147" t="s">
        <v>69</v>
      </c>
      <c r="C1519" s="147" t="s">
        <v>46</v>
      </c>
      <c r="D1519" s="148" t="s">
        <v>52</v>
      </c>
      <c r="E1519" s="148" t="s">
        <v>30</v>
      </c>
      <c r="F1519" s="149">
        <v>2024</v>
      </c>
      <c r="G1519" s="148" t="s">
        <v>37</v>
      </c>
      <c r="H1519" s="148"/>
      <c r="I1519" s="148"/>
      <c r="J1519" s="148"/>
      <c r="K1519" s="148"/>
      <c r="L1519" s="152"/>
      <c r="M1519" s="152">
        <f t="shared" si="23"/>
        <v>0</v>
      </c>
      <c r="N1519" s="148"/>
      <c r="O1519" s="148"/>
      <c r="P1519" s="148"/>
      <c r="Q1519" s="148"/>
      <c r="R1519" s="148"/>
      <c r="S1519" s="148"/>
      <c r="T1519" s="148"/>
      <c r="U1519" s="148"/>
      <c r="V1519" s="148"/>
      <c r="W1519" s="148"/>
      <c r="X1519" s="148"/>
      <c r="Y1519" s="148"/>
      <c r="Z1519" s="148"/>
      <c r="AA1519" s="148"/>
    </row>
    <row r="1520" spans="1:27">
      <c r="A1520" s="147">
        <v>2983</v>
      </c>
      <c r="B1520" s="147" t="s">
        <v>69</v>
      </c>
      <c r="C1520" s="147" t="s">
        <v>46</v>
      </c>
      <c r="D1520" s="148" t="s">
        <v>52</v>
      </c>
      <c r="E1520" s="148" t="s">
        <v>30</v>
      </c>
      <c r="F1520" s="149">
        <v>2024</v>
      </c>
      <c r="G1520" s="148" t="s">
        <v>38</v>
      </c>
      <c r="H1520" s="148"/>
      <c r="I1520" s="148"/>
      <c r="J1520" s="148"/>
      <c r="K1520" s="148"/>
      <c r="L1520" s="152"/>
      <c r="M1520" s="152">
        <f t="shared" si="23"/>
        <v>0</v>
      </c>
      <c r="N1520" s="148"/>
      <c r="O1520" s="148"/>
      <c r="P1520" s="148"/>
      <c r="Q1520" s="148"/>
      <c r="R1520" s="148"/>
      <c r="S1520" s="148"/>
      <c r="T1520" s="148"/>
      <c r="U1520" s="148"/>
      <c r="V1520" s="148"/>
      <c r="W1520" s="148"/>
      <c r="X1520" s="148"/>
      <c r="Y1520" s="148"/>
      <c r="Z1520" s="148"/>
      <c r="AA1520" s="148"/>
    </row>
    <row r="1521" spans="1:27">
      <c r="A1521" s="147">
        <v>2984</v>
      </c>
      <c r="B1521" s="147" t="s">
        <v>69</v>
      </c>
      <c r="C1521" s="147" t="s">
        <v>46</v>
      </c>
      <c r="D1521" s="148" t="s">
        <v>52</v>
      </c>
      <c r="E1521" s="148" t="s">
        <v>30</v>
      </c>
      <c r="F1521" s="149">
        <v>2024</v>
      </c>
      <c r="G1521" s="148" t="s">
        <v>39</v>
      </c>
      <c r="H1521" s="148"/>
      <c r="I1521" s="148"/>
      <c r="J1521" s="148"/>
      <c r="K1521" s="148"/>
      <c r="L1521" s="152"/>
      <c r="M1521" s="152">
        <f t="shared" si="23"/>
        <v>0</v>
      </c>
      <c r="N1521" s="148"/>
      <c r="O1521" s="148"/>
      <c r="P1521" s="148"/>
      <c r="Q1521" s="148"/>
      <c r="R1521" s="148"/>
      <c r="S1521" s="148"/>
      <c r="T1521" s="148"/>
      <c r="U1521" s="148"/>
      <c r="V1521" s="148"/>
      <c r="W1521" s="148"/>
      <c r="X1521" s="148"/>
      <c r="Y1521" s="148"/>
      <c r="Z1521" s="148"/>
      <c r="AA1521" s="148"/>
    </row>
    <row r="1522" spans="1:27">
      <c r="A1522" s="147">
        <v>2985</v>
      </c>
      <c r="B1522" s="147" t="s">
        <v>69</v>
      </c>
      <c r="C1522" s="147" t="s">
        <v>46</v>
      </c>
      <c r="D1522" s="148" t="s">
        <v>52</v>
      </c>
      <c r="E1522" s="148" t="s">
        <v>30</v>
      </c>
      <c r="F1522" s="149">
        <v>2024</v>
      </c>
      <c r="G1522" s="148" t="s">
        <v>40</v>
      </c>
      <c r="H1522" s="148"/>
      <c r="I1522" s="148"/>
      <c r="J1522" s="148"/>
      <c r="K1522" s="148"/>
      <c r="L1522" s="152"/>
      <c r="M1522" s="152">
        <f t="shared" si="23"/>
        <v>0</v>
      </c>
      <c r="N1522" s="148"/>
      <c r="O1522" s="148"/>
      <c r="P1522" s="148"/>
      <c r="Q1522" s="148"/>
      <c r="R1522" s="148"/>
      <c r="S1522" s="148"/>
      <c r="T1522" s="148"/>
      <c r="U1522" s="148"/>
      <c r="V1522" s="148"/>
      <c r="W1522" s="148"/>
      <c r="X1522" s="148"/>
      <c r="Y1522" s="148"/>
      <c r="Z1522" s="148"/>
      <c r="AA1522" s="148"/>
    </row>
    <row r="1523" spans="1:27">
      <c r="A1523" s="147">
        <v>2986</v>
      </c>
      <c r="B1523" s="147" t="s">
        <v>69</v>
      </c>
      <c r="C1523" s="147" t="s">
        <v>46</v>
      </c>
      <c r="D1523" s="148" t="s">
        <v>52</v>
      </c>
      <c r="E1523" s="148" t="s">
        <v>30</v>
      </c>
      <c r="F1523" s="149">
        <v>2024</v>
      </c>
      <c r="G1523" s="148" t="s">
        <v>41</v>
      </c>
      <c r="H1523" s="148"/>
      <c r="I1523" s="148"/>
      <c r="J1523" s="148"/>
      <c r="K1523" s="148"/>
      <c r="L1523" s="152"/>
      <c r="M1523" s="152">
        <f t="shared" si="23"/>
        <v>0</v>
      </c>
      <c r="N1523" s="148"/>
      <c r="O1523" s="148"/>
      <c r="P1523" s="148"/>
      <c r="Q1523" s="148"/>
      <c r="R1523" s="148"/>
      <c r="S1523" s="148"/>
      <c r="T1523" s="148"/>
      <c r="U1523" s="148"/>
      <c r="V1523" s="148"/>
      <c r="W1523" s="148"/>
      <c r="X1523" s="148"/>
      <c r="Y1523" s="148"/>
      <c r="Z1523" s="148"/>
      <c r="AA1523" s="148"/>
    </row>
    <row r="1524" spans="1:27">
      <c r="A1524" s="147">
        <v>2987</v>
      </c>
      <c r="B1524" s="147" t="s">
        <v>69</v>
      </c>
      <c r="C1524" s="147" t="s">
        <v>46</v>
      </c>
      <c r="D1524" s="148" t="s">
        <v>52</v>
      </c>
      <c r="E1524" s="148" t="s">
        <v>30</v>
      </c>
      <c r="F1524" s="149">
        <v>2024</v>
      </c>
      <c r="G1524" s="148" t="s">
        <v>42</v>
      </c>
      <c r="H1524" s="148"/>
      <c r="I1524" s="148"/>
      <c r="J1524" s="148"/>
      <c r="K1524" s="148"/>
      <c r="L1524" s="152"/>
      <c r="M1524" s="152">
        <f t="shared" si="23"/>
        <v>0</v>
      </c>
      <c r="N1524" s="148"/>
      <c r="O1524" s="148"/>
      <c r="P1524" s="148"/>
      <c r="Q1524" s="148"/>
      <c r="R1524" s="148"/>
      <c r="S1524" s="148"/>
      <c r="T1524" s="148"/>
      <c r="U1524" s="148"/>
      <c r="V1524" s="148"/>
      <c r="W1524" s="148"/>
      <c r="X1524" s="148"/>
      <c r="Y1524" s="148"/>
      <c r="Z1524" s="148"/>
      <c r="AA1524" s="148"/>
    </row>
    <row r="1525" spans="1:27">
      <c r="A1525" s="147">
        <v>2988</v>
      </c>
      <c r="B1525" s="147" t="s">
        <v>69</v>
      </c>
      <c r="C1525" s="147" t="s">
        <v>46</v>
      </c>
      <c r="D1525" s="148" t="s">
        <v>52</v>
      </c>
      <c r="E1525" s="148" t="s">
        <v>30</v>
      </c>
      <c r="F1525" s="149">
        <v>2024</v>
      </c>
      <c r="G1525" s="148" t="s">
        <v>43</v>
      </c>
      <c r="H1525" s="148"/>
      <c r="I1525" s="148"/>
      <c r="J1525" s="148"/>
      <c r="K1525" s="148"/>
      <c r="L1525" s="152"/>
      <c r="M1525" s="152">
        <f t="shared" si="23"/>
        <v>0</v>
      </c>
      <c r="N1525" s="148"/>
      <c r="O1525" s="148"/>
      <c r="P1525" s="148"/>
      <c r="Q1525" s="148"/>
      <c r="R1525" s="148"/>
      <c r="S1525" s="148"/>
      <c r="T1525" s="148"/>
      <c r="U1525" s="148"/>
      <c r="V1525" s="148"/>
      <c r="W1525" s="148"/>
      <c r="X1525" s="148"/>
      <c r="Y1525" s="148"/>
      <c r="Z1525" s="148"/>
      <c r="AA1525" s="148"/>
    </row>
    <row r="1526" spans="1:27">
      <c r="A1526" s="147">
        <v>2989</v>
      </c>
      <c r="B1526" s="147" t="s">
        <v>69</v>
      </c>
      <c r="C1526" s="147" t="s">
        <v>46</v>
      </c>
      <c r="D1526" s="148" t="s">
        <v>52</v>
      </c>
      <c r="E1526" s="148" t="s">
        <v>30</v>
      </c>
      <c r="F1526" s="149">
        <v>2025</v>
      </c>
      <c r="G1526" s="148" t="s">
        <v>31</v>
      </c>
      <c r="H1526" s="148"/>
      <c r="I1526" s="148"/>
      <c r="J1526" s="148"/>
      <c r="K1526" s="148"/>
      <c r="L1526" s="152"/>
      <c r="M1526" s="152">
        <f t="shared" si="23"/>
        <v>0</v>
      </c>
      <c r="N1526" s="148"/>
      <c r="O1526" s="148"/>
      <c r="P1526" s="148"/>
      <c r="Q1526" s="148"/>
      <c r="R1526" s="148"/>
      <c r="S1526" s="148"/>
      <c r="T1526" s="148"/>
      <c r="U1526" s="148"/>
      <c r="V1526" s="148"/>
      <c r="W1526" s="148"/>
      <c r="X1526" s="148"/>
      <c r="Y1526" s="148"/>
      <c r="Z1526" s="148"/>
      <c r="AA1526" s="148"/>
    </row>
    <row r="1527" spans="1:27">
      <c r="A1527" s="147">
        <v>2990</v>
      </c>
      <c r="B1527" s="147" t="s">
        <v>69</v>
      </c>
      <c r="C1527" s="147" t="s">
        <v>46</v>
      </c>
      <c r="D1527" s="148" t="s">
        <v>52</v>
      </c>
      <c r="E1527" s="148" t="s">
        <v>30</v>
      </c>
      <c r="F1527" s="149">
        <v>2025</v>
      </c>
      <c r="G1527" s="148" t="s">
        <v>33</v>
      </c>
      <c r="H1527" s="148"/>
      <c r="I1527" s="148"/>
      <c r="J1527" s="148"/>
      <c r="K1527" s="148"/>
      <c r="L1527" s="152"/>
      <c r="M1527" s="152">
        <f t="shared" si="23"/>
        <v>0</v>
      </c>
      <c r="N1527" s="148"/>
      <c r="O1527" s="148"/>
      <c r="P1527" s="148"/>
      <c r="Q1527" s="148"/>
      <c r="R1527" s="148"/>
      <c r="S1527" s="148"/>
      <c r="T1527" s="148"/>
      <c r="U1527" s="148"/>
      <c r="V1527" s="148"/>
      <c r="W1527" s="148"/>
      <c r="X1527" s="148"/>
      <c r="Y1527" s="148"/>
      <c r="Z1527" s="148"/>
      <c r="AA1527" s="148"/>
    </row>
    <row r="1528" spans="1:27">
      <c r="A1528" s="147">
        <v>2991</v>
      </c>
      <c r="B1528" s="147" t="s">
        <v>69</v>
      </c>
      <c r="C1528" s="147" t="s">
        <v>46</v>
      </c>
      <c r="D1528" s="148" t="s">
        <v>52</v>
      </c>
      <c r="E1528" s="148" t="s">
        <v>30</v>
      </c>
      <c r="F1528" s="149">
        <v>2025</v>
      </c>
      <c r="G1528" s="148" t="s">
        <v>34</v>
      </c>
      <c r="H1528" s="148"/>
      <c r="I1528" s="148"/>
      <c r="J1528" s="148"/>
      <c r="K1528" s="148"/>
      <c r="L1528" s="152"/>
      <c r="M1528" s="152">
        <f t="shared" si="23"/>
        <v>0</v>
      </c>
      <c r="N1528" s="148"/>
      <c r="O1528" s="148"/>
      <c r="P1528" s="148"/>
      <c r="Q1528" s="148"/>
      <c r="R1528" s="148"/>
      <c r="S1528" s="148"/>
      <c r="T1528" s="148"/>
      <c r="U1528" s="148"/>
      <c r="V1528" s="148"/>
      <c r="W1528" s="148"/>
      <c r="X1528" s="148"/>
      <c r="Y1528" s="148"/>
      <c r="Z1528" s="148"/>
      <c r="AA1528" s="148"/>
    </row>
    <row r="1529" spans="1:27">
      <c r="A1529" s="147">
        <v>2992</v>
      </c>
      <c r="B1529" s="147" t="s">
        <v>69</v>
      </c>
      <c r="C1529" s="147" t="s">
        <v>46</v>
      </c>
      <c r="D1529" s="148" t="s">
        <v>52</v>
      </c>
      <c r="E1529" s="148" t="s">
        <v>30</v>
      </c>
      <c r="F1529" s="149">
        <v>2025</v>
      </c>
      <c r="G1529" s="148" t="s">
        <v>35</v>
      </c>
      <c r="H1529" s="148"/>
      <c r="I1529" s="148"/>
      <c r="J1529" s="148"/>
      <c r="K1529" s="148"/>
      <c r="L1529" s="152"/>
      <c r="M1529" s="152">
        <f t="shared" si="23"/>
        <v>0</v>
      </c>
      <c r="N1529" s="148"/>
      <c r="O1529" s="148"/>
      <c r="P1529" s="148"/>
      <c r="Q1529" s="148"/>
      <c r="R1529" s="148"/>
      <c r="S1529" s="148"/>
      <c r="T1529" s="148"/>
      <c r="U1529" s="148"/>
      <c r="V1529" s="148"/>
      <c r="W1529" s="148"/>
      <c r="X1529" s="148"/>
      <c r="Y1529" s="148"/>
      <c r="Z1529" s="148"/>
      <c r="AA1529" s="148"/>
    </row>
    <row r="1530" spans="1:27">
      <c r="A1530" s="147">
        <v>2993</v>
      </c>
      <c r="B1530" s="147" t="s">
        <v>69</v>
      </c>
      <c r="C1530" s="147" t="s">
        <v>46</v>
      </c>
      <c r="D1530" s="148" t="s">
        <v>52</v>
      </c>
      <c r="E1530" s="148" t="s">
        <v>30</v>
      </c>
      <c r="F1530" s="149">
        <v>2025</v>
      </c>
      <c r="G1530" s="148" t="s">
        <v>36</v>
      </c>
      <c r="H1530" s="148"/>
      <c r="I1530" s="148"/>
      <c r="J1530" s="148"/>
      <c r="K1530" s="148"/>
      <c r="L1530" s="152"/>
      <c r="M1530" s="152">
        <f t="shared" si="23"/>
        <v>0</v>
      </c>
      <c r="N1530" s="148"/>
      <c r="O1530" s="148"/>
      <c r="P1530" s="148"/>
      <c r="Q1530" s="148"/>
      <c r="R1530" s="148"/>
      <c r="S1530" s="148"/>
      <c r="T1530" s="148"/>
      <c r="U1530" s="148"/>
      <c r="V1530" s="148"/>
      <c r="W1530" s="148"/>
      <c r="X1530" s="148"/>
      <c r="Y1530" s="148"/>
      <c r="Z1530" s="148"/>
      <c r="AA1530" s="148"/>
    </row>
    <row r="1531" spans="1:27">
      <c r="A1531" s="147">
        <v>2994</v>
      </c>
      <c r="B1531" s="147" t="s">
        <v>69</v>
      </c>
      <c r="C1531" s="147" t="s">
        <v>46</v>
      </c>
      <c r="D1531" s="148" t="s">
        <v>52</v>
      </c>
      <c r="E1531" s="148" t="s">
        <v>30</v>
      </c>
      <c r="F1531" s="149">
        <v>2025</v>
      </c>
      <c r="G1531" s="148" t="s">
        <v>37</v>
      </c>
      <c r="H1531" s="148"/>
      <c r="I1531" s="150">
        <v>147597</v>
      </c>
      <c r="J1531" s="148"/>
      <c r="K1531" s="148"/>
      <c r="L1531" s="152"/>
      <c r="M1531" s="152">
        <f t="shared" si="23"/>
        <v>0</v>
      </c>
      <c r="N1531" s="148"/>
      <c r="O1531" s="148"/>
      <c r="P1531" s="148"/>
      <c r="Q1531" s="148"/>
      <c r="R1531" s="148"/>
      <c r="S1531" s="148"/>
      <c r="T1531" s="148"/>
      <c r="U1531" s="148"/>
      <c r="V1531" s="148"/>
      <c r="W1531" s="148"/>
      <c r="X1531" s="148"/>
      <c r="Y1531" s="148"/>
      <c r="Z1531" s="148"/>
      <c r="AA1531" s="148"/>
    </row>
    <row r="1532" spans="1:27">
      <c r="A1532" s="147">
        <v>2995</v>
      </c>
      <c r="B1532" s="147" t="s">
        <v>69</v>
      </c>
      <c r="C1532" s="147" t="s">
        <v>46</v>
      </c>
      <c r="D1532" s="148" t="s">
        <v>52</v>
      </c>
      <c r="E1532" s="148" t="s">
        <v>30</v>
      </c>
      <c r="F1532" s="149">
        <v>2025</v>
      </c>
      <c r="G1532" s="148" t="s">
        <v>38</v>
      </c>
      <c r="H1532" s="148"/>
      <c r="I1532" s="150">
        <v>147610</v>
      </c>
      <c r="J1532" s="150">
        <v>147610</v>
      </c>
      <c r="K1532" s="148"/>
      <c r="L1532" s="152"/>
      <c r="M1532" s="152">
        <f t="shared" si="23"/>
        <v>0</v>
      </c>
      <c r="N1532" s="148"/>
      <c r="O1532" s="148"/>
      <c r="P1532" s="148"/>
      <c r="Q1532" s="148"/>
      <c r="R1532" s="148"/>
      <c r="S1532" s="148"/>
      <c r="T1532" s="148"/>
      <c r="U1532" s="148"/>
      <c r="V1532" s="148"/>
      <c r="W1532" s="148"/>
      <c r="X1532" s="148"/>
      <c r="Y1532" s="148"/>
      <c r="Z1532" s="148"/>
      <c r="AA1532" s="148"/>
    </row>
    <row r="1533" spans="1:27">
      <c r="A1533" s="147">
        <v>2996</v>
      </c>
      <c r="B1533" s="147" t="s">
        <v>69</v>
      </c>
      <c r="C1533" s="147" t="s">
        <v>46</v>
      </c>
      <c r="D1533" s="148" t="s">
        <v>52</v>
      </c>
      <c r="E1533" s="148" t="s">
        <v>30</v>
      </c>
      <c r="F1533" s="149">
        <v>2025</v>
      </c>
      <c r="G1533" s="148" t="s">
        <v>39</v>
      </c>
      <c r="H1533" s="148"/>
      <c r="I1533" s="150">
        <v>147398</v>
      </c>
      <c r="J1533" s="150">
        <v>147398</v>
      </c>
      <c r="K1533" s="148"/>
      <c r="L1533" s="152"/>
      <c r="M1533" s="152">
        <f t="shared" si="23"/>
        <v>0</v>
      </c>
      <c r="N1533" s="148"/>
      <c r="O1533" s="148"/>
      <c r="P1533" s="148"/>
      <c r="Q1533" s="148"/>
      <c r="R1533" s="148"/>
      <c r="S1533" s="148"/>
      <c r="T1533" s="148"/>
      <c r="U1533" s="148"/>
      <c r="V1533" s="148"/>
      <c r="W1533" s="148"/>
      <c r="X1533" s="148"/>
      <c r="Y1533" s="148"/>
      <c r="Z1533" s="148"/>
      <c r="AA1533" s="148"/>
    </row>
    <row r="1534" spans="1:27">
      <c r="A1534" s="147">
        <v>2997</v>
      </c>
      <c r="B1534" s="147" t="s">
        <v>69</v>
      </c>
      <c r="C1534" s="147" t="s">
        <v>46</v>
      </c>
      <c r="D1534" s="148" t="s">
        <v>52</v>
      </c>
      <c r="E1534" s="148" t="s">
        <v>30</v>
      </c>
      <c r="F1534" s="149">
        <v>2025</v>
      </c>
      <c r="G1534" s="148" t="s">
        <v>40</v>
      </c>
      <c r="H1534" s="148"/>
      <c r="I1534" s="150">
        <v>147223</v>
      </c>
      <c r="J1534" s="149">
        <v>523</v>
      </c>
      <c r="K1534" s="148"/>
      <c r="L1534" s="152"/>
      <c r="M1534" s="152">
        <f t="shared" si="23"/>
        <v>0</v>
      </c>
      <c r="N1534" s="148"/>
      <c r="O1534" s="148"/>
      <c r="P1534" s="148"/>
      <c r="Q1534" s="148"/>
      <c r="R1534" s="148"/>
      <c r="S1534" s="148"/>
      <c r="T1534" s="148"/>
      <c r="U1534" s="148"/>
      <c r="V1534" s="148"/>
      <c r="W1534" s="148"/>
      <c r="X1534" s="148"/>
      <c r="Y1534" s="148"/>
      <c r="Z1534" s="148"/>
      <c r="AA1534" s="148"/>
    </row>
    <row r="1535" spans="1:27">
      <c r="A1535" s="147">
        <v>2998</v>
      </c>
      <c r="B1535" s="147" t="s">
        <v>69</v>
      </c>
      <c r="C1535" s="147" t="s">
        <v>46</v>
      </c>
      <c r="D1535" s="148" t="s">
        <v>52</v>
      </c>
      <c r="E1535" s="148" t="s">
        <v>30</v>
      </c>
      <c r="F1535" s="149">
        <v>2025</v>
      </c>
      <c r="G1535" s="148" t="s">
        <v>41</v>
      </c>
      <c r="H1535" s="148"/>
      <c r="I1535" s="150">
        <v>146700</v>
      </c>
      <c r="J1535" s="150">
        <v>2559</v>
      </c>
      <c r="K1535" s="148"/>
      <c r="L1535" s="152"/>
      <c r="M1535" s="152">
        <f t="shared" si="23"/>
        <v>0</v>
      </c>
      <c r="N1535" s="148"/>
      <c r="O1535" s="148"/>
      <c r="P1535" s="148"/>
      <c r="Q1535" s="148"/>
      <c r="R1535" s="148"/>
      <c r="S1535" s="148"/>
      <c r="T1535" s="148"/>
      <c r="U1535" s="148"/>
      <c r="V1535" s="148"/>
      <c r="W1535" s="148"/>
      <c r="X1535" s="148"/>
      <c r="Y1535" s="148"/>
      <c r="Z1535" s="148"/>
      <c r="AA1535" s="148"/>
    </row>
    <row r="1536" spans="1:27">
      <c r="A1536" s="147">
        <v>2999</v>
      </c>
      <c r="B1536" s="147" t="s">
        <v>69</v>
      </c>
      <c r="C1536" s="147" t="s">
        <v>46</v>
      </c>
      <c r="D1536" s="148" t="s">
        <v>52</v>
      </c>
      <c r="E1536" s="148" t="s">
        <v>30</v>
      </c>
      <c r="F1536" s="149">
        <v>2025</v>
      </c>
      <c r="G1536" s="148" t="s">
        <v>42</v>
      </c>
      <c r="H1536" s="148"/>
      <c r="I1536" s="150">
        <v>144141</v>
      </c>
      <c r="J1536" s="150">
        <v>144141</v>
      </c>
      <c r="K1536" s="148"/>
      <c r="L1536" s="152"/>
      <c r="M1536" s="152">
        <f t="shared" si="23"/>
        <v>0</v>
      </c>
      <c r="N1536" s="148"/>
      <c r="O1536" s="148"/>
      <c r="P1536" s="148"/>
      <c r="Q1536" s="148"/>
      <c r="R1536" s="148"/>
      <c r="S1536" s="148"/>
      <c r="T1536" s="148"/>
      <c r="U1536" s="148"/>
      <c r="V1536" s="148"/>
      <c r="W1536" s="148"/>
      <c r="X1536" s="148"/>
      <c r="Y1536" s="148"/>
      <c r="Z1536" s="148"/>
      <c r="AA1536" s="148"/>
    </row>
    <row r="1537" spans="1:27">
      <c r="A1537" s="147">
        <v>3000</v>
      </c>
      <c r="B1537" s="147" t="s">
        <v>69</v>
      </c>
      <c r="C1537" s="147" t="s">
        <v>46</v>
      </c>
      <c r="D1537" s="148" t="s">
        <v>52</v>
      </c>
      <c r="E1537" s="148" t="s">
        <v>30</v>
      </c>
      <c r="F1537" s="149">
        <v>2025</v>
      </c>
      <c r="G1537" s="148" t="s">
        <v>43</v>
      </c>
      <c r="H1537" s="148"/>
      <c r="I1537" s="150">
        <v>144036</v>
      </c>
      <c r="J1537" s="150">
        <v>-3362</v>
      </c>
      <c r="K1537" s="148"/>
      <c r="L1537" s="152"/>
      <c r="M1537" s="152">
        <f t="shared" si="23"/>
        <v>0</v>
      </c>
      <c r="N1537" s="148"/>
      <c r="O1537" s="148"/>
      <c r="P1537" s="148"/>
      <c r="Q1537" s="148"/>
      <c r="R1537" s="148"/>
      <c r="S1537" s="148"/>
      <c r="T1537" s="148"/>
      <c r="U1537" s="148"/>
      <c r="V1537" s="148"/>
      <c r="W1537" s="148"/>
      <c r="X1537" s="148"/>
      <c r="Y1537" s="148"/>
      <c r="Z1537" s="148"/>
      <c r="AA1537" s="148"/>
    </row>
    <row r="1538" spans="1:27">
      <c r="A1538" s="147">
        <v>3001</v>
      </c>
      <c r="B1538" s="147" t="s">
        <v>69</v>
      </c>
      <c r="C1538" s="147" t="s">
        <v>46</v>
      </c>
      <c r="D1538" s="148" t="s">
        <v>52</v>
      </c>
      <c r="E1538" s="148" t="s">
        <v>30</v>
      </c>
      <c r="F1538" s="149">
        <v>2026</v>
      </c>
      <c r="G1538" s="148" t="s">
        <v>31</v>
      </c>
      <c r="H1538" s="148"/>
      <c r="I1538" s="150">
        <v>143912</v>
      </c>
      <c r="J1538" s="149">
        <v>48</v>
      </c>
      <c r="K1538" s="148"/>
      <c r="L1538" s="152"/>
      <c r="M1538" s="152">
        <f t="shared" ref="M1538:M1601" si="24">L1538*17000</f>
        <v>0</v>
      </c>
      <c r="N1538" s="148"/>
      <c r="O1538" s="148"/>
      <c r="P1538" s="148"/>
      <c r="Q1538" s="148"/>
      <c r="R1538" s="148"/>
      <c r="S1538" s="148"/>
      <c r="T1538" s="148"/>
      <c r="U1538" s="148"/>
      <c r="V1538" s="148"/>
      <c r="W1538" s="148"/>
      <c r="X1538" s="148"/>
      <c r="Y1538" s="148"/>
      <c r="Z1538" s="148"/>
      <c r="AA1538" s="148"/>
    </row>
    <row r="1539" spans="1:27">
      <c r="A1539" s="147">
        <v>3002</v>
      </c>
      <c r="B1539" s="147" t="s">
        <v>69</v>
      </c>
      <c r="C1539" s="147" t="s">
        <v>46</v>
      </c>
      <c r="D1539" s="148" t="s">
        <v>52</v>
      </c>
      <c r="E1539" s="148" t="s">
        <v>30</v>
      </c>
      <c r="F1539" s="149">
        <v>2026</v>
      </c>
      <c r="G1539" s="148" t="s">
        <v>33</v>
      </c>
      <c r="H1539" s="148"/>
      <c r="I1539" s="150">
        <v>143864</v>
      </c>
      <c r="J1539" s="150">
        <v>143864</v>
      </c>
      <c r="K1539" s="148"/>
      <c r="L1539" s="152"/>
      <c r="M1539" s="152">
        <f t="shared" si="24"/>
        <v>0</v>
      </c>
      <c r="N1539" s="148"/>
      <c r="O1539" s="148"/>
      <c r="P1539" s="148"/>
      <c r="Q1539" s="148"/>
      <c r="R1539" s="148"/>
      <c r="S1539" s="148"/>
      <c r="T1539" s="148"/>
      <c r="U1539" s="148"/>
      <c r="V1539" s="148"/>
      <c r="W1539" s="148"/>
      <c r="X1539" s="148"/>
      <c r="Y1539" s="148"/>
      <c r="Z1539" s="148"/>
      <c r="AA1539" s="148"/>
    </row>
    <row r="1540" spans="1:27">
      <c r="A1540" s="147">
        <v>3003</v>
      </c>
      <c r="B1540" s="147" t="s">
        <v>69</v>
      </c>
      <c r="C1540" s="147" t="s">
        <v>46</v>
      </c>
      <c r="D1540" s="148" t="s">
        <v>52</v>
      </c>
      <c r="E1540" s="148" t="s">
        <v>30</v>
      </c>
      <c r="F1540" s="149">
        <v>2026</v>
      </c>
      <c r="G1540" s="148" t="s">
        <v>34</v>
      </c>
      <c r="H1540" s="148"/>
      <c r="I1540" s="150">
        <v>143783</v>
      </c>
      <c r="J1540" s="149">
        <v>339</v>
      </c>
      <c r="K1540" s="148"/>
      <c r="L1540" s="152"/>
      <c r="M1540" s="152">
        <f t="shared" si="24"/>
        <v>0</v>
      </c>
      <c r="N1540" s="148"/>
      <c r="O1540" s="148"/>
      <c r="P1540" s="148"/>
      <c r="Q1540" s="148"/>
      <c r="R1540" s="148"/>
      <c r="S1540" s="148"/>
      <c r="T1540" s="148"/>
      <c r="U1540" s="148"/>
      <c r="V1540" s="148"/>
      <c r="W1540" s="148"/>
      <c r="X1540" s="148"/>
      <c r="Y1540" s="148"/>
      <c r="Z1540" s="148"/>
      <c r="AA1540" s="148"/>
    </row>
    <row r="1541" spans="1:27">
      <c r="A1541" s="147">
        <v>3004</v>
      </c>
      <c r="B1541" s="147" t="s">
        <v>69</v>
      </c>
      <c r="C1541" s="147" t="s">
        <v>46</v>
      </c>
      <c r="D1541" s="148" t="s">
        <v>52</v>
      </c>
      <c r="E1541" s="148" t="s">
        <v>30</v>
      </c>
      <c r="F1541" s="149">
        <v>2026</v>
      </c>
      <c r="G1541" s="148" t="s">
        <v>35</v>
      </c>
      <c r="H1541" s="148"/>
      <c r="I1541" s="150">
        <v>143721</v>
      </c>
      <c r="J1541" s="150">
        <v>-3502</v>
      </c>
      <c r="K1541" s="148"/>
      <c r="L1541" s="152"/>
      <c r="M1541" s="152">
        <f t="shared" si="24"/>
        <v>0</v>
      </c>
      <c r="N1541" s="148"/>
      <c r="O1541" s="148"/>
      <c r="P1541" s="148"/>
      <c r="Q1541" s="148"/>
      <c r="R1541" s="148"/>
      <c r="S1541" s="148"/>
      <c r="T1541" s="148"/>
      <c r="U1541" s="148"/>
      <c r="V1541" s="148"/>
      <c r="W1541" s="148"/>
      <c r="X1541" s="148"/>
      <c r="Y1541" s="148"/>
      <c r="Z1541" s="148"/>
      <c r="AA1541" s="148"/>
    </row>
    <row r="1542" spans="1:27">
      <c r="A1542" s="147">
        <v>3005</v>
      </c>
      <c r="B1542" s="147" t="s">
        <v>69</v>
      </c>
      <c r="C1542" s="147" t="s">
        <v>46</v>
      </c>
      <c r="D1542" s="148" t="s">
        <v>52</v>
      </c>
      <c r="E1542" s="148" t="s">
        <v>30</v>
      </c>
      <c r="F1542" s="149">
        <v>2026</v>
      </c>
      <c r="G1542" s="148" t="s">
        <v>36</v>
      </c>
      <c r="H1542" s="148"/>
      <c r="I1542" s="150">
        <v>143586</v>
      </c>
      <c r="J1542" s="149">
        <v>-197</v>
      </c>
      <c r="K1542" s="148"/>
      <c r="L1542" s="152"/>
      <c r="M1542" s="152">
        <f t="shared" si="24"/>
        <v>0</v>
      </c>
      <c r="N1542" s="148"/>
      <c r="O1542" s="148"/>
      <c r="P1542" s="148"/>
      <c r="Q1542" s="148"/>
      <c r="R1542" s="148"/>
      <c r="S1542" s="148"/>
      <c r="T1542" s="148"/>
      <c r="U1542" s="148"/>
      <c r="V1542" s="148"/>
      <c r="W1542" s="148"/>
      <c r="X1542" s="148"/>
      <c r="Y1542" s="148"/>
      <c r="Z1542" s="148"/>
      <c r="AA1542" s="148"/>
    </row>
    <row r="1543" spans="1:27">
      <c r="A1543" s="147">
        <v>3006</v>
      </c>
      <c r="B1543" s="147" t="s">
        <v>69</v>
      </c>
      <c r="C1543" s="147" t="s">
        <v>46</v>
      </c>
      <c r="D1543" s="148" t="s">
        <v>52</v>
      </c>
      <c r="E1543" s="148" t="s">
        <v>30</v>
      </c>
      <c r="F1543" s="149">
        <v>2026</v>
      </c>
      <c r="G1543" s="148" t="s">
        <v>37</v>
      </c>
      <c r="H1543" s="148"/>
      <c r="I1543" s="150">
        <v>143444</v>
      </c>
      <c r="J1543" s="150">
        <v>143444</v>
      </c>
      <c r="K1543" s="148"/>
      <c r="L1543" s="152"/>
      <c r="M1543" s="152">
        <f t="shared" si="24"/>
        <v>0</v>
      </c>
      <c r="N1543" s="148"/>
      <c r="O1543" s="148"/>
      <c r="P1543" s="148"/>
      <c r="Q1543" s="148"/>
      <c r="R1543" s="148"/>
      <c r="S1543" s="148"/>
      <c r="T1543" s="148"/>
      <c r="U1543" s="148"/>
      <c r="V1543" s="148"/>
      <c r="W1543" s="148"/>
      <c r="X1543" s="148"/>
      <c r="Y1543" s="148"/>
      <c r="Z1543" s="148"/>
      <c r="AA1543" s="148"/>
    </row>
    <row r="1544" spans="1:27">
      <c r="A1544" s="147">
        <v>3007</v>
      </c>
      <c r="B1544" s="147" t="s">
        <v>69</v>
      </c>
      <c r="C1544" s="147" t="s">
        <v>46</v>
      </c>
      <c r="D1544" s="148" t="s">
        <v>52</v>
      </c>
      <c r="E1544" s="148" t="s">
        <v>30</v>
      </c>
      <c r="F1544" s="149">
        <v>2026</v>
      </c>
      <c r="G1544" s="148" t="s">
        <v>38</v>
      </c>
      <c r="H1544" s="148"/>
      <c r="I1544" s="150">
        <v>143336</v>
      </c>
      <c r="J1544" s="149">
        <v>-108</v>
      </c>
      <c r="K1544" s="148"/>
      <c r="L1544" s="152"/>
      <c r="M1544" s="152">
        <f t="shared" si="24"/>
        <v>0</v>
      </c>
      <c r="N1544" s="148"/>
      <c r="O1544" s="148"/>
      <c r="P1544" s="148"/>
      <c r="Q1544" s="148"/>
      <c r="R1544" s="148"/>
      <c r="S1544" s="148"/>
      <c r="T1544" s="148"/>
      <c r="U1544" s="148"/>
      <c r="V1544" s="148"/>
      <c r="W1544" s="148"/>
      <c r="X1544" s="148"/>
      <c r="Y1544" s="148"/>
      <c r="Z1544" s="148"/>
      <c r="AA1544" s="148"/>
    </row>
    <row r="1545" spans="1:27">
      <c r="A1545" s="147">
        <v>3008</v>
      </c>
      <c r="B1545" s="147" t="s">
        <v>69</v>
      </c>
      <c r="C1545" s="147" t="s">
        <v>46</v>
      </c>
      <c r="D1545" s="148" t="s">
        <v>52</v>
      </c>
      <c r="E1545" s="148" t="s">
        <v>30</v>
      </c>
      <c r="F1545" s="149">
        <v>2026</v>
      </c>
      <c r="G1545" s="148" t="s">
        <v>39</v>
      </c>
      <c r="H1545" s="148"/>
      <c r="I1545" s="148"/>
      <c r="J1545" s="148"/>
      <c r="K1545" s="148"/>
      <c r="L1545" s="152"/>
      <c r="M1545" s="152">
        <f t="shared" si="24"/>
        <v>0</v>
      </c>
      <c r="N1545" s="148"/>
      <c r="O1545" s="148"/>
      <c r="P1545" s="148"/>
      <c r="Q1545" s="148"/>
      <c r="R1545" s="148"/>
      <c r="S1545" s="148"/>
      <c r="T1545" s="148"/>
      <c r="U1545" s="148"/>
      <c r="V1545" s="148"/>
      <c r="W1545" s="148"/>
      <c r="X1545" s="148"/>
      <c r="Y1545" s="148"/>
      <c r="Z1545" s="148"/>
      <c r="AA1545" s="148"/>
    </row>
    <row r="1546" spans="1:27">
      <c r="A1546" s="147">
        <v>3009</v>
      </c>
      <c r="B1546" s="147" t="s">
        <v>69</v>
      </c>
      <c r="C1546" s="147" t="s">
        <v>46</v>
      </c>
      <c r="D1546" s="148" t="s">
        <v>52</v>
      </c>
      <c r="E1546" s="148" t="s">
        <v>30</v>
      </c>
      <c r="F1546" s="149">
        <v>2026</v>
      </c>
      <c r="G1546" s="148" t="s">
        <v>40</v>
      </c>
      <c r="H1546" s="148"/>
      <c r="I1546" s="148"/>
      <c r="J1546" s="148"/>
      <c r="K1546" s="148"/>
      <c r="L1546" s="152"/>
      <c r="M1546" s="152">
        <f t="shared" si="24"/>
        <v>0</v>
      </c>
      <c r="N1546" s="148"/>
      <c r="O1546" s="148"/>
      <c r="P1546" s="148"/>
      <c r="Q1546" s="148"/>
      <c r="R1546" s="148"/>
      <c r="S1546" s="148"/>
      <c r="T1546" s="148"/>
      <c r="U1546" s="148"/>
      <c r="V1546" s="148"/>
      <c r="W1546" s="148"/>
      <c r="X1546" s="148"/>
      <c r="Y1546" s="148"/>
      <c r="Z1546" s="148"/>
      <c r="AA1546" s="148"/>
    </row>
    <row r="1547" spans="1:27">
      <c r="A1547" s="147">
        <v>3010</v>
      </c>
      <c r="B1547" s="147" t="s">
        <v>69</v>
      </c>
      <c r="C1547" s="147" t="s">
        <v>46</v>
      </c>
      <c r="D1547" s="148" t="s">
        <v>52</v>
      </c>
      <c r="E1547" s="148" t="s">
        <v>30</v>
      </c>
      <c r="F1547" s="149">
        <v>2026</v>
      </c>
      <c r="G1547" s="148" t="s">
        <v>41</v>
      </c>
      <c r="H1547" s="148"/>
      <c r="I1547" s="148"/>
      <c r="J1547" s="148"/>
      <c r="K1547" s="148"/>
      <c r="L1547" s="152"/>
      <c r="M1547" s="152">
        <f t="shared" si="24"/>
        <v>0</v>
      </c>
      <c r="N1547" s="148"/>
      <c r="O1547" s="148"/>
      <c r="P1547" s="148"/>
      <c r="Q1547" s="148"/>
      <c r="R1547" s="148"/>
      <c r="S1547" s="148"/>
      <c r="T1547" s="148"/>
      <c r="U1547" s="148"/>
      <c r="V1547" s="148"/>
      <c r="W1547" s="148"/>
      <c r="X1547" s="148"/>
      <c r="Y1547" s="148"/>
      <c r="Z1547" s="148"/>
      <c r="AA1547" s="148"/>
    </row>
    <row r="1548" spans="1:27">
      <c r="A1548" s="147">
        <v>3011</v>
      </c>
      <c r="B1548" s="147" t="s">
        <v>69</v>
      </c>
      <c r="C1548" s="147" t="s">
        <v>46</v>
      </c>
      <c r="D1548" s="148" t="s">
        <v>52</v>
      </c>
      <c r="E1548" s="148" t="s">
        <v>30</v>
      </c>
      <c r="F1548" s="149">
        <v>2026</v>
      </c>
      <c r="G1548" s="148" t="s">
        <v>42</v>
      </c>
      <c r="H1548" s="148"/>
      <c r="I1548" s="148"/>
      <c r="J1548" s="148"/>
      <c r="K1548" s="148"/>
      <c r="L1548" s="152"/>
      <c r="M1548" s="152">
        <f t="shared" si="24"/>
        <v>0</v>
      </c>
      <c r="N1548" s="148"/>
      <c r="O1548" s="148"/>
      <c r="P1548" s="148"/>
      <c r="Q1548" s="148"/>
      <c r="R1548" s="148"/>
      <c r="S1548" s="148"/>
      <c r="T1548" s="148"/>
      <c r="U1548" s="148"/>
      <c r="V1548" s="148"/>
      <c r="W1548" s="148"/>
      <c r="X1548" s="148"/>
      <c r="Y1548" s="148"/>
      <c r="Z1548" s="148"/>
      <c r="AA1548" s="148"/>
    </row>
    <row r="1549" spans="1:27">
      <c r="A1549" s="147">
        <v>3012</v>
      </c>
      <c r="B1549" s="147" t="s">
        <v>69</v>
      </c>
      <c r="C1549" s="147" t="s">
        <v>46</v>
      </c>
      <c r="D1549" s="148" t="s">
        <v>52</v>
      </c>
      <c r="E1549" s="148" t="s">
        <v>30</v>
      </c>
      <c r="F1549" s="149">
        <v>2026</v>
      </c>
      <c r="G1549" s="148" t="s">
        <v>43</v>
      </c>
      <c r="H1549" s="148"/>
      <c r="I1549" s="148"/>
      <c r="J1549" s="148"/>
      <c r="K1549" s="148"/>
      <c r="L1549" s="152"/>
      <c r="M1549" s="152">
        <f t="shared" si="24"/>
        <v>0</v>
      </c>
      <c r="N1549" s="148"/>
      <c r="O1549" s="148"/>
      <c r="P1549" s="148"/>
      <c r="Q1549" s="148"/>
      <c r="R1549" s="148"/>
      <c r="S1549" s="148"/>
      <c r="T1549" s="148"/>
      <c r="U1549" s="148"/>
      <c r="V1549" s="148"/>
      <c r="W1549" s="148"/>
      <c r="X1549" s="148"/>
      <c r="Y1549" s="148"/>
      <c r="Z1549" s="148"/>
      <c r="AA1549" s="148"/>
    </row>
    <row r="1550" spans="1:27">
      <c r="A1550" s="147">
        <v>3025</v>
      </c>
      <c r="B1550" s="147" t="s">
        <v>69</v>
      </c>
      <c r="C1550" s="147" t="s">
        <v>53</v>
      </c>
      <c r="D1550" s="148" t="s">
        <v>54</v>
      </c>
      <c r="E1550" s="148" t="s">
        <v>30</v>
      </c>
      <c r="F1550" s="149">
        <v>2024</v>
      </c>
      <c r="G1550" s="148" t="s">
        <v>31</v>
      </c>
      <c r="H1550" s="148"/>
      <c r="I1550" s="148"/>
      <c r="J1550" s="148"/>
      <c r="K1550" s="148"/>
      <c r="L1550" s="152"/>
      <c r="M1550" s="152">
        <f t="shared" si="24"/>
        <v>0</v>
      </c>
      <c r="N1550" s="148"/>
      <c r="O1550" s="148"/>
      <c r="P1550" s="148"/>
      <c r="Q1550" s="148"/>
      <c r="R1550" s="148"/>
      <c r="S1550" s="148"/>
      <c r="T1550" s="148"/>
      <c r="U1550" s="148"/>
      <c r="V1550" s="148"/>
      <c r="W1550" s="148"/>
      <c r="X1550" s="148"/>
      <c r="Y1550" s="148"/>
      <c r="Z1550" s="148"/>
      <c r="AA1550" s="148"/>
    </row>
    <row r="1551" spans="1:27">
      <c r="A1551" s="147">
        <v>3026</v>
      </c>
      <c r="B1551" s="147" t="s">
        <v>69</v>
      </c>
      <c r="C1551" s="147" t="s">
        <v>53</v>
      </c>
      <c r="D1551" s="148" t="s">
        <v>54</v>
      </c>
      <c r="E1551" s="148" t="s">
        <v>30</v>
      </c>
      <c r="F1551" s="149">
        <v>2024</v>
      </c>
      <c r="G1551" s="148" t="s">
        <v>33</v>
      </c>
      <c r="H1551" s="148"/>
      <c r="I1551" s="148"/>
      <c r="J1551" s="148"/>
      <c r="K1551" s="148"/>
      <c r="L1551" s="152"/>
      <c r="M1551" s="152">
        <f t="shared" si="24"/>
        <v>0</v>
      </c>
      <c r="N1551" s="148"/>
      <c r="O1551" s="148"/>
      <c r="P1551" s="148"/>
      <c r="Q1551" s="148"/>
      <c r="R1551" s="148"/>
      <c r="S1551" s="148"/>
      <c r="T1551" s="148"/>
      <c r="U1551" s="148"/>
      <c r="V1551" s="148"/>
      <c r="W1551" s="148"/>
      <c r="X1551" s="148"/>
      <c r="Y1551" s="148"/>
      <c r="Z1551" s="148"/>
      <c r="AA1551" s="148"/>
    </row>
    <row r="1552" spans="1:27">
      <c r="A1552" s="147">
        <v>3027</v>
      </c>
      <c r="B1552" s="147" t="s">
        <v>69</v>
      </c>
      <c r="C1552" s="147" t="s">
        <v>53</v>
      </c>
      <c r="D1552" s="148" t="s">
        <v>54</v>
      </c>
      <c r="E1552" s="148" t="s">
        <v>30</v>
      </c>
      <c r="F1552" s="149">
        <v>2024</v>
      </c>
      <c r="G1552" s="148" t="s">
        <v>34</v>
      </c>
      <c r="H1552" s="148"/>
      <c r="I1552" s="148"/>
      <c r="J1552" s="148"/>
      <c r="K1552" s="148"/>
      <c r="L1552" s="152"/>
      <c r="M1552" s="152">
        <f t="shared" si="24"/>
        <v>0</v>
      </c>
      <c r="N1552" s="148"/>
      <c r="O1552" s="148"/>
      <c r="P1552" s="148"/>
      <c r="Q1552" s="148"/>
      <c r="R1552" s="148"/>
      <c r="S1552" s="148"/>
      <c r="T1552" s="148"/>
      <c r="U1552" s="148"/>
      <c r="V1552" s="148"/>
      <c r="W1552" s="148"/>
      <c r="X1552" s="148"/>
      <c r="Y1552" s="148"/>
      <c r="Z1552" s="148"/>
      <c r="AA1552" s="148"/>
    </row>
    <row r="1553" spans="1:27">
      <c r="A1553" s="147">
        <v>3028</v>
      </c>
      <c r="B1553" s="147" t="s">
        <v>69</v>
      </c>
      <c r="C1553" s="147" t="s">
        <v>53</v>
      </c>
      <c r="D1553" s="148" t="s">
        <v>54</v>
      </c>
      <c r="E1553" s="148" t="s">
        <v>30</v>
      </c>
      <c r="F1553" s="149">
        <v>2024</v>
      </c>
      <c r="G1553" s="148" t="s">
        <v>35</v>
      </c>
      <c r="H1553" s="148"/>
      <c r="I1553" s="148"/>
      <c r="J1553" s="148"/>
      <c r="K1553" s="148"/>
      <c r="L1553" s="152"/>
      <c r="M1553" s="152">
        <f t="shared" si="24"/>
        <v>0</v>
      </c>
      <c r="N1553" s="148"/>
      <c r="O1553" s="148"/>
      <c r="P1553" s="148"/>
      <c r="Q1553" s="148"/>
      <c r="R1553" s="148"/>
      <c r="S1553" s="148"/>
      <c r="T1553" s="148"/>
      <c r="U1553" s="148"/>
      <c r="V1553" s="148"/>
      <c r="W1553" s="148"/>
      <c r="X1553" s="148"/>
      <c r="Y1553" s="148"/>
      <c r="Z1553" s="148"/>
      <c r="AA1553" s="148"/>
    </row>
    <row r="1554" spans="1:27">
      <c r="A1554" s="147">
        <v>3029</v>
      </c>
      <c r="B1554" s="147" t="s">
        <v>69</v>
      </c>
      <c r="C1554" s="147" t="s">
        <v>53</v>
      </c>
      <c r="D1554" s="148" t="s">
        <v>54</v>
      </c>
      <c r="E1554" s="148" t="s">
        <v>30</v>
      </c>
      <c r="F1554" s="149">
        <v>2024</v>
      </c>
      <c r="G1554" s="148" t="s">
        <v>36</v>
      </c>
      <c r="H1554" s="148"/>
      <c r="I1554" s="148"/>
      <c r="J1554" s="148"/>
      <c r="K1554" s="148"/>
      <c r="L1554" s="152"/>
      <c r="M1554" s="152">
        <f t="shared" si="24"/>
        <v>0</v>
      </c>
      <c r="N1554" s="148"/>
      <c r="O1554" s="148"/>
      <c r="P1554" s="148"/>
      <c r="Q1554" s="148"/>
      <c r="R1554" s="148"/>
      <c r="S1554" s="148"/>
      <c r="T1554" s="148"/>
      <c r="U1554" s="148"/>
      <c r="V1554" s="148"/>
      <c r="W1554" s="148"/>
      <c r="X1554" s="148"/>
      <c r="Y1554" s="148"/>
      <c r="Z1554" s="148"/>
      <c r="AA1554" s="148"/>
    </row>
    <row r="1555" spans="1:27">
      <c r="A1555" s="147">
        <v>3030</v>
      </c>
      <c r="B1555" s="147" t="s">
        <v>69</v>
      </c>
      <c r="C1555" s="147" t="s">
        <v>53</v>
      </c>
      <c r="D1555" s="148" t="s">
        <v>54</v>
      </c>
      <c r="E1555" s="148" t="s">
        <v>30</v>
      </c>
      <c r="F1555" s="149">
        <v>2024</v>
      </c>
      <c r="G1555" s="148" t="s">
        <v>37</v>
      </c>
      <c r="H1555" s="148"/>
      <c r="I1555" s="148"/>
      <c r="J1555" s="148"/>
      <c r="K1555" s="148"/>
      <c r="L1555" s="152"/>
      <c r="M1555" s="152">
        <f t="shared" si="24"/>
        <v>0</v>
      </c>
      <c r="N1555" s="148"/>
      <c r="O1555" s="148"/>
      <c r="P1555" s="148"/>
      <c r="Q1555" s="148"/>
      <c r="R1555" s="148"/>
      <c r="S1555" s="148"/>
      <c r="T1555" s="148"/>
      <c r="U1555" s="148"/>
      <c r="V1555" s="148"/>
      <c r="W1555" s="148"/>
      <c r="X1555" s="148"/>
      <c r="Y1555" s="148"/>
      <c r="Z1555" s="148"/>
      <c r="AA1555" s="148"/>
    </row>
    <row r="1556" spans="1:27">
      <c r="A1556" s="147">
        <v>3031</v>
      </c>
      <c r="B1556" s="147" t="s">
        <v>69</v>
      </c>
      <c r="C1556" s="147" t="s">
        <v>53</v>
      </c>
      <c r="D1556" s="148" t="s">
        <v>54</v>
      </c>
      <c r="E1556" s="148" t="s">
        <v>30</v>
      </c>
      <c r="F1556" s="149">
        <v>2024</v>
      </c>
      <c r="G1556" s="148" t="s">
        <v>38</v>
      </c>
      <c r="H1556" s="148"/>
      <c r="I1556" s="148"/>
      <c r="J1556" s="148"/>
      <c r="K1556" s="148"/>
      <c r="L1556" s="152"/>
      <c r="M1556" s="152">
        <f t="shared" si="24"/>
        <v>0</v>
      </c>
      <c r="N1556" s="148"/>
      <c r="O1556" s="148"/>
      <c r="P1556" s="148"/>
      <c r="Q1556" s="148"/>
      <c r="R1556" s="148"/>
      <c r="S1556" s="148"/>
      <c r="T1556" s="148"/>
      <c r="U1556" s="148"/>
      <c r="V1556" s="148"/>
      <c r="W1556" s="148"/>
      <c r="X1556" s="148"/>
      <c r="Y1556" s="148"/>
      <c r="Z1556" s="148"/>
      <c r="AA1556" s="148"/>
    </row>
    <row r="1557" spans="1:27">
      <c r="A1557" s="147">
        <v>3032</v>
      </c>
      <c r="B1557" s="147" t="s">
        <v>69</v>
      </c>
      <c r="C1557" s="147" t="s">
        <v>53</v>
      </c>
      <c r="D1557" s="148" t="s">
        <v>54</v>
      </c>
      <c r="E1557" s="148" t="s">
        <v>30</v>
      </c>
      <c r="F1557" s="149">
        <v>2024</v>
      </c>
      <c r="G1557" s="148" t="s">
        <v>39</v>
      </c>
      <c r="H1557" s="148"/>
      <c r="I1557" s="148"/>
      <c r="J1557" s="148"/>
      <c r="K1557" s="148"/>
      <c r="L1557" s="152"/>
      <c r="M1557" s="152">
        <f t="shared" si="24"/>
        <v>0</v>
      </c>
      <c r="N1557" s="148"/>
      <c r="O1557" s="148"/>
      <c r="P1557" s="148"/>
      <c r="Q1557" s="148"/>
      <c r="R1557" s="148"/>
      <c r="S1557" s="148"/>
      <c r="T1557" s="148"/>
      <c r="U1557" s="148"/>
      <c r="V1557" s="148"/>
      <c r="W1557" s="148"/>
      <c r="X1557" s="148"/>
      <c r="Y1557" s="148"/>
      <c r="Z1557" s="148"/>
      <c r="AA1557" s="148"/>
    </row>
    <row r="1558" spans="1:27">
      <c r="A1558" s="147">
        <v>3033</v>
      </c>
      <c r="B1558" s="147" t="s">
        <v>69</v>
      </c>
      <c r="C1558" s="147" t="s">
        <v>53</v>
      </c>
      <c r="D1558" s="148" t="s">
        <v>54</v>
      </c>
      <c r="E1558" s="148" t="s">
        <v>30</v>
      </c>
      <c r="F1558" s="149">
        <v>2024</v>
      </c>
      <c r="G1558" s="148" t="s">
        <v>40</v>
      </c>
      <c r="H1558" s="148"/>
      <c r="I1558" s="148"/>
      <c r="J1558" s="148"/>
      <c r="K1558" s="148"/>
      <c r="L1558" s="152"/>
      <c r="M1558" s="152">
        <f t="shared" si="24"/>
        <v>0</v>
      </c>
      <c r="N1558" s="148"/>
      <c r="O1558" s="148"/>
      <c r="P1558" s="148"/>
      <c r="Q1558" s="148"/>
      <c r="R1558" s="148"/>
      <c r="S1558" s="148"/>
      <c r="T1558" s="148"/>
      <c r="U1558" s="148"/>
      <c r="V1558" s="148"/>
      <c r="W1558" s="148"/>
      <c r="X1558" s="148"/>
      <c r="Y1558" s="148"/>
      <c r="Z1558" s="148"/>
      <c r="AA1558" s="148"/>
    </row>
    <row r="1559" spans="1:27">
      <c r="A1559" s="147">
        <v>3034</v>
      </c>
      <c r="B1559" s="147" t="s">
        <v>69</v>
      </c>
      <c r="C1559" s="147" t="s">
        <v>53</v>
      </c>
      <c r="D1559" s="148" t="s">
        <v>54</v>
      </c>
      <c r="E1559" s="148" t="s">
        <v>30</v>
      </c>
      <c r="F1559" s="149">
        <v>2024</v>
      </c>
      <c r="G1559" s="148" t="s">
        <v>41</v>
      </c>
      <c r="H1559" s="148"/>
      <c r="I1559" s="148"/>
      <c r="J1559" s="148"/>
      <c r="K1559" s="148"/>
      <c r="L1559" s="152"/>
      <c r="M1559" s="152">
        <f t="shared" si="24"/>
        <v>0</v>
      </c>
      <c r="N1559" s="148"/>
      <c r="O1559" s="148"/>
      <c r="P1559" s="148"/>
      <c r="Q1559" s="148"/>
      <c r="R1559" s="148"/>
      <c r="S1559" s="148"/>
      <c r="T1559" s="148"/>
      <c r="U1559" s="148"/>
      <c r="V1559" s="148"/>
      <c r="W1559" s="148"/>
      <c r="X1559" s="148"/>
      <c r="Y1559" s="148"/>
      <c r="Z1559" s="148"/>
      <c r="AA1559" s="148"/>
    </row>
    <row r="1560" spans="1:27">
      <c r="A1560" s="147">
        <v>3035</v>
      </c>
      <c r="B1560" s="147" t="s">
        <v>69</v>
      </c>
      <c r="C1560" s="147" t="s">
        <v>53</v>
      </c>
      <c r="D1560" s="148" t="s">
        <v>54</v>
      </c>
      <c r="E1560" s="148" t="s">
        <v>30</v>
      </c>
      <c r="F1560" s="149">
        <v>2024</v>
      </c>
      <c r="G1560" s="148" t="s">
        <v>42</v>
      </c>
      <c r="H1560" s="148"/>
      <c r="I1560" s="148"/>
      <c r="J1560" s="148"/>
      <c r="K1560" s="148"/>
      <c r="L1560" s="152"/>
      <c r="M1560" s="152">
        <f t="shared" si="24"/>
        <v>0</v>
      </c>
      <c r="N1560" s="148"/>
      <c r="O1560" s="148"/>
      <c r="P1560" s="148"/>
      <c r="Q1560" s="148"/>
      <c r="R1560" s="148"/>
      <c r="S1560" s="148"/>
      <c r="T1560" s="148"/>
      <c r="U1560" s="148"/>
      <c r="V1560" s="148"/>
      <c r="W1560" s="148"/>
      <c r="X1560" s="148"/>
      <c r="Y1560" s="148"/>
      <c r="Z1560" s="148"/>
      <c r="AA1560" s="148"/>
    </row>
    <row r="1561" spans="1:27">
      <c r="A1561" s="147">
        <v>3036</v>
      </c>
      <c r="B1561" s="147" t="s">
        <v>69</v>
      </c>
      <c r="C1561" s="147" t="s">
        <v>53</v>
      </c>
      <c r="D1561" s="148" t="s">
        <v>54</v>
      </c>
      <c r="E1561" s="148" t="s">
        <v>30</v>
      </c>
      <c r="F1561" s="149">
        <v>2024</v>
      </c>
      <c r="G1561" s="148" t="s">
        <v>43</v>
      </c>
      <c r="H1561" s="148"/>
      <c r="I1561" s="148"/>
      <c r="J1561" s="148"/>
      <c r="K1561" s="148"/>
      <c r="L1561" s="152"/>
      <c r="M1561" s="152">
        <f t="shared" si="24"/>
        <v>0</v>
      </c>
      <c r="N1561" s="148"/>
      <c r="O1561" s="148"/>
      <c r="P1561" s="148"/>
      <c r="Q1561" s="148"/>
      <c r="R1561" s="148"/>
      <c r="S1561" s="148"/>
      <c r="T1561" s="148"/>
      <c r="U1561" s="148"/>
      <c r="V1561" s="148"/>
      <c r="W1561" s="148"/>
      <c r="X1561" s="148"/>
      <c r="Y1561" s="148"/>
      <c r="Z1561" s="148"/>
      <c r="AA1561" s="148"/>
    </row>
    <row r="1562" spans="1:27">
      <c r="A1562" s="147">
        <v>3037</v>
      </c>
      <c r="B1562" s="147" t="s">
        <v>69</v>
      </c>
      <c r="C1562" s="147" t="s">
        <v>53</v>
      </c>
      <c r="D1562" s="148" t="s">
        <v>54</v>
      </c>
      <c r="E1562" s="148" t="s">
        <v>30</v>
      </c>
      <c r="F1562" s="149">
        <v>2025</v>
      </c>
      <c r="G1562" s="148" t="s">
        <v>31</v>
      </c>
      <c r="H1562" s="148"/>
      <c r="I1562" s="148"/>
      <c r="J1562" s="148"/>
      <c r="K1562" s="148"/>
      <c r="L1562" s="152"/>
      <c r="M1562" s="152">
        <f t="shared" si="24"/>
        <v>0</v>
      </c>
      <c r="N1562" s="148"/>
      <c r="O1562" s="148"/>
      <c r="P1562" s="148"/>
      <c r="Q1562" s="148"/>
      <c r="R1562" s="148"/>
      <c r="S1562" s="148"/>
      <c r="T1562" s="148"/>
      <c r="U1562" s="148"/>
      <c r="V1562" s="148"/>
      <c r="W1562" s="148"/>
      <c r="X1562" s="148"/>
      <c r="Y1562" s="148"/>
      <c r="Z1562" s="148"/>
      <c r="AA1562" s="148"/>
    </row>
    <row r="1563" spans="1:27">
      <c r="A1563" s="147">
        <v>3038</v>
      </c>
      <c r="B1563" s="147" t="s">
        <v>69</v>
      </c>
      <c r="C1563" s="147" t="s">
        <v>53</v>
      </c>
      <c r="D1563" s="148" t="s">
        <v>54</v>
      </c>
      <c r="E1563" s="148" t="s">
        <v>30</v>
      </c>
      <c r="F1563" s="149">
        <v>2025</v>
      </c>
      <c r="G1563" s="148" t="s">
        <v>33</v>
      </c>
      <c r="H1563" s="148"/>
      <c r="I1563" s="148"/>
      <c r="J1563" s="148"/>
      <c r="K1563" s="148"/>
      <c r="L1563" s="152"/>
      <c r="M1563" s="152">
        <f t="shared" si="24"/>
        <v>0</v>
      </c>
      <c r="N1563" s="148"/>
      <c r="O1563" s="148"/>
      <c r="P1563" s="148"/>
      <c r="Q1563" s="148"/>
      <c r="R1563" s="148"/>
      <c r="S1563" s="148"/>
      <c r="T1563" s="148"/>
      <c r="U1563" s="148"/>
      <c r="V1563" s="148"/>
      <c r="W1563" s="148"/>
      <c r="X1563" s="148"/>
      <c r="Y1563" s="148"/>
      <c r="Z1563" s="148"/>
      <c r="AA1563" s="148"/>
    </row>
    <row r="1564" spans="1:27">
      <c r="A1564" s="147">
        <v>3039</v>
      </c>
      <c r="B1564" s="147" t="s">
        <v>69</v>
      </c>
      <c r="C1564" s="147" t="s">
        <v>53</v>
      </c>
      <c r="D1564" s="148" t="s">
        <v>54</v>
      </c>
      <c r="E1564" s="148" t="s">
        <v>30</v>
      </c>
      <c r="F1564" s="149">
        <v>2025</v>
      </c>
      <c r="G1564" s="148" t="s">
        <v>34</v>
      </c>
      <c r="H1564" s="148"/>
      <c r="I1564" s="148"/>
      <c r="J1564" s="148"/>
      <c r="K1564" s="148"/>
      <c r="L1564" s="152"/>
      <c r="M1564" s="152">
        <f t="shared" si="24"/>
        <v>0</v>
      </c>
      <c r="N1564" s="148"/>
      <c r="O1564" s="148"/>
      <c r="P1564" s="148"/>
      <c r="Q1564" s="148"/>
      <c r="R1564" s="148"/>
      <c r="S1564" s="148"/>
      <c r="T1564" s="148"/>
      <c r="U1564" s="148"/>
      <c r="V1564" s="148"/>
      <c r="W1564" s="148"/>
      <c r="X1564" s="148"/>
      <c r="Y1564" s="148"/>
      <c r="Z1564" s="148"/>
      <c r="AA1564" s="148"/>
    </row>
    <row r="1565" spans="1:27">
      <c r="A1565" s="147">
        <v>3040</v>
      </c>
      <c r="B1565" s="147" t="s">
        <v>69</v>
      </c>
      <c r="C1565" s="147" t="s">
        <v>53</v>
      </c>
      <c r="D1565" s="148" t="s">
        <v>54</v>
      </c>
      <c r="E1565" s="148" t="s">
        <v>30</v>
      </c>
      <c r="F1565" s="149">
        <v>2025</v>
      </c>
      <c r="G1565" s="148" t="s">
        <v>35</v>
      </c>
      <c r="H1565" s="148"/>
      <c r="I1565" s="148"/>
      <c r="J1565" s="148"/>
      <c r="K1565" s="148"/>
      <c r="L1565" s="152"/>
      <c r="M1565" s="152">
        <f t="shared" si="24"/>
        <v>0</v>
      </c>
      <c r="N1565" s="148"/>
      <c r="O1565" s="148"/>
      <c r="P1565" s="148"/>
      <c r="Q1565" s="148"/>
      <c r="R1565" s="148"/>
      <c r="S1565" s="148"/>
      <c r="T1565" s="148"/>
      <c r="U1565" s="148"/>
      <c r="V1565" s="148"/>
      <c r="W1565" s="148"/>
      <c r="X1565" s="148"/>
      <c r="Y1565" s="148"/>
      <c r="Z1565" s="148"/>
      <c r="AA1565" s="148"/>
    </row>
    <row r="1566" spans="1:27">
      <c r="A1566" s="147">
        <v>3041</v>
      </c>
      <c r="B1566" s="147" t="s">
        <v>69</v>
      </c>
      <c r="C1566" s="147" t="s">
        <v>53</v>
      </c>
      <c r="D1566" s="148" t="s">
        <v>54</v>
      </c>
      <c r="E1566" s="148" t="s">
        <v>30</v>
      </c>
      <c r="F1566" s="149">
        <v>2025</v>
      </c>
      <c r="G1566" s="148" t="s">
        <v>36</v>
      </c>
      <c r="H1566" s="148"/>
      <c r="I1566" s="148"/>
      <c r="J1566" s="148"/>
      <c r="K1566" s="148"/>
      <c r="L1566" s="152"/>
      <c r="M1566" s="152">
        <f t="shared" si="24"/>
        <v>0</v>
      </c>
      <c r="N1566" s="148"/>
      <c r="O1566" s="148"/>
      <c r="P1566" s="148"/>
      <c r="Q1566" s="148"/>
      <c r="R1566" s="148"/>
      <c r="S1566" s="148"/>
      <c r="T1566" s="148"/>
      <c r="U1566" s="148"/>
      <c r="V1566" s="148"/>
      <c r="W1566" s="148"/>
      <c r="X1566" s="148"/>
      <c r="Y1566" s="148"/>
      <c r="Z1566" s="148"/>
      <c r="AA1566" s="148"/>
    </row>
    <row r="1567" spans="1:27">
      <c r="A1567" s="147">
        <v>3042</v>
      </c>
      <c r="B1567" s="147" t="s">
        <v>69</v>
      </c>
      <c r="C1567" s="147" t="s">
        <v>53</v>
      </c>
      <c r="D1567" s="148" t="s">
        <v>54</v>
      </c>
      <c r="E1567" s="148" t="s">
        <v>30</v>
      </c>
      <c r="F1567" s="149">
        <v>2025</v>
      </c>
      <c r="G1567" s="148" t="s">
        <v>37</v>
      </c>
      <c r="H1567" s="148"/>
      <c r="I1567" s="150">
        <v>241772</v>
      </c>
      <c r="J1567" s="148"/>
      <c r="K1567" s="148"/>
      <c r="L1567" s="152"/>
      <c r="M1567" s="152">
        <f t="shared" si="24"/>
        <v>0</v>
      </c>
      <c r="N1567" s="148"/>
      <c r="O1567" s="148"/>
      <c r="P1567" s="148"/>
      <c r="Q1567" s="148"/>
      <c r="R1567" s="148"/>
      <c r="S1567" s="148"/>
      <c r="T1567" s="148"/>
      <c r="U1567" s="148"/>
      <c r="V1567" s="148"/>
      <c r="W1567" s="148"/>
      <c r="X1567" s="148"/>
      <c r="Y1567" s="148"/>
      <c r="Z1567" s="148"/>
      <c r="AA1567" s="148"/>
    </row>
    <row r="1568" spans="1:27">
      <c r="A1568" s="147">
        <v>3043</v>
      </c>
      <c r="B1568" s="147" t="s">
        <v>69</v>
      </c>
      <c r="C1568" s="147" t="s">
        <v>53</v>
      </c>
      <c r="D1568" s="148" t="s">
        <v>54</v>
      </c>
      <c r="E1568" s="148" t="s">
        <v>30</v>
      </c>
      <c r="F1568" s="149">
        <v>2025</v>
      </c>
      <c r="G1568" s="148" t="s">
        <v>38</v>
      </c>
      <c r="H1568" s="148"/>
      <c r="I1568" s="150">
        <v>241656</v>
      </c>
      <c r="J1568" s="150">
        <v>241656</v>
      </c>
      <c r="K1568" s="148"/>
      <c r="L1568" s="152"/>
      <c r="M1568" s="152">
        <f t="shared" si="24"/>
        <v>0</v>
      </c>
      <c r="N1568" s="148"/>
      <c r="O1568" s="148"/>
      <c r="P1568" s="148"/>
      <c r="Q1568" s="148"/>
      <c r="R1568" s="148"/>
      <c r="S1568" s="148"/>
      <c r="T1568" s="148"/>
      <c r="U1568" s="148"/>
      <c r="V1568" s="148"/>
      <c r="W1568" s="148"/>
      <c r="X1568" s="148"/>
      <c r="Y1568" s="148"/>
      <c r="Z1568" s="148"/>
      <c r="AA1568" s="148"/>
    </row>
    <row r="1569" spans="1:27">
      <c r="A1569" s="147">
        <v>3044</v>
      </c>
      <c r="B1569" s="147" t="s">
        <v>69</v>
      </c>
      <c r="C1569" s="147" t="s">
        <v>53</v>
      </c>
      <c r="D1569" s="148" t="s">
        <v>54</v>
      </c>
      <c r="E1569" s="148" t="s">
        <v>30</v>
      </c>
      <c r="F1569" s="149">
        <v>2025</v>
      </c>
      <c r="G1569" s="148" t="s">
        <v>39</v>
      </c>
      <c r="H1569" s="148"/>
      <c r="I1569" s="150">
        <v>241510</v>
      </c>
      <c r="J1569" s="150">
        <v>241510</v>
      </c>
      <c r="K1569" s="148"/>
      <c r="L1569" s="152"/>
      <c r="M1569" s="152">
        <f t="shared" si="24"/>
        <v>0</v>
      </c>
      <c r="N1569" s="148"/>
      <c r="O1569" s="148"/>
      <c r="P1569" s="148"/>
      <c r="Q1569" s="148"/>
      <c r="R1569" s="148"/>
      <c r="S1569" s="148"/>
      <c r="T1569" s="148"/>
      <c r="U1569" s="148"/>
      <c r="V1569" s="148"/>
      <c r="W1569" s="148"/>
      <c r="X1569" s="148"/>
      <c r="Y1569" s="148"/>
      <c r="Z1569" s="148"/>
      <c r="AA1569" s="148"/>
    </row>
    <row r="1570" spans="1:27">
      <c r="A1570" s="147">
        <v>3045</v>
      </c>
      <c r="B1570" s="147" t="s">
        <v>69</v>
      </c>
      <c r="C1570" s="147" t="s">
        <v>53</v>
      </c>
      <c r="D1570" s="148" t="s">
        <v>54</v>
      </c>
      <c r="E1570" s="148" t="s">
        <v>30</v>
      </c>
      <c r="F1570" s="149">
        <v>2025</v>
      </c>
      <c r="G1570" s="148" t="s">
        <v>40</v>
      </c>
      <c r="H1570" s="148"/>
      <c r="I1570" s="150">
        <v>240259</v>
      </c>
      <c r="J1570" s="150">
        <v>2755</v>
      </c>
      <c r="K1570" s="148"/>
      <c r="L1570" s="152"/>
      <c r="M1570" s="152">
        <f t="shared" si="24"/>
        <v>0</v>
      </c>
      <c r="N1570" s="148"/>
      <c r="O1570" s="148"/>
      <c r="P1570" s="148"/>
      <c r="Q1570" s="148"/>
      <c r="R1570" s="148"/>
      <c r="S1570" s="148"/>
      <c r="T1570" s="148"/>
      <c r="U1570" s="148"/>
      <c r="V1570" s="148"/>
      <c r="W1570" s="148"/>
      <c r="X1570" s="148"/>
      <c r="Y1570" s="148"/>
      <c r="Z1570" s="148"/>
      <c r="AA1570" s="148"/>
    </row>
    <row r="1571" spans="1:27">
      <c r="A1571" s="147">
        <v>3046</v>
      </c>
      <c r="B1571" s="147" t="s">
        <v>69</v>
      </c>
      <c r="C1571" s="147" t="s">
        <v>53</v>
      </c>
      <c r="D1571" s="148" t="s">
        <v>54</v>
      </c>
      <c r="E1571" s="148" t="s">
        <v>30</v>
      </c>
      <c r="F1571" s="149">
        <v>2025</v>
      </c>
      <c r="G1571" s="148" t="s">
        <v>41</v>
      </c>
      <c r="H1571" s="148"/>
      <c r="I1571" s="150">
        <v>237504</v>
      </c>
      <c r="J1571" s="150">
        <v>20770</v>
      </c>
      <c r="K1571" s="148"/>
      <c r="L1571" s="152"/>
      <c r="M1571" s="152">
        <f t="shared" si="24"/>
        <v>0</v>
      </c>
      <c r="N1571" s="148"/>
      <c r="O1571" s="148"/>
      <c r="P1571" s="148"/>
      <c r="Q1571" s="148"/>
      <c r="R1571" s="148"/>
      <c r="S1571" s="148"/>
      <c r="T1571" s="148"/>
      <c r="U1571" s="148"/>
      <c r="V1571" s="148"/>
      <c r="W1571" s="148"/>
      <c r="X1571" s="148"/>
      <c r="Y1571" s="148"/>
      <c r="Z1571" s="148"/>
      <c r="AA1571" s="148"/>
    </row>
    <row r="1572" spans="1:27">
      <c r="A1572" s="147">
        <v>3047</v>
      </c>
      <c r="B1572" s="147" t="s">
        <v>69</v>
      </c>
      <c r="C1572" s="147" t="s">
        <v>53</v>
      </c>
      <c r="D1572" s="148" t="s">
        <v>54</v>
      </c>
      <c r="E1572" s="148" t="s">
        <v>30</v>
      </c>
      <c r="F1572" s="149">
        <v>2025</v>
      </c>
      <c r="G1572" s="148" t="s">
        <v>42</v>
      </c>
      <c r="H1572" s="148"/>
      <c r="I1572" s="150">
        <v>216734</v>
      </c>
      <c r="J1572" s="150">
        <v>216734</v>
      </c>
      <c r="K1572" s="148"/>
      <c r="L1572" s="152"/>
      <c r="M1572" s="152">
        <f t="shared" si="24"/>
        <v>0</v>
      </c>
      <c r="N1572" s="148"/>
      <c r="O1572" s="148"/>
      <c r="P1572" s="148"/>
      <c r="Q1572" s="148"/>
      <c r="R1572" s="148"/>
      <c r="S1572" s="148"/>
      <c r="T1572" s="148"/>
      <c r="U1572" s="148"/>
      <c r="V1572" s="148"/>
      <c r="W1572" s="148"/>
      <c r="X1572" s="148"/>
      <c r="Y1572" s="148"/>
      <c r="Z1572" s="148"/>
      <c r="AA1572" s="148"/>
    </row>
    <row r="1573" spans="1:27">
      <c r="A1573" s="147">
        <v>3048</v>
      </c>
      <c r="B1573" s="147" t="s">
        <v>69</v>
      </c>
      <c r="C1573" s="147" t="s">
        <v>53</v>
      </c>
      <c r="D1573" s="148" t="s">
        <v>54</v>
      </c>
      <c r="E1573" s="148" t="s">
        <v>30</v>
      </c>
      <c r="F1573" s="149">
        <v>2025</v>
      </c>
      <c r="G1573" s="148" t="s">
        <v>43</v>
      </c>
      <c r="H1573" s="148"/>
      <c r="I1573" s="150">
        <v>215703</v>
      </c>
      <c r="J1573" s="150">
        <v>-25807</v>
      </c>
      <c r="K1573" s="148"/>
      <c r="L1573" s="152"/>
      <c r="M1573" s="152">
        <f t="shared" si="24"/>
        <v>0</v>
      </c>
      <c r="N1573" s="148"/>
      <c r="O1573" s="148"/>
      <c r="P1573" s="148"/>
      <c r="Q1573" s="148"/>
      <c r="R1573" s="148"/>
      <c r="S1573" s="148"/>
      <c r="T1573" s="148"/>
      <c r="U1573" s="148"/>
      <c r="V1573" s="148"/>
      <c r="W1573" s="148"/>
      <c r="X1573" s="148"/>
      <c r="Y1573" s="148"/>
      <c r="Z1573" s="148"/>
      <c r="AA1573" s="148"/>
    </row>
    <row r="1574" spans="1:27">
      <c r="A1574" s="147">
        <v>3049</v>
      </c>
      <c r="B1574" s="147" t="s">
        <v>69</v>
      </c>
      <c r="C1574" s="147" t="s">
        <v>53</v>
      </c>
      <c r="D1574" s="148" t="s">
        <v>54</v>
      </c>
      <c r="E1574" s="148" t="s">
        <v>30</v>
      </c>
      <c r="F1574" s="149">
        <v>2026</v>
      </c>
      <c r="G1574" s="148" t="s">
        <v>31</v>
      </c>
      <c r="H1574" s="148"/>
      <c r="I1574" s="150">
        <v>215390</v>
      </c>
      <c r="J1574" s="149">
        <v>28</v>
      </c>
      <c r="K1574" s="148"/>
      <c r="L1574" s="152"/>
      <c r="M1574" s="152">
        <f t="shared" si="24"/>
        <v>0</v>
      </c>
      <c r="N1574" s="148"/>
      <c r="O1574" s="148"/>
      <c r="P1574" s="148"/>
      <c r="Q1574" s="148"/>
      <c r="R1574" s="148"/>
      <c r="S1574" s="148"/>
      <c r="T1574" s="148"/>
      <c r="U1574" s="148"/>
      <c r="V1574" s="148"/>
      <c r="W1574" s="148"/>
      <c r="X1574" s="148"/>
      <c r="Y1574" s="148"/>
      <c r="Z1574" s="148"/>
      <c r="AA1574" s="148"/>
    </row>
    <row r="1575" spans="1:27">
      <c r="A1575" s="147">
        <v>3050</v>
      </c>
      <c r="B1575" s="147" t="s">
        <v>69</v>
      </c>
      <c r="C1575" s="147" t="s">
        <v>53</v>
      </c>
      <c r="D1575" s="148" t="s">
        <v>54</v>
      </c>
      <c r="E1575" s="148" t="s">
        <v>30</v>
      </c>
      <c r="F1575" s="149">
        <v>2026</v>
      </c>
      <c r="G1575" s="148" t="s">
        <v>33</v>
      </c>
      <c r="H1575" s="148"/>
      <c r="I1575" s="150">
        <v>215362</v>
      </c>
      <c r="J1575" s="150">
        <v>215362</v>
      </c>
      <c r="K1575" s="148"/>
      <c r="L1575" s="152"/>
      <c r="M1575" s="152">
        <f t="shared" si="24"/>
        <v>0</v>
      </c>
      <c r="N1575" s="148"/>
      <c r="O1575" s="148"/>
      <c r="P1575" s="148"/>
      <c r="Q1575" s="148"/>
      <c r="R1575" s="148"/>
      <c r="S1575" s="148"/>
      <c r="T1575" s="148"/>
      <c r="U1575" s="148"/>
      <c r="V1575" s="148"/>
      <c r="W1575" s="148"/>
      <c r="X1575" s="148"/>
      <c r="Y1575" s="148"/>
      <c r="Z1575" s="148"/>
      <c r="AA1575" s="148"/>
    </row>
    <row r="1576" spans="1:27">
      <c r="A1576" s="147">
        <v>3051</v>
      </c>
      <c r="B1576" s="147" t="s">
        <v>69</v>
      </c>
      <c r="C1576" s="147" t="s">
        <v>53</v>
      </c>
      <c r="D1576" s="148" t="s">
        <v>54</v>
      </c>
      <c r="E1576" s="148" t="s">
        <v>30</v>
      </c>
      <c r="F1576" s="149">
        <v>2026</v>
      </c>
      <c r="G1576" s="148" t="s">
        <v>34</v>
      </c>
      <c r="H1576" s="148"/>
      <c r="I1576" s="150">
        <v>215084</v>
      </c>
      <c r="J1576" s="149">
        <v>552</v>
      </c>
      <c r="K1576" s="148"/>
      <c r="L1576" s="152"/>
      <c r="M1576" s="152">
        <f t="shared" si="24"/>
        <v>0</v>
      </c>
      <c r="N1576" s="148"/>
      <c r="O1576" s="148"/>
      <c r="P1576" s="148"/>
      <c r="Q1576" s="148"/>
      <c r="R1576" s="148"/>
      <c r="S1576" s="148"/>
      <c r="T1576" s="148"/>
      <c r="U1576" s="148"/>
      <c r="V1576" s="148"/>
      <c r="W1576" s="148"/>
      <c r="X1576" s="148"/>
      <c r="Y1576" s="148"/>
      <c r="Z1576" s="148"/>
      <c r="AA1576" s="148"/>
    </row>
    <row r="1577" spans="1:27">
      <c r="A1577" s="147">
        <v>3052</v>
      </c>
      <c r="B1577" s="147" t="s">
        <v>69</v>
      </c>
      <c r="C1577" s="147" t="s">
        <v>53</v>
      </c>
      <c r="D1577" s="148" t="s">
        <v>54</v>
      </c>
      <c r="E1577" s="148" t="s">
        <v>30</v>
      </c>
      <c r="F1577" s="149">
        <v>2026</v>
      </c>
      <c r="G1577" s="148" t="s">
        <v>35</v>
      </c>
      <c r="H1577" s="148"/>
      <c r="I1577" s="150">
        <v>214940</v>
      </c>
      <c r="J1577" s="150">
        <v>-25319</v>
      </c>
      <c r="K1577" s="148"/>
      <c r="L1577" s="152"/>
      <c r="M1577" s="152">
        <f t="shared" si="24"/>
        <v>0</v>
      </c>
      <c r="N1577" s="148"/>
      <c r="O1577" s="148"/>
      <c r="P1577" s="148"/>
      <c r="Q1577" s="148"/>
      <c r="R1577" s="148"/>
      <c r="S1577" s="148"/>
      <c r="T1577" s="148"/>
      <c r="U1577" s="148"/>
      <c r="V1577" s="148"/>
      <c r="W1577" s="148"/>
      <c r="X1577" s="148"/>
      <c r="Y1577" s="148"/>
      <c r="Z1577" s="148"/>
      <c r="AA1577" s="148"/>
    </row>
    <row r="1578" spans="1:27">
      <c r="A1578" s="147">
        <v>3053</v>
      </c>
      <c r="B1578" s="147" t="s">
        <v>69</v>
      </c>
      <c r="C1578" s="147" t="s">
        <v>53</v>
      </c>
      <c r="D1578" s="148" t="s">
        <v>54</v>
      </c>
      <c r="E1578" s="148" t="s">
        <v>30</v>
      </c>
      <c r="F1578" s="149">
        <v>2026</v>
      </c>
      <c r="G1578" s="148" t="s">
        <v>36</v>
      </c>
      <c r="H1578" s="148"/>
      <c r="I1578" s="150">
        <v>214813</v>
      </c>
      <c r="J1578" s="149">
        <v>-271</v>
      </c>
      <c r="K1578" s="148"/>
      <c r="L1578" s="152"/>
      <c r="M1578" s="152">
        <f t="shared" si="24"/>
        <v>0</v>
      </c>
      <c r="N1578" s="148"/>
      <c r="O1578" s="148"/>
      <c r="P1578" s="148"/>
      <c r="Q1578" s="148"/>
      <c r="R1578" s="148"/>
      <c r="S1578" s="148"/>
      <c r="T1578" s="148"/>
      <c r="U1578" s="148"/>
      <c r="V1578" s="148"/>
      <c r="W1578" s="148"/>
      <c r="X1578" s="148"/>
      <c r="Y1578" s="148"/>
      <c r="Z1578" s="148"/>
      <c r="AA1578" s="148"/>
    </row>
    <row r="1579" spans="1:27">
      <c r="A1579" s="147">
        <v>3054</v>
      </c>
      <c r="B1579" s="147" t="s">
        <v>69</v>
      </c>
      <c r="C1579" s="147" t="s">
        <v>53</v>
      </c>
      <c r="D1579" s="148" t="s">
        <v>54</v>
      </c>
      <c r="E1579" s="148" t="s">
        <v>30</v>
      </c>
      <c r="F1579" s="149">
        <v>2026</v>
      </c>
      <c r="G1579" s="148" t="s">
        <v>37</v>
      </c>
      <c r="H1579" s="148"/>
      <c r="I1579" s="150">
        <v>214532</v>
      </c>
      <c r="J1579" s="150">
        <v>214532</v>
      </c>
      <c r="K1579" s="148"/>
      <c r="L1579" s="152"/>
      <c r="M1579" s="152">
        <f t="shared" si="24"/>
        <v>0</v>
      </c>
      <c r="N1579" s="148"/>
      <c r="O1579" s="148"/>
      <c r="P1579" s="148"/>
      <c r="Q1579" s="148"/>
      <c r="R1579" s="148"/>
      <c r="S1579" s="148"/>
      <c r="T1579" s="148"/>
      <c r="U1579" s="148"/>
      <c r="V1579" s="148"/>
      <c r="W1579" s="148"/>
      <c r="X1579" s="148"/>
      <c r="Y1579" s="148"/>
      <c r="Z1579" s="148"/>
      <c r="AA1579" s="148"/>
    </row>
    <row r="1580" spans="1:27">
      <c r="A1580" s="147">
        <v>3055</v>
      </c>
      <c r="B1580" s="147" t="s">
        <v>69</v>
      </c>
      <c r="C1580" s="147" t="s">
        <v>53</v>
      </c>
      <c r="D1580" s="148" t="s">
        <v>54</v>
      </c>
      <c r="E1580" s="148" t="s">
        <v>30</v>
      </c>
      <c r="F1580" s="149">
        <v>2026</v>
      </c>
      <c r="G1580" s="148" t="s">
        <v>38</v>
      </c>
      <c r="H1580" s="148"/>
      <c r="I1580" s="150">
        <v>214326</v>
      </c>
      <c r="J1580" s="149">
        <v>-206</v>
      </c>
      <c r="K1580" s="148"/>
      <c r="L1580" s="152"/>
      <c r="M1580" s="152">
        <f t="shared" si="24"/>
        <v>0</v>
      </c>
      <c r="N1580" s="148"/>
      <c r="O1580" s="148"/>
      <c r="P1580" s="148"/>
      <c r="Q1580" s="148"/>
      <c r="R1580" s="148"/>
      <c r="S1580" s="148"/>
      <c r="T1580" s="148"/>
      <c r="U1580" s="148"/>
      <c r="V1580" s="148"/>
      <c r="W1580" s="148"/>
      <c r="X1580" s="148"/>
      <c r="Y1580" s="148"/>
      <c r="Z1580" s="148"/>
      <c r="AA1580" s="148"/>
    </row>
    <row r="1581" spans="1:27">
      <c r="A1581" s="147">
        <v>3056</v>
      </c>
      <c r="B1581" s="147" t="s">
        <v>69</v>
      </c>
      <c r="C1581" s="147" t="s">
        <v>53</v>
      </c>
      <c r="D1581" s="148" t="s">
        <v>54</v>
      </c>
      <c r="E1581" s="148" t="s">
        <v>30</v>
      </c>
      <c r="F1581" s="149">
        <v>2026</v>
      </c>
      <c r="G1581" s="148" t="s">
        <v>39</v>
      </c>
      <c r="H1581" s="148"/>
      <c r="I1581" s="148"/>
      <c r="J1581" s="148"/>
      <c r="K1581" s="148"/>
      <c r="L1581" s="152"/>
      <c r="M1581" s="152">
        <f t="shared" si="24"/>
        <v>0</v>
      </c>
      <c r="N1581" s="148"/>
      <c r="O1581" s="148"/>
      <c r="P1581" s="148"/>
      <c r="Q1581" s="148"/>
      <c r="R1581" s="148"/>
      <c r="S1581" s="148"/>
      <c r="T1581" s="148"/>
      <c r="U1581" s="148"/>
      <c r="V1581" s="148"/>
      <c r="W1581" s="148"/>
      <c r="X1581" s="148"/>
      <c r="Y1581" s="148"/>
      <c r="Z1581" s="148"/>
      <c r="AA1581" s="148"/>
    </row>
    <row r="1582" spans="1:27">
      <c r="A1582" s="147">
        <v>3057</v>
      </c>
      <c r="B1582" s="147" t="s">
        <v>69</v>
      </c>
      <c r="C1582" s="147" t="s">
        <v>53</v>
      </c>
      <c r="D1582" s="148" t="s">
        <v>54</v>
      </c>
      <c r="E1582" s="148" t="s">
        <v>30</v>
      </c>
      <c r="F1582" s="149">
        <v>2026</v>
      </c>
      <c r="G1582" s="148" t="s">
        <v>40</v>
      </c>
      <c r="H1582" s="148"/>
      <c r="I1582" s="148"/>
      <c r="J1582" s="148"/>
      <c r="K1582" s="148"/>
      <c r="L1582" s="152"/>
      <c r="M1582" s="152">
        <f t="shared" si="24"/>
        <v>0</v>
      </c>
      <c r="N1582" s="148"/>
      <c r="O1582" s="148"/>
      <c r="P1582" s="148"/>
      <c r="Q1582" s="148"/>
      <c r="R1582" s="148"/>
      <c r="S1582" s="148"/>
      <c r="T1582" s="148"/>
      <c r="U1582" s="148"/>
      <c r="V1582" s="148"/>
      <c r="W1582" s="148"/>
      <c r="X1582" s="148"/>
      <c r="Y1582" s="148"/>
      <c r="Z1582" s="148"/>
      <c r="AA1582" s="148"/>
    </row>
    <row r="1583" spans="1:27">
      <c r="A1583" s="147">
        <v>3058</v>
      </c>
      <c r="B1583" s="147" t="s">
        <v>69</v>
      </c>
      <c r="C1583" s="147" t="s">
        <v>53</v>
      </c>
      <c r="D1583" s="148" t="s">
        <v>54</v>
      </c>
      <c r="E1583" s="148" t="s">
        <v>30</v>
      </c>
      <c r="F1583" s="149">
        <v>2026</v>
      </c>
      <c r="G1583" s="148" t="s">
        <v>41</v>
      </c>
      <c r="H1583" s="148"/>
      <c r="I1583" s="148"/>
      <c r="J1583" s="148"/>
      <c r="K1583" s="148"/>
      <c r="L1583" s="152"/>
      <c r="M1583" s="152">
        <f t="shared" si="24"/>
        <v>0</v>
      </c>
      <c r="N1583" s="148"/>
      <c r="O1583" s="148"/>
      <c r="P1583" s="148"/>
      <c r="Q1583" s="148"/>
      <c r="R1583" s="148"/>
      <c r="S1583" s="148"/>
      <c r="T1583" s="148"/>
      <c r="U1583" s="148"/>
      <c r="V1583" s="148"/>
      <c r="W1583" s="148"/>
      <c r="X1583" s="148"/>
      <c r="Y1583" s="148"/>
      <c r="Z1583" s="148"/>
      <c r="AA1583" s="148"/>
    </row>
    <row r="1584" spans="1:27">
      <c r="A1584" s="147">
        <v>3059</v>
      </c>
      <c r="B1584" s="147" t="s">
        <v>69</v>
      </c>
      <c r="C1584" s="147" t="s">
        <v>53</v>
      </c>
      <c r="D1584" s="148" t="s">
        <v>54</v>
      </c>
      <c r="E1584" s="148" t="s">
        <v>30</v>
      </c>
      <c r="F1584" s="149">
        <v>2026</v>
      </c>
      <c r="G1584" s="148" t="s">
        <v>42</v>
      </c>
      <c r="H1584" s="148"/>
      <c r="I1584" s="148"/>
      <c r="J1584" s="148"/>
      <c r="K1584" s="148"/>
      <c r="L1584" s="152"/>
      <c r="M1584" s="152">
        <f t="shared" si="24"/>
        <v>0</v>
      </c>
      <c r="N1584" s="148"/>
      <c r="O1584" s="148"/>
      <c r="P1584" s="148"/>
      <c r="Q1584" s="148"/>
      <c r="R1584" s="148"/>
      <c r="S1584" s="148"/>
      <c r="T1584" s="148"/>
      <c r="U1584" s="148"/>
      <c r="V1584" s="148"/>
      <c r="W1584" s="148"/>
      <c r="X1584" s="148"/>
      <c r="Y1584" s="148"/>
      <c r="Z1584" s="148"/>
      <c r="AA1584" s="148"/>
    </row>
    <row r="1585" spans="1:27">
      <c r="A1585" s="147">
        <v>3060</v>
      </c>
      <c r="B1585" s="147" t="s">
        <v>69</v>
      </c>
      <c r="C1585" s="147" t="s">
        <v>53</v>
      </c>
      <c r="D1585" s="148" t="s">
        <v>54</v>
      </c>
      <c r="E1585" s="148" t="s">
        <v>30</v>
      </c>
      <c r="F1585" s="149">
        <v>2026</v>
      </c>
      <c r="G1585" s="148" t="s">
        <v>43</v>
      </c>
      <c r="H1585" s="148"/>
      <c r="I1585" s="148"/>
      <c r="J1585" s="148"/>
      <c r="K1585" s="148"/>
      <c r="L1585" s="152"/>
      <c r="M1585" s="152">
        <f t="shared" si="24"/>
        <v>0</v>
      </c>
      <c r="N1585" s="148"/>
      <c r="O1585" s="148"/>
      <c r="P1585" s="148"/>
      <c r="Q1585" s="148"/>
      <c r="R1585" s="148"/>
      <c r="S1585" s="148"/>
      <c r="T1585" s="148"/>
      <c r="U1585" s="148"/>
      <c r="V1585" s="148"/>
      <c r="W1585" s="148"/>
      <c r="X1585" s="148"/>
      <c r="Y1585" s="148"/>
      <c r="Z1585" s="148"/>
      <c r="AA1585" s="148"/>
    </row>
    <row r="1586" spans="1:27">
      <c r="A1586" s="147">
        <v>3073</v>
      </c>
      <c r="B1586" s="147" t="s">
        <v>69</v>
      </c>
      <c r="C1586" s="147" t="s">
        <v>53</v>
      </c>
      <c r="D1586" s="148" t="s">
        <v>53</v>
      </c>
      <c r="E1586" s="148" t="s">
        <v>30</v>
      </c>
      <c r="F1586" s="149">
        <v>2024</v>
      </c>
      <c r="G1586" s="148" t="s">
        <v>31</v>
      </c>
      <c r="H1586" s="149" t="s">
        <v>48</v>
      </c>
      <c r="I1586" s="150">
        <v>1808626</v>
      </c>
      <c r="J1586" s="149">
        <v>864</v>
      </c>
      <c r="K1586" s="149" t="s">
        <v>48</v>
      </c>
      <c r="L1586" s="152"/>
      <c r="M1586" s="152">
        <f t="shared" si="24"/>
        <v>0</v>
      </c>
      <c r="N1586" s="148" t="s">
        <v>48</v>
      </c>
      <c r="O1586" s="148"/>
      <c r="P1586" s="148"/>
      <c r="Q1586" s="148"/>
      <c r="R1586" s="148"/>
      <c r="S1586" s="148"/>
      <c r="T1586" s="148"/>
      <c r="U1586" s="148"/>
      <c r="V1586" s="148"/>
      <c r="W1586" s="148"/>
      <c r="X1586" s="148"/>
      <c r="Y1586" s="148"/>
      <c r="Z1586" s="148"/>
      <c r="AA1586" s="148"/>
    </row>
    <row r="1587" spans="1:27">
      <c r="A1587" s="147">
        <v>3074</v>
      </c>
      <c r="B1587" s="147" t="s">
        <v>69</v>
      </c>
      <c r="C1587" s="147" t="s">
        <v>53</v>
      </c>
      <c r="D1587" s="148" t="s">
        <v>53</v>
      </c>
      <c r="E1587" s="148" t="s">
        <v>30</v>
      </c>
      <c r="F1587" s="149">
        <v>2024</v>
      </c>
      <c r="G1587" s="148" t="s">
        <v>33</v>
      </c>
      <c r="H1587" s="149" t="s">
        <v>48</v>
      </c>
      <c r="I1587" s="150">
        <v>1808074</v>
      </c>
      <c r="J1587" s="149">
        <v>-552</v>
      </c>
      <c r="K1587" s="149" t="s">
        <v>48</v>
      </c>
      <c r="L1587" s="152"/>
      <c r="M1587" s="152">
        <f t="shared" si="24"/>
        <v>0</v>
      </c>
      <c r="N1587" s="148" t="s">
        <v>48</v>
      </c>
      <c r="O1587" s="148"/>
      <c r="P1587" s="148"/>
      <c r="Q1587" s="148"/>
      <c r="R1587" s="148"/>
      <c r="S1587" s="148"/>
      <c r="T1587" s="148"/>
      <c r="U1587" s="148"/>
      <c r="V1587" s="148"/>
      <c r="W1587" s="148"/>
      <c r="X1587" s="148"/>
      <c r="Y1587" s="148"/>
      <c r="Z1587" s="148"/>
      <c r="AA1587" s="148"/>
    </row>
    <row r="1588" spans="1:27">
      <c r="A1588" s="147">
        <v>3075</v>
      </c>
      <c r="B1588" s="147" t="s">
        <v>69</v>
      </c>
      <c r="C1588" s="147" t="s">
        <v>53</v>
      </c>
      <c r="D1588" s="148" t="s">
        <v>53</v>
      </c>
      <c r="E1588" s="148" t="s">
        <v>30</v>
      </c>
      <c r="F1588" s="149">
        <v>2024</v>
      </c>
      <c r="G1588" s="148" t="s">
        <v>34</v>
      </c>
      <c r="H1588" s="149" t="s">
        <v>48</v>
      </c>
      <c r="I1588" s="150">
        <v>1807190</v>
      </c>
      <c r="J1588" s="149">
        <v>-884</v>
      </c>
      <c r="K1588" s="149" t="s">
        <v>48</v>
      </c>
      <c r="L1588" s="152"/>
      <c r="M1588" s="152">
        <f t="shared" si="24"/>
        <v>0</v>
      </c>
      <c r="N1588" s="148" t="s">
        <v>48</v>
      </c>
      <c r="O1588" s="148"/>
      <c r="P1588" s="148"/>
      <c r="Q1588" s="148"/>
      <c r="R1588" s="148"/>
      <c r="S1588" s="148"/>
      <c r="T1588" s="148"/>
      <c r="U1588" s="148"/>
      <c r="V1588" s="148"/>
      <c r="W1588" s="148"/>
      <c r="X1588" s="148"/>
      <c r="Y1588" s="148"/>
      <c r="Z1588" s="148"/>
      <c r="AA1588" s="148"/>
    </row>
    <row r="1589" spans="1:27">
      <c r="A1589" s="147">
        <v>3076</v>
      </c>
      <c r="B1589" s="147" t="s">
        <v>69</v>
      </c>
      <c r="C1589" s="147" t="s">
        <v>53</v>
      </c>
      <c r="D1589" s="148" t="s">
        <v>53</v>
      </c>
      <c r="E1589" s="148" t="s">
        <v>30</v>
      </c>
      <c r="F1589" s="149">
        <v>2024</v>
      </c>
      <c r="G1589" s="148" t="s">
        <v>35</v>
      </c>
      <c r="H1589" s="149" t="s">
        <v>48</v>
      </c>
      <c r="I1589" s="150">
        <v>1806655</v>
      </c>
      <c r="J1589" s="149">
        <v>-535</v>
      </c>
      <c r="K1589" s="149" t="s">
        <v>48</v>
      </c>
      <c r="L1589" s="152"/>
      <c r="M1589" s="152">
        <f t="shared" si="24"/>
        <v>0</v>
      </c>
      <c r="N1589" s="148" t="s">
        <v>48</v>
      </c>
      <c r="O1589" s="148"/>
      <c r="P1589" s="148"/>
      <c r="Q1589" s="148"/>
      <c r="R1589" s="148"/>
      <c r="S1589" s="148"/>
      <c r="T1589" s="148"/>
      <c r="U1589" s="148"/>
      <c r="V1589" s="148"/>
      <c r="W1589" s="148"/>
      <c r="X1589" s="148"/>
      <c r="Y1589" s="148"/>
      <c r="Z1589" s="148"/>
      <c r="AA1589" s="148"/>
    </row>
    <row r="1590" spans="1:27">
      <c r="A1590" s="147">
        <v>3077</v>
      </c>
      <c r="B1590" s="147" t="s">
        <v>69</v>
      </c>
      <c r="C1590" s="147" t="s">
        <v>53</v>
      </c>
      <c r="D1590" s="148" t="s">
        <v>53</v>
      </c>
      <c r="E1590" s="148" t="s">
        <v>30</v>
      </c>
      <c r="F1590" s="149">
        <v>2024</v>
      </c>
      <c r="G1590" s="148" t="s">
        <v>36</v>
      </c>
      <c r="H1590" s="149" t="s">
        <v>48</v>
      </c>
      <c r="I1590" s="150">
        <v>1806378</v>
      </c>
      <c r="J1590" s="149">
        <v>-277</v>
      </c>
      <c r="K1590" s="149" t="s">
        <v>48</v>
      </c>
      <c r="L1590" s="152"/>
      <c r="M1590" s="152">
        <f t="shared" si="24"/>
        <v>0</v>
      </c>
      <c r="N1590" s="148" t="s">
        <v>48</v>
      </c>
      <c r="O1590" s="148"/>
      <c r="P1590" s="148"/>
      <c r="Q1590" s="148"/>
      <c r="R1590" s="148"/>
      <c r="S1590" s="148"/>
      <c r="T1590" s="148"/>
      <c r="U1590" s="148"/>
      <c r="V1590" s="148"/>
      <c r="W1590" s="148"/>
      <c r="X1590" s="148"/>
      <c r="Y1590" s="148"/>
      <c r="Z1590" s="148"/>
      <c r="AA1590" s="148"/>
    </row>
    <row r="1591" spans="1:27">
      <c r="A1591" s="147">
        <v>3078</v>
      </c>
      <c r="B1591" s="147" t="s">
        <v>69</v>
      </c>
      <c r="C1591" s="147" t="s">
        <v>53</v>
      </c>
      <c r="D1591" s="148" t="s">
        <v>53</v>
      </c>
      <c r="E1591" s="148" t="s">
        <v>30</v>
      </c>
      <c r="F1591" s="149">
        <v>2024</v>
      </c>
      <c r="G1591" s="148" t="s">
        <v>37</v>
      </c>
      <c r="H1591" s="149" t="s">
        <v>48</v>
      </c>
      <c r="I1591" s="150">
        <v>1806048</v>
      </c>
      <c r="J1591" s="149">
        <v>-330</v>
      </c>
      <c r="K1591" s="149" t="s">
        <v>48</v>
      </c>
      <c r="L1591" s="152"/>
      <c r="M1591" s="152">
        <f t="shared" si="24"/>
        <v>0</v>
      </c>
      <c r="N1591" s="148" t="s">
        <v>48</v>
      </c>
      <c r="O1591" s="148"/>
      <c r="P1591" s="148"/>
      <c r="Q1591" s="148"/>
      <c r="R1591" s="148"/>
      <c r="S1591" s="148"/>
      <c r="T1591" s="148"/>
      <c r="U1591" s="148"/>
      <c r="V1591" s="148"/>
      <c r="W1591" s="148"/>
      <c r="X1591" s="148"/>
      <c r="Y1591" s="148"/>
      <c r="Z1591" s="148"/>
      <c r="AA1591" s="148"/>
    </row>
    <row r="1592" spans="1:27">
      <c r="A1592" s="147">
        <v>3079</v>
      </c>
      <c r="B1592" s="147" t="s">
        <v>69</v>
      </c>
      <c r="C1592" s="147" t="s">
        <v>53</v>
      </c>
      <c r="D1592" s="148" t="s">
        <v>53</v>
      </c>
      <c r="E1592" s="148" t="s">
        <v>30</v>
      </c>
      <c r="F1592" s="149">
        <v>2024</v>
      </c>
      <c r="G1592" s="148" t="s">
        <v>38</v>
      </c>
      <c r="H1592" s="149" t="s">
        <v>48</v>
      </c>
      <c r="I1592" s="150">
        <v>1804460</v>
      </c>
      <c r="J1592" s="150">
        <v>-1588</v>
      </c>
      <c r="K1592" s="149" t="s">
        <v>48</v>
      </c>
      <c r="L1592" s="152"/>
      <c r="M1592" s="152">
        <f t="shared" si="24"/>
        <v>0</v>
      </c>
      <c r="N1592" s="148" t="s">
        <v>48</v>
      </c>
      <c r="O1592" s="148"/>
      <c r="P1592" s="148"/>
      <c r="Q1592" s="148"/>
      <c r="R1592" s="148"/>
      <c r="S1592" s="148"/>
      <c r="T1592" s="148"/>
      <c r="U1592" s="148"/>
      <c r="V1592" s="148"/>
      <c r="W1592" s="148"/>
      <c r="X1592" s="148"/>
      <c r="Y1592" s="148"/>
      <c r="Z1592" s="148"/>
      <c r="AA1592" s="148"/>
    </row>
    <row r="1593" spans="1:27">
      <c r="A1593" s="147">
        <v>3080</v>
      </c>
      <c r="B1593" s="147" t="s">
        <v>69</v>
      </c>
      <c r="C1593" s="147" t="s">
        <v>53</v>
      </c>
      <c r="D1593" s="148" t="s">
        <v>53</v>
      </c>
      <c r="E1593" s="148" t="s">
        <v>30</v>
      </c>
      <c r="F1593" s="149">
        <v>2024</v>
      </c>
      <c r="G1593" s="148" t="s">
        <v>39</v>
      </c>
      <c r="H1593" s="150">
        <v>7180</v>
      </c>
      <c r="I1593" s="150">
        <v>1806986</v>
      </c>
      <c r="J1593" s="150">
        <v>2526</v>
      </c>
      <c r="K1593" s="150">
        <v>28189</v>
      </c>
      <c r="L1593" s="152"/>
      <c r="M1593" s="152">
        <f t="shared" si="24"/>
        <v>0</v>
      </c>
      <c r="N1593" s="150">
        <v>54315911</v>
      </c>
      <c r="O1593" s="148"/>
      <c r="P1593" s="148"/>
      <c r="Q1593" s="148"/>
      <c r="R1593" s="148"/>
      <c r="S1593" s="148"/>
      <c r="T1593" s="148"/>
      <c r="U1593" s="148"/>
      <c r="V1593" s="148"/>
      <c r="W1593" s="148"/>
      <c r="X1593" s="148"/>
      <c r="Y1593" s="148"/>
      <c r="Z1593" s="148"/>
      <c r="AA1593" s="148"/>
    </row>
    <row r="1594" spans="1:27">
      <c r="A1594" s="147">
        <v>3081</v>
      </c>
      <c r="B1594" s="147" t="s">
        <v>69</v>
      </c>
      <c r="C1594" s="147" t="s">
        <v>53</v>
      </c>
      <c r="D1594" s="148" t="s">
        <v>53</v>
      </c>
      <c r="E1594" s="148" t="s">
        <v>30</v>
      </c>
      <c r="F1594" s="149">
        <v>2024</v>
      </c>
      <c r="G1594" s="148" t="s">
        <v>40</v>
      </c>
      <c r="H1594" s="150">
        <v>7763</v>
      </c>
      <c r="I1594" s="150">
        <v>1808863</v>
      </c>
      <c r="J1594" s="150">
        <v>1877</v>
      </c>
      <c r="K1594" s="150">
        <v>76751</v>
      </c>
      <c r="L1594" s="152"/>
      <c r="M1594" s="152">
        <f t="shared" si="24"/>
        <v>0</v>
      </c>
      <c r="N1594" s="150">
        <v>34398966</v>
      </c>
      <c r="O1594" s="148"/>
      <c r="P1594" s="148"/>
      <c r="Q1594" s="148"/>
      <c r="R1594" s="148"/>
      <c r="S1594" s="148"/>
      <c r="T1594" s="148"/>
      <c r="U1594" s="148"/>
      <c r="V1594" s="148"/>
      <c r="W1594" s="148"/>
      <c r="X1594" s="148"/>
      <c r="Y1594" s="148"/>
      <c r="Z1594" s="148"/>
      <c r="AA1594" s="148"/>
    </row>
    <row r="1595" spans="1:27">
      <c r="A1595" s="147">
        <v>3082</v>
      </c>
      <c r="B1595" s="147" t="s">
        <v>69</v>
      </c>
      <c r="C1595" s="147" t="s">
        <v>53</v>
      </c>
      <c r="D1595" s="148" t="s">
        <v>53</v>
      </c>
      <c r="E1595" s="148" t="s">
        <v>30</v>
      </c>
      <c r="F1595" s="149">
        <v>2024</v>
      </c>
      <c r="G1595" s="148" t="s">
        <v>41</v>
      </c>
      <c r="H1595" s="150">
        <v>6630</v>
      </c>
      <c r="I1595" s="150">
        <v>1810703</v>
      </c>
      <c r="J1595" s="150">
        <v>1840</v>
      </c>
      <c r="K1595" s="150">
        <v>7357</v>
      </c>
      <c r="L1595" s="152"/>
      <c r="M1595" s="152">
        <f t="shared" si="24"/>
        <v>0</v>
      </c>
      <c r="N1595" s="150">
        <v>21275611</v>
      </c>
      <c r="O1595" s="148"/>
      <c r="P1595" s="148"/>
      <c r="Q1595" s="148"/>
      <c r="R1595" s="148"/>
      <c r="S1595" s="148"/>
      <c r="T1595" s="148"/>
      <c r="U1595" s="148"/>
      <c r="V1595" s="148"/>
      <c r="W1595" s="148"/>
      <c r="X1595" s="148"/>
      <c r="Y1595" s="148"/>
      <c r="Z1595" s="148"/>
      <c r="AA1595" s="148"/>
    </row>
    <row r="1596" spans="1:27">
      <c r="A1596" s="147">
        <v>3083</v>
      </c>
      <c r="B1596" s="147" t="s">
        <v>69</v>
      </c>
      <c r="C1596" s="147" t="s">
        <v>53</v>
      </c>
      <c r="D1596" s="148" t="s">
        <v>53</v>
      </c>
      <c r="E1596" s="148" t="s">
        <v>30</v>
      </c>
      <c r="F1596" s="149">
        <v>2024</v>
      </c>
      <c r="G1596" s="148" t="s">
        <v>42</v>
      </c>
      <c r="H1596" s="150">
        <v>4227</v>
      </c>
      <c r="I1596" s="150">
        <v>1812312</v>
      </c>
      <c r="J1596" s="150">
        <v>1609</v>
      </c>
      <c r="K1596" s="150">
        <v>32165</v>
      </c>
      <c r="L1596" s="152"/>
      <c r="M1596" s="152">
        <f t="shared" si="24"/>
        <v>0</v>
      </c>
      <c r="N1596" s="150">
        <v>9912393</v>
      </c>
      <c r="O1596" s="148"/>
      <c r="P1596" s="148"/>
      <c r="Q1596" s="148"/>
      <c r="R1596" s="148"/>
      <c r="S1596" s="148"/>
      <c r="T1596" s="148"/>
      <c r="U1596" s="148"/>
      <c r="V1596" s="148"/>
      <c r="W1596" s="148"/>
      <c r="X1596" s="148"/>
      <c r="Y1596" s="148"/>
      <c r="Z1596" s="148"/>
      <c r="AA1596" s="148"/>
    </row>
    <row r="1597" spans="1:27">
      <c r="A1597" s="147">
        <v>3084</v>
      </c>
      <c r="B1597" s="147" t="s">
        <v>69</v>
      </c>
      <c r="C1597" s="147" t="s">
        <v>53</v>
      </c>
      <c r="D1597" s="148" t="s">
        <v>53</v>
      </c>
      <c r="E1597" s="148" t="s">
        <v>30</v>
      </c>
      <c r="F1597" s="149">
        <v>2024</v>
      </c>
      <c r="G1597" s="148" t="s">
        <v>43</v>
      </c>
      <c r="H1597" s="150">
        <v>4040</v>
      </c>
      <c r="I1597" s="150">
        <v>1813895</v>
      </c>
      <c r="J1597" s="150">
        <v>1583</v>
      </c>
      <c r="K1597" s="150">
        <v>108633</v>
      </c>
      <c r="L1597" s="152"/>
      <c r="M1597" s="152">
        <f t="shared" si="24"/>
        <v>0</v>
      </c>
      <c r="N1597" s="150">
        <v>8039213</v>
      </c>
      <c r="O1597" s="148"/>
      <c r="P1597" s="148"/>
      <c r="Q1597" s="148"/>
      <c r="R1597" s="148"/>
      <c r="S1597" s="148"/>
      <c r="T1597" s="148"/>
      <c r="U1597" s="148"/>
      <c r="V1597" s="148"/>
      <c r="W1597" s="148"/>
      <c r="X1597" s="148"/>
      <c r="Y1597" s="148"/>
      <c r="Z1597" s="148"/>
      <c r="AA1597" s="148"/>
    </row>
    <row r="1598" spans="1:27">
      <c r="A1598" s="147">
        <v>3085</v>
      </c>
      <c r="B1598" s="147" t="s">
        <v>69</v>
      </c>
      <c r="C1598" s="147" t="s">
        <v>53</v>
      </c>
      <c r="D1598" s="148" t="s">
        <v>53</v>
      </c>
      <c r="E1598" s="148" t="s">
        <v>30</v>
      </c>
      <c r="F1598" s="149">
        <v>2025</v>
      </c>
      <c r="G1598" s="148" t="s">
        <v>31</v>
      </c>
      <c r="H1598" s="150">
        <v>3845</v>
      </c>
      <c r="I1598" s="150">
        <v>1815654</v>
      </c>
      <c r="J1598" s="150">
        <v>1759</v>
      </c>
      <c r="K1598" s="150">
        <v>337550</v>
      </c>
      <c r="L1598" s="152"/>
      <c r="M1598" s="152">
        <f t="shared" si="24"/>
        <v>0</v>
      </c>
      <c r="N1598" s="150">
        <v>6688819</v>
      </c>
      <c r="O1598" s="148"/>
      <c r="P1598" s="148"/>
      <c r="Q1598" s="148"/>
      <c r="R1598" s="148"/>
      <c r="S1598" s="148"/>
      <c r="T1598" s="148"/>
      <c r="U1598" s="148"/>
      <c r="V1598" s="148"/>
      <c r="W1598" s="148"/>
      <c r="X1598" s="148"/>
      <c r="Y1598" s="148"/>
      <c r="Z1598" s="148"/>
      <c r="AA1598" s="148"/>
    </row>
    <row r="1599" spans="1:27">
      <c r="A1599" s="147">
        <v>3086</v>
      </c>
      <c r="B1599" s="147" t="s">
        <v>69</v>
      </c>
      <c r="C1599" s="147" t="s">
        <v>53</v>
      </c>
      <c r="D1599" s="148" t="s">
        <v>53</v>
      </c>
      <c r="E1599" s="148" t="s">
        <v>30</v>
      </c>
      <c r="F1599" s="149">
        <v>2025</v>
      </c>
      <c r="G1599" s="148" t="s">
        <v>33</v>
      </c>
      <c r="H1599" s="150">
        <v>3089</v>
      </c>
      <c r="I1599" s="150">
        <v>1817158</v>
      </c>
      <c r="J1599" s="150">
        <v>1504</v>
      </c>
      <c r="K1599" s="150">
        <v>45001</v>
      </c>
      <c r="L1599" s="152"/>
      <c r="M1599" s="152">
        <f t="shared" si="24"/>
        <v>0</v>
      </c>
      <c r="N1599" s="150">
        <v>3456864</v>
      </c>
      <c r="O1599" s="148"/>
      <c r="P1599" s="148"/>
      <c r="Q1599" s="148"/>
      <c r="R1599" s="148"/>
      <c r="S1599" s="148"/>
      <c r="T1599" s="148"/>
      <c r="U1599" s="148"/>
      <c r="V1599" s="148"/>
      <c r="W1599" s="148"/>
      <c r="X1599" s="148"/>
      <c r="Y1599" s="148"/>
      <c r="Z1599" s="148"/>
      <c r="AA1599" s="148"/>
    </row>
    <row r="1600" spans="1:27">
      <c r="A1600" s="147">
        <v>3087</v>
      </c>
      <c r="B1600" s="147" t="s">
        <v>69</v>
      </c>
      <c r="C1600" s="147" t="s">
        <v>53</v>
      </c>
      <c r="D1600" s="148" t="s">
        <v>53</v>
      </c>
      <c r="E1600" s="148" t="s">
        <v>30</v>
      </c>
      <c r="F1600" s="149">
        <v>2025</v>
      </c>
      <c r="G1600" s="148" t="s">
        <v>34</v>
      </c>
      <c r="H1600" s="150">
        <v>3535</v>
      </c>
      <c r="I1600" s="150">
        <v>1818470</v>
      </c>
      <c r="J1600" s="150">
        <v>1312</v>
      </c>
      <c r="K1600" s="150">
        <v>48696</v>
      </c>
      <c r="L1600" s="152"/>
      <c r="M1600" s="152">
        <f t="shared" si="24"/>
        <v>0</v>
      </c>
      <c r="N1600" s="150">
        <v>3393298</v>
      </c>
      <c r="O1600" s="148"/>
      <c r="P1600" s="148"/>
      <c r="Q1600" s="148"/>
      <c r="R1600" s="148"/>
      <c r="S1600" s="148"/>
      <c r="T1600" s="148"/>
      <c r="U1600" s="148"/>
      <c r="V1600" s="148"/>
      <c r="W1600" s="148"/>
      <c r="X1600" s="148"/>
      <c r="Y1600" s="148"/>
      <c r="Z1600" s="148"/>
      <c r="AA1600" s="148"/>
    </row>
    <row r="1601" spans="1:27">
      <c r="A1601" s="147">
        <v>3088</v>
      </c>
      <c r="B1601" s="147" t="s">
        <v>69</v>
      </c>
      <c r="C1601" s="147" t="s">
        <v>53</v>
      </c>
      <c r="D1601" s="148" t="s">
        <v>53</v>
      </c>
      <c r="E1601" s="148" t="s">
        <v>30</v>
      </c>
      <c r="F1601" s="149">
        <v>2025</v>
      </c>
      <c r="G1601" s="148" t="s">
        <v>35</v>
      </c>
      <c r="H1601" s="150">
        <v>3758</v>
      </c>
      <c r="I1601" s="150">
        <v>1819650</v>
      </c>
      <c r="J1601" s="150">
        <v>1180</v>
      </c>
      <c r="K1601" s="150">
        <v>33899</v>
      </c>
      <c r="L1601" s="152"/>
      <c r="M1601" s="152">
        <f t="shared" si="24"/>
        <v>0</v>
      </c>
      <c r="N1601" s="150">
        <v>2999756</v>
      </c>
      <c r="O1601" s="148"/>
      <c r="P1601" s="148"/>
      <c r="Q1601" s="148"/>
      <c r="R1601" s="148"/>
      <c r="S1601" s="148"/>
      <c r="T1601" s="148"/>
      <c r="U1601" s="148"/>
      <c r="V1601" s="148"/>
      <c r="W1601" s="148"/>
      <c r="X1601" s="148"/>
      <c r="Y1601" s="148"/>
      <c r="Z1601" s="148"/>
      <c r="AA1601" s="148"/>
    </row>
    <row r="1602" spans="1:27">
      <c r="A1602" s="147">
        <v>3089</v>
      </c>
      <c r="B1602" s="147" t="s">
        <v>69</v>
      </c>
      <c r="C1602" s="147" t="s">
        <v>53</v>
      </c>
      <c r="D1602" s="148" t="s">
        <v>53</v>
      </c>
      <c r="E1602" s="148" t="s">
        <v>30</v>
      </c>
      <c r="F1602" s="149">
        <v>2025</v>
      </c>
      <c r="G1602" s="148" t="s">
        <v>36</v>
      </c>
      <c r="H1602" s="150">
        <v>3246</v>
      </c>
      <c r="I1602" s="150">
        <v>1820536</v>
      </c>
      <c r="J1602" s="149">
        <v>886</v>
      </c>
      <c r="K1602" s="150">
        <v>37885</v>
      </c>
      <c r="L1602" s="152"/>
      <c r="M1602" s="152">
        <f t="shared" ref="M1602:M1665" si="25">L1602*17000</f>
        <v>0</v>
      </c>
      <c r="N1602" s="150">
        <v>1589393</v>
      </c>
      <c r="O1602" s="148"/>
      <c r="P1602" s="148"/>
      <c r="Q1602" s="148"/>
      <c r="R1602" s="148"/>
      <c r="S1602" s="148"/>
      <c r="T1602" s="148"/>
      <c r="U1602" s="148"/>
      <c r="V1602" s="148"/>
      <c r="W1602" s="148"/>
      <c r="X1602" s="148"/>
      <c r="Y1602" s="148"/>
      <c r="Z1602" s="148"/>
      <c r="AA1602" s="148"/>
    </row>
    <row r="1603" spans="1:27">
      <c r="A1603" s="147">
        <v>3090</v>
      </c>
      <c r="B1603" s="147" t="s">
        <v>69</v>
      </c>
      <c r="C1603" s="147" t="s">
        <v>53</v>
      </c>
      <c r="D1603" s="148" t="s">
        <v>53</v>
      </c>
      <c r="E1603" s="148" t="s">
        <v>30</v>
      </c>
      <c r="F1603" s="149">
        <v>2025</v>
      </c>
      <c r="G1603" s="148" t="s">
        <v>37</v>
      </c>
      <c r="H1603" s="150">
        <v>1745</v>
      </c>
      <c r="I1603" s="150">
        <v>1821448</v>
      </c>
      <c r="J1603" s="149">
        <v>912</v>
      </c>
      <c r="K1603" s="150">
        <v>40991</v>
      </c>
      <c r="L1603" s="152"/>
      <c r="M1603" s="152">
        <f t="shared" si="25"/>
        <v>0</v>
      </c>
      <c r="N1603" s="150">
        <v>1279570</v>
      </c>
      <c r="O1603" s="148"/>
      <c r="P1603" s="148"/>
      <c r="Q1603" s="148"/>
      <c r="R1603" s="148"/>
      <c r="S1603" s="148"/>
      <c r="T1603" s="148"/>
      <c r="U1603" s="148"/>
      <c r="V1603" s="148"/>
      <c r="W1603" s="148"/>
      <c r="X1603" s="148"/>
      <c r="Y1603" s="148"/>
      <c r="Z1603" s="148"/>
      <c r="AA1603" s="148"/>
    </row>
    <row r="1604" spans="1:27">
      <c r="A1604" s="147">
        <v>3091</v>
      </c>
      <c r="B1604" s="147" t="s">
        <v>69</v>
      </c>
      <c r="C1604" s="147" t="s">
        <v>53</v>
      </c>
      <c r="D1604" s="148" t="s">
        <v>53</v>
      </c>
      <c r="E1604" s="148" t="s">
        <v>30</v>
      </c>
      <c r="F1604" s="149">
        <v>2025</v>
      </c>
      <c r="G1604" s="148" t="s">
        <v>38</v>
      </c>
      <c r="H1604" s="149">
        <v>420</v>
      </c>
      <c r="I1604" s="150">
        <v>1821482</v>
      </c>
      <c r="J1604" s="149">
        <v>852</v>
      </c>
      <c r="K1604" s="150">
        <v>27039</v>
      </c>
      <c r="L1604" s="152"/>
      <c r="M1604" s="152">
        <f t="shared" si="25"/>
        <v>0</v>
      </c>
      <c r="N1604" s="150">
        <v>558159</v>
      </c>
      <c r="O1604" s="148"/>
      <c r="P1604" s="150">
        <v>11119</v>
      </c>
      <c r="Q1604" s="154">
        <v>0.702</v>
      </c>
      <c r="R1604" s="154">
        <v>0.282</v>
      </c>
      <c r="S1604" s="154">
        <v>0.016</v>
      </c>
      <c r="T1604" s="154">
        <v>0.008</v>
      </c>
      <c r="U1604" s="154">
        <v>0.198</v>
      </c>
      <c r="V1604" s="154">
        <v>0.402</v>
      </c>
      <c r="W1604" s="154">
        <v>0.257</v>
      </c>
      <c r="X1604" s="154">
        <v>0.1</v>
      </c>
      <c r="Y1604" s="154">
        <v>0.026</v>
      </c>
      <c r="Z1604" s="154">
        <v>0.008</v>
      </c>
      <c r="AA1604" s="148" t="s">
        <v>70</v>
      </c>
    </row>
    <row r="1605" spans="1:27">
      <c r="A1605" s="147">
        <v>3092</v>
      </c>
      <c r="B1605" s="147" t="s">
        <v>69</v>
      </c>
      <c r="C1605" s="147" t="s">
        <v>53</v>
      </c>
      <c r="D1605" s="148" t="s">
        <v>53</v>
      </c>
      <c r="E1605" s="148" t="s">
        <v>30</v>
      </c>
      <c r="F1605" s="149">
        <v>2025</v>
      </c>
      <c r="G1605" s="148" t="s">
        <v>39</v>
      </c>
      <c r="H1605" s="149">
        <v>144</v>
      </c>
      <c r="I1605" s="150">
        <v>1821533</v>
      </c>
      <c r="J1605" s="150">
        <v>1015</v>
      </c>
      <c r="K1605" s="150">
        <v>64293</v>
      </c>
      <c r="L1605" s="152"/>
      <c r="M1605" s="152">
        <f t="shared" si="25"/>
        <v>0</v>
      </c>
      <c r="N1605" s="150">
        <v>554085</v>
      </c>
      <c r="O1605" s="148"/>
      <c r="P1605" s="150">
        <v>7914</v>
      </c>
      <c r="Q1605" s="154">
        <v>0.671</v>
      </c>
      <c r="R1605" s="154">
        <v>0.304</v>
      </c>
      <c r="S1605" s="154">
        <v>0.025</v>
      </c>
      <c r="T1605" s="154">
        <v>0.008</v>
      </c>
      <c r="U1605" s="154">
        <v>0.224</v>
      </c>
      <c r="V1605" s="154">
        <v>0.426</v>
      </c>
      <c r="W1605" s="154">
        <v>0.227</v>
      </c>
      <c r="X1605" s="154">
        <v>0.086</v>
      </c>
      <c r="Y1605" s="154">
        <v>0.022</v>
      </c>
      <c r="Z1605" s="154">
        <v>0.007</v>
      </c>
      <c r="AA1605" s="148" t="s">
        <v>70</v>
      </c>
    </row>
    <row r="1606" spans="1:27">
      <c r="A1606" s="147">
        <v>3093</v>
      </c>
      <c r="B1606" s="147" t="s">
        <v>69</v>
      </c>
      <c r="C1606" s="147" t="s">
        <v>53</v>
      </c>
      <c r="D1606" s="148" t="s">
        <v>53</v>
      </c>
      <c r="E1606" s="148" t="s">
        <v>30</v>
      </c>
      <c r="F1606" s="149">
        <v>2025</v>
      </c>
      <c r="G1606" s="148" t="s">
        <v>40</v>
      </c>
      <c r="H1606" s="150">
        <v>1226</v>
      </c>
      <c r="I1606" s="150">
        <v>1810782</v>
      </c>
      <c r="J1606" s="150">
        <v>1097</v>
      </c>
      <c r="K1606" s="150">
        <v>5914</v>
      </c>
      <c r="L1606" s="152"/>
      <c r="M1606" s="152">
        <f t="shared" si="25"/>
        <v>0</v>
      </c>
      <c r="N1606" s="150">
        <v>1840743</v>
      </c>
      <c r="O1606" s="148"/>
      <c r="P1606" s="150">
        <v>32023</v>
      </c>
      <c r="Q1606" s="154">
        <v>0.633</v>
      </c>
      <c r="R1606" s="154">
        <v>0.348</v>
      </c>
      <c r="S1606" s="154">
        <v>0.019</v>
      </c>
      <c r="T1606" s="154">
        <v>0.007</v>
      </c>
      <c r="U1606" s="154">
        <v>0.221</v>
      </c>
      <c r="V1606" s="154">
        <v>0.452</v>
      </c>
      <c r="W1606" s="154">
        <v>0.211</v>
      </c>
      <c r="X1606" s="154">
        <v>0.08</v>
      </c>
      <c r="Y1606" s="154">
        <v>0.019</v>
      </c>
      <c r="Z1606" s="154">
        <v>0.009</v>
      </c>
      <c r="AA1606" s="148" t="s">
        <v>70</v>
      </c>
    </row>
    <row r="1607" spans="1:27">
      <c r="A1607" s="147">
        <v>3094</v>
      </c>
      <c r="B1607" s="147" t="s">
        <v>69</v>
      </c>
      <c r="C1607" s="147" t="s">
        <v>53</v>
      </c>
      <c r="D1607" s="148" t="s">
        <v>53</v>
      </c>
      <c r="E1607" s="148" t="s">
        <v>30</v>
      </c>
      <c r="F1607" s="149">
        <v>2025</v>
      </c>
      <c r="G1607" s="148" t="s">
        <v>41</v>
      </c>
      <c r="H1607" s="150">
        <v>1636</v>
      </c>
      <c r="I1607" s="150">
        <v>1779683</v>
      </c>
      <c r="J1607" s="149">
        <v>884</v>
      </c>
      <c r="K1607" s="150">
        <v>3889</v>
      </c>
      <c r="L1607" s="152"/>
      <c r="M1607" s="152">
        <f t="shared" si="25"/>
        <v>0</v>
      </c>
      <c r="N1607" s="150">
        <v>4253578</v>
      </c>
      <c r="O1607" s="148"/>
      <c r="P1607" s="150">
        <v>83708</v>
      </c>
      <c r="Q1607" s="154">
        <v>0.736</v>
      </c>
      <c r="R1607" s="154">
        <v>0.257</v>
      </c>
      <c r="S1607" s="154">
        <v>0.007</v>
      </c>
      <c r="T1607" s="154">
        <v>0.014</v>
      </c>
      <c r="U1607" s="154">
        <v>0.237</v>
      </c>
      <c r="V1607" s="154">
        <v>0.478</v>
      </c>
      <c r="W1607" s="154">
        <v>0.178</v>
      </c>
      <c r="X1607" s="154">
        <v>0.057</v>
      </c>
      <c r="Y1607" s="154">
        <v>0.02</v>
      </c>
      <c r="Z1607" s="154">
        <v>0.017</v>
      </c>
      <c r="AA1607" s="148" t="s">
        <v>70</v>
      </c>
    </row>
    <row r="1608" spans="1:27">
      <c r="A1608" s="147">
        <v>3095</v>
      </c>
      <c r="B1608" s="147" t="s">
        <v>69</v>
      </c>
      <c r="C1608" s="147" t="s">
        <v>53</v>
      </c>
      <c r="D1608" s="148" t="s">
        <v>53</v>
      </c>
      <c r="E1608" s="148" t="s">
        <v>30</v>
      </c>
      <c r="F1608" s="149">
        <v>2025</v>
      </c>
      <c r="G1608" s="148" t="s">
        <v>42</v>
      </c>
      <c r="H1608" s="150">
        <v>1509</v>
      </c>
      <c r="I1608" s="150">
        <v>1532385</v>
      </c>
      <c r="J1608" s="149">
        <v>776</v>
      </c>
      <c r="K1608" s="150">
        <v>4095</v>
      </c>
      <c r="L1608" s="152"/>
      <c r="M1608" s="152">
        <f t="shared" si="25"/>
        <v>0</v>
      </c>
      <c r="N1608" s="150">
        <v>3918725</v>
      </c>
      <c r="O1608" s="148"/>
      <c r="P1608" s="150">
        <v>115719</v>
      </c>
      <c r="Q1608" s="154">
        <v>0.585</v>
      </c>
      <c r="R1608" s="154">
        <v>0.4</v>
      </c>
      <c r="S1608" s="154">
        <v>0.015</v>
      </c>
      <c r="T1608" s="154">
        <v>0.014</v>
      </c>
      <c r="U1608" s="154">
        <v>0.244</v>
      </c>
      <c r="V1608" s="154">
        <v>0.476</v>
      </c>
      <c r="W1608" s="154">
        <v>0.174</v>
      </c>
      <c r="X1608" s="154">
        <v>0.055</v>
      </c>
      <c r="Y1608" s="154">
        <v>0.02</v>
      </c>
      <c r="Z1608" s="154">
        <v>0.016</v>
      </c>
      <c r="AA1608" s="148" t="s">
        <v>70</v>
      </c>
    </row>
    <row r="1609" spans="1:27">
      <c r="A1609" s="147">
        <v>3096</v>
      </c>
      <c r="B1609" s="147" t="s">
        <v>69</v>
      </c>
      <c r="C1609" s="147" t="s">
        <v>53</v>
      </c>
      <c r="D1609" s="148" t="s">
        <v>53</v>
      </c>
      <c r="E1609" s="148" t="s">
        <v>30</v>
      </c>
      <c r="F1609" s="149">
        <v>2025</v>
      </c>
      <c r="G1609" s="148" t="s">
        <v>43</v>
      </c>
      <c r="H1609" s="150">
        <v>1364</v>
      </c>
      <c r="I1609" s="150">
        <v>1519550</v>
      </c>
      <c r="J1609" s="149">
        <v>830</v>
      </c>
      <c r="K1609" s="150">
        <v>5322</v>
      </c>
      <c r="L1609" s="152"/>
      <c r="M1609" s="152">
        <f t="shared" si="25"/>
        <v>0</v>
      </c>
      <c r="N1609" s="150">
        <v>3185319</v>
      </c>
      <c r="O1609" s="148"/>
      <c r="P1609" s="150">
        <v>102026</v>
      </c>
      <c r="Q1609" s="154">
        <v>0.573</v>
      </c>
      <c r="R1609" s="154">
        <v>0.411</v>
      </c>
      <c r="S1609" s="154">
        <v>0.016</v>
      </c>
      <c r="T1609" s="154">
        <v>0.014</v>
      </c>
      <c r="U1609" s="154">
        <v>0.249</v>
      </c>
      <c r="V1609" s="154">
        <v>0.486</v>
      </c>
      <c r="W1609" s="154">
        <v>0.168</v>
      </c>
      <c r="X1609" s="154">
        <v>0.052</v>
      </c>
      <c r="Y1609" s="154">
        <v>0.018</v>
      </c>
      <c r="Z1609" s="154">
        <v>0.012</v>
      </c>
      <c r="AA1609" s="148" t="s">
        <v>70</v>
      </c>
    </row>
    <row r="1610" spans="1:27">
      <c r="A1610" s="147">
        <v>3097</v>
      </c>
      <c r="B1610" s="147" t="s">
        <v>69</v>
      </c>
      <c r="C1610" s="147" t="s">
        <v>53</v>
      </c>
      <c r="D1610" s="148" t="s">
        <v>53</v>
      </c>
      <c r="E1610" s="148" t="s">
        <v>30</v>
      </c>
      <c r="F1610" s="149">
        <v>2026</v>
      </c>
      <c r="G1610" s="148" t="s">
        <v>31</v>
      </c>
      <c r="H1610" s="150">
        <v>1265</v>
      </c>
      <c r="I1610" s="150">
        <v>1518288</v>
      </c>
      <c r="J1610" s="149">
        <v>942</v>
      </c>
      <c r="K1610" s="150">
        <v>2970</v>
      </c>
      <c r="L1610" s="152"/>
      <c r="M1610" s="152">
        <f t="shared" si="25"/>
        <v>0</v>
      </c>
      <c r="N1610" s="150">
        <v>4040392</v>
      </c>
      <c r="O1610" s="148"/>
      <c r="P1610" s="150">
        <v>95409</v>
      </c>
      <c r="Q1610" s="154">
        <v>0.45</v>
      </c>
      <c r="R1610" s="154">
        <v>0.529</v>
      </c>
      <c r="S1610" s="154">
        <v>0.021</v>
      </c>
      <c r="T1610" s="154">
        <v>0.014</v>
      </c>
      <c r="U1610" s="154">
        <v>0.286</v>
      </c>
      <c r="V1610" s="154">
        <v>0.506</v>
      </c>
      <c r="W1610" s="154">
        <v>0.138</v>
      </c>
      <c r="X1610" s="154">
        <v>0.036</v>
      </c>
      <c r="Y1610" s="154">
        <v>0.012</v>
      </c>
      <c r="Z1610" s="154">
        <v>0.007</v>
      </c>
      <c r="AA1610" s="148" t="s">
        <v>70</v>
      </c>
    </row>
    <row r="1611" spans="1:27">
      <c r="A1611" s="147">
        <v>3098</v>
      </c>
      <c r="B1611" s="147" t="s">
        <v>69</v>
      </c>
      <c r="C1611" s="147" t="s">
        <v>53</v>
      </c>
      <c r="D1611" s="148" t="s">
        <v>53</v>
      </c>
      <c r="E1611" s="148" t="s">
        <v>30</v>
      </c>
      <c r="F1611" s="149">
        <v>2026</v>
      </c>
      <c r="G1611" s="148" t="s">
        <v>33</v>
      </c>
      <c r="H1611" s="150">
        <v>1560</v>
      </c>
      <c r="I1611" s="150">
        <v>1521195</v>
      </c>
      <c r="J1611" s="149">
        <v>794</v>
      </c>
      <c r="K1611" s="150">
        <v>2920</v>
      </c>
      <c r="L1611" s="152"/>
      <c r="M1611" s="152">
        <f t="shared" si="25"/>
        <v>0</v>
      </c>
      <c r="N1611" s="150">
        <v>1654169</v>
      </c>
      <c r="O1611" s="148"/>
      <c r="P1611" s="150">
        <v>67983</v>
      </c>
      <c r="Q1611" s="154">
        <v>0.585</v>
      </c>
      <c r="R1611" s="154">
        <v>0.386</v>
      </c>
      <c r="S1611" s="154">
        <v>0.029</v>
      </c>
      <c r="T1611" s="154">
        <v>0.011</v>
      </c>
      <c r="U1611" s="154">
        <v>0.207</v>
      </c>
      <c r="V1611" s="154">
        <v>0.464</v>
      </c>
      <c r="W1611" s="154">
        <v>0.208</v>
      </c>
      <c r="X1611" s="154">
        <v>0.072</v>
      </c>
      <c r="Y1611" s="154">
        <v>0.025</v>
      </c>
      <c r="Z1611" s="154">
        <v>0.013</v>
      </c>
      <c r="AA1611" s="148" t="s">
        <v>70</v>
      </c>
    </row>
    <row r="1612" spans="1:27">
      <c r="A1612" s="147">
        <v>3099</v>
      </c>
      <c r="B1612" s="147" t="s">
        <v>69</v>
      </c>
      <c r="C1612" s="147" t="s">
        <v>53</v>
      </c>
      <c r="D1612" s="148" t="s">
        <v>53</v>
      </c>
      <c r="E1612" s="148" t="s">
        <v>30</v>
      </c>
      <c r="F1612" s="149">
        <v>2026</v>
      </c>
      <c r="G1612" s="148" t="s">
        <v>34</v>
      </c>
      <c r="H1612" s="150">
        <v>1440</v>
      </c>
      <c r="I1612" s="150">
        <v>1519226</v>
      </c>
      <c r="J1612" s="149">
        <v>826</v>
      </c>
      <c r="K1612" s="149">
        <v>793</v>
      </c>
      <c r="L1612" s="152"/>
      <c r="M1612" s="152">
        <f t="shared" si="25"/>
        <v>0</v>
      </c>
      <c r="N1612" s="150">
        <v>1207824</v>
      </c>
      <c r="O1612" s="148"/>
      <c r="P1612" s="150">
        <v>50235</v>
      </c>
      <c r="Q1612" s="154">
        <v>0.727</v>
      </c>
      <c r="R1612" s="154">
        <v>0.256</v>
      </c>
      <c r="S1612" s="154">
        <v>0.017</v>
      </c>
      <c r="T1612" s="154">
        <v>0.009</v>
      </c>
      <c r="U1612" s="154">
        <v>0.154</v>
      </c>
      <c r="V1612" s="154">
        <v>0.403</v>
      </c>
      <c r="W1612" s="154">
        <v>0.25</v>
      </c>
      <c r="X1612" s="154">
        <v>0.109</v>
      </c>
      <c r="Y1612" s="154">
        <v>0.044</v>
      </c>
      <c r="Z1612" s="154">
        <v>0.032</v>
      </c>
      <c r="AA1612" s="148" t="s">
        <v>70</v>
      </c>
    </row>
    <row r="1613" spans="1:27">
      <c r="A1613" s="147">
        <v>3100</v>
      </c>
      <c r="B1613" s="147" t="s">
        <v>69</v>
      </c>
      <c r="C1613" s="147" t="s">
        <v>53</v>
      </c>
      <c r="D1613" s="148" t="s">
        <v>53</v>
      </c>
      <c r="E1613" s="148" t="s">
        <v>30</v>
      </c>
      <c r="F1613" s="149">
        <v>2026</v>
      </c>
      <c r="G1613" s="148" t="s">
        <v>35</v>
      </c>
      <c r="H1613" s="150">
        <v>1403</v>
      </c>
      <c r="I1613" s="150">
        <v>1519780</v>
      </c>
      <c r="J1613" s="149">
        <v>864</v>
      </c>
      <c r="K1613" s="149">
        <v>440</v>
      </c>
      <c r="L1613" s="152"/>
      <c r="M1613" s="152">
        <f t="shared" si="25"/>
        <v>0</v>
      </c>
      <c r="N1613" s="150">
        <v>1462643</v>
      </c>
      <c r="O1613" s="148"/>
      <c r="P1613" s="150">
        <v>3634</v>
      </c>
      <c r="Q1613" s="154">
        <v>0.57</v>
      </c>
      <c r="R1613" s="154">
        <v>0.397</v>
      </c>
      <c r="S1613" s="154">
        <v>0.033</v>
      </c>
      <c r="T1613" s="154">
        <v>0.014</v>
      </c>
      <c r="U1613" s="154">
        <v>0.218</v>
      </c>
      <c r="V1613" s="154">
        <v>0.442</v>
      </c>
      <c r="W1613" s="154">
        <v>0.197</v>
      </c>
      <c r="X1613" s="154">
        <v>0.075</v>
      </c>
      <c r="Y1613" s="154">
        <v>0.031</v>
      </c>
      <c r="Z1613" s="154">
        <v>0.023</v>
      </c>
      <c r="AA1613" s="148" t="s">
        <v>70</v>
      </c>
    </row>
    <row r="1614" spans="1:27">
      <c r="A1614" s="147">
        <v>3101</v>
      </c>
      <c r="B1614" s="147" t="s">
        <v>69</v>
      </c>
      <c r="C1614" s="147" t="s">
        <v>53</v>
      </c>
      <c r="D1614" s="148" t="s">
        <v>53</v>
      </c>
      <c r="E1614" s="148" t="s">
        <v>30</v>
      </c>
      <c r="F1614" s="149">
        <v>2026</v>
      </c>
      <c r="G1614" s="148" t="s">
        <v>36</v>
      </c>
      <c r="H1614" s="149">
        <v>934</v>
      </c>
      <c r="I1614" s="150">
        <v>1518877</v>
      </c>
      <c r="J1614" s="149">
        <v>630</v>
      </c>
      <c r="K1614" s="149">
        <v>647</v>
      </c>
      <c r="L1614" s="152"/>
      <c r="M1614" s="152">
        <f t="shared" si="25"/>
        <v>0</v>
      </c>
      <c r="N1614" s="150">
        <v>710346</v>
      </c>
      <c r="O1614" s="148"/>
      <c r="P1614" s="150">
        <v>1681</v>
      </c>
      <c r="Q1614" s="154">
        <v>0.681</v>
      </c>
      <c r="R1614" s="154">
        <v>0.291</v>
      </c>
      <c r="S1614" s="154">
        <v>0.028</v>
      </c>
      <c r="T1614" s="154">
        <v>0.009</v>
      </c>
      <c r="U1614" s="154">
        <v>0.143</v>
      </c>
      <c r="V1614" s="154">
        <v>0.396</v>
      </c>
      <c r="W1614" s="154">
        <v>0.257</v>
      </c>
      <c r="X1614" s="154">
        <v>0.112</v>
      </c>
      <c r="Y1614" s="154">
        <v>0.049</v>
      </c>
      <c r="Z1614" s="154">
        <v>0.035</v>
      </c>
      <c r="AA1614" s="148" t="s">
        <v>70</v>
      </c>
    </row>
    <row r="1615" spans="1:27">
      <c r="A1615" s="147">
        <v>3102</v>
      </c>
      <c r="B1615" s="147" t="s">
        <v>69</v>
      </c>
      <c r="C1615" s="147" t="s">
        <v>53</v>
      </c>
      <c r="D1615" s="148" t="s">
        <v>53</v>
      </c>
      <c r="E1615" s="148" t="s">
        <v>30</v>
      </c>
      <c r="F1615" s="149">
        <v>2026</v>
      </c>
      <c r="G1615" s="148" t="s">
        <v>37</v>
      </c>
      <c r="H1615" s="149">
        <v>923</v>
      </c>
      <c r="I1615" s="150">
        <v>1517826</v>
      </c>
      <c r="J1615" s="149">
        <v>485</v>
      </c>
      <c r="K1615" s="149">
        <v>293</v>
      </c>
      <c r="L1615" s="152"/>
      <c r="M1615" s="152">
        <f t="shared" si="25"/>
        <v>0</v>
      </c>
      <c r="N1615" s="150">
        <v>612569</v>
      </c>
      <c r="O1615" s="148"/>
      <c r="P1615" s="150">
        <v>1185</v>
      </c>
      <c r="Q1615" s="154">
        <v>0.611</v>
      </c>
      <c r="R1615" s="154">
        <v>0.23</v>
      </c>
      <c r="S1615" s="154">
        <v>0.159</v>
      </c>
      <c r="T1615" s="154">
        <v>0.01</v>
      </c>
      <c r="U1615" s="154">
        <v>0.149</v>
      </c>
      <c r="V1615" s="154">
        <v>0.397</v>
      </c>
      <c r="W1615" s="154">
        <v>0.255</v>
      </c>
      <c r="X1615" s="154">
        <v>0.108</v>
      </c>
      <c r="Y1615" s="154">
        <v>0.045</v>
      </c>
      <c r="Z1615" s="154">
        <v>0.036</v>
      </c>
      <c r="AA1615" s="148" t="s">
        <v>70</v>
      </c>
    </row>
    <row r="1616" spans="1:27">
      <c r="A1616" s="147">
        <v>3103</v>
      </c>
      <c r="B1616" s="147" t="s">
        <v>69</v>
      </c>
      <c r="C1616" s="147" t="s">
        <v>53</v>
      </c>
      <c r="D1616" s="148" t="s">
        <v>53</v>
      </c>
      <c r="E1616" s="148" t="s">
        <v>30</v>
      </c>
      <c r="F1616" s="149">
        <v>2026</v>
      </c>
      <c r="G1616" s="148" t="s">
        <v>38</v>
      </c>
      <c r="H1616" s="149">
        <v>841</v>
      </c>
      <c r="I1616" s="150">
        <v>1517316</v>
      </c>
      <c r="J1616" s="149">
        <v>-510</v>
      </c>
      <c r="K1616" s="149">
        <v>508</v>
      </c>
      <c r="L1616" s="152"/>
      <c r="M1616" s="152">
        <f t="shared" si="25"/>
        <v>0</v>
      </c>
      <c r="N1616" s="150">
        <v>1630822</v>
      </c>
      <c r="O1616" s="148"/>
      <c r="P1616" s="150">
        <v>1779</v>
      </c>
      <c r="Q1616" s="154">
        <v>0.56</v>
      </c>
      <c r="R1616" s="154">
        <v>0.151</v>
      </c>
      <c r="S1616" s="154">
        <v>0.289</v>
      </c>
      <c r="T1616" s="154">
        <v>0.012</v>
      </c>
      <c r="U1616" s="154">
        <v>0.161</v>
      </c>
      <c r="V1616" s="154">
        <v>0.452</v>
      </c>
      <c r="W1616" s="154">
        <v>0.235</v>
      </c>
      <c r="X1616" s="154">
        <v>0.082</v>
      </c>
      <c r="Y1616" s="154">
        <v>0.032</v>
      </c>
      <c r="Z1616" s="154">
        <v>0.025</v>
      </c>
      <c r="AA1616" s="148" t="s">
        <v>70</v>
      </c>
    </row>
    <row r="1617" spans="1:27">
      <c r="A1617" s="147">
        <v>3104</v>
      </c>
      <c r="B1617" s="147" t="s">
        <v>69</v>
      </c>
      <c r="C1617" s="147" t="s">
        <v>53</v>
      </c>
      <c r="D1617" s="148" t="s">
        <v>53</v>
      </c>
      <c r="E1617" s="148" t="s">
        <v>30</v>
      </c>
      <c r="F1617" s="149">
        <v>2026</v>
      </c>
      <c r="G1617" s="148" t="s">
        <v>39</v>
      </c>
      <c r="H1617" s="148"/>
      <c r="I1617" s="148"/>
      <c r="J1617" s="148"/>
      <c r="K1617" s="148"/>
      <c r="L1617" s="152"/>
      <c r="M1617" s="152">
        <f t="shared" si="25"/>
        <v>0</v>
      </c>
      <c r="N1617" s="148"/>
      <c r="O1617" s="148"/>
      <c r="P1617" s="148"/>
      <c r="Q1617" s="148"/>
      <c r="R1617" s="148"/>
      <c r="S1617" s="148"/>
      <c r="T1617" s="148"/>
      <c r="U1617" s="148"/>
      <c r="V1617" s="148"/>
      <c r="W1617" s="148"/>
      <c r="X1617" s="148"/>
      <c r="Y1617" s="148"/>
      <c r="Z1617" s="148"/>
      <c r="AA1617" s="148"/>
    </row>
    <row r="1618" spans="1:27">
      <c r="A1618" s="147">
        <v>3105</v>
      </c>
      <c r="B1618" s="147" t="s">
        <v>69</v>
      </c>
      <c r="C1618" s="147" t="s">
        <v>53</v>
      </c>
      <c r="D1618" s="148" t="s">
        <v>53</v>
      </c>
      <c r="E1618" s="148" t="s">
        <v>30</v>
      </c>
      <c r="F1618" s="149">
        <v>2026</v>
      </c>
      <c r="G1618" s="148" t="s">
        <v>40</v>
      </c>
      <c r="H1618" s="148"/>
      <c r="I1618" s="148"/>
      <c r="J1618" s="148"/>
      <c r="K1618" s="148"/>
      <c r="L1618" s="152"/>
      <c r="M1618" s="152">
        <f t="shared" si="25"/>
        <v>0</v>
      </c>
      <c r="N1618" s="148"/>
      <c r="O1618" s="148"/>
      <c r="P1618" s="148"/>
      <c r="Q1618" s="148"/>
      <c r="R1618" s="148"/>
      <c r="S1618" s="148"/>
      <c r="T1618" s="148"/>
      <c r="U1618" s="148"/>
      <c r="V1618" s="148"/>
      <c r="W1618" s="148"/>
      <c r="X1618" s="148"/>
      <c r="Y1618" s="148"/>
      <c r="Z1618" s="148"/>
      <c r="AA1618" s="148"/>
    </row>
    <row r="1619" spans="1:27">
      <c r="A1619" s="147">
        <v>3106</v>
      </c>
      <c r="B1619" s="147" t="s">
        <v>69</v>
      </c>
      <c r="C1619" s="147" t="s">
        <v>53</v>
      </c>
      <c r="D1619" s="148" t="s">
        <v>53</v>
      </c>
      <c r="E1619" s="148" t="s">
        <v>30</v>
      </c>
      <c r="F1619" s="149">
        <v>2026</v>
      </c>
      <c r="G1619" s="148" t="s">
        <v>41</v>
      </c>
      <c r="H1619" s="148"/>
      <c r="I1619" s="148"/>
      <c r="J1619" s="148"/>
      <c r="K1619" s="148"/>
      <c r="L1619" s="152"/>
      <c r="M1619" s="152">
        <f t="shared" si="25"/>
        <v>0</v>
      </c>
      <c r="N1619" s="148"/>
      <c r="O1619" s="148"/>
      <c r="P1619" s="148"/>
      <c r="Q1619" s="148"/>
      <c r="R1619" s="148"/>
      <c r="S1619" s="148"/>
      <c r="T1619" s="148"/>
      <c r="U1619" s="148"/>
      <c r="V1619" s="148"/>
      <c r="W1619" s="148"/>
      <c r="X1619" s="148"/>
      <c r="Y1619" s="148"/>
      <c r="Z1619" s="148"/>
      <c r="AA1619" s="148"/>
    </row>
    <row r="1620" spans="1:27">
      <c r="A1620" s="147">
        <v>3107</v>
      </c>
      <c r="B1620" s="147" t="s">
        <v>69</v>
      </c>
      <c r="C1620" s="147" t="s">
        <v>53</v>
      </c>
      <c r="D1620" s="148" t="s">
        <v>53</v>
      </c>
      <c r="E1620" s="148" t="s">
        <v>30</v>
      </c>
      <c r="F1620" s="149">
        <v>2026</v>
      </c>
      <c r="G1620" s="148" t="s">
        <v>42</v>
      </c>
      <c r="H1620" s="148"/>
      <c r="I1620" s="148"/>
      <c r="J1620" s="148"/>
      <c r="K1620" s="148"/>
      <c r="L1620" s="152"/>
      <c r="M1620" s="152">
        <f t="shared" si="25"/>
        <v>0</v>
      </c>
      <c r="N1620" s="148"/>
      <c r="O1620" s="148"/>
      <c r="P1620" s="148"/>
      <c r="Q1620" s="148"/>
      <c r="R1620" s="148"/>
      <c r="S1620" s="148"/>
      <c r="T1620" s="148"/>
      <c r="U1620" s="148"/>
      <c r="V1620" s="148"/>
      <c r="W1620" s="148"/>
      <c r="X1620" s="148"/>
      <c r="Y1620" s="148"/>
      <c r="Z1620" s="148"/>
      <c r="AA1620" s="148"/>
    </row>
    <row r="1621" spans="1:27">
      <c r="A1621" s="147">
        <v>3108</v>
      </c>
      <c r="B1621" s="147" t="s">
        <v>69</v>
      </c>
      <c r="C1621" s="147" t="s">
        <v>53</v>
      </c>
      <c r="D1621" s="148" t="s">
        <v>53</v>
      </c>
      <c r="E1621" s="148" t="s">
        <v>30</v>
      </c>
      <c r="F1621" s="149">
        <v>2026</v>
      </c>
      <c r="G1621" s="148" t="s">
        <v>43</v>
      </c>
      <c r="H1621" s="148"/>
      <c r="I1621" s="148"/>
      <c r="J1621" s="148"/>
      <c r="K1621" s="148"/>
      <c r="L1621" s="152"/>
      <c r="M1621" s="152">
        <f t="shared" si="25"/>
        <v>0</v>
      </c>
      <c r="N1621" s="148"/>
      <c r="O1621" s="148"/>
      <c r="P1621" s="148"/>
      <c r="Q1621" s="148"/>
      <c r="R1621" s="148"/>
      <c r="S1621" s="148"/>
      <c r="T1621" s="148"/>
      <c r="U1621" s="148"/>
      <c r="V1621" s="148"/>
      <c r="W1621" s="148"/>
      <c r="X1621" s="148"/>
      <c r="Y1621" s="148"/>
      <c r="Z1621" s="148"/>
      <c r="AA1621" s="148"/>
    </row>
    <row r="1622" spans="1:27">
      <c r="A1622" s="147">
        <v>3121</v>
      </c>
      <c r="B1622" s="147" t="s">
        <v>69</v>
      </c>
      <c r="C1622" s="147" t="s">
        <v>53</v>
      </c>
      <c r="D1622" s="148" t="s">
        <v>56</v>
      </c>
      <c r="E1622" s="148" t="s">
        <v>30</v>
      </c>
      <c r="F1622" s="149">
        <v>2024</v>
      </c>
      <c r="G1622" s="148" t="s">
        <v>31</v>
      </c>
      <c r="H1622" s="148"/>
      <c r="I1622" s="148"/>
      <c r="J1622" s="148"/>
      <c r="K1622" s="148"/>
      <c r="L1622" s="152"/>
      <c r="M1622" s="152">
        <f t="shared" si="25"/>
        <v>0</v>
      </c>
      <c r="N1622" s="148"/>
      <c r="O1622" s="148"/>
      <c r="P1622" s="148"/>
      <c r="Q1622" s="148"/>
      <c r="R1622" s="148"/>
      <c r="S1622" s="148"/>
      <c r="T1622" s="148"/>
      <c r="U1622" s="148"/>
      <c r="V1622" s="148"/>
      <c r="W1622" s="148"/>
      <c r="X1622" s="148"/>
      <c r="Y1622" s="148"/>
      <c r="Z1622" s="148"/>
      <c r="AA1622" s="148"/>
    </row>
    <row r="1623" spans="1:27">
      <c r="A1623" s="147">
        <v>3122</v>
      </c>
      <c r="B1623" s="147" t="s">
        <v>69</v>
      </c>
      <c r="C1623" s="147" t="s">
        <v>53</v>
      </c>
      <c r="D1623" s="148" t="s">
        <v>56</v>
      </c>
      <c r="E1623" s="148" t="s">
        <v>30</v>
      </c>
      <c r="F1623" s="149">
        <v>2024</v>
      </c>
      <c r="G1623" s="148" t="s">
        <v>33</v>
      </c>
      <c r="H1623" s="148"/>
      <c r="I1623" s="148"/>
      <c r="J1623" s="148"/>
      <c r="K1623" s="148"/>
      <c r="L1623" s="152"/>
      <c r="M1623" s="152">
        <f t="shared" si="25"/>
        <v>0</v>
      </c>
      <c r="N1623" s="148"/>
      <c r="O1623" s="148"/>
      <c r="P1623" s="148"/>
      <c r="Q1623" s="148"/>
      <c r="R1623" s="148"/>
      <c r="S1623" s="148"/>
      <c r="T1623" s="148"/>
      <c r="U1623" s="148"/>
      <c r="V1623" s="148"/>
      <c r="W1623" s="148"/>
      <c r="X1623" s="148"/>
      <c r="Y1623" s="148"/>
      <c r="Z1623" s="148"/>
      <c r="AA1623" s="148"/>
    </row>
    <row r="1624" spans="1:27">
      <c r="A1624" s="147">
        <v>3123</v>
      </c>
      <c r="B1624" s="147" t="s">
        <v>69</v>
      </c>
      <c r="C1624" s="147" t="s">
        <v>53</v>
      </c>
      <c r="D1624" s="148" t="s">
        <v>56</v>
      </c>
      <c r="E1624" s="148" t="s">
        <v>30</v>
      </c>
      <c r="F1624" s="149">
        <v>2024</v>
      </c>
      <c r="G1624" s="148" t="s">
        <v>34</v>
      </c>
      <c r="H1624" s="148"/>
      <c r="I1624" s="148"/>
      <c r="J1624" s="148"/>
      <c r="K1624" s="148"/>
      <c r="L1624" s="152"/>
      <c r="M1624" s="152">
        <f t="shared" si="25"/>
        <v>0</v>
      </c>
      <c r="N1624" s="148"/>
      <c r="O1624" s="148"/>
      <c r="P1624" s="148"/>
      <c r="Q1624" s="148"/>
      <c r="R1624" s="148"/>
      <c r="S1624" s="148"/>
      <c r="T1624" s="148"/>
      <c r="U1624" s="148"/>
      <c r="V1624" s="148"/>
      <c r="W1624" s="148"/>
      <c r="X1624" s="148"/>
      <c r="Y1624" s="148"/>
      <c r="Z1624" s="148"/>
      <c r="AA1624" s="148"/>
    </row>
    <row r="1625" spans="1:27">
      <c r="A1625" s="147">
        <v>3124</v>
      </c>
      <c r="B1625" s="147" t="s">
        <v>69</v>
      </c>
      <c r="C1625" s="147" t="s">
        <v>53</v>
      </c>
      <c r="D1625" s="148" t="s">
        <v>56</v>
      </c>
      <c r="E1625" s="148" t="s">
        <v>30</v>
      </c>
      <c r="F1625" s="149">
        <v>2024</v>
      </c>
      <c r="G1625" s="148" t="s">
        <v>35</v>
      </c>
      <c r="H1625" s="148"/>
      <c r="I1625" s="148"/>
      <c r="J1625" s="148"/>
      <c r="K1625" s="148"/>
      <c r="L1625" s="152"/>
      <c r="M1625" s="152">
        <f t="shared" si="25"/>
        <v>0</v>
      </c>
      <c r="N1625" s="148"/>
      <c r="O1625" s="148"/>
      <c r="P1625" s="148"/>
      <c r="Q1625" s="148"/>
      <c r="R1625" s="148"/>
      <c r="S1625" s="148"/>
      <c r="T1625" s="148"/>
      <c r="U1625" s="148"/>
      <c r="V1625" s="148"/>
      <c r="W1625" s="148"/>
      <c r="X1625" s="148"/>
      <c r="Y1625" s="148"/>
      <c r="Z1625" s="148"/>
      <c r="AA1625" s="148"/>
    </row>
    <row r="1626" spans="1:27">
      <c r="A1626" s="147">
        <v>3125</v>
      </c>
      <c r="B1626" s="147" t="s">
        <v>69</v>
      </c>
      <c r="C1626" s="147" t="s">
        <v>53</v>
      </c>
      <c r="D1626" s="148" t="s">
        <v>56</v>
      </c>
      <c r="E1626" s="148" t="s">
        <v>30</v>
      </c>
      <c r="F1626" s="149">
        <v>2024</v>
      </c>
      <c r="G1626" s="148" t="s">
        <v>36</v>
      </c>
      <c r="H1626" s="148"/>
      <c r="I1626" s="148"/>
      <c r="J1626" s="148"/>
      <c r="K1626" s="148"/>
      <c r="L1626" s="152"/>
      <c r="M1626" s="152">
        <f t="shared" si="25"/>
        <v>0</v>
      </c>
      <c r="N1626" s="148"/>
      <c r="O1626" s="148"/>
      <c r="P1626" s="148"/>
      <c r="Q1626" s="148"/>
      <c r="R1626" s="148"/>
      <c r="S1626" s="148"/>
      <c r="T1626" s="148"/>
      <c r="U1626" s="148"/>
      <c r="V1626" s="148"/>
      <c r="W1626" s="148"/>
      <c r="X1626" s="148"/>
      <c r="Y1626" s="148"/>
      <c r="Z1626" s="148"/>
      <c r="AA1626" s="148"/>
    </row>
    <row r="1627" spans="1:27">
      <c r="A1627" s="147">
        <v>3126</v>
      </c>
      <c r="B1627" s="147" t="s">
        <v>69</v>
      </c>
      <c r="C1627" s="147" t="s">
        <v>53</v>
      </c>
      <c r="D1627" s="148" t="s">
        <v>56</v>
      </c>
      <c r="E1627" s="148" t="s">
        <v>30</v>
      </c>
      <c r="F1627" s="149">
        <v>2024</v>
      </c>
      <c r="G1627" s="148" t="s">
        <v>37</v>
      </c>
      <c r="H1627" s="148"/>
      <c r="I1627" s="148"/>
      <c r="J1627" s="148"/>
      <c r="K1627" s="148"/>
      <c r="L1627" s="152"/>
      <c r="M1627" s="152">
        <f t="shared" si="25"/>
        <v>0</v>
      </c>
      <c r="N1627" s="148"/>
      <c r="O1627" s="148"/>
      <c r="P1627" s="148"/>
      <c r="Q1627" s="148"/>
      <c r="R1627" s="148"/>
      <c r="S1627" s="148"/>
      <c r="T1627" s="148"/>
      <c r="U1627" s="148"/>
      <c r="V1627" s="148"/>
      <c r="W1627" s="148"/>
      <c r="X1627" s="148"/>
      <c r="Y1627" s="148"/>
      <c r="Z1627" s="148"/>
      <c r="AA1627" s="148"/>
    </row>
    <row r="1628" spans="1:27">
      <c r="A1628" s="147">
        <v>3127</v>
      </c>
      <c r="B1628" s="147" t="s">
        <v>69</v>
      </c>
      <c r="C1628" s="147" t="s">
        <v>53</v>
      </c>
      <c r="D1628" s="148" t="s">
        <v>56</v>
      </c>
      <c r="E1628" s="148" t="s">
        <v>30</v>
      </c>
      <c r="F1628" s="149">
        <v>2024</v>
      </c>
      <c r="G1628" s="148" t="s">
        <v>38</v>
      </c>
      <c r="H1628" s="148"/>
      <c r="I1628" s="148"/>
      <c r="J1628" s="148"/>
      <c r="K1628" s="148"/>
      <c r="L1628" s="152"/>
      <c r="M1628" s="152">
        <f t="shared" si="25"/>
        <v>0</v>
      </c>
      <c r="N1628" s="148"/>
      <c r="O1628" s="148"/>
      <c r="P1628" s="148"/>
      <c r="Q1628" s="148"/>
      <c r="R1628" s="148"/>
      <c r="S1628" s="148"/>
      <c r="T1628" s="148"/>
      <c r="U1628" s="148"/>
      <c r="V1628" s="148"/>
      <c r="W1628" s="148"/>
      <c r="X1628" s="148"/>
      <c r="Y1628" s="148"/>
      <c r="Z1628" s="148"/>
      <c r="AA1628" s="148"/>
    </row>
    <row r="1629" spans="1:27">
      <c r="A1629" s="147">
        <v>3128</v>
      </c>
      <c r="B1629" s="147" t="s">
        <v>69</v>
      </c>
      <c r="C1629" s="147" t="s">
        <v>53</v>
      </c>
      <c r="D1629" s="148" t="s">
        <v>56</v>
      </c>
      <c r="E1629" s="148" t="s">
        <v>30</v>
      </c>
      <c r="F1629" s="149">
        <v>2024</v>
      </c>
      <c r="G1629" s="148" t="s">
        <v>39</v>
      </c>
      <c r="H1629" s="148"/>
      <c r="I1629" s="148"/>
      <c r="J1629" s="148"/>
      <c r="K1629" s="148"/>
      <c r="L1629" s="152"/>
      <c r="M1629" s="152">
        <f t="shared" si="25"/>
        <v>0</v>
      </c>
      <c r="N1629" s="148"/>
      <c r="O1629" s="148"/>
      <c r="P1629" s="148"/>
      <c r="Q1629" s="148"/>
      <c r="R1629" s="148"/>
      <c r="S1629" s="148"/>
      <c r="T1629" s="148"/>
      <c r="U1629" s="148"/>
      <c r="V1629" s="148"/>
      <c r="W1629" s="148"/>
      <c r="X1629" s="148"/>
      <c r="Y1629" s="148"/>
      <c r="Z1629" s="148"/>
      <c r="AA1629" s="148"/>
    </row>
    <row r="1630" spans="1:27">
      <c r="A1630" s="147">
        <v>3129</v>
      </c>
      <c r="B1630" s="147" t="s">
        <v>69</v>
      </c>
      <c r="C1630" s="147" t="s">
        <v>53</v>
      </c>
      <c r="D1630" s="148" t="s">
        <v>56</v>
      </c>
      <c r="E1630" s="148" t="s">
        <v>30</v>
      </c>
      <c r="F1630" s="149">
        <v>2024</v>
      </c>
      <c r="G1630" s="148" t="s">
        <v>40</v>
      </c>
      <c r="H1630" s="148"/>
      <c r="I1630" s="148"/>
      <c r="J1630" s="148"/>
      <c r="K1630" s="148"/>
      <c r="L1630" s="152"/>
      <c r="M1630" s="152">
        <f t="shared" si="25"/>
        <v>0</v>
      </c>
      <c r="N1630" s="148"/>
      <c r="O1630" s="148"/>
      <c r="P1630" s="148"/>
      <c r="Q1630" s="148"/>
      <c r="R1630" s="148"/>
      <c r="S1630" s="148"/>
      <c r="T1630" s="148"/>
      <c r="U1630" s="148"/>
      <c r="V1630" s="148"/>
      <c r="W1630" s="148"/>
      <c r="X1630" s="148"/>
      <c r="Y1630" s="148"/>
      <c r="Z1630" s="148"/>
      <c r="AA1630" s="148"/>
    </row>
    <row r="1631" spans="1:27">
      <c r="A1631" s="147">
        <v>3130</v>
      </c>
      <c r="B1631" s="147" t="s">
        <v>69</v>
      </c>
      <c r="C1631" s="147" t="s">
        <v>53</v>
      </c>
      <c r="D1631" s="148" t="s">
        <v>56</v>
      </c>
      <c r="E1631" s="148" t="s">
        <v>30</v>
      </c>
      <c r="F1631" s="149">
        <v>2024</v>
      </c>
      <c r="G1631" s="148" t="s">
        <v>41</v>
      </c>
      <c r="H1631" s="148"/>
      <c r="I1631" s="148"/>
      <c r="J1631" s="148"/>
      <c r="K1631" s="148"/>
      <c r="L1631" s="152"/>
      <c r="M1631" s="152">
        <f t="shared" si="25"/>
        <v>0</v>
      </c>
      <c r="N1631" s="148"/>
      <c r="O1631" s="148"/>
      <c r="P1631" s="148"/>
      <c r="Q1631" s="148"/>
      <c r="R1631" s="148"/>
      <c r="S1631" s="148"/>
      <c r="T1631" s="148"/>
      <c r="U1631" s="148"/>
      <c r="V1631" s="148"/>
      <c r="W1631" s="148"/>
      <c r="X1631" s="148"/>
      <c r="Y1631" s="148"/>
      <c r="Z1631" s="148"/>
      <c r="AA1631" s="148"/>
    </row>
    <row r="1632" spans="1:27">
      <c r="A1632" s="147">
        <v>3131</v>
      </c>
      <c r="B1632" s="147" t="s">
        <v>69</v>
      </c>
      <c r="C1632" s="147" t="s">
        <v>53</v>
      </c>
      <c r="D1632" s="148" t="s">
        <v>56</v>
      </c>
      <c r="E1632" s="148" t="s">
        <v>30</v>
      </c>
      <c r="F1632" s="149">
        <v>2024</v>
      </c>
      <c r="G1632" s="148" t="s">
        <v>42</v>
      </c>
      <c r="H1632" s="148"/>
      <c r="I1632" s="148"/>
      <c r="J1632" s="148"/>
      <c r="K1632" s="148"/>
      <c r="L1632" s="152"/>
      <c r="M1632" s="152">
        <f t="shared" si="25"/>
        <v>0</v>
      </c>
      <c r="N1632" s="148"/>
      <c r="O1632" s="148"/>
      <c r="P1632" s="148"/>
      <c r="Q1632" s="148"/>
      <c r="R1632" s="148"/>
      <c r="S1632" s="148"/>
      <c r="T1632" s="148"/>
      <c r="U1632" s="148"/>
      <c r="V1632" s="148"/>
      <c r="W1632" s="148"/>
      <c r="X1632" s="148"/>
      <c r="Y1632" s="148"/>
      <c r="Z1632" s="148"/>
      <c r="AA1632" s="148"/>
    </row>
    <row r="1633" spans="1:27">
      <c r="A1633" s="147">
        <v>3132</v>
      </c>
      <c r="B1633" s="147" t="s">
        <v>69</v>
      </c>
      <c r="C1633" s="147" t="s">
        <v>53</v>
      </c>
      <c r="D1633" s="148" t="s">
        <v>56</v>
      </c>
      <c r="E1633" s="148" t="s">
        <v>30</v>
      </c>
      <c r="F1633" s="149">
        <v>2024</v>
      </c>
      <c r="G1633" s="148" t="s">
        <v>43</v>
      </c>
      <c r="H1633" s="148"/>
      <c r="I1633" s="148"/>
      <c r="J1633" s="148"/>
      <c r="K1633" s="148"/>
      <c r="L1633" s="152"/>
      <c r="M1633" s="152">
        <f t="shared" si="25"/>
        <v>0</v>
      </c>
      <c r="N1633" s="148"/>
      <c r="O1633" s="148"/>
      <c r="P1633" s="148"/>
      <c r="Q1633" s="148"/>
      <c r="R1633" s="148"/>
      <c r="S1633" s="148"/>
      <c r="T1633" s="148"/>
      <c r="U1633" s="148"/>
      <c r="V1633" s="148"/>
      <c r="W1633" s="148"/>
      <c r="X1633" s="148"/>
      <c r="Y1633" s="148"/>
      <c r="Z1633" s="148"/>
      <c r="AA1633" s="148"/>
    </row>
    <row r="1634" spans="1:27">
      <c r="A1634" s="147">
        <v>3133</v>
      </c>
      <c r="B1634" s="147" t="s">
        <v>69</v>
      </c>
      <c r="C1634" s="147" t="s">
        <v>53</v>
      </c>
      <c r="D1634" s="148" t="s">
        <v>56</v>
      </c>
      <c r="E1634" s="148" t="s">
        <v>30</v>
      </c>
      <c r="F1634" s="149">
        <v>2025</v>
      </c>
      <c r="G1634" s="148" t="s">
        <v>31</v>
      </c>
      <c r="H1634" s="148"/>
      <c r="I1634" s="148"/>
      <c r="J1634" s="148"/>
      <c r="K1634" s="148"/>
      <c r="L1634" s="152"/>
      <c r="M1634" s="152">
        <f t="shared" si="25"/>
        <v>0</v>
      </c>
      <c r="N1634" s="148"/>
      <c r="O1634" s="148"/>
      <c r="P1634" s="148"/>
      <c r="Q1634" s="148"/>
      <c r="R1634" s="148"/>
      <c r="S1634" s="148"/>
      <c r="T1634" s="148"/>
      <c r="U1634" s="148"/>
      <c r="V1634" s="148"/>
      <c r="W1634" s="148"/>
      <c r="X1634" s="148"/>
      <c r="Y1634" s="148"/>
      <c r="Z1634" s="148"/>
      <c r="AA1634" s="148"/>
    </row>
    <row r="1635" spans="1:27">
      <c r="A1635" s="147">
        <v>3134</v>
      </c>
      <c r="B1635" s="147" t="s">
        <v>69</v>
      </c>
      <c r="C1635" s="147" t="s">
        <v>53</v>
      </c>
      <c r="D1635" s="148" t="s">
        <v>56</v>
      </c>
      <c r="E1635" s="148" t="s">
        <v>30</v>
      </c>
      <c r="F1635" s="149">
        <v>2025</v>
      </c>
      <c r="G1635" s="148" t="s">
        <v>33</v>
      </c>
      <c r="H1635" s="148"/>
      <c r="I1635" s="148"/>
      <c r="J1635" s="148"/>
      <c r="K1635" s="148"/>
      <c r="L1635" s="152"/>
      <c r="M1635" s="152">
        <f t="shared" si="25"/>
        <v>0</v>
      </c>
      <c r="N1635" s="148"/>
      <c r="O1635" s="148"/>
      <c r="P1635" s="148"/>
      <c r="Q1635" s="148"/>
      <c r="R1635" s="148"/>
      <c r="S1635" s="148"/>
      <c r="T1635" s="148"/>
      <c r="U1635" s="148"/>
      <c r="V1635" s="148"/>
      <c r="W1635" s="148"/>
      <c r="X1635" s="148"/>
      <c r="Y1635" s="148"/>
      <c r="Z1635" s="148"/>
      <c r="AA1635" s="148"/>
    </row>
    <row r="1636" spans="1:27">
      <c r="A1636" s="147">
        <v>3135</v>
      </c>
      <c r="B1636" s="147" t="s">
        <v>69</v>
      </c>
      <c r="C1636" s="147" t="s">
        <v>53</v>
      </c>
      <c r="D1636" s="148" t="s">
        <v>56</v>
      </c>
      <c r="E1636" s="148" t="s">
        <v>30</v>
      </c>
      <c r="F1636" s="149">
        <v>2025</v>
      </c>
      <c r="G1636" s="148" t="s">
        <v>34</v>
      </c>
      <c r="H1636" s="148"/>
      <c r="I1636" s="148"/>
      <c r="J1636" s="148"/>
      <c r="K1636" s="148"/>
      <c r="L1636" s="152"/>
      <c r="M1636" s="152">
        <f t="shared" si="25"/>
        <v>0</v>
      </c>
      <c r="N1636" s="148"/>
      <c r="O1636" s="148"/>
      <c r="P1636" s="148"/>
      <c r="Q1636" s="148"/>
      <c r="R1636" s="148"/>
      <c r="S1636" s="148"/>
      <c r="T1636" s="148"/>
      <c r="U1636" s="148"/>
      <c r="V1636" s="148"/>
      <c r="W1636" s="148"/>
      <c r="X1636" s="148"/>
      <c r="Y1636" s="148"/>
      <c r="Z1636" s="148"/>
      <c r="AA1636" s="148"/>
    </row>
    <row r="1637" spans="1:27">
      <c r="A1637" s="147">
        <v>3136</v>
      </c>
      <c r="B1637" s="147" t="s">
        <v>69</v>
      </c>
      <c r="C1637" s="147" t="s">
        <v>53</v>
      </c>
      <c r="D1637" s="148" t="s">
        <v>56</v>
      </c>
      <c r="E1637" s="148" t="s">
        <v>30</v>
      </c>
      <c r="F1637" s="149">
        <v>2025</v>
      </c>
      <c r="G1637" s="148" t="s">
        <v>35</v>
      </c>
      <c r="H1637" s="148"/>
      <c r="I1637" s="148"/>
      <c r="J1637" s="148"/>
      <c r="K1637" s="148"/>
      <c r="L1637" s="152"/>
      <c r="M1637" s="152">
        <f t="shared" si="25"/>
        <v>0</v>
      </c>
      <c r="N1637" s="148"/>
      <c r="O1637" s="148"/>
      <c r="P1637" s="148"/>
      <c r="Q1637" s="148"/>
      <c r="R1637" s="148"/>
      <c r="S1637" s="148"/>
      <c r="T1637" s="148"/>
      <c r="U1637" s="148"/>
      <c r="V1637" s="148"/>
      <c r="W1637" s="148"/>
      <c r="X1637" s="148"/>
      <c r="Y1637" s="148"/>
      <c r="Z1637" s="148"/>
      <c r="AA1637" s="148"/>
    </row>
    <row r="1638" spans="1:27">
      <c r="A1638" s="147">
        <v>3137</v>
      </c>
      <c r="B1638" s="147" t="s">
        <v>69</v>
      </c>
      <c r="C1638" s="147" t="s">
        <v>53</v>
      </c>
      <c r="D1638" s="148" t="s">
        <v>56</v>
      </c>
      <c r="E1638" s="148" t="s">
        <v>30</v>
      </c>
      <c r="F1638" s="149">
        <v>2025</v>
      </c>
      <c r="G1638" s="148" t="s">
        <v>36</v>
      </c>
      <c r="H1638" s="148"/>
      <c r="I1638" s="148"/>
      <c r="J1638" s="148"/>
      <c r="K1638" s="148"/>
      <c r="L1638" s="152"/>
      <c r="M1638" s="152">
        <f t="shared" si="25"/>
        <v>0</v>
      </c>
      <c r="N1638" s="148"/>
      <c r="O1638" s="148"/>
      <c r="P1638" s="148"/>
      <c r="Q1638" s="148"/>
      <c r="R1638" s="148"/>
      <c r="S1638" s="148"/>
      <c r="T1638" s="148"/>
      <c r="U1638" s="148"/>
      <c r="V1638" s="148"/>
      <c r="W1638" s="148"/>
      <c r="X1638" s="148"/>
      <c r="Y1638" s="148"/>
      <c r="Z1638" s="148"/>
      <c r="AA1638" s="148"/>
    </row>
    <row r="1639" spans="1:27">
      <c r="A1639" s="147">
        <v>3138</v>
      </c>
      <c r="B1639" s="147" t="s">
        <v>69</v>
      </c>
      <c r="C1639" s="147" t="s">
        <v>53</v>
      </c>
      <c r="D1639" s="148" t="s">
        <v>56</v>
      </c>
      <c r="E1639" s="148" t="s">
        <v>30</v>
      </c>
      <c r="F1639" s="149">
        <v>2025</v>
      </c>
      <c r="G1639" s="148" t="s">
        <v>37</v>
      </c>
      <c r="H1639" s="148"/>
      <c r="I1639" s="150">
        <v>43378</v>
      </c>
      <c r="J1639" s="148"/>
      <c r="K1639" s="148"/>
      <c r="L1639" s="152"/>
      <c r="M1639" s="152">
        <f t="shared" si="25"/>
        <v>0</v>
      </c>
      <c r="N1639" s="148"/>
      <c r="O1639" s="148"/>
      <c r="P1639" s="148"/>
      <c r="Q1639" s="148"/>
      <c r="R1639" s="148"/>
      <c r="S1639" s="148"/>
      <c r="T1639" s="148"/>
      <c r="U1639" s="148"/>
      <c r="V1639" s="148"/>
      <c r="W1639" s="148"/>
      <c r="X1639" s="148"/>
      <c r="Y1639" s="148"/>
      <c r="Z1639" s="148"/>
      <c r="AA1639" s="148"/>
    </row>
    <row r="1640" spans="1:27">
      <c r="A1640" s="147">
        <v>3139</v>
      </c>
      <c r="B1640" s="147" t="s">
        <v>69</v>
      </c>
      <c r="C1640" s="147" t="s">
        <v>53</v>
      </c>
      <c r="D1640" s="148" t="s">
        <v>56</v>
      </c>
      <c r="E1640" s="148" t="s">
        <v>30</v>
      </c>
      <c r="F1640" s="149">
        <v>2025</v>
      </c>
      <c r="G1640" s="148" t="s">
        <v>38</v>
      </c>
      <c r="H1640" s="148"/>
      <c r="I1640" s="150">
        <v>43370</v>
      </c>
      <c r="J1640" s="150">
        <v>43370</v>
      </c>
      <c r="K1640" s="148"/>
      <c r="L1640" s="152"/>
      <c r="M1640" s="152">
        <f t="shared" si="25"/>
        <v>0</v>
      </c>
      <c r="N1640" s="148"/>
      <c r="O1640" s="148"/>
      <c r="P1640" s="148"/>
      <c r="Q1640" s="148"/>
      <c r="R1640" s="148"/>
      <c r="S1640" s="148"/>
      <c r="T1640" s="148"/>
      <c r="U1640" s="148"/>
      <c r="V1640" s="148"/>
      <c r="W1640" s="148"/>
      <c r="X1640" s="148"/>
      <c r="Y1640" s="148"/>
      <c r="Z1640" s="148"/>
      <c r="AA1640" s="148"/>
    </row>
    <row r="1641" spans="1:27">
      <c r="A1641" s="147">
        <v>3140</v>
      </c>
      <c r="B1641" s="147" t="s">
        <v>69</v>
      </c>
      <c r="C1641" s="147" t="s">
        <v>53</v>
      </c>
      <c r="D1641" s="148" t="s">
        <v>56</v>
      </c>
      <c r="E1641" s="148" t="s">
        <v>30</v>
      </c>
      <c r="F1641" s="149">
        <v>2025</v>
      </c>
      <c r="G1641" s="148" t="s">
        <v>39</v>
      </c>
      <c r="H1641" s="148"/>
      <c r="I1641" s="150">
        <v>43353</v>
      </c>
      <c r="J1641" s="150">
        <v>43353</v>
      </c>
      <c r="K1641" s="148"/>
      <c r="L1641" s="152"/>
      <c r="M1641" s="152">
        <f t="shared" si="25"/>
        <v>0</v>
      </c>
      <c r="N1641" s="148"/>
      <c r="O1641" s="148"/>
      <c r="P1641" s="148"/>
      <c r="Q1641" s="148"/>
      <c r="R1641" s="148"/>
      <c r="S1641" s="148"/>
      <c r="T1641" s="148"/>
      <c r="U1641" s="148"/>
      <c r="V1641" s="148"/>
      <c r="W1641" s="148"/>
      <c r="X1641" s="148"/>
      <c r="Y1641" s="148"/>
      <c r="Z1641" s="148"/>
      <c r="AA1641" s="148"/>
    </row>
    <row r="1642" spans="1:27">
      <c r="A1642" s="147">
        <v>3141</v>
      </c>
      <c r="B1642" s="147" t="s">
        <v>69</v>
      </c>
      <c r="C1642" s="147" t="s">
        <v>53</v>
      </c>
      <c r="D1642" s="148" t="s">
        <v>56</v>
      </c>
      <c r="E1642" s="148" t="s">
        <v>30</v>
      </c>
      <c r="F1642" s="149">
        <v>2025</v>
      </c>
      <c r="G1642" s="148" t="s">
        <v>40</v>
      </c>
      <c r="H1642" s="148"/>
      <c r="I1642" s="150">
        <v>43068</v>
      </c>
      <c r="J1642" s="149">
        <v>523</v>
      </c>
      <c r="K1642" s="148"/>
      <c r="L1642" s="152"/>
      <c r="M1642" s="152">
        <f t="shared" si="25"/>
        <v>0</v>
      </c>
      <c r="N1642" s="148"/>
      <c r="O1642" s="148"/>
      <c r="P1642" s="148"/>
      <c r="Q1642" s="148"/>
      <c r="R1642" s="148"/>
      <c r="S1642" s="148"/>
      <c r="T1642" s="148"/>
      <c r="U1642" s="148"/>
      <c r="V1642" s="148"/>
      <c r="W1642" s="148"/>
      <c r="X1642" s="148"/>
      <c r="Y1642" s="148"/>
      <c r="Z1642" s="148"/>
      <c r="AA1642" s="148"/>
    </row>
    <row r="1643" spans="1:27">
      <c r="A1643" s="147">
        <v>3142</v>
      </c>
      <c r="B1643" s="147" t="s">
        <v>69</v>
      </c>
      <c r="C1643" s="147" t="s">
        <v>53</v>
      </c>
      <c r="D1643" s="148" t="s">
        <v>56</v>
      </c>
      <c r="E1643" s="148" t="s">
        <v>30</v>
      </c>
      <c r="F1643" s="149">
        <v>2025</v>
      </c>
      <c r="G1643" s="148" t="s">
        <v>41</v>
      </c>
      <c r="H1643" s="148"/>
      <c r="I1643" s="150">
        <v>42545</v>
      </c>
      <c r="J1643" s="150">
        <v>2762</v>
      </c>
      <c r="K1643" s="148"/>
      <c r="L1643" s="152"/>
      <c r="M1643" s="152">
        <f t="shared" si="25"/>
        <v>0</v>
      </c>
      <c r="N1643" s="148"/>
      <c r="O1643" s="148"/>
      <c r="P1643" s="148"/>
      <c r="Q1643" s="148"/>
      <c r="R1643" s="148"/>
      <c r="S1643" s="148"/>
      <c r="T1643" s="148"/>
      <c r="U1643" s="148"/>
      <c r="V1643" s="148"/>
      <c r="W1643" s="148"/>
      <c r="X1643" s="148"/>
      <c r="Y1643" s="148"/>
      <c r="Z1643" s="148"/>
      <c r="AA1643" s="148"/>
    </row>
    <row r="1644" spans="1:27">
      <c r="A1644" s="147">
        <v>3143</v>
      </c>
      <c r="B1644" s="147" t="s">
        <v>69</v>
      </c>
      <c r="C1644" s="147" t="s">
        <v>53</v>
      </c>
      <c r="D1644" s="148" t="s">
        <v>56</v>
      </c>
      <c r="E1644" s="148" t="s">
        <v>30</v>
      </c>
      <c r="F1644" s="149">
        <v>2025</v>
      </c>
      <c r="G1644" s="148" t="s">
        <v>42</v>
      </c>
      <c r="H1644" s="148"/>
      <c r="I1644" s="150">
        <v>39783</v>
      </c>
      <c r="J1644" s="150">
        <v>39783</v>
      </c>
      <c r="K1644" s="148"/>
      <c r="L1644" s="152"/>
      <c r="M1644" s="152">
        <f t="shared" si="25"/>
        <v>0</v>
      </c>
      <c r="N1644" s="148"/>
      <c r="O1644" s="148"/>
      <c r="P1644" s="148"/>
      <c r="Q1644" s="148"/>
      <c r="R1644" s="148"/>
      <c r="S1644" s="148"/>
      <c r="T1644" s="148"/>
      <c r="U1644" s="148"/>
      <c r="V1644" s="148"/>
      <c r="W1644" s="148"/>
      <c r="X1644" s="148"/>
      <c r="Y1644" s="148"/>
      <c r="Z1644" s="148"/>
      <c r="AA1644" s="148"/>
    </row>
    <row r="1645" spans="1:27">
      <c r="A1645" s="147">
        <v>3144</v>
      </c>
      <c r="B1645" s="147" t="s">
        <v>69</v>
      </c>
      <c r="C1645" s="147" t="s">
        <v>53</v>
      </c>
      <c r="D1645" s="148" t="s">
        <v>56</v>
      </c>
      <c r="E1645" s="148" t="s">
        <v>30</v>
      </c>
      <c r="F1645" s="149">
        <v>2025</v>
      </c>
      <c r="G1645" s="148" t="s">
        <v>43</v>
      </c>
      <c r="H1645" s="148"/>
      <c r="I1645" s="150">
        <v>39639</v>
      </c>
      <c r="J1645" s="150">
        <v>-3714</v>
      </c>
      <c r="K1645" s="148"/>
      <c r="L1645" s="152"/>
      <c r="M1645" s="152">
        <f t="shared" si="25"/>
        <v>0</v>
      </c>
      <c r="N1645" s="148"/>
      <c r="O1645" s="148"/>
      <c r="P1645" s="148"/>
      <c r="Q1645" s="148"/>
      <c r="R1645" s="148"/>
      <c r="S1645" s="148"/>
      <c r="T1645" s="148"/>
      <c r="U1645" s="148"/>
      <c r="V1645" s="148"/>
      <c r="W1645" s="148"/>
      <c r="X1645" s="148"/>
      <c r="Y1645" s="148"/>
      <c r="Z1645" s="148"/>
      <c r="AA1645" s="148"/>
    </row>
    <row r="1646" spans="1:27">
      <c r="A1646" s="147">
        <v>3145</v>
      </c>
      <c r="B1646" s="147" t="s">
        <v>69</v>
      </c>
      <c r="C1646" s="147" t="s">
        <v>53</v>
      </c>
      <c r="D1646" s="148" t="s">
        <v>56</v>
      </c>
      <c r="E1646" s="148" t="s">
        <v>30</v>
      </c>
      <c r="F1646" s="149">
        <v>2026</v>
      </c>
      <c r="G1646" s="148" t="s">
        <v>31</v>
      </c>
      <c r="H1646" s="148"/>
      <c r="I1646" s="150">
        <v>39619</v>
      </c>
      <c r="J1646" s="149">
        <v>7</v>
      </c>
      <c r="K1646" s="148"/>
      <c r="L1646" s="152"/>
      <c r="M1646" s="152">
        <f t="shared" si="25"/>
        <v>0</v>
      </c>
      <c r="N1646" s="148"/>
      <c r="O1646" s="148"/>
      <c r="P1646" s="148"/>
      <c r="Q1646" s="148"/>
      <c r="R1646" s="148"/>
      <c r="S1646" s="148"/>
      <c r="T1646" s="148"/>
      <c r="U1646" s="148"/>
      <c r="V1646" s="148"/>
      <c r="W1646" s="148"/>
      <c r="X1646" s="148"/>
      <c r="Y1646" s="148"/>
      <c r="Z1646" s="148"/>
      <c r="AA1646" s="148"/>
    </row>
    <row r="1647" spans="1:27">
      <c r="A1647" s="147">
        <v>3146</v>
      </c>
      <c r="B1647" s="147" t="s">
        <v>69</v>
      </c>
      <c r="C1647" s="147" t="s">
        <v>53</v>
      </c>
      <c r="D1647" s="148" t="s">
        <v>56</v>
      </c>
      <c r="E1647" s="148" t="s">
        <v>30</v>
      </c>
      <c r="F1647" s="149">
        <v>2026</v>
      </c>
      <c r="G1647" s="148" t="s">
        <v>33</v>
      </c>
      <c r="H1647" s="148"/>
      <c r="I1647" s="150">
        <v>39612</v>
      </c>
      <c r="J1647" s="150">
        <v>39612</v>
      </c>
      <c r="K1647" s="148"/>
      <c r="L1647" s="152"/>
      <c r="M1647" s="152">
        <f t="shared" si="25"/>
        <v>0</v>
      </c>
      <c r="N1647" s="148"/>
      <c r="O1647" s="148"/>
      <c r="P1647" s="148"/>
      <c r="Q1647" s="148"/>
      <c r="R1647" s="148"/>
      <c r="S1647" s="148"/>
      <c r="T1647" s="148"/>
      <c r="U1647" s="148"/>
      <c r="V1647" s="148"/>
      <c r="W1647" s="148"/>
      <c r="X1647" s="148"/>
      <c r="Y1647" s="148"/>
      <c r="Z1647" s="148"/>
      <c r="AA1647" s="148"/>
    </row>
    <row r="1648" spans="1:27">
      <c r="A1648" s="147">
        <v>3147</v>
      </c>
      <c r="B1648" s="147" t="s">
        <v>69</v>
      </c>
      <c r="C1648" s="147" t="s">
        <v>53</v>
      </c>
      <c r="D1648" s="148" t="s">
        <v>56</v>
      </c>
      <c r="E1648" s="148" t="s">
        <v>30</v>
      </c>
      <c r="F1648" s="149">
        <v>2026</v>
      </c>
      <c r="G1648" s="148" t="s">
        <v>34</v>
      </c>
      <c r="H1648" s="148"/>
      <c r="I1648" s="150">
        <v>39598</v>
      </c>
      <c r="J1648" s="149">
        <v>45</v>
      </c>
      <c r="K1648" s="148"/>
      <c r="L1648" s="152"/>
      <c r="M1648" s="152">
        <f t="shared" si="25"/>
        <v>0</v>
      </c>
      <c r="N1648" s="148"/>
      <c r="O1648" s="148"/>
      <c r="P1648" s="148"/>
      <c r="Q1648" s="148"/>
      <c r="R1648" s="148"/>
      <c r="S1648" s="148"/>
      <c r="T1648" s="148"/>
      <c r="U1648" s="148"/>
      <c r="V1648" s="148"/>
      <c r="W1648" s="148"/>
      <c r="X1648" s="148"/>
      <c r="Y1648" s="148"/>
      <c r="Z1648" s="148"/>
      <c r="AA1648" s="148"/>
    </row>
    <row r="1649" spans="1:27">
      <c r="A1649" s="147">
        <v>3148</v>
      </c>
      <c r="B1649" s="147" t="s">
        <v>69</v>
      </c>
      <c r="C1649" s="147" t="s">
        <v>53</v>
      </c>
      <c r="D1649" s="148" t="s">
        <v>56</v>
      </c>
      <c r="E1649" s="148" t="s">
        <v>30</v>
      </c>
      <c r="F1649" s="149">
        <v>2026</v>
      </c>
      <c r="G1649" s="148" t="s">
        <v>35</v>
      </c>
      <c r="H1649" s="148"/>
      <c r="I1649" s="150">
        <v>39593</v>
      </c>
      <c r="J1649" s="150">
        <v>-3475</v>
      </c>
      <c r="K1649" s="148"/>
      <c r="L1649" s="152"/>
      <c r="M1649" s="152">
        <f t="shared" si="25"/>
        <v>0</v>
      </c>
      <c r="N1649" s="148"/>
      <c r="O1649" s="148"/>
      <c r="P1649" s="148"/>
      <c r="Q1649" s="148"/>
      <c r="R1649" s="148"/>
      <c r="S1649" s="148"/>
      <c r="T1649" s="148"/>
      <c r="U1649" s="148"/>
      <c r="V1649" s="148"/>
      <c r="W1649" s="148"/>
      <c r="X1649" s="148"/>
      <c r="Y1649" s="148"/>
      <c r="Z1649" s="148"/>
      <c r="AA1649" s="148"/>
    </row>
    <row r="1650" spans="1:27">
      <c r="A1650" s="147">
        <v>3149</v>
      </c>
      <c r="B1650" s="147" t="s">
        <v>69</v>
      </c>
      <c r="C1650" s="147" t="s">
        <v>53</v>
      </c>
      <c r="D1650" s="148" t="s">
        <v>56</v>
      </c>
      <c r="E1650" s="148" t="s">
        <v>30</v>
      </c>
      <c r="F1650" s="149">
        <v>2026</v>
      </c>
      <c r="G1650" s="148" t="s">
        <v>36</v>
      </c>
      <c r="H1650" s="148"/>
      <c r="I1650" s="150">
        <v>39576</v>
      </c>
      <c r="J1650" s="149">
        <v>-22</v>
      </c>
      <c r="K1650" s="148"/>
      <c r="L1650" s="152"/>
      <c r="M1650" s="152">
        <f t="shared" si="25"/>
        <v>0</v>
      </c>
      <c r="N1650" s="148"/>
      <c r="O1650" s="148"/>
      <c r="P1650" s="148"/>
      <c r="Q1650" s="148"/>
      <c r="R1650" s="148"/>
      <c r="S1650" s="148"/>
      <c r="T1650" s="148"/>
      <c r="U1650" s="148"/>
      <c r="V1650" s="148"/>
      <c r="W1650" s="148"/>
      <c r="X1650" s="148"/>
      <c r="Y1650" s="148"/>
      <c r="Z1650" s="148"/>
      <c r="AA1650" s="148"/>
    </row>
    <row r="1651" spans="1:27">
      <c r="A1651" s="147">
        <v>3150</v>
      </c>
      <c r="B1651" s="147" t="s">
        <v>69</v>
      </c>
      <c r="C1651" s="147" t="s">
        <v>53</v>
      </c>
      <c r="D1651" s="148" t="s">
        <v>56</v>
      </c>
      <c r="E1651" s="148" t="s">
        <v>30</v>
      </c>
      <c r="F1651" s="149">
        <v>2026</v>
      </c>
      <c r="G1651" s="148" t="s">
        <v>37</v>
      </c>
      <c r="H1651" s="148"/>
      <c r="I1651" s="150">
        <v>39553</v>
      </c>
      <c r="J1651" s="150">
        <v>39553</v>
      </c>
      <c r="K1651" s="148"/>
      <c r="L1651" s="152"/>
      <c r="M1651" s="152">
        <f t="shared" si="25"/>
        <v>0</v>
      </c>
      <c r="N1651" s="148"/>
      <c r="O1651" s="148"/>
      <c r="P1651" s="148"/>
      <c r="Q1651" s="148"/>
      <c r="R1651" s="148"/>
      <c r="S1651" s="148"/>
      <c r="T1651" s="148"/>
      <c r="U1651" s="148"/>
      <c r="V1651" s="148"/>
      <c r="W1651" s="148"/>
      <c r="X1651" s="148"/>
      <c r="Y1651" s="148"/>
      <c r="Z1651" s="148"/>
      <c r="AA1651" s="148"/>
    </row>
    <row r="1652" spans="1:27">
      <c r="A1652" s="147">
        <v>3151</v>
      </c>
      <c r="B1652" s="147" t="s">
        <v>69</v>
      </c>
      <c r="C1652" s="147" t="s">
        <v>53</v>
      </c>
      <c r="D1652" s="148" t="s">
        <v>56</v>
      </c>
      <c r="E1652" s="148" t="s">
        <v>30</v>
      </c>
      <c r="F1652" s="149">
        <v>2026</v>
      </c>
      <c r="G1652" s="148" t="s">
        <v>38</v>
      </c>
      <c r="H1652" s="148"/>
      <c r="I1652" s="150">
        <v>39532</v>
      </c>
      <c r="J1652" s="149">
        <v>-21</v>
      </c>
      <c r="K1652" s="148"/>
      <c r="L1652" s="152"/>
      <c r="M1652" s="152">
        <f t="shared" si="25"/>
        <v>0</v>
      </c>
      <c r="N1652" s="148"/>
      <c r="O1652" s="148"/>
      <c r="P1652" s="148"/>
      <c r="Q1652" s="148"/>
      <c r="R1652" s="148"/>
      <c r="S1652" s="148"/>
      <c r="T1652" s="148"/>
      <c r="U1652" s="148"/>
      <c r="V1652" s="148"/>
      <c r="W1652" s="148"/>
      <c r="X1652" s="148"/>
      <c r="Y1652" s="148"/>
      <c r="Z1652" s="148"/>
      <c r="AA1652" s="148"/>
    </row>
    <row r="1653" spans="1:27">
      <c r="A1653" s="147">
        <v>3152</v>
      </c>
      <c r="B1653" s="147" t="s">
        <v>69</v>
      </c>
      <c r="C1653" s="147" t="s">
        <v>53</v>
      </c>
      <c r="D1653" s="148" t="s">
        <v>56</v>
      </c>
      <c r="E1653" s="148" t="s">
        <v>30</v>
      </c>
      <c r="F1653" s="149">
        <v>2026</v>
      </c>
      <c r="G1653" s="148" t="s">
        <v>39</v>
      </c>
      <c r="H1653" s="148"/>
      <c r="I1653" s="148"/>
      <c r="J1653" s="148"/>
      <c r="K1653" s="148"/>
      <c r="L1653" s="152"/>
      <c r="M1653" s="152">
        <f t="shared" si="25"/>
        <v>0</v>
      </c>
      <c r="N1653" s="148"/>
      <c r="O1653" s="148"/>
      <c r="P1653" s="148"/>
      <c r="Q1653" s="148"/>
      <c r="R1653" s="148"/>
      <c r="S1653" s="148"/>
      <c r="T1653" s="148"/>
      <c r="U1653" s="148"/>
      <c r="V1653" s="148"/>
      <c r="W1653" s="148"/>
      <c r="X1653" s="148"/>
      <c r="Y1653" s="148"/>
      <c r="Z1653" s="148"/>
      <c r="AA1653" s="148"/>
    </row>
    <row r="1654" spans="1:27">
      <c r="A1654" s="147">
        <v>3153</v>
      </c>
      <c r="B1654" s="147" t="s">
        <v>69</v>
      </c>
      <c r="C1654" s="147" t="s">
        <v>53</v>
      </c>
      <c r="D1654" s="148" t="s">
        <v>56</v>
      </c>
      <c r="E1654" s="148" t="s">
        <v>30</v>
      </c>
      <c r="F1654" s="149">
        <v>2026</v>
      </c>
      <c r="G1654" s="148" t="s">
        <v>40</v>
      </c>
      <c r="H1654" s="148"/>
      <c r="I1654" s="148"/>
      <c r="J1654" s="148"/>
      <c r="K1654" s="148"/>
      <c r="L1654" s="152"/>
      <c r="M1654" s="152">
        <f t="shared" si="25"/>
        <v>0</v>
      </c>
      <c r="N1654" s="148"/>
      <c r="O1654" s="148"/>
      <c r="P1654" s="148"/>
      <c r="Q1654" s="148"/>
      <c r="R1654" s="148"/>
      <c r="S1654" s="148"/>
      <c r="T1654" s="148"/>
      <c r="U1654" s="148"/>
      <c r="V1654" s="148"/>
      <c r="W1654" s="148"/>
      <c r="X1654" s="148"/>
      <c r="Y1654" s="148"/>
      <c r="Z1654" s="148"/>
      <c r="AA1654" s="148"/>
    </row>
    <row r="1655" spans="1:27">
      <c r="A1655" s="147">
        <v>3154</v>
      </c>
      <c r="B1655" s="147" t="s">
        <v>69</v>
      </c>
      <c r="C1655" s="147" t="s">
        <v>53</v>
      </c>
      <c r="D1655" s="148" t="s">
        <v>56</v>
      </c>
      <c r="E1655" s="148" t="s">
        <v>30</v>
      </c>
      <c r="F1655" s="149">
        <v>2026</v>
      </c>
      <c r="G1655" s="148" t="s">
        <v>41</v>
      </c>
      <c r="H1655" s="148"/>
      <c r="I1655" s="148"/>
      <c r="J1655" s="148"/>
      <c r="K1655" s="148"/>
      <c r="L1655" s="152"/>
      <c r="M1655" s="152">
        <f t="shared" si="25"/>
        <v>0</v>
      </c>
      <c r="N1655" s="148"/>
      <c r="O1655" s="148"/>
      <c r="P1655" s="148"/>
      <c r="Q1655" s="148"/>
      <c r="R1655" s="148"/>
      <c r="S1655" s="148"/>
      <c r="T1655" s="148"/>
      <c r="U1655" s="148"/>
      <c r="V1655" s="148"/>
      <c r="W1655" s="148"/>
      <c r="X1655" s="148"/>
      <c r="Y1655" s="148"/>
      <c r="Z1655" s="148"/>
      <c r="AA1655" s="148"/>
    </row>
    <row r="1656" spans="1:27">
      <c r="A1656" s="147">
        <v>3155</v>
      </c>
      <c r="B1656" s="147" t="s">
        <v>69</v>
      </c>
      <c r="C1656" s="147" t="s">
        <v>53</v>
      </c>
      <c r="D1656" s="148" t="s">
        <v>56</v>
      </c>
      <c r="E1656" s="148" t="s">
        <v>30</v>
      </c>
      <c r="F1656" s="149">
        <v>2026</v>
      </c>
      <c r="G1656" s="148" t="s">
        <v>42</v>
      </c>
      <c r="H1656" s="148"/>
      <c r="I1656" s="148"/>
      <c r="J1656" s="148"/>
      <c r="K1656" s="148"/>
      <c r="L1656" s="152"/>
      <c r="M1656" s="152">
        <f t="shared" si="25"/>
        <v>0</v>
      </c>
      <c r="N1656" s="148"/>
      <c r="O1656" s="148"/>
      <c r="P1656" s="148"/>
      <c r="Q1656" s="148"/>
      <c r="R1656" s="148"/>
      <c r="S1656" s="148"/>
      <c r="T1656" s="148"/>
      <c r="U1656" s="148"/>
      <c r="V1656" s="148"/>
      <c r="W1656" s="148"/>
      <c r="X1656" s="148"/>
      <c r="Y1656" s="148"/>
      <c r="Z1656" s="148"/>
      <c r="AA1656" s="148"/>
    </row>
    <row r="1657" spans="1:27">
      <c r="A1657" s="147">
        <v>3156</v>
      </c>
      <c r="B1657" s="147" t="s">
        <v>69</v>
      </c>
      <c r="C1657" s="147" t="s">
        <v>53</v>
      </c>
      <c r="D1657" s="148" t="s">
        <v>56</v>
      </c>
      <c r="E1657" s="148" t="s">
        <v>30</v>
      </c>
      <c r="F1657" s="149">
        <v>2026</v>
      </c>
      <c r="G1657" s="148" t="s">
        <v>43</v>
      </c>
      <c r="H1657" s="148"/>
      <c r="I1657" s="148"/>
      <c r="J1657" s="148"/>
      <c r="K1657" s="148"/>
      <c r="L1657" s="152"/>
      <c r="M1657" s="152">
        <f t="shared" si="25"/>
        <v>0</v>
      </c>
      <c r="N1657" s="148"/>
      <c r="O1657" s="148"/>
      <c r="P1657" s="148"/>
      <c r="Q1657" s="148"/>
      <c r="R1657" s="148"/>
      <c r="S1657" s="148"/>
      <c r="T1657" s="148"/>
      <c r="U1657" s="148"/>
      <c r="V1657" s="148"/>
      <c r="W1657" s="148"/>
      <c r="X1657" s="148"/>
      <c r="Y1657" s="148"/>
      <c r="Z1657" s="148"/>
      <c r="AA1657" s="148"/>
    </row>
    <row r="1658" spans="1:27">
      <c r="A1658" s="147">
        <v>3169</v>
      </c>
      <c r="B1658" s="147" t="s">
        <v>69</v>
      </c>
      <c r="C1658" s="147" t="s">
        <v>53</v>
      </c>
      <c r="D1658" s="148" t="s">
        <v>57</v>
      </c>
      <c r="E1658" s="148" t="s">
        <v>30</v>
      </c>
      <c r="F1658" s="149">
        <v>2024</v>
      </c>
      <c r="G1658" s="148" t="s">
        <v>31</v>
      </c>
      <c r="H1658" s="148"/>
      <c r="I1658" s="148"/>
      <c r="J1658" s="148"/>
      <c r="K1658" s="148"/>
      <c r="L1658" s="152"/>
      <c r="M1658" s="152">
        <f t="shared" si="25"/>
        <v>0</v>
      </c>
      <c r="N1658" s="148"/>
      <c r="O1658" s="148"/>
      <c r="P1658" s="148"/>
      <c r="Q1658" s="148"/>
      <c r="R1658" s="148"/>
      <c r="S1658" s="148"/>
      <c r="T1658" s="148"/>
      <c r="U1658" s="148"/>
      <c r="V1658" s="148"/>
      <c r="W1658" s="148"/>
      <c r="X1658" s="148"/>
      <c r="Y1658" s="148"/>
      <c r="Z1658" s="148"/>
      <c r="AA1658" s="148"/>
    </row>
    <row r="1659" spans="1:27">
      <c r="A1659" s="147">
        <v>3170</v>
      </c>
      <c r="B1659" s="147" t="s">
        <v>69</v>
      </c>
      <c r="C1659" s="147" t="s">
        <v>53</v>
      </c>
      <c r="D1659" s="148" t="s">
        <v>57</v>
      </c>
      <c r="E1659" s="148" t="s">
        <v>30</v>
      </c>
      <c r="F1659" s="149">
        <v>2024</v>
      </c>
      <c r="G1659" s="148" t="s">
        <v>33</v>
      </c>
      <c r="H1659" s="148"/>
      <c r="I1659" s="148"/>
      <c r="J1659" s="148"/>
      <c r="K1659" s="148"/>
      <c r="L1659" s="152"/>
      <c r="M1659" s="152">
        <f t="shared" si="25"/>
        <v>0</v>
      </c>
      <c r="N1659" s="148"/>
      <c r="O1659" s="148"/>
      <c r="P1659" s="148"/>
      <c r="Q1659" s="148"/>
      <c r="R1659" s="148"/>
      <c r="S1659" s="148"/>
      <c r="T1659" s="148"/>
      <c r="U1659" s="148"/>
      <c r="V1659" s="148"/>
      <c r="W1659" s="148"/>
      <c r="X1659" s="148"/>
      <c r="Y1659" s="148"/>
      <c r="Z1659" s="148"/>
      <c r="AA1659" s="148"/>
    </row>
    <row r="1660" spans="1:27">
      <c r="A1660" s="147">
        <v>3171</v>
      </c>
      <c r="B1660" s="147" t="s">
        <v>69</v>
      </c>
      <c r="C1660" s="147" t="s">
        <v>53</v>
      </c>
      <c r="D1660" s="148" t="s">
        <v>57</v>
      </c>
      <c r="E1660" s="148" t="s">
        <v>30</v>
      </c>
      <c r="F1660" s="149">
        <v>2024</v>
      </c>
      <c r="G1660" s="148" t="s">
        <v>34</v>
      </c>
      <c r="H1660" s="148"/>
      <c r="I1660" s="148"/>
      <c r="J1660" s="148"/>
      <c r="K1660" s="148"/>
      <c r="L1660" s="152"/>
      <c r="M1660" s="152">
        <f t="shared" si="25"/>
        <v>0</v>
      </c>
      <c r="N1660" s="148"/>
      <c r="O1660" s="148"/>
      <c r="P1660" s="148"/>
      <c r="Q1660" s="148"/>
      <c r="R1660" s="148"/>
      <c r="S1660" s="148"/>
      <c r="T1660" s="148"/>
      <c r="U1660" s="148"/>
      <c r="V1660" s="148"/>
      <c r="W1660" s="148"/>
      <c r="X1660" s="148"/>
      <c r="Y1660" s="148"/>
      <c r="Z1660" s="148"/>
      <c r="AA1660" s="148"/>
    </row>
    <row r="1661" spans="1:27">
      <c r="A1661" s="147">
        <v>3172</v>
      </c>
      <c r="B1661" s="147" t="s">
        <v>69</v>
      </c>
      <c r="C1661" s="147" t="s">
        <v>53</v>
      </c>
      <c r="D1661" s="148" t="s">
        <v>57</v>
      </c>
      <c r="E1661" s="148" t="s">
        <v>30</v>
      </c>
      <c r="F1661" s="149">
        <v>2024</v>
      </c>
      <c r="G1661" s="148" t="s">
        <v>35</v>
      </c>
      <c r="H1661" s="148"/>
      <c r="I1661" s="148"/>
      <c r="J1661" s="148"/>
      <c r="K1661" s="148"/>
      <c r="L1661" s="152"/>
      <c r="M1661" s="152">
        <f t="shared" si="25"/>
        <v>0</v>
      </c>
      <c r="N1661" s="148"/>
      <c r="O1661" s="148"/>
      <c r="P1661" s="148"/>
      <c r="Q1661" s="148"/>
      <c r="R1661" s="148"/>
      <c r="S1661" s="148"/>
      <c r="T1661" s="148"/>
      <c r="U1661" s="148"/>
      <c r="V1661" s="148"/>
      <c r="W1661" s="148"/>
      <c r="X1661" s="148"/>
      <c r="Y1661" s="148"/>
      <c r="Z1661" s="148"/>
      <c r="AA1661" s="148"/>
    </row>
    <row r="1662" spans="1:27">
      <c r="A1662" s="147">
        <v>3173</v>
      </c>
      <c r="B1662" s="147" t="s">
        <v>69</v>
      </c>
      <c r="C1662" s="147" t="s">
        <v>53</v>
      </c>
      <c r="D1662" s="148" t="s">
        <v>57</v>
      </c>
      <c r="E1662" s="148" t="s">
        <v>30</v>
      </c>
      <c r="F1662" s="149">
        <v>2024</v>
      </c>
      <c r="G1662" s="148" t="s">
        <v>36</v>
      </c>
      <c r="H1662" s="148"/>
      <c r="I1662" s="148"/>
      <c r="J1662" s="148"/>
      <c r="K1662" s="148"/>
      <c r="L1662" s="152"/>
      <c r="M1662" s="152">
        <f t="shared" si="25"/>
        <v>0</v>
      </c>
      <c r="N1662" s="148"/>
      <c r="O1662" s="148"/>
      <c r="P1662" s="148"/>
      <c r="Q1662" s="148"/>
      <c r="R1662" s="148"/>
      <c r="S1662" s="148"/>
      <c r="T1662" s="148"/>
      <c r="U1662" s="148"/>
      <c r="V1662" s="148"/>
      <c r="W1662" s="148"/>
      <c r="X1662" s="148"/>
      <c r="Y1662" s="148"/>
      <c r="Z1662" s="148"/>
      <c r="AA1662" s="148"/>
    </row>
    <row r="1663" spans="1:27">
      <c r="A1663" s="147">
        <v>3174</v>
      </c>
      <c r="B1663" s="147" t="s">
        <v>69</v>
      </c>
      <c r="C1663" s="147" t="s">
        <v>53</v>
      </c>
      <c r="D1663" s="148" t="s">
        <v>57</v>
      </c>
      <c r="E1663" s="148" t="s">
        <v>30</v>
      </c>
      <c r="F1663" s="149">
        <v>2024</v>
      </c>
      <c r="G1663" s="148" t="s">
        <v>37</v>
      </c>
      <c r="H1663" s="148"/>
      <c r="I1663" s="148"/>
      <c r="J1663" s="148"/>
      <c r="K1663" s="148"/>
      <c r="L1663" s="152"/>
      <c r="M1663" s="152">
        <f t="shared" si="25"/>
        <v>0</v>
      </c>
      <c r="N1663" s="148"/>
      <c r="O1663" s="148"/>
      <c r="P1663" s="148"/>
      <c r="Q1663" s="148"/>
      <c r="R1663" s="148"/>
      <c r="S1663" s="148"/>
      <c r="T1663" s="148"/>
      <c r="U1663" s="148"/>
      <c r="V1663" s="148"/>
      <c r="W1663" s="148"/>
      <c r="X1663" s="148"/>
      <c r="Y1663" s="148"/>
      <c r="Z1663" s="148"/>
      <c r="AA1663" s="148"/>
    </row>
    <row r="1664" spans="1:27">
      <c r="A1664" s="147">
        <v>3175</v>
      </c>
      <c r="B1664" s="147" t="s">
        <v>69</v>
      </c>
      <c r="C1664" s="147" t="s">
        <v>53</v>
      </c>
      <c r="D1664" s="148" t="s">
        <v>57</v>
      </c>
      <c r="E1664" s="148" t="s">
        <v>30</v>
      </c>
      <c r="F1664" s="149">
        <v>2024</v>
      </c>
      <c r="G1664" s="148" t="s">
        <v>38</v>
      </c>
      <c r="H1664" s="148"/>
      <c r="I1664" s="148"/>
      <c r="J1664" s="148"/>
      <c r="K1664" s="148"/>
      <c r="L1664" s="152"/>
      <c r="M1664" s="152">
        <f t="shared" si="25"/>
        <v>0</v>
      </c>
      <c r="N1664" s="148"/>
      <c r="O1664" s="148"/>
      <c r="P1664" s="148"/>
      <c r="Q1664" s="148"/>
      <c r="R1664" s="148"/>
      <c r="S1664" s="148"/>
      <c r="T1664" s="148"/>
      <c r="U1664" s="148"/>
      <c r="V1664" s="148"/>
      <c r="W1664" s="148"/>
      <c r="X1664" s="148"/>
      <c r="Y1664" s="148"/>
      <c r="Z1664" s="148"/>
      <c r="AA1664" s="148"/>
    </row>
    <row r="1665" spans="1:27">
      <c r="A1665" s="147">
        <v>3176</v>
      </c>
      <c r="B1665" s="147" t="s">
        <v>69</v>
      </c>
      <c r="C1665" s="147" t="s">
        <v>53</v>
      </c>
      <c r="D1665" s="148" t="s">
        <v>57</v>
      </c>
      <c r="E1665" s="148" t="s">
        <v>30</v>
      </c>
      <c r="F1665" s="149">
        <v>2024</v>
      </c>
      <c r="G1665" s="148" t="s">
        <v>39</v>
      </c>
      <c r="H1665" s="148"/>
      <c r="I1665" s="148"/>
      <c r="J1665" s="148"/>
      <c r="K1665" s="148"/>
      <c r="L1665" s="152"/>
      <c r="M1665" s="152">
        <f t="shared" si="25"/>
        <v>0</v>
      </c>
      <c r="N1665" s="148"/>
      <c r="O1665" s="148"/>
      <c r="P1665" s="148"/>
      <c r="Q1665" s="148"/>
      <c r="R1665" s="148"/>
      <c r="S1665" s="148"/>
      <c r="T1665" s="148"/>
      <c r="U1665" s="148"/>
      <c r="V1665" s="148"/>
      <c r="W1665" s="148"/>
      <c r="X1665" s="148"/>
      <c r="Y1665" s="148"/>
      <c r="Z1665" s="148"/>
      <c r="AA1665" s="148"/>
    </row>
    <row r="1666" spans="1:27">
      <c r="A1666" s="147">
        <v>3177</v>
      </c>
      <c r="B1666" s="147" t="s">
        <v>69</v>
      </c>
      <c r="C1666" s="147" t="s">
        <v>53</v>
      </c>
      <c r="D1666" s="148" t="s">
        <v>57</v>
      </c>
      <c r="E1666" s="148" t="s">
        <v>30</v>
      </c>
      <c r="F1666" s="149">
        <v>2024</v>
      </c>
      <c r="G1666" s="148" t="s">
        <v>40</v>
      </c>
      <c r="H1666" s="148"/>
      <c r="I1666" s="148"/>
      <c r="J1666" s="148"/>
      <c r="K1666" s="148"/>
      <c r="L1666" s="152"/>
      <c r="M1666" s="152">
        <f t="shared" ref="M1666:M1729" si="26">L1666*17000</f>
        <v>0</v>
      </c>
      <c r="N1666" s="148"/>
      <c r="O1666" s="148"/>
      <c r="P1666" s="148"/>
      <c r="Q1666" s="148"/>
      <c r="R1666" s="148"/>
      <c r="S1666" s="148"/>
      <c r="T1666" s="148"/>
      <c r="U1666" s="148"/>
      <c r="V1666" s="148"/>
      <c r="W1666" s="148"/>
      <c r="X1666" s="148"/>
      <c r="Y1666" s="148"/>
      <c r="Z1666" s="148"/>
      <c r="AA1666" s="148"/>
    </row>
    <row r="1667" spans="1:27">
      <c r="A1667" s="147">
        <v>3178</v>
      </c>
      <c r="B1667" s="147" t="s">
        <v>69</v>
      </c>
      <c r="C1667" s="147" t="s">
        <v>53</v>
      </c>
      <c r="D1667" s="148" t="s">
        <v>57</v>
      </c>
      <c r="E1667" s="148" t="s">
        <v>30</v>
      </c>
      <c r="F1667" s="149">
        <v>2024</v>
      </c>
      <c r="G1667" s="148" t="s">
        <v>41</v>
      </c>
      <c r="H1667" s="148"/>
      <c r="I1667" s="148"/>
      <c r="J1667" s="148"/>
      <c r="K1667" s="148"/>
      <c r="L1667" s="152"/>
      <c r="M1667" s="152">
        <f t="shared" si="26"/>
        <v>0</v>
      </c>
      <c r="N1667" s="148"/>
      <c r="O1667" s="148"/>
      <c r="P1667" s="148"/>
      <c r="Q1667" s="148"/>
      <c r="R1667" s="148"/>
      <c r="S1667" s="148"/>
      <c r="T1667" s="148"/>
      <c r="U1667" s="148"/>
      <c r="V1667" s="148"/>
      <c r="W1667" s="148"/>
      <c r="X1667" s="148"/>
      <c r="Y1667" s="148"/>
      <c r="Z1667" s="148"/>
      <c r="AA1667" s="148"/>
    </row>
    <row r="1668" spans="1:27">
      <c r="A1668" s="147">
        <v>3179</v>
      </c>
      <c r="B1668" s="147" t="s">
        <v>69</v>
      </c>
      <c r="C1668" s="147" t="s">
        <v>53</v>
      </c>
      <c r="D1668" s="148" t="s">
        <v>57</v>
      </c>
      <c r="E1668" s="148" t="s">
        <v>30</v>
      </c>
      <c r="F1668" s="149">
        <v>2024</v>
      </c>
      <c r="G1668" s="148" t="s">
        <v>42</v>
      </c>
      <c r="H1668" s="148"/>
      <c r="I1668" s="148"/>
      <c r="J1668" s="148"/>
      <c r="K1668" s="148"/>
      <c r="L1668" s="152"/>
      <c r="M1668" s="152">
        <f t="shared" si="26"/>
        <v>0</v>
      </c>
      <c r="N1668" s="148"/>
      <c r="O1668" s="148"/>
      <c r="P1668" s="148"/>
      <c r="Q1668" s="148"/>
      <c r="R1668" s="148"/>
      <c r="S1668" s="148"/>
      <c r="T1668" s="148"/>
      <c r="U1668" s="148"/>
      <c r="V1668" s="148"/>
      <c r="W1668" s="148"/>
      <c r="X1668" s="148"/>
      <c r="Y1668" s="148"/>
      <c r="Z1668" s="148"/>
      <c r="AA1668" s="148"/>
    </row>
    <row r="1669" spans="1:27">
      <c r="A1669" s="147">
        <v>3180</v>
      </c>
      <c r="B1669" s="147" t="s">
        <v>69</v>
      </c>
      <c r="C1669" s="147" t="s">
        <v>53</v>
      </c>
      <c r="D1669" s="148" t="s">
        <v>57</v>
      </c>
      <c r="E1669" s="148" t="s">
        <v>30</v>
      </c>
      <c r="F1669" s="149">
        <v>2024</v>
      </c>
      <c r="G1669" s="148" t="s">
        <v>43</v>
      </c>
      <c r="H1669" s="148"/>
      <c r="I1669" s="148"/>
      <c r="J1669" s="148"/>
      <c r="K1669" s="148"/>
      <c r="L1669" s="152"/>
      <c r="M1669" s="152">
        <f t="shared" si="26"/>
        <v>0</v>
      </c>
      <c r="N1669" s="148"/>
      <c r="O1669" s="148"/>
      <c r="P1669" s="148"/>
      <c r="Q1669" s="148"/>
      <c r="R1669" s="148"/>
      <c r="S1669" s="148"/>
      <c r="T1669" s="148"/>
      <c r="U1669" s="148"/>
      <c r="V1669" s="148"/>
      <c r="W1669" s="148"/>
      <c r="X1669" s="148"/>
      <c r="Y1669" s="148"/>
      <c r="Z1669" s="148"/>
      <c r="AA1669" s="148"/>
    </row>
    <row r="1670" spans="1:27">
      <c r="A1670" s="147">
        <v>3181</v>
      </c>
      <c r="B1670" s="147" t="s">
        <v>69</v>
      </c>
      <c r="C1670" s="147" t="s">
        <v>53</v>
      </c>
      <c r="D1670" s="148" t="s">
        <v>57</v>
      </c>
      <c r="E1670" s="148" t="s">
        <v>30</v>
      </c>
      <c r="F1670" s="149">
        <v>2025</v>
      </c>
      <c r="G1670" s="148" t="s">
        <v>31</v>
      </c>
      <c r="H1670" s="148"/>
      <c r="I1670" s="148"/>
      <c r="J1670" s="148"/>
      <c r="K1670" s="148"/>
      <c r="L1670" s="152"/>
      <c r="M1670" s="152">
        <f t="shared" si="26"/>
        <v>0</v>
      </c>
      <c r="N1670" s="148"/>
      <c r="O1670" s="148"/>
      <c r="P1670" s="148"/>
      <c r="Q1670" s="148"/>
      <c r="R1670" s="148"/>
      <c r="S1670" s="148"/>
      <c r="T1670" s="148"/>
      <c r="U1670" s="148"/>
      <c r="V1670" s="148"/>
      <c r="W1670" s="148"/>
      <c r="X1670" s="148"/>
      <c r="Y1670" s="148"/>
      <c r="Z1670" s="148"/>
      <c r="AA1670" s="148"/>
    </row>
    <row r="1671" spans="1:27">
      <c r="A1671" s="147">
        <v>3182</v>
      </c>
      <c r="B1671" s="147" t="s">
        <v>69</v>
      </c>
      <c r="C1671" s="147" t="s">
        <v>53</v>
      </c>
      <c r="D1671" s="148" t="s">
        <v>57</v>
      </c>
      <c r="E1671" s="148" t="s">
        <v>30</v>
      </c>
      <c r="F1671" s="149">
        <v>2025</v>
      </c>
      <c r="G1671" s="148" t="s">
        <v>33</v>
      </c>
      <c r="H1671" s="148"/>
      <c r="I1671" s="148"/>
      <c r="J1671" s="148"/>
      <c r="K1671" s="148"/>
      <c r="L1671" s="152"/>
      <c r="M1671" s="152">
        <f t="shared" si="26"/>
        <v>0</v>
      </c>
      <c r="N1671" s="148"/>
      <c r="O1671" s="148"/>
      <c r="P1671" s="148"/>
      <c r="Q1671" s="148"/>
      <c r="R1671" s="148"/>
      <c r="S1671" s="148"/>
      <c r="T1671" s="148"/>
      <c r="U1671" s="148"/>
      <c r="V1671" s="148"/>
      <c r="W1671" s="148"/>
      <c r="X1671" s="148"/>
      <c r="Y1671" s="148"/>
      <c r="Z1671" s="148"/>
      <c r="AA1671" s="148"/>
    </row>
    <row r="1672" spans="1:27">
      <c r="A1672" s="147">
        <v>3183</v>
      </c>
      <c r="B1672" s="147" t="s">
        <v>69</v>
      </c>
      <c r="C1672" s="147" t="s">
        <v>53</v>
      </c>
      <c r="D1672" s="148" t="s">
        <v>57</v>
      </c>
      <c r="E1672" s="148" t="s">
        <v>30</v>
      </c>
      <c r="F1672" s="149">
        <v>2025</v>
      </c>
      <c r="G1672" s="148" t="s">
        <v>34</v>
      </c>
      <c r="H1672" s="148"/>
      <c r="I1672" s="148"/>
      <c r="J1672" s="148"/>
      <c r="K1672" s="148"/>
      <c r="L1672" s="152"/>
      <c r="M1672" s="152">
        <f t="shared" si="26"/>
        <v>0</v>
      </c>
      <c r="N1672" s="148"/>
      <c r="O1672" s="148"/>
      <c r="P1672" s="148"/>
      <c r="Q1672" s="148"/>
      <c r="R1672" s="148"/>
      <c r="S1672" s="148"/>
      <c r="T1672" s="148"/>
      <c r="U1672" s="148"/>
      <c r="V1672" s="148"/>
      <c r="W1672" s="148"/>
      <c r="X1672" s="148"/>
      <c r="Y1672" s="148"/>
      <c r="Z1672" s="148"/>
      <c r="AA1672" s="148"/>
    </row>
    <row r="1673" spans="1:27">
      <c r="A1673" s="147">
        <v>3184</v>
      </c>
      <c r="B1673" s="147" t="s">
        <v>69</v>
      </c>
      <c r="C1673" s="147" t="s">
        <v>53</v>
      </c>
      <c r="D1673" s="148" t="s">
        <v>57</v>
      </c>
      <c r="E1673" s="148" t="s">
        <v>30</v>
      </c>
      <c r="F1673" s="149">
        <v>2025</v>
      </c>
      <c r="G1673" s="148" t="s">
        <v>35</v>
      </c>
      <c r="H1673" s="148"/>
      <c r="I1673" s="148"/>
      <c r="J1673" s="148"/>
      <c r="K1673" s="148"/>
      <c r="L1673" s="152"/>
      <c r="M1673" s="152">
        <f t="shared" si="26"/>
        <v>0</v>
      </c>
      <c r="N1673" s="148"/>
      <c r="O1673" s="148"/>
      <c r="P1673" s="148"/>
      <c r="Q1673" s="148"/>
      <c r="R1673" s="148"/>
      <c r="S1673" s="148"/>
      <c r="T1673" s="148"/>
      <c r="U1673" s="148"/>
      <c r="V1673" s="148"/>
      <c r="W1673" s="148"/>
      <c r="X1673" s="148"/>
      <c r="Y1673" s="148"/>
      <c r="Z1673" s="148"/>
      <c r="AA1673" s="148"/>
    </row>
    <row r="1674" spans="1:27">
      <c r="A1674" s="147">
        <v>3185</v>
      </c>
      <c r="B1674" s="147" t="s">
        <v>69</v>
      </c>
      <c r="C1674" s="147" t="s">
        <v>53</v>
      </c>
      <c r="D1674" s="148" t="s">
        <v>57</v>
      </c>
      <c r="E1674" s="148" t="s">
        <v>30</v>
      </c>
      <c r="F1674" s="149">
        <v>2025</v>
      </c>
      <c r="G1674" s="148" t="s">
        <v>36</v>
      </c>
      <c r="H1674" s="148"/>
      <c r="I1674" s="148"/>
      <c r="J1674" s="148"/>
      <c r="K1674" s="148"/>
      <c r="L1674" s="152"/>
      <c r="M1674" s="152">
        <f t="shared" si="26"/>
        <v>0</v>
      </c>
      <c r="N1674" s="148"/>
      <c r="O1674" s="148"/>
      <c r="P1674" s="148"/>
      <c r="Q1674" s="148"/>
      <c r="R1674" s="148"/>
      <c r="S1674" s="148"/>
      <c r="T1674" s="148"/>
      <c r="U1674" s="148"/>
      <c r="V1674" s="148"/>
      <c r="W1674" s="148"/>
      <c r="X1674" s="148"/>
      <c r="Y1674" s="148"/>
      <c r="Z1674" s="148"/>
      <c r="AA1674" s="148"/>
    </row>
    <row r="1675" spans="1:27">
      <c r="A1675" s="147">
        <v>3186</v>
      </c>
      <c r="B1675" s="147" t="s">
        <v>69</v>
      </c>
      <c r="C1675" s="147" t="s">
        <v>53</v>
      </c>
      <c r="D1675" s="148" t="s">
        <v>57</v>
      </c>
      <c r="E1675" s="148" t="s">
        <v>30</v>
      </c>
      <c r="F1675" s="149">
        <v>2025</v>
      </c>
      <c r="G1675" s="148" t="s">
        <v>37</v>
      </c>
      <c r="H1675" s="148"/>
      <c r="I1675" s="150">
        <v>222682</v>
      </c>
      <c r="J1675" s="148"/>
      <c r="K1675" s="148"/>
      <c r="L1675" s="152"/>
      <c r="M1675" s="152">
        <f t="shared" si="26"/>
        <v>0</v>
      </c>
      <c r="N1675" s="148"/>
      <c r="O1675" s="148"/>
      <c r="P1675" s="148"/>
      <c r="Q1675" s="148"/>
      <c r="R1675" s="148"/>
      <c r="S1675" s="148"/>
      <c r="T1675" s="148"/>
      <c r="U1675" s="148"/>
      <c r="V1675" s="148"/>
      <c r="W1675" s="148"/>
      <c r="X1675" s="148"/>
      <c r="Y1675" s="148"/>
      <c r="Z1675" s="148"/>
      <c r="AA1675" s="148"/>
    </row>
    <row r="1676" spans="1:27">
      <c r="A1676" s="147">
        <v>3187</v>
      </c>
      <c r="B1676" s="147" t="s">
        <v>69</v>
      </c>
      <c r="C1676" s="147" t="s">
        <v>53</v>
      </c>
      <c r="D1676" s="148" t="s">
        <v>57</v>
      </c>
      <c r="E1676" s="148" t="s">
        <v>30</v>
      </c>
      <c r="F1676" s="149">
        <v>2025</v>
      </c>
      <c r="G1676" s="148" t="s">
        <v>38</v>
      </c>
      <c r="H1676" s="148"/>
      <c r="I1676" s="150">
        <v>222645</v>
      </c>
      <c r="J1676" s="150">
        <v>222645</v>
      </c>
      <c r="K1676" s="148"/>
      <c r="L1676" s="152"/>
      <c r="M1676" s="152">
        <f t="shared" si="26"/>
        <v>0</v>
      </c>
      <c r="N1676" s="148"/>
      <c r="O1676" s="148"/>
      <c r="P1676" s="148"/>
      <c r="Q1676" s="148"/>
      <c r="R1676" s="148"/>
      <c r="S1676" s="148"/>
      <c r="T1676" s="148"/>
      <c r="U1676" s="148"/>
      <c r="V1676" s="148"/>
      <c r="W1676" s="148"/>
      <c r="X1676" s="148"/>
      <c r="Y1676" s="148"/>
      <c r="Z1676" s="148"/>
      <c r="AA1676" s="148"/>
    </row>
    <row r="1677" spans="1:27">
      <c r="A1677" s="147">
        <v>3188</v>
      </c>
      <c r="B1677" s="147" t="s">
        <v>69</v>
      </c>
      <c r="C1677" s="147" t="s">
        <v>53</v>
      </c>
      <c r="D1677" s="148" t="s">
        <v>57</v>
      </c>
      <c r="E1677" s="148" t="s">
        <v>30</v>
      </c>
      <c r="F1677" s="149">
        <v>2025</v>
      </c>
      <c r="G1677" s="148" t="s">
        <v>39</v>
      </c>
      <c r="H1677" s="148"/>
      <c r="I1677" s="150">
        <v>222198</v>
      </c>
      <c r="J1677" s="150">
        <v>222198</v>
      </c>
      <c r="K1677" s="148"/>
      <c r="L1677" s="152"/>
      <c r="M1677" s="152">
        <f t="shared" si="26"/>
        <v>0</v>
      </c>
      <c r="N1677" s="148"/>
      <c r="O1677" s="148"/>
      <c r="P1677" s="148"/>
      <c r="Q1677" s="148"/>
      <c r="R1677" s="148"/>
      <c r="S1677" s="148"/>
      <c r="T1677" s="148"/>
      <c r="U1677" s="148"/>
      <c r="V1677" s="148"/>
      <c r="W1677" s="148"/>
      <c r="X1677" s="148"/>
      <c r="Y1677" s="148"/>
      <c r="Z1677" s="148"/>
      <c r="AA1677" s="148"/>
    </row>
    <row r="1678" spans="1:27">
      <c r="A1678" s="147">
        <v>3189</v>
      </c>
      <c r="B1678" s="147" t="s">
        <v>69</v>
      </c>
      <c r="C1678" s="147" t="s">
        <v>53</v>
      </c>
      <c r="D1678" s="148" t="s">
        <v>57</v>
      </c>
      <c r="E1678" s="148" t="s">
        <v>30</v>
      </c>
      <c r="F1678" s="149">
        <v>2025</v>
      </c>
      <c r="G1678" s="148" t="s">
        <v>40</v>
      </c>
      <c r="H1678" s="148"/>
      <c r="I1678" s="150">
        <v>221464</v>
      </c>
      <c r="J1678" s="150">
        <v>1498</v>
      </c>
      <c r="K1678" s="148"/>
      <c r="L1678" s="152"/>
      <c r="M1678" s="152">
        <f t="shared" si="26"/>
        <v>0</v>
      </c>
      <c r="N1678" s="148"/>
      <c r="O1678" s="148"/>
      <c r="P1678" s="148"/>
      <c r="Q1678" s="148"/>
      <c r="R1678" s="148"/>
      <c r="S1678" s="148"/>
      <c r="T1678" s="148"/>
      <c r="U1678" s="148"/>
      <c r="V1678" s="148"/>
      <c r="W1678" s="148"/>
      <c r="X1678" s="148"/>
      <c r="Y1678" s="148"/>
      <c r="Z1678" s="148"/>
      <c r="AA1678" s="148"/>
    </row>
    <row r="1679" spans="1:27">
      <c r="A1679" s="147">
        <v>3190</v>
      </c>
      <c r="B1679" s="147" t="s">
        <v>69</v>
      </c>
      <c r="C1679" s="147" t="s">
        <v>53</v>
      </c>
      <c r="D1679" s="148" t="s">
        <v>57</v>
      </c>
      <c r="E1679" s="148" t="s">
        <v>30</v>
      </c>
      <c r="F1679" s="149">
        <v>2025</v>
      </c>
      <c r="G1679" s="148" t="s">
        <v>41</v>
      </c>
      <c r="H1679" s="148"/>
      <c r="I1679" s="150">
        <v>219966</v>
      </c>
      <c r="J1679" s="150">
        <v>15879</v>
      </c>
      <c r="K1679" s="148"/>
      <c r="L1679" s="152"/>
      <c r="M1679" s="152">
        <f t="shared" si="26"/>
        <v>0</v>
      </c>
      <c r="N1679" s="148"/>
      <c r="O1679" s="148"/>
      <c r="P1679" s="148"/>
      <c r="Q1679" s="148"/>
      <c r="R1679" s="148"/>
      <c r="S1679" s="148"/>
      <c r="T1679" s="148"/>
      <c r="U1679" s="148"/>
      <c r="V1679" s="148"/>
      <c r="W1679" s="148"/>
      <c r="X1679" s="148"/>
      <c r="Y1679" s="148"/>
      <c r="Z1679" s="148"/>
      <c r="AA1679" s="148"/>
    </row>
    <row r="1680" spans="1:27">
      <c r="A1680" s="147">
        <v>3191</v>
      </c>
      <c r="B1680" s="147" t="s">
        <v>69</v>
      </c>
      <c r="C1680" s="147" t="s">
        <v>53</v>
      </c>
      <c r="D1680" s="148" t="s">
        <v>57</v>
      </c>
      <c r="E1680" s="148" t="s">
        <v>30</v>
      </c>
      <c r="F1680" s="149">
        <v>2025</v>
      </c>
      <c r="G1680" s="148" t="s">
        <v>42</v>
      </c>
      <c r="H1680" s="148"/>
      <c r="I1680" s="150">
        <v>204087</v>
      </c>
      <c r="J1680" s="150">
        <v>204087</v>
      </c>
      <c r="K1680" s="148"/>
      <c r="L1680" s="152"/>
      <c r="M1680" s="152">
        <f t="shared" si="26"/>
        <v>0</v>
      </c>
      <c r="N1680" s="148"/>
      <c r="O1680" s="148"/>
      <c r="P1680" s="148"/>
      <c r="Q1680" s="148"/>
      <c r="R1680" s="148"/>
      <c r="S1680" s="148"/>
      <c r="T1680" s="148"/>
      <c r="U1680" s="148"/>
      <c r="V1680" s="148"/>
      <c r="W1680" s="148"/>
      <c r="X1680" s="148"/>
      <c r="Y1680" s="148"/>
      <c r="Z1680" s="148"/>
      <c r="AA1680" s="148"/>
    </row>
    <row r="1681" spans="1:27">
      <c r="A1681" s="147">
        <v>3192</v>
      </c>
      <c r="B1681" s="147" t="s">
        <v>69</v>
      </c>
      <c r="C1681" s="147" t="s">
        <v>53</v>
      </c>
      <c r="D1681" s="148" t="s">
        <v>57</v>
      </c>
      <c r="E1681" s="148" t="s">
        <v>30</v>
      </c>
      <c r="F1681" s="149">
        <v>2025</v>
      </c>
      <c r="G1681" s="148" t="s">
        <v>43</v>
      </c>
      <c r="H1681" s="148"/>
      <c r="I1681" s="150">
        <v>203338</v>
      </c>
      <c r="J1681" s="150">
        <v>-18860</v>
      </c>
      <c r="K1681" s="148"/>
      <c r="L1681" s="152"/>
      <c r="M1681" s="152">
        <f t="shared" si="26"/>
        <v>0</v>
      </c>
      <c r="N1681" s="148"/>
      <c r="O1681" s="148"/>
      <c r="P1681" s="148"/>
      <c r="Q1681" s="148"/>
      <c r="R1681" s="148"/>
      <c r="S1681" s="148"/>
      <c r="T1681" s="148"/>
      <c r="U1681" s="148"/>
      <c r="V1681" s="148"/>
      <c r="W1681" s="148"/>
      <c r="X1681" s="148"/>
      <c r="Y1681" s="148"/>
      <c r="Z1681" s="148"/>
      <c r="AA1681" s="148"/>
    </row>
    <row r="1682" spans="1:27">
      <c r="A1682" s="147">
        <v>3193</v>
      </c>
      <c r="B1682" s="147" t="s">
        <v>69</v>
      </c>
      <c r="C1682" s="147" t="s">
        <v>53</v>
      </c>
      <c r="D1682" s="148" t="s">
        <v>57</v>
      </c>
      <c r="E1682" s="148" t="s">
        <v>30</v>
      </c>
      <c r="F1682" s="149">
        <v>2026</v>
      </c>
      <c r="G1682" s="148" t="s">
        <v>31</v>
      </c>
      <c r="H1682" s="148"/>
      <c r="I1682" s="150">
        <v>203225</v>
      </c>
      <c r="J1682" s="149">
        <v>22</v>
      </c>
      <c r="K1682" s="148"/>
      <c r="L1682" s="152"/>
      <c r="M1682" s="152">
        <f t="shared" si="26"/>
        <v>0</v>
      </c>
      <c r="N1682" s="148"/>
      <c r="O1682" s="148"/>
      <c r="P1682" s="148"/>
      <c r="Q1682" s="148"/>
      <c r="R1682" s="148"/>
      <c r="S1682" s="148"/>
      <c r="T1682" s="148"/>
      <c r="U1682" s="148"/>
      <c r="V1682" s="148"/>
      <c r="W1682" s="148"/>
      <c r="X1682" s="148"/>
      <c r="Y1682" s="148"/>
      <c r="Z1682" s="148"/>
      <c r="AA1682" s="148"/>
    </row>
    <row r="1683" spans="1:27">
      <c r="A1683" s="147">
        <v>3194</v>
      </c>
      <c r="B1683" s="147" t="s">
        <v>69</v>
      </c>
      <c r="C1683" s="147" t="s">
        <v>53</v>
      </c>
      <c r="D1683" s="148" t="s">
        <v>57</v>
      </c>
      <c r="E1683" s="148" t="s">
        <v>30</v>
      </c>
      <c r="F1683" s="149">
        <v>2026</v>
      </c>
      <c r="G1683" s="148" t="s">
        <v>33</v>
      </c>
      <c r="H1683" s="148"/>
      <c r="I1683" s="150">
        <v>203203</v>
      </c>
      <c r="J1683" s="150">
        <v>203203</v>
      </c>
      <c r="K1683" s="148"/>
      <c r="L1683" s="152"/>
      <c r="M1683" s="152">
        <f t="shared" si="26"/>
        <v>0</v>
      </c>
      <c r="N1683" s="148"/>
      <c r="O1683" s="148"/>
      <c r="P1683" s="148"/>
      <c r="Q1683" s="148"/>
      <c r="R1683" s="148"/>
      <c r="S1683" s="148"/>
      <c r="T1683" s="148"/>
      <c r="U1683" s="148"/>
      <c r="V1683" s="148"/>
      <c r="W1683" s="148"/>
      <c r="X1683" s="148"/>
      <c r="Y1683" s="148"/>
      <c r="Z1683" s="148"/>
      <c r="AA1683" s="148"/>
    </row>
    <row r="1684" spans="1:27">
      <c r="A1684" s="147">
        <v>3195</v>
      </c>
      <c r="B1684" s="147" t="s">
        <v>69</v>
      </c>
      <c r="C1684" s="147" t="s">
        <v>53</v>
      </c>
      <c r="D1684" s="148" t="s">
        <v>57</v>
      </c>
      <c r="E1684" s="148" t="s">
        <v>30</v>
      </c>
      <c r="F1684" s="149">
        <v>2026</v>
      </c>
      <c r="G1684" s="148" t="s">
        <v>34</v>
      </c>
      <c r="H1684" s="148"/>
      <c r="I1684" s="150">
        <v>203152</v>
      </c>
      <c r="J1684" s="149">
        <v>246</v>
      </c>
      <c r="K1684" s="148"/>
      <c r="L1684" s="152"/>
      <c r="M1684" s="152">
        <f t="shared" si="26"/>
        <v>0</v>
      </c>
      <c r="N1684" s="148"/>
      <c r="O1684" s="148"/>
      <c r="P1684" s="148"/>
      <c r="Q1684" s="148"/>
      <c r="R1684" s="148"/>
      <c r="S1684" s="148"/>
      <c r="T1684" s="148"/>
      <c r="U1684" s="148"/>
      <c r="V1684" s="148"/>
      <c r="W1684" s="148"/>
      <c r="X1684" s="148"/>
      <c r="Y1684" s="148"/>
      <c r="Z1684" s="148"/>
      <c r="AA1684" s="148"/>
    </row>
    <row r="1685" spans="1:27">
      <c r="A1685" s="147">
        <v>3196</v>
      </c>
      <c r="B1685" s="147" t="s">
        <v>69</v>
      </c>
      <c r="C1685" s="147" t="s">
        <v>53</v>
      </c>
      <c r="D1685" s="148" t="s">
        <v>57</v>
      </c>
      <c r="E1685" s="148" t="s">
        <v>30</v>
      </c>
      <c r="F1685" s="149">
        <v>2026</v>
      </c>
      <c r="G1685" s="148" t="s">
        <v>35</v>
      </c>
      <c r="H1685" s="148"/>
      <c r="I1685" s="150">
        <v>203089</v>
      </c>
      <c r="J1685" s="150">
        <v>-18375</v>
      </c>
      <c r="K1685" s="148"/>
      <c r="L1685" s="152"/>
      <c r="M1685" s="152">
        <f t="shared" si="26"/>
        <v>0</v>
      </c>
      <c r="N1685" s="148"/>
      <c r="O1685" s="148"/>
      <c r="P1685" s="148"/>
      <c r="Q1685" s="148"/>
      <c r="R1685" s="148"/>
      <c r="S1685" s="148"/>
      <c r="T1685" s="148"/>
      <c r="U1685" s="148"/>
      <c r="V1685" s="148"/>
      <c r="W1685" s="148"/>
      <c r="X1685" s="148"/>
      <c r="Y1685" s="148"/>
      <c r="Z1685" s="148"/>
      <c r="AA1685" s="148"/>
    </row>
    <row r="1686" spans="1:27">
      <c r="A1686" s="147">
        <v>3197</v>
      </c>
      <c r="B1686" s="147" t="s">
        <v>69</v>
      </c>
      <c r="C1686" s="147" t="s">
        <v>53</v>
      </c>
      <c r="D1686" s="148" t="s">
        <v>57</v>
      </c>
      <c r="E1686" s="148" t="s">
        <v>30</v>
      </c>
      <c r="F1686" s="149">
        <v>2026</v>
      </c>
      <c r="G1686" s="148" t="s">
        <v>36</v>
      </c>
      <c r="H1686" s="148"/>
      <c r="I1686" s="150">
        <v>203001</v>
      </c>
      <c r="J1686" s="149">
        <v>-151</v>
      </c>
      <c r="K1686" s="148"/>
      <c r="L1686" s="152"/>
      <c r="M1686" s="152">
        <f t="shared" si="26"/>
        <v>0</v>
      </c>
      <c r="N1686" s="148"/>
      <c r="O1686" s="148"/>
      <c r="P1686" s="148"/>
      <c r="Q1686" s="148"/>
      <c r="R1686" s="148"/>
      <c r="S1686" s="148"/>
      <c r="T1686" s="148"/>
      <c r="U1686" s="148"/>
      <c r="V1686" s="148"/>
      <c r="W1686" s="148"/>
      <c r="X1686" s="148"/>
      <c r="Y1686" s="148"/>
      <c r="Z1686" s="148"/>
      <c r="AA1686" s="148"/>
    </row>
    <row r="1687" spans="1:27">
      <c r="A1687" s="147">
        <v>3198</v>
      </c>
      <c r="B1687" s="147" t="s">
        <v>69</v>
      </c>
      <c r="C1687" s="147" t="s">
        <v>53</v>
      </c>
      <c r="D1687" s="148" t="s">
        <v>57</v>
      </c>
      <c r="E1687" s="148" t="s">
        <v>30</v>
      </c>
      <c r="F1687" s="149">
        <v>2026</v>
      </c>
      <c r="G1687" s="148" t="s">
        <v>37</v>
      </c>
      <c r="H1687" s="148"/>
      <c r="I1687" s="150">
        <v>202906</v>
      </c>
      <c r="J1687" s="150">
        <v>202906</v>
      </c>
      <c r="K1687" s="148"/>
      <c r="L1687" s="152"/>
      <c r="M1687" s="152">
        <f t="shared" si="26"/>
        <v>0</v>
      </c>
      <c r="N1687" s="148"/>
      <c r="O1687" s="148"/>
      <c r="P1687" s="148"/>
      <c r="Q1687" s="148"/>
      <c r="R1687" s="148"/>
      <c r="S1687" s="148"/>
      <c r="T1687" s="148"/>
      <c r="U1687" s="148"/>
      <c r="V1687" s="148"/>
      <c r="W1687" s="148"/>
      <c r="X1687" s="148"/>
      <c r="Y1687" s="148"/>
      <c r="Z1687" s="148"/>
      <c r="AA1687" s="148"/>
    </row>
    <row r="1688" spans="1:27">
      <c r="A1688" s="147">
        <v>3199</v>
      </c>
      <c r="B1688" s="147" t="s">
        <v>69</v>
      </c>
      <c r="C1688" s="147" t="s">
        <v>53</v>
      </c>
      <c r="D1688" s="148" t="s">
        <v>57</v>
      </c>
      <c r="E1688" s="148" t="s">
        <v>30</v>
      </c>
      <c r="F1688" s="149">
        <v>2026</v>
      </c>
      <c r="G1688" s="148" t="s">
        <v>38</v>
      </c>
      <c r="H1688" s="148"/>
      <c r="I1688" s="150">
        <v>202837</v>
      </c>
      <c r="J1688" s="149">
        <v>-69</v>
      </c>
      <c r="K1688" s="148"/>
      <c r="L1688" s="152"/>
      <c r="M1688" s="152">
        <f t="shared" si="26"/>
        <v>0</v>
      </c>
      <c r="N1688" s="148"/>
      <c r="O1688" s="148"/>
      <c r="P1688" s="148"/>
      <c r="Q1688" s="148"/>
      <c r="R1688" s="148"/>
      <c r="S1688" s="148"/>
      <c r="T1688" s="148"/>
      <c r="U1688" s="148"/>
      <c r="V1688" s="148"/>
      <c r="W1688" s="148"/>
      <c r="X1688" s="148"/>
      <c r="Y1688" s="148"/>
      <c r="Z1688" s="148"/>
      <c r="AA1688" s="148"/>
    </row>
    <row r="1689" spans="1:27">
      <c r="A1689" s="147">
        <v>3200</v>
      </c>
      <c r="B1689" s="147" t="s">
        <v>69</v>
      </c>
      <c r="C1689" s="147" t="s">
        <v>53</v>
      </c>
      <c r="D1689" s="148" t="s">
        <v>57</v>
      </c>
      <c r="E1689" s="148" t="s">
        <v>30</v>
      </c>
      <c r="F1689" s="149">
        <v>2026</v>
      </c>
      <c r="G1689" s="148" t="s">
        <v>39</v>
      </c>
      <c r="H1689" s="148"/>
      <c r="I1689" s="148"/>
      <c r="J1689" s="148"/>
      <c r="K1689" s="148"/>
      <c r="L1689" s="152"/>
      <c r="M1689" s="152">
        <f t="shared" si="26"/>
        <v>0</v>
      </c>
      <c r="N1689" s="148"/>
      <c r="O1689" s="148"/>
      <c r="P1689" s="148"/>
      <c r="Q1689" s="148"/>
      <c r="R1689" s="148"/>
      <c r="S1689" s="148"/>
      <c r="T1689" s="148"/>
      <c r="U1689" s="148"/>
      <c r="V1689" s="148"/>
      <c r="W1689" s="148"/>
      <c r="X1689" s="148"/>
      <c r="Y1689" s="148"/>
      <c r="Z1689" s="148"/>
      <c r="AA1689" s="148"/>
    </row>
    <row r="1690" spans="1:27">
      <c r="A1690" s="147">
        <v>3201</v>
      </c>
      <c r="B1690" s="147" t="s">
        <v>69</v>
      </c>
      <c r="C1690" s="147" t="s">
        <v>53</v>
      </c>
      <c r="D1690" s="148" t="s">
        <v>57</v>
      </c>
      <c r="E1690" s="148" t="s">
        <v>30</v>
      </c>
      <c r="F1690" s="149">
        <v>2026</v>
      </c>
      <c r="G1690" s="148" t="s">
        <v>40</v>
      </c>
      <c r="H1690" s="148"/>
      <c r="I1690" s="148"/>
      <c r="J1690" s="148"/>
      <c r="K1690" s="148"/>
      <c r="L1690" s="152"/>
      <c r="M1690" s="152">
        <f t="shared" si="26"/>
        <v>0</v>
      </c>
      <c r="N1690" s="148"/>
      <c r="O1690" s="148"/>
      <c r="P1690" s="148"/>
      <c r="Q1690" s="148"/>
      <c r="R1690" s="148"/>
      <c r="S1690" s="148"/>
      <c r="T1690" s="148"/>
      <c r="U1690" s="148"/>
      <c r="V1690" s="148"/>
      <c r="W1690" s="148"/>
      <c r="X1690" s="148"/>
      <c r="Y1690" s="148"/>
      <c r="Z1690" s="148"/>
      <c r="AA1690" s="148"/>
    </row>
    <row r="1691" spans="1:27">
      <c r="A1691" s="147">
        <v>3202</v>
      </c>
      <c r="B1691" s="147" t="s">
        <v>69</v>
      </c>
      <c r="C1691" s="147" t="s">
        <v>53</v>
      </c>
      <c r="D1691" s="148" t="s">
        <v>57</v>
      </c>
      <c r="E1691" s="148" t="s">
        <v>30</v>
      </c>
      <c r="F1691" s="149">
        <v>2026</v>
      </c>
      <c r="G1691" s="148" t="s">
        <v>41</v>
      </c>
      <c r="H1691" s="148"/>
      <c r="I1691" s="148"/>
      <c r="J1691" s="148"/>
      <c r="K1691" s="148"/>
      <c r="L1691" s="152"/>
      <c r="M1691" s="152">
        <f t="shared" si="26"/>
        <v>0</v>
      </c>
      <c r="N1691" s="148"/>
      <c r="O1691" s="148"/>
      <c r="P1691" s="148"/>
      <c r="Q1691" s="148"/>
      <c r="R1691" s="148"/>
      <c r="S1691" s="148"/>
      <c r="T1691" s="148"/>
      <c r="U1691" s="148"/>
      <c r="V1691" s="148"/>
      <c r="W1691" s="148"/>
      <c r="X1691" s="148"/>
      <c r="Y1691" s="148"/>
      <c r="Z1691" s="148"/>
      <c r="AA1691" s="148"/>
    </row>
    <row r="1692" spans="1:27">
      <c r="A1692" s="147">
        <v>3203</v>
      </c>
      <c r="B1692" s="147" t="s">
        <v>69</v>
      </c>
      <c r="C1692" s="147" t="s">
        <v>53</v>
      </c>
      <c r="D1692" s="148" t="s">
        <v>57</v>
      </c>
      <c r="E1692" s="148" t="s">
        <v>30</v>
      </c>
      <c r="F1692" s="149">
        <v>2026</v>
      </c>
      <c r="G1692" s="148" t="s">
        <v>42</v>
      </c>
      <c r="H1692" s="148"/>
      <c r="I1692" s="148"/>
      <c r="J1692" s="148"/>
      <c r="K1692" s="148"/>
      <c r="L1692" s="152"/>
      <c r="M1692" s="152">
        <f t="shared" si="26"/>
        <v>0</v>
      </c>
      <c r="N1692" s="148"/>
      <c r="O1692" s="148"/>
      <c r="P1692" s="148"/>
      <c r="Q1692" s="148"/>
      <c r="R1692" s="148"/>
      <c r="S1692" s="148"/>
      <c r="T1692" s="148"/>
      <c r="U1692" s="148"/>
      <c r="V1692" s="148"/>
      <c r="W1692" s="148"/>
      <c r="X1692" s="148"/>
      <c r="Y1692" s="148"/>
      <c r="Z1692" s="148"/>
      <c r="AA1692" s="148"/>
    </row>
    <row r="1693" spans="1:27">
      <c r="A1693" s="147">
        <v>3204</v>
      </c>
      <c r="B1693" s="147" t="s">
        <v>69</v>
      </c>
      <c r="C1693" s="147" t="s">
        <v>53</v>
      </c>
      <c r="D1693" s="148" t="s">
        <v>57</v>
      </c>
      <c r="E1693" s="148" t="s">
        <v>30</v>
      </c>
      <c r="F1693" s="149">
        <v>2026</v>
      </c>
      <c r="G1693" s="148" t="s">
        <v>43</v>
      </c>
      <c r="H1693" s="148"/>
      <c r="I1693" s="148"/>
      <c r="J1693" s="148"/>
      <c r="K1693" s="148"/>
      <c r="L1693" s="152"/>
      <c r="M1693" s="152">
        <f t="shared" si="26"/>
        <v>0</v>
      </c>
      <c r="N1693" s="148"/>
      <c r="O1693" s="148"/>
      <c r="P1693" s="148"/>
      <c r="Q1693" s="148"/>
      <c r="R1693" s="148"/>
      <c r="S1693" s="148"/>
      <c r="T1693" s="148"/>
      <c r="U1693" s="148"/>
      <c r="V1693" s="148"/>
      <c r="W1693" s="148"/>
      <c r="X1693" s="148"/>
      <c r="Y1693" s="148"/>
      <c r="Z1693" s="148"/>
      <c r="AA1693" s="148"/>
    </row>
    <row r="1694" spans="1:27">
      <c r="A1694" s="147">
        <v>3217</v>
      </c>
      <c r="B1694" s="147" t="s">
        <v>69</v>
      </c>
      <c r="C1694" s="147" t="s">
        <v>58</v>
      </c>
      <c r="D1694" s="148" t="s">
        <v>59</v>
      </c>
      <c r="E1694" s="148" t="s">
        <v>30</v>
      </c>
      <c r="F1694" s="149">
        <v>2024</v>
      </c>
      <c r="G1694" s="148" t="s">
        <v>31</v>
      </c>
      <c r="H1694" s="149" t="s">
        <v>48</v>
      </c>
      <c r="I1694" s="150">
        <v>399875</v>
      </c>
      <c r="J1694" s="149">
        <v>301</v>
      </c>
      <c r="K1694" s="149" t="s">
        <v>48</v>
      </c>
      <c r="L1694" s="152"/>
      <c r="M1694" s="152">
        <f t="shared" si="26"/>
        <v>0</v>
      </c>
      <c r="N1694" s="148" t="s">
        <v>48</v>
      </c>
      <c r="O1694" s="148"/>
      <c r="P1694" s="148"/>
      <c r="Q1694" s="148"/>
      <c r="R1694" s="148"/>
      <c r="S1694" s="148"/>
      <c r="T1694" s="148"/>
      <c r="U1694" s="148"/>
      <c r="V1694" s="148"/>
      <c r="W1694" s="148"/>
      <c r="X1694" s="148"/>
      <c r="Y1694" s="148"/>
      <c r="Z1694" s="148"/>
      <c r="AA1694" s="148"/>
    </row>
    <row r="1695" spans="1:27">
      <c r="A1695" s="147">
        <v>3218</v>
      </c>
      <c r="B1695" s="147" t="s">
        <v>69</v>
      </c>
      <c r="C1695" s="147" t="s">
        <v>58</v>
      </c>
      <c r="D1695" s="148" t="s">
        <v>59</v>
      </c>
      <c r="E1695" s="148" t="s">
        <v>30</v>
      </c>
      <c r="F1695" s="149">
        <v>2024</v>
      </c>
      <c r="G1695" s="148" t="s">
        <v>33</v>
      </c>
      <c r="H1695" s="149" t="s">
        <v>48</v>
      </c>
      <c r="I1695" s="150">
        <v>400446</v>
      </c>
      <c r="J1695" s="149">
        <v>571</v>
      </c>
      <c r="K1695" s="149" t="s">
        <v>48</v>
      </c>
      <c r="L1695" s="152"/>
      <c r="M1695" s="152">
        <f t="shared" si="26"/>
        <v>0</v>
      </c>
      <c r="N1695" s="148" t="s">
        <v>48</v>
      </c>
      <c r="O1695" s="148"/>
      <c r="P1695" s="148"/>
      <c r="Q1695" s="148"/>
      <c r="R1695" s="148"/>
      <c r="S1695" s="148"/>
      <c r="T1695" s="148"/>
      <c r="U1695" s="148"/>
      <c r="V1695" s="148"/>
      <c r="W1695" s="148"/>
      <c r="X1695" s="148"/>
      <c r="Y1695" s="148"/>
      <c r="Z1695" s="148"/>
      <c r="AA1695" s="148"/>
    </row>
    <row r="1696" spans="1:27">
      <c r="A1696" s="147">
        <v>3219</v>
      </c>
      <c r="B1696" s="147" t="s">
        <v>69</v>
      </c>
      <c r="C1696" s="147" t="s">
        <v>58</v>
      </c>
      <c r="D1696" s="148" t="s">
        <v>59</v>
      </c>
      <c r="E1696" s="148" t="s">
        <v>30</v>
      </c>
      <c r="F1696" s="149">
        <v>2024</v>
      </c>
      <c r="G1696" s="148" t="s">
        <v>34</v>
      </c>
      <c r="H1696" s="149" t="s">
        <v>48</v>
      </c>
      <c r="I1696" s="150">
        <v>400467</v>
      </c>
      <c r="J1696" s="149">
        <v>21</v>
      </c>
      <c r="K1696" s="149" t="s">
        <v>48</v>
      </c>
      <c r="L1696" s="152"/>
      <c r="M1696" s="152">
        <f t="shared" si="26"/>
        <v>0</v>
      </c>
      <c r="N1696" s="148" t="s">
        <v>48</v>
      </c>
      <c r="O1696" s="148"/>
      <c r="P1696" s="148"/>
      <c r="Q1696" s="148"/>
      <c r="R1696" s="148"/>
      <c r="S1696" s="148"/>
      <c r="T1696" s="148"/>
      <c r="U1696" s="148"/>
      <c r="V1696" s="148"/>
      <c r="W1696" s="148"/>
      <c r="X1696" s="148"/>
      <c r="Y1696" s="148"/>
      <c r="Z1696" s="148"/>
      <c r="AA1696" s="148"/>
    </row>
    <row r="1697" spans="1:27">
      <c r="A1697" s="147">
        <v>3220</v>
      </c>
      <c r="B1697" s="147" t="s">
        <v>69</v>
      </c>
      <c r="C1697" s="147" t="s">
        <v>58</v>
      </c>
      <c r="D1697" s="148" t="s">
        <v>59</v>
      </c>
      <c r="E1697" s="148" t="s">
        <v>30</v>
      </c>
      <c r="F1697" s="149">
        <v>2024</v>
      </c>
      <c r="G1697" s="148" t="s">
        <v>35</v>
      </c>
      <c r="H1697" s="149" t="s">
        <v>48</v>
      </c>
      <c r="I1697" s="150">
        <v>400539</v>
      </c>
      <c r="J1697" s="149">
        <v>72</v>
      </c>
      <c r="K1697" s="149" t="s">
        <v>48</v>
      </c>
      <c r="L1697" s="152"/>
      <c r="M1697" s="152">
        <f t="shared" si="26"/>
        <v>0</v>
      </c>
      <c r="N1697" s="148" t="s">
        <v>48</v>
      </c>
      <c r="O1697" s="148"/>
      <c r="P1697" s="148"/>
      <c r="Q1697" s="148"/>
      <c r="R1697" s="148"/>
      <c r="S1697" s="148"/>
      <c r="T1697" s="148"/>
      <c r="U1697" s="148"/>
      <c r="V1697" s="148"/>
      <c r="W1697" s="148"/>
      <c r="X1697" s="148"/>
      <c r="Y1697" s="148"/>
      <c r="Z1697" s="148"/>
      <c r="AA1697" s="148"/>
    </row>
    <row r="1698" spans="1:27">
      <c r="A1698" s="147">
        <v>3221</v>
      </c>
      <c r="B1698" s="147" t="s">
        <v>69</v>
      </c>
      <c r="C1698" s="147" t="s">
        <v>58</v>
      </c>
      <c r="D1698" s="148" t="s">
        <v>59</v>
      </c>
      <c r="E1698" s="148" t="s">
        <v>30</v>
      </c>
      <c r="F1698" s="149">
        <v>2024</v>
      </c>
      <c r="G1698" s="148" t="s">
        <v>36</v>
      </c>
      <c r="H1698" s="149" t="s">
        <v>48</v>
      </c>
      <c r="I1698" s="150">
        <v>400770</v>
      </c>
      <c r="J1698" s="149">
        <v>231</v>
      </c>
      <c r="K1698" s="149" t="s">
        <v>48</v>
      </c>
      <c r="L1698" s="152"/>
      <c r="M1698" s="152">
        <f t="shared" si="26"/>
        <v>0</v>
      </c>
      <c r="N1698" s="148" t="s">
        <v>48</v>
      </c>
      <c r="O1698" s="148"/>
      <c r="P1698" s="148"/>
      <c r="Q1698" s="148"/>
      <c r="R1698" s="148"/>
      <c r="S1698" s="148"/>
      <c r="T1698" s="148"/>
      <c r="U1698" s="148"/>
      <c r="V1698" s="148"/>
      <c r="W1698" s="148"/>
      <c r="X1698" s="148"/>
      <c r="Y1698" s="148"/>
      <c r="Z1698" s="148"/>
      <c r="AA1698" s="148"/>
    </row>
    <row r="1699" spans="1:27">
      <c r="A1699" s="147">
        <v>3222</v>
      </c>
      <c r="B1699" s="147" t="s">
        <v>69</v>
      </c>
      <c r="C1699" s="147" t="s">
        <v>58</v>
      </c>
      <c r="D1699" s="148" t="s">
        <v>59</v>
      </c>
      <c r="E1699" s="148" t="s">
        <v>30</v>
      </c>
      <c r="F1699" s="149">
        <v>2024</v>
      </c>
      <c r="G1699" s="148" t="s">
        <v>37</v>
      </c>
      <c r="H1699" s="149" t="s">
        <v>48</v>
      </c>
      <c r="I1699" s="150">
        <v>400830</v>
      </c>
      <c r="J1699" s="149">
        <v>60</v>
      </c>
      <c r="K1699" s="149" t="s">
        <v>48</v>
      </c>
      <c r="L1699" s="152"/>
      <c r="M1699" s="152">
        <f t="shared" si="26"/>
        <v>0</v>
      </c>
      <c r="N1699" s="148" t="s">
        <v>48</v>
      </c>
      <c r="O1699" s="148"/>
      <c r="P1699" s="148"/>
      <c r="Q1699" s="148"/>
      <c r="R1699" s="148"/>
      <c r="S1699" s="148"/>
      <c r="T1699" s="148"/>
      <c r="U1699" s="148"/>
      <c r="V1699" s="148"/>
      <c r="W1699" s="148"/>
      <c r="X1699" s="148"/>
      <c r="Y1699" s="148"/>
      <c r="Z1699" s="148"/>
      <c r="AA1699" s="148"/>
    </row>
    <row r="1700" spans="1:27">
      <c r="A1700" s="147">
        <v>3223</v>
      </c>
      <c r="B1700" s="147" t="s">
        <v>69</v>
      </c>
      <c r="C1700" s="147" t="s">
        <v>58</v>
      </c>
      <c r="D1700" s="148" t="s">
        <v>59</v>
      </c>
      <c r="E1700" s="148" t="s">
        <v>30</v>
      </c>
      <c r="F1700" s="149">
        <v>2024</v>
      </c>
      <c r="G1700" s="148" t="s">
        <v>38</v>
      </c>
      <c r="H1700" s="149" t="s">
        <v>48</v>
      </c>
      <c r="I1700" s="150">
        <v>400770</v>
      </c>
      <c r="J1700" s="149">
        <v>-60</v>
      </c>
      <c r="K1700" s="149" t="s">
        <v>48</v>
      </c>
      <c r="L1700" s="152"/>
      <c r="M1700" s="152">
        <f t="shared" si="26"/>
        <v>0</v>
      </c>
      <c r="N1700" s="148" t="s">
        <v>48</v>
      </c>
      <c r="O1700" s="148"/>
      <c r="P1700" s="148"/>
      <c r="Q1700" s="148"/>
      <c r="R1700" s="148"/>
      <c r="S1700" s="148"/>
      <c r="T1700" s="148"/>
      <c r="U1700" s="148"/>
      <c r="V1700" s="148"/>
      <c r="W1700" s="148"/>
      <c r="X1700" s="148"/>
      <c r="Y1700" s="148"/>
      <c r="Z1700" s="148"/>
      <c r="AA1700" s="148"/>
    </row>
    <row r="1701" spans="1:27">
      <c r="A1701" s="147">
        <v>3224</v>
      </c>
      <c r="B1701" s="147" t="s">
        <v>69</v>
      </c>
      <c r="C1701" s="147" t="s">
        <v>58</v>
      </c>
      <c r="D1701" s="148" t="s">
        <v>59</v>
      </c>
      <c r="E1701" s="148" t="s">
        <v>30</v>
      </c>
      <c r="F1701" s="149">
        <v>2024</v>
      </c>
      <c r="G1701" s="148" t="s">
        <v>39</v>
      </c>
      <c r="H1701" s="150">
        <v>6355</v>
      </c>
      <c r="I1701" s="150">
        <v>402212</v>
      </c>
      <c r="J1701" s="150">
        <v>1442</v>
      </c>
      <c r="K1701" s="150">
        <v>1909</v>
      </c>
      <c r="L1701" s="152"/>
      <c r="M1701" s="152">
        <f t="shared" si="26"/>
        <v>0</v>
      </c>
      <c r="N1701" s="150">
        <v>41192433</v>
      </c>
      <c r="O1701" s="148"/>
      <c r="P1701" s="148"/>
      <c r="Q1701" s="148"/>
      <c r="R1701" s="148"/>
      <c r="S1701" s="148"/>
      <c r="T1701" s="148"/>
      <c r="U1701" s="148"/>
      <c r="V1701" s="148"/>
      <c r="W1701" s="148"/>
      <c r="X1701" s="148"/>
      <c r="Y1701" s="148"/>
      <c r="Z1701" s="148"/>
      <c r="AA1701" s="148"/>
    </row>
    <row r="1702" spans="1:27">
      <c r="A1702" s="147">
        <v>3225</v>
      </c>
      <c r="B1702" s="147" t="s">
        <v>69</v>
      </c>
      <c r="C1702" s="147" t="s">
        <v>58</v>
      </c>
      <c r="D1702" s="148" t="s">
        <v>59</v>
      </c>
      <c r="E1702" s="148" t="s">
        <v>30</v>
      </c>
      <c r="F1702" s="149">
        <v>2024</v>
      </c>
      <c r="G1702" s="148" t="s">
        <v>40</v>
      </c>
      <c r="H1702" s="150">
        <v>7451</v>
      </c>
      <c r="I1702" s="150">
        <v>403428</v>
      </c>
      <c r="J1702" s="150">
        <v>1216</v>
      </c>
      <c r="K1702" s="150">
        <v>1090</v>
      </c>
      <c r="L1702" s="152"/>
      <c r="M1702" s="152">
        <f t="shared" si="26"/>
        <v>0</v>
      </c>
      <c r="N1702" s="150">
        <v>22112028</v>
      </c>
      <c r="O1702" s="148"/>
      <c r="P1702" s="148"/>
      <c r="Q1702" s="148"/>
      <c r="R1702" s="148"/>
      <c r="S1702" s="148"/>
      <c r="T1702" s="148"/>
      <c r="U1702" s="148"/>
      <c r="V1702" s="148"/>
      <c r="W1702" s="148"/>
      <c r="X1702" s="148"/>
      <c r="Y1702" s="148"/>
      <c r="Z1702" s="148"/>
      <c r="AA1702" s="148"/>
    </row>
    <row r="1703" spans="1:27">
      <c r="A1703" s="147">
        <v>3226</v>
      </c>
      <c r="B1703" s="147" t="s">
        <v>69</v>
      </c>
      <c r="C1703" s="147" t="s">
        <v>58</v>
      </c>
      <c r="D1703" s="148" t="s">
        <v>59</v>
      </c>
      <c r="E1703" s="148" t="s">
        <v>30</v>
      </c>
      <c r="F1703" s="149">
        <v>2024</v>
      </c>
      <c r="G1703" s="148" t="s">
        <v>41</v>
      </c>
      <c r="H1703" s="150">
        <v>7559</v>
      </c>
      <c r="I1703" s="150">
        <v>404745</v>
      </c>
      <c r="J1703" s="150">
        <v>1317</v>
      </c>
      <c r="K1703" s="150">
        <v>2449</v>
      </c>
      <c r="L1703" s="152"/>
      <c r="M1703" s="152">
        <f t="shared" si="26"/>
        <v>0</v>
      </c>
      <c r="N1703" s="150">
        <v>21899200</v>
      </c>
      <c r="O1703" s="148"/>
      <c r="P1703" s="148"/>
      <c r="Q1703" s="148"/>
      <c r="R1703" s="148"/>
      <c r="S1703" s="148"/>
      <c r="T1703" s="148"/>
      <c r="U1703" s="148"/>
      <c r="V1703" s="148"/>
      <c r="W1703" s="148"/>
      <c r="X1703" s="148"/>
      <c r="Y1703" s="148"/>
      <c r="Z1703" s="148"/>
      <c r="AA1703" s="148"/>
    </row>
    <row r="1704" spans="1:27">
      <c r="A1704" s="147">
        <v>3227</v>
      </c>
      <c r="B1704" s="147" t="s">
        <v>69</v>
      </c>
      <c r="C1704" s="147" t="s">
        <v>58</v>
      </c>
      <c r="D1704" s="148" t="s">
        <v>59</v>
      </c>
      <c r="E1704" s="148" t="s">
        <v>30</v>
      </c>
      <c r="F1704" s="149">
        <v>2024</v>
      </c>
      <c r="G1704" s="148" t="s">
        <v>42</v>
      </c>
      <c r="H1704" s="150">
        <v>2653</v>
      </c>
      <c r="I1704" s="150">
        <v>405898</v>
      </c>
      <c r="J1704" s="150">
        <v>1153</v>
      </c>
      <c r="K1704" s="150">
        <v>11847</v>
      </c>
      <c r="L1704" s="152"/>
      <c r="M1704" s="152">
        <f t="shared" si="26"/>
        <v>0</v>
      </c>
      <c r="N1704" s="150">
        <v>11075009</v>
      </c>
      <c r="O1704" s="148"/>
      <c r="P1704" s="148"/>
      <c r="Q1704" s="148"/>
      <c r="R1704" s="148"/>
      <c r="S1704" s="148"/>
      <c r="T1704" s="148"/>
      <c r="U1704" s="148"/>
      <c r="V1704" s="148"/>
      <c r="W1704" s="148"/>
      <c r="X1704" s="148"/>
      <c r="Y1704" s="148"/>
      <c r="Z1704" s="148"/>
      <c r="AA1704" s="148"/>
    </row>
    <row r="1705" spans="1:27">
      <c r="A1705" s="147">
        <v>3228</v>
      </c>
      <c r="B1705" s="147" t="s">
        <v>69</v>
      </c>
      <c r="C1705" s="147" t="s">
        <v>58</v>
      </c>
      <c r="D1705" s="148" t="s">
        <v>59</v>
      </c>
      <c r="E1705" s="148" t="s">
        <v>30</v>
      </c>
      <c r="F1705" s="149">
        <v>2024</v>
      </c>
      <c r="G1705" s="148" t="s">
        <v>43</v>
      </c>
      <c r="H1705" s="150">
        <v>2766</v>
      </c>
      <c r="I1705" s="150">
        <v>407015</v>
      </c>
      <c r="J1705" s="150">
        <v>1117</v>
      </c>
      <c r="K1705" s="150">
        <v>39385</v>
      </c>
      <c r="L1705" s="152"/>
      <c r="M1705" s="152">
        <f t="shared" si="26"/>
        <v>0</v>
      </c>
      <c r="N1705" s="150">
        <v>11251642</v>
      </c>
      <c r="O1705" s="148"/>
      <c r="P1705" s="148"/>
      <c r="Q1705" s="148"/>
      <c r="R1705" s="148"/>
      <c r="S1705" s="148"/>
      <c r="T1705" s="148"/>
      <c r="U1705" s="148"/>
      <c r="V1705" s="148"/>
      <c r="W1705" s="148"/>
      <c r="X1705" s="148"/>
      <c r="Y1705" s="148"/>
      <c r="Z1705" s="148"/>
      <c r="AA1705" s="148"/>
    </row>
    <row r="1706" spans="1:27">
      <c r="A1706" s="147">
        <v>3229</v>
      </c>
      <c r="B1706" s="147" t="s">
        <v>69</v>
      </c>
      <c r="C1706" s="147" t="s">
        <v>58</v>
      </c>
      <c r="D1706" s="148" t="s">
        <v>59</v>
      </c>
      <c r="E1706" s="148" t="s">
        <v>30</v>
      </c>
      <c r="F1706" s="149">
        <v>2025</v>
      </c>
      <c r="G1706" s="148" t="s">
        <v>31</v>
      </c>
      <c r="H1706" s="150">
        <v>3708</v>
      </c>
      <c r="I1706" s="150">
        <v>408062</v>
      </c>
      <c r="J1706" s="150">
        <v>1047</v>
      </c>
      <c r="K1706" s="150">
        <v>55479</v>
      </c>
      <c r="L1706" s="152"/>
      <c r="M1706" s="152">
        <f t="shared" si="26"/>
        <v>0</v>
      </c>
      <c r="N1706" s="150">
        <v>8137030</v>
      </c>
      <c r="O1706" s="148"/>
      <c r="P1706" s="148"/>
      <c r="Q1706" s="148"/>
      <c r="R1706" s="148"/>
      <c r="S1706" s="148"/>
      <c r="T1706" s="148"/>
      <c r="U1706" s="148"/>
      <c r="V1706" s="148"/>
      <c r="W1706" s="148"/>
      <c r="X1706" s="148"/>
      <c r="Y1706" s="148"/>
      <c r="Z1706" s="148"/>
      <c r="AA1706" s="148"/>
    </row>
    <row r="1707" spans="1:27">
      <c r="A1707" s="147">
        <v>3230</v>
      </c>
      <c r="B1707" s="147" t="s">
        <v>69</v>
      </c>
      <c r="C1707" s="147" t="s">
        <v>58</v>
      </c>
      <c r="D1707" s="148" t="s">
        <v>59</v>
      </c>
      <c r="E1707" s="148" t="s">
        <v>30</v>
      </c>
      <c r="F1707" s="149">
        <v>2025</v>
      </c>
      <c r="G1707" s="148" t="s">
        <v>33</v>
      </c>
      <c r="H1707" s="150">
        <v>3625</v>
      </c>
      <c r="I1707" s="150">
        <v>408909</v>
      </c>
      <c r="J1707" s="149">
        <v>847</v>
      </c>
      <c r="K1707" s="150">
        <v>77645</v>
      </c>
      <c r="L1707" s="152"/>
      <c r="M1707" s="152">
        <f t="shared" si="26"/>
        <v>0</v>
      </c>
      <c r="N1707" s="150">
        <v>9503670</v>
      </c>
      <c r="O1707" s="148"/>
      <c r="P1707" s="148"/>
      <c r="Q1707" s="148"/>
      <c r="R1707" s="148"/>
      <c r="S1707" s="148"/>
      <c r="T1707" s="148"/>
      <c r="U1707" s="148"/>
      <c r="V1707" s="148"/>
      <c r="W1707" s="148"/>
      <c r="X1707" s="148"/>
      <c r="Y1707" s="148"/>
      <c r="Z1707" s="148"/>
      <c r="AA1707" s="148"/>
    </row>
    <row r="1708" spans="1:27">
      <c r="A1708" s="147">
        <v>3231</v>
      </c>
      <c r="B1708" s="147" t="s">
        <v>69</v>
      </c>
      <c r="C1708" s="147" t="s">
        <v>58</v>
      </c>
      <c r="D1708" s="148" t="s">
        <v>59</v>
      </c>
      <c r="E1708" s="148" t="s">
        <v>30</v>
      </c>
      <c r="F1708" s="149">
        <v>2025</v>
      </c>
      <c r="G1708" s="148" t="s">
        <v>34</v>
      </c>
      <c r="H1708" s="150">
        <v>2828</v>
      </c>
      <c r="I1708" s="150">
        <v>409754</v>
      </c>
      <c r="J1708" s="149">
        <v>845</v>
      </c>
      <c r="K1708" s="150">
        <v>27150</v>
      </c>
      <c r="L1708" s="152"/>
      <c r="M1708" s="152">
        <f t="shared" si="26"/>
        <v>0</v>
      </c>
      <c r="N1708" s="150">
        <v>3145998</v>
      </c>
      <c r="O1708" s="148"/>
      <c r="P1708" s="148"/>
      <c r="Q1708" s="148"/>
      <c r="R1708" s="148"/>
      <c r="S1708" s="148"/>
      <c r="T1708" s="148"/>
      <c r="U1708" s="148"/>
      <c r="V1708" s="148"/>
      <c r="W1708" s="148"/>
      <c r="X1708" s="148"/>
      <c r="Y1708" s="148"/>
      <c r="Z1708" s="148"/>
      <c r="AA1708" s="148"/>
    </row>
    <row r="1709" spans="1:27">
      <c r="A1709" s="147">
        <v>3232</v>
      </c>
      <c r="B1709" s="147" t="s">
        <v>69</v>
      </c>
      <c r="C1709" s="147" t="s">
        <v>58</v>
      </c>
      <c r="D1709" s="148" t="s">
        <v>59</v>
      </c>
      <c r="E1709" s="148" t="s">
        <v>30</v>
      </c>
      <c r="F1709" s="149">
        <v>2025</v>
      </c>
      <c r="G1709" s="148" t="s">
        <v>35</v>
      </c>
      <c r="H1709" s="150">
        <v>2217</v>
      </c>
      <c r="I1709" s="150">
        <v>410633</v>
      </c>
      <c r="J1709" s="149">
        <v>879</v>
      </c>
      <c r="K1709" s="150">
        <v>17301</v>
      </c>
      <c r="L1709" s="152"/>
      <c r="M1709" s="152">
        <f t="shared" si="26"/>
        <v>0</v>
      </c>
      <c r="N1709" s="150">
        <v>1832984</v>
      </c>
      <c r="O1709" s="148"/>
      <c r="P1709" s="148"/>
      <c r="Q1709" s="148"/>
      <c r="R1709" s="148"/>
      <c r="S1709" s="148"/>
      <c r="T1709" s="148"/>
      <c r="U1709" s="148"/>
      <c r="V1709" s="148"/>
      <c r="W1709" s="148"/>
      <c r="X1709" s="148"/>
      <c r="Y1709" s="148"/>
      <c r="Z1709" s="148"/>
      <c r="AA1709" s="148"/>
    </row>
    <row r="1710" spans="1:27">
      <c r="A1710" s="147">
        <v>3233</v>
      </c>
      <c r="B1710" s="147" t="s">
        <v>69</v>
      </c>
      <c r="C1710" s="147" t="s">
        <v>58</v>
      </c>
      <c r="D1710" s="148" t="s">
        <v>59</v>
      </c>
      <c r="E1710" s="148" t="s">
        <v>30</v>
      </c>
      <c r="F1710" s="149">
        <v>2025</v>
      </c>
      <c r="G1710" s="148" t="s">
        <v>36</v>
      </c>
      <c r="H1710" s="150">
        <v>1756</v>
      </c>
      <c r="I1710" s="150">
        <v>411319</v>
      </c>
      <c r="J1710" s="149">
        <v>686</v>
      </c>
      <c r="K1710" s="150">
        <v>22461</v>
      </c>
      <c r="L1710" s="152"/>
      <c r="M1710" s="152">
        <f t="shared" si="26"/>
        <v>0</v>
      </c>
      <c r="N1710" s="150">
        <v>1359417</v>
      </c>
      <c r="O1710" s="148"/>
      <c r="P1710" s="148"/>
      <c r="Q1710" s="148"/>
      <c r="R1710" s="148"/>
      <c r="S1710" s="148"/>
      <c r="T1710" s="148"/>
      <c r="U1710" s="148"/>
      <c r="V1710" s="148"/>
      <c r="W1710" s="148"/>
      <c r="X1710" s="148"/>
      <c r="Y1710" s="148"/>
      <c r="Z1710" s="148"/>
      <c r="AA1710" s="148"/>
    </row>
    <row r="1711" spans="1:27">
      <c r="A1711" s="147">
        <v>3234</v>
      </c>
      <c r="B1711" s="147" t="s">
        <v>69</v>
      </c>
      <c r="C1711" s="147" t="s">
        <v>58</v>
      </c>
      <c r="D1711" s="148" t="s">
        <v>59</v>
      </c>
      <c r="E1711" s="148" t="s">
        <v>30</v>
      </c>
      <c r="F1711" s="149">
        <v>2025</v>
      </c>
      <c r="G1711" s="148" t="s">
        <v>37</v>
      </c>
      <c r="H1711" s="149">
        <v>816</v>
      </c>
      <c r="I1711" s="150">
        <v>412043</v>
      </c>
      <c r="J1711" s="149">
        <v>724</v>
      </c>
      <c r="K1711" s="150">
        <v>45993</v>
      </c>
      <c r="L1711" s="152"/>
      <c r="M1711" s="152">
        <f t="shared" si="26"/>
        <v>0</v>
      </c>
      <c r="N1711" s="150">
        <v>582601</v>
      </c>
      <c r="O1711" s="148"/>
      <c r="P1711" s="148"/>
      <c r="Q1711" s="148"/>
      <c r="R1711" s="148"/>
      <c r="S1711" s="148"/>
      <c r="T1711" s="148"/>
      <c r="U1711" s="148"/>
      <c r="V1711" s="148"/>
      <c r="W1711" s="148"/>
      <c r="X1711" s="148"/>
      <c r="Y1711" s="148"/>
      <c r="Z1711" s="148"/>
      <c r="AA1711" s="148"/>
    </row>
    <row r="1712" spans="1:27">
      <c r="A1712" s="147">
        <v>3235</v>
      </c>
      <c r="B1712" s="147" t="s">
        <v>69</v>
      </c>
      <c r="C1712" s="147" t="s">
        <v>58</v>
      </c>
      <c r="D1712" s="148" t="s">
        <v>59</v>
      </c>
      <c r="E1712" s="148" t="s">
        <v>30</v>
      </c>
      <c r="F1712" s="149">
        <v>2025</v>
      </c>
      <c r="G1712" s="148" t="s">
        <v>38</v>
      </c>
      <c r="H1712" s="149">
        <v>647</v>
      </c>
      <c r="I1712" s="150">
        <v>412249</v>
      </c>
      <c r="J1712" s="149">
        <v>646</v>
      </c>
      <c r="K1712" s="150">
        <v>87376</v>
      </c>
      <c r="L1712" s="152"/>
      <c r="M1712" s="152">
        <f t="shared" si="26"/>
        <v>0</v>
      </c>
      <c r="N1712" s="150">
        <v>1988985</v>
      </c>
      <c r="O1712" s="148"/>
      <c r="P1712" s="150">
        <v>43337</v>
      </c>
      <c r="Q1712" s="154">
        <v>0.652</v>
      </c>
      <c r="R1712" s="154">
        <v>0.336</v>
      </c>
      <c r="S1712" s="154">
        <v>0.012</v>
      </c>
      <c r="T1712" s="154">
        <v>0.008</v>
      </c>
      <c r="U1712" s="154">
        <v>0.226</v>
      </c>
      <c r="V1712" s="154">
        <v>0.423</v>
      </c>
      <c r="W1712" s="154">
        <v>0.214</v>
      </c>
      <c r="X1712" s="154">
        <v>0.098</v>
      </c>
      <c r="Y1712" s="154">
        <v>0.024</v>
      </c>
      <c r="Z1712" s="154">
        <v>0.008</v>
      </c>
      <c r="AA1712" s="148" t="s">
        <v>70</v>
      </c>
    </row>
    <row r="1713" spans="1:27">
      <c r="A1713" s="147">
        <v>3236</v>
      </c>
      <c r="B1713" s="147" t="s">
        <v>69</v>
      </c>
      <c r="C1713" s="147" t="s">
        <v>58</v>
      </c>
      <c r="D1713" s="148" t="s">
        <v>59</v>
      </c>
      <c r="E1713" s="148" t="s">
        <v>30</v>
      </c>
      <c r="F1713" s="149">
        <v>2025</v>
      </c>
      <c r="G1713" s="148" t="s">
        <v>39</v>
      </c>
      <c r="H1713" s="149">
        <v>623</v>
      </c>
      <c r="I1713" s="150">
        <v>412677</v>
      </c>
      <c r="J1713" s="149">
        <v>781</v>
      </c>
      <c r="K1713" s="150">
        <v>149627</v>
      </c>
      <c r="L1713" s="152"/>
      <c r="M1713" s="152">
        <f t="shared" si="26"/>
        <v>0</v>
      </c>
      <c r="N1713" s="150">
        <v>956292</v>
      </c>
      <c r="O1713" s="148"/>
      <c r="P1713" s="150">
        <v>58502</v>
      </c>
      <c r="Q1713" s="154">
        <v>0.656</v>
      </c>
      <c r="R1713" s="154">
        <v>0.329</v>
      </c>
      <c r="S1713" s="154">
        <v>0.015</v>
      </c>
      <c r="T1713" s="154">
        <v>0.008</v>
      </c>
      <c r="U1713" s="154">
        <v>0.213</v>
      </c>
      <c r="V1713" s="154">
        <v>0.421</v>
      </c>
      <c r="W1713" s="154">
        <v>0.22</v>
      </c>
      <c r="X1713" s="154">
        <v>0.105</v>
      </c>
      <c r="Y1713" s="154">
        <v>0.024</v>
      </c>
      <c r="Z1713" s="154">
        <v>0.009</v>
      </c>
      <c r="AA1713" s="148" t="s">
        <v>70</v>
      </c>
    </row>
    <row r="1714" spans="1:27">
      <c r="A1714" s="147">
        <v>3237</v>
      </c>
      <c r="B1714" s="147" t="s">
        <v>69</v>
      </c>
      <c r="C1714" s="147" t="s">
        <v>58</v>
      </c>
      <c r="D1714" s="148" t="s">
        <v>59</v>
      </c>
      <c r="E1714" s="148" t="s">
        <v>30</v>
      </c>
      <c r="F1714" s="149">
        <v>2025</v>
      </c>
      <c r="G1714" s="148" t="s">
        <v>40</v>
      </c>
      <c r="H1714" s="149">
        <v>688</v>
      </c>
      <c r="I1714" s="150">
        <v>412410</v>
      </c>
      <c r="J1714" s="149">
        <v>936</v>
      </c>
      <c r="K1714" s="150">
        <v>47024</v>
      </c>
      <c r="L1714" s="152"/>
      <c r="M1714" s="152">
        <f t="shared" si="26"/>
        <v>0</v>
      </c>
      <c r="N1714" s="150">
        <v>693939</v>
      </c>
      <c r="O1714" s="148"/>
      <c r="P1714" s="150">
        <v>49971</v>
      </c>
      <c r="Q1714" s="154">
        <v>0.679</v>
      </c>
      <c r="R1714" s="154">
        <v>0.288</v>
      </c>
      <c r="S1714" s="154">
        <v>0.033</v>
      </c>
      <c r="T1714" s="154">
        <v>0.009</v>
      </c>
      <c r="U1714" s="154">
        <v>0.185</v>
      </c>
      <c r="V1714" s="154">
        <v>0.397</v>
      </c>
      <c r="W1714" s="154">
        <v>0.238</v>
      </c>
      <c r="X1714" s="154">
        <v>0.126</v>
      </c>
      <c r="Y1714" s="154">
        <v>0.031</v>
      </c>
      <c r="Z1714" s="154">
        <v>0.013</v>
      </c>
      <c r="AA1714" s="148" t="s">
        <v>70</v>
      </c>
    </row>
    <row r="1715" spans="1:27">
      <c r="A1715" s="147">
        <v>3238</v>
      </c>
      <c r="B1715" s="147" t="s">
        <v>69</v>
      </c>
      <c r="C1715" s="147" t="s">
        <v>58</v>
      </c>
      <c r="D1715" s="148" t="s">
        <v>59</v>
      </c>
      <c r="E1715" s="148" t="s">
        <v>30</v>
      </c>
      <c r="F1715" s="149">
        <v>2025</v>
      </c>
      <c r="G1715" s="148" t="s">
        <v>41</v>
      </c>
      <c r="H1715" s="149">
        <v>660</v>
      </c>
      <c r="I1715" s="150">
        <v>410800</v>
      </c>
      <c r="J1715" s="149">
        <v>669</v>
      </c>
      <c r="K1715" s="150">
        <v>100272</v>
      </c>
      <c r="L1715" s="152"/>
      <c r="M1715" s="152">
        <f t="shared" si="26"/>
        <v>0</v>
      </c>
      <c r="N1715" s="150">
        <v>787244</v>
      </c>
      <c r="O1715" s="148"/>
      <c r="P1715" s="150">
        <v>50172</v>
      </c>
      <c r="Q1715" s="154">
        <v>0.661</v>
      </c>
      <c r="R1715" s="154">
        <v>0.323</v>
      </c>
      <c r="S1715" s="154">
        <v>0.016</v>
      </c>
      <c r="T1715" s="154">
        <v>0.013</v>
      </c>
      <c r="U1715" s="154">
        <v>0.208</v>
      </c>
      <c r="V1715" s="154">
        <v>0.414</v>
      </c>
      <c r="W1715" s="154">
        <v>0.196</v>
      </c>
      <c r="X1715" s="154">
        <v>0.1</v>
      </c>
      <c r="Y1715" s="154">
        <v>0.04</v>
      </c>
      <c r="Z1715" s="154">
        <v>0.03</v>
      </c>
      <c r="AA1715" s="148" t="s">
        <v>70</v>
      </c>
    </row>
    <row r="1716" spans="1:27">
      <c r="A1716" s="147">
        <v>3239</v>
      </c>
      <c r="B1716" s="147" t="s">
        <v>69</v>
      </c>
      <c r="C1716" s="147" t="s">
        <v>58</v>
      </c>
      <c r="D1716" s="148" t="s">
        <v>59</v>
      </c>
      <c r="E1716" s="148" t="s">
        <v>30</v>
      </c>
      <c r="F1716" s="149">
        <v>2025</v>
      </c>
      <c r="G1716" s="148" t="s">
        <v>42</v>
      </c>
      <c r="H1716" s="149">
        <v>673</v>
      </c>
      <c r="I1716" s="150">
        <v>400471</v>
      </c>
      <c r="J1716" s="149">
        <v>503</v>
      </c>
      <c r="K1716" s="150">
        <v>181232</v>
      </c>
      <c r="L1716" s="152"/>
      <c r="M1716" s="152">
        <f t="shared" si="26"/>
        <v>0</v>
      </c>
      <c r="N1716" s="150">
        <v>1178701</v>
      </c>
      <c r="O1716" s="148"/>
      <c r="P1716" s="150">
        <v>77380</v>
      </c>
      <c r="Q1716" s="154">
        <v>0.607</v>
      </c>
      <c r="R1716" s="154">
        <v>0.364</v>
      </c>
      <c r="S1716" s="154">
        <v>0.029</v>
      </c>
      <c r="T1716" s="154">
        <v>0.016</v>
      </c>
      <c r="U1716" s="154">
        <v>0.252</v>
      </c>
      <c r="V1716" s="154">
        <v>0.424</v>
      </c>
      <c r="W1716" s="154">
        <v>0.171</v>
      </c>
      <c r="X1716" s="154">
        <v>0.081</v>
      </c>
      <c r="Y1716" s="154">
        <v>0.032</v>
      </c>
      <c r="Z1716" s="154">
        <v>0.025</v>
      </c>
      <c r="AA1716" s="148" t="s">
        <v>70</v>
      </c>
    </row>
    <row r="1717" spans="1:27">
      <c r="A1717" s="147">
        <v>3240</v>
      </c>
      <c r="B1717" s="147" t="s">
        <v>69</v>
      </c>
      <c r="C1717" s="147" t="s">
        <v>58</v>
      </c>
      <c r="D1717" s="148" t="s">
        <v>59</v>
      </c>
      <c r="E1717" s="148" t="s">
        <v>30</v>
      </c>
      <c r="F1717" s="149">
        <v>2025</v>
      </c>
      <c r="G1717" s="148" t="s">
        <v>43</v>
      </c>
      <c r="H1717" s="149">
        <v>985</v>
      </c>
      <c r="I1717" s="150">
        <v>399979</v>
      </c>
      <c r="J1717" s="149">
        <v>484</v>
      </c>
      <c r="K1717" s="150">
        <v>253188</v>
      </c>
      <c r="L1717" s="152"/>
      <c r="M1717" s="152">
        <f t="shared" si="26"/>
        <v>0</v>
      </c>
      <c r="N1717" s="150">
        <v>950005</v>
      </c>
      <c r="O1717" s="148"/>
      <c r="P1717" s="150">
        <v>45799</v>
      </c>
      <c r="Q1717" s="154">
        <v>0.671</v>
      </c>
      <c r="R1717" s="154">
        <v>0.303</v>
      </c>
      <c r="S1717" s="154">
        <v>0.026</v>
      </c>
      <c r="T1717" s="154">
        <v>0.011</v>
      </c>
      <c r="U1717" s="154">
        <v>0.167</v>
      </c>
      <c r="V1717" s="154">
        <v>0.385</v>
      </c>
      <c r="W1717" s="154">
        <v>0.225</v>
      </c>
      <c r="X1717" s="154">
        <v>0.125</v>
      </c>
      <c r="Y1717" s="154">
        <v>0.052</v>
      </c>
      <c r="Z1717" s="154">
        <v>0.035</v>
      </c>
      <c r="AA1717" s="148" t="s">
        <v>70</v>
      </c>
    </row>
    <row r="1718" spans="1:27">
      <c r="A1718" s="147">
        <v>3241</v>
      </c>
      <c r="B1718" s="147" t="s">
        <v>69</v>
      </c>
      <c r="C1718" s="147" t="s">
        <v>58</v>
      </c>
      <c r="D1718" s="148" t="s">
        <v>59</v>
      </c>
      <c r="E1718" s="148" t="s">
        <v>30</v>
      </c>
      <c r="F1718" s="149">
        <v>2026</v>
      </c>
      <c r="G1718" s="148" t="s">
        <v>31</v>
      </c>
      <c r="H1718" s="150">
        <v>1176</v>
      </c>
      <c r="I1718" s="150">
        <v>399983</v>
      </c>
      <c r="J1718" s="149">
        <v>575</v>
      </c>
      <c r="K1718" s="150">
        <v>361228</v>
      </c>
      <c r="L1718" s="152"/>
      <c r="M1718" s="152">
        <f t="shared" si="26"/>
        <v>0</v>
      </c>
      <c r="N1718" s="150">
        <v>1578871</v>
      </c>
      <c r="O1718" s="148"/>
      <c r="P1718" s="150">
        <v>76111</v>
      </c>
      <c r="Q1718" s="154">
        <v>0.63</v>
      </c>
      <c r="R1718" s="154">
        <v>0.321</v>
      </c>
      <c r="S1718" s="154">
        <v>0.049</v>
      </c>
      <c r="T1718" s="154">
        <v>0.009</v>
      </c>
      <c r="U1718" s="154">
        <v>0.172</v>
      </c>
      <c r="V1718" s="154">
        <v>0.397</v>
      </c>
      <c r="W1718" s="154">
        <v>0.225</v>
      </c>
      <c r="X1718" s="154">
        <v>0.123</v>
      </c>
      <c r="Y1718" s="154">
        <v>0.05</v>
      </c>
      <c r="Z1718" s="154">
        <v>0.023</v>
      </c>
      <c r="AA1718" s="148" t="s">
        <v>70</v>
      </c>
    </row>
    <row r="1719" spans="1:27">
      <c r="A1719" s="147">
        <v>3242</v>
      </c>
      <c r="B1719" s="147" t="s">
        <v>69</v>
      </c>
      <c r="C1719" s="147" t="s">
        <v>58</v>
      </c>
      <c r="D1719" s="148" t="s">
        <v>59</v>
      </c>
      <c r="E1719" s="148" t="s">
        <v>30</v>
      </c>
      <c r="F1719" s="149">
        <v>2026</v>
      </c>
      <c r="G1719" s="148" t="s">
        <v>33</v>
      </c>
      <c r="H1719" s="150">
        <v>1237</v>
      </c>
      <c r="I1719" s="150">
        <v>400385</v>
      </c>
      <c r="J1719" s="149">
        <v>716</v>
      </c>
      <c r="K1719" s="150">
        <v>889091</v>
      </c>
      <c r="L1719" s="152"/>
      <c r="M1719" s="152">
        <f t="shared" si="26"/>
        <v>0</v>
      </c>
      <c r="N1719" s="150">
        <v>3219366</v>
      </c>
      <c r="O1719" s="148"/>
      <c r="P1719" s="150">
        <v>259079</v>
      </c>
      <c r="Q1719" s="154">
        <v>0.615</v>
      </c>
      <c r="R1719" s="154">
        <v>0.355</v>
      </c>
      <c r="S1719" s="154">
        <v>0.03</v>
      </c>
      <c r="T1719" s="154">
        <v>0.01</v>
      </c>
      <c r="U1719" s="154">
        <v>0.183</v>
      </c>
      <c r="V1719" s="154">
        <v>0.475</v>
      </c>
      <c r="W1719" s="154">
        <v>0.2</v>
      </c>
      <c r="X1719" s="154">
        <v>0.084</v>
      </c>
      <c r="Y1719" s="154">
        <v>0.033</v>
      </c>
      <c r="Z1719" s="154">
        <v>0.015</v>
      </c>
      <c r="AA1719" s="148" t="s">
        <v>70</v>
      </c>
    </row>
    <row r="1720" spans="1:27">
      <c r="A1720" s="147">
        <v>3243</v>
      </c>
      <c r="B1720" s="147" t="s">
        <v>69</v>
      </c>
      <c r="C1720" s="147" t="s">
        <v>58</v>
      </c>
      <c r="D1720" s="148" t="s">
        <v>59</v>
      </c>
      <c r="E1720" s="148" t="s">
        <v>30</v>
      </c>
      <c r="F1720" s="149">
        <v>2026</v>
      </c>
      <c r="G1720" s="148" t="s">
        <v>34</v>
      </c>
      <c r="H1720" s="150">
        <v>1292</v>
      </c>
      <c r="I1720" s="150">
        <v>401284</v>
      </c>
      <c r="J1720" s="150">
        <v>1416</v>
      </c>
      <c r="K1720" s="150">
        <v>2319647</v>
      </c>
      <c r="L1720" s="152"/>
      <c r="M1720" s="152">
        <f t="shared" si="26"/>
        <v>0</v>
      </c>
      <c r="N1720" s="150">
        <v>5677472</v>
      </c>
      <c r="O1720" s="148"/>
      <c r="P1720" s="150">
        <v>164254</v>
      </c>
      <c r="Q1720" s="154">
        <v>0.702</v>
      </c>
      <c r="R1720" s="154">
        <v>0.294</v>
      </c>
      <c r="S1720" s="154">
        <v>0.004</v>
      </c>
      <c r="T1720" s="154">
        <v>0.009</v>
      </c>
      <c r="U1720" s="154">
        <v>0.149</v>
      </c>
      <c r="V1720" s="154">
        <v>0.327</v>
      </c>
      <c r="W1720" s="154">
        <v>0.214</v>
      </c>
      <c r="X1720" s="154">
        <v>0.18</v>
      </c>
      <c r="Y1720" s="154">
        <v>0.073</v>
      </c>
      <c r="Z1720" s="154">
        <v>0.048</v>
      </c>
      <c r="AA1720" s="148" t="s">
        <v>70</v>
      </c>
    </row>
    <row r="1721" spans="1:27">
      <c r="A1721" s="147">
        <v>3244</v>
      </c>
      <c r="B1721" s="147" t="s">
        <v>69</v>
      </c>
      <c r="C1721" s="147" t="s">
        <v>58</v>
      </c>
      <c r="D1721" s="148" t="s">
        <v>59</v>
      </c>
      <c r="E1721" s="148" t="s">
        <v>30</v>
      </c>
      <c r="F1721" s="149">
        <v>2026</v>
      </c>
      <c r="G1721" s="148" t="s">
        <v>35</v>
      </c>
      <c r="H1721" s="150">
        <v>1283</v>
      </c>
      <c r="I1721" s="150">
        <v>401681</v>
      </c>
      <c r="J1721" s="149">
        <v>692</v>
      </c>
      <c r="K1721" s="150">
        <v>689206</v>
      </c>
      <c r="L1721" s="152"/>
      <c r="M1721" s="152">
        <f t="shared" si="26"/>
        <v>0</v>
      </c>
      <c r="N1721" s="150">
        <v>1278153</v>
      </c>
      <c r="O1721" s="148"/>
      <c r="P1721" s="150">
        <v>20258</v>
      </c>
      <c r="Q1721" s="154">
        <v>0.701</v>
      </c>
      <c r="R1721" s="154">
        <v>0.282</v>
      </c>
      <c r="S1721" s="154">
        <v>0.017</v>
      </c>
      <c r="T1721" s="154">
        <v>0.008</v>
      </c>
      <c r="U1721" s="154">
        <v>0.141</v>
      </c>
      <c r="V1721" s="154">
        <v>0.369</v>
      </c>
      <c r="W1721" s="154">
        <v>0.241</v>
      </c>
      <c r="X1721" s="154">
        <v>0.141</v>
      </c>
      <c r="Y1721" s="154">
        <v>0.056</v>
      </c>
      <c r="Z1721" s="154">
        <v>0.043</v>
      </c>
      <c r="AA1721" s="148" t="s">
        <v>70</v>
      </c>
    </row>
    <row r="1722" spans="1:27">
      <c r="A1722" s="147">
        <v>3245</v>
      </c>
      <c r="B1722" s="147" t="s">
        <v>69</v>
      </c>
      <c r="C1722" s="147" t="s">
        <v>58</v>
      </c>
      <c r="D1722" s="148" t="s">
        <v>59</v>
      </c>
      <c r="E1722" s="148" t="s">
        <v>30</v>
      </c>
      <c r="F1722" s="149">
        <v>2026</v>
      </c>
      <c r="G1722" s="148" t="s">
        <v>36</v>
      </c>
      <c r="H1722" s="149">
        <v>883</v>
      </c>
      <c r="I1722" s="150">
        <v>401850</v>
      </c>
      <c r="J1722" s="149">
        <v>679</v>
      </c>
      <c r="K1722" s="150">
        <v>322201</v>
      </c>
      <c r="L1722" s="152"/>
      <c r="M1722" s="152">
        <f t="shared" si="26"/>
        <v>0</v>
      </c>
      <c r="N1722" s="150">
        <v>742295</v>
      </c>
      <c r="O1722" s="148"/>
      <c r="P1722" s="150">
        <v>14902</v>
      </c>
      <c r="Q1722" s="154">
        <v>0.736</v>
      </c>
      <c r="R1722" s="154">
        <v>0.229</v>
      </c>
      <c r="S1722" s="154">
        <v>0.035</v>
      </c>
      <c r="T1722" s="154">
        <v>0.007</v>
      </c>
      <c r="U1722" s="154">
        <v>0.11</v>
      </c>
      <c r="V1722" s="154">
        <v>0.34</v>
      </c>
      <c r="W1722" s="154">
        <v>0.257</v>
      </c>
      <c r="X1722" s="154">
        <v>0.16</v>
      </c>
      <c r="Y1722" s="154">
        <v>0.071</v>
      </c>
      <c r="Z1722" s="154">
        <v>0.055</v>
      </c>
      <c r="AA1722" s="148" t="s">
        <v>70</v>
      </c>
    </row>
    <row r="1723" spans="1:27">
      <c r="A1723" s="147">
        <v>3246</v>
      </c>
      <c r="B1723" s="147" t="s">
        <v>69</v>
      </c>
      <c r="C1723" s="147" t="s">
        <v>58</v>
      </c>
      <c r="D1723" s="148" t="s">
        <v>59</v>
      </c>
      <c r="E1723" s="148" t="s">
        <v>30</v>
      </c>
      <c r="F1723" s="149">
        <v>2026</v>
      </c>
      <c r="G1723" s="148" t="s">
        <v>37</v>
      </c>
      <c r="H1723" s="149">
        <v>880</v>
      </c>
      <c r="I1723" s="150">
        <v>401997</v>
      </c>
      <c r="J1723" s="149">
        <v>641</v>
      </c>
      <c r="K1723" s="150">
        <v>852728</v>
      </c>
      <c r="L1723" s="152"/>
      <c r="M1723" s="152">
        <f t="shared" si="26"/>
        <v>0</v>
      </c>
      <c r="N1723" s="150">
        <v>2667366</v>
      </c>
      <c r="O1723" s="148"/>
      <c r="P1723" s="150">
        <v>21915</v>
      </c>
      <c r="Q1723" s="154">
        <v>0.677</v>
      </c>
      <c r="R1723" s="154">
        <v>0.261</v>
      </c>
      <c r="S1723" s="154">
        <v>0.062</v>
      </c>
      <c r="T1723" s="154">
        <v>0.008</v>
      </c>
      <c r="U1723" s="154">
        <v>0.143</v>
      </c>
      <c r="V1723" s="154">
        <v>0.432</v>
      </c>
      <c r="W1723" s="154">
        <v>0.22</v>
      </c>
      <c r="X1723" s="154">
        <v>0.117</v>
      </c>
      <c r="Y1723" s="154">
        <v>0.048</v>
      </c>
      <c r="Z1723" s="154">
        <v>0.033</v>
      </c>
      <c r="AA1723" s="148" t="s">
        <v>70</v>
      </c>
    </row>
    <row r="1724" spans="1:27">
      <c r="A1724" s="147">
        <v>3247</v>
      </c>
      <c r="B1724" s="147" t="s">
        <v>69</v>
      </c>
      <c r="C1724" s="147" t="s">
        <v>58</v>
      </c>
      <c r="D1724" s="148" t="s">
        <v>59</v>
      </c>
      <c r="E1724" s="148" t="s">
        <v>30</v>
      </c>
      <c r="F1724" s="149">
        <v>2026</v>
      </c>
      <c r="G1724" s="148" t="s">
        <v>38</v>
      </c>
      <c r="H1724" s="149">
        <v>621</v>
      </c>
      <c r="I1724" s="150">
        <v>402407</v>
      </c>
      <c r="J1724" s="149">
        <v>410</v>
      </c>
      <c r="K1724" s="150">
        <v>1534873</v>
      </c>
      <c r="L1724" s="152"/>
      <c r="M1724" s="152">
        <f t="shared" si="26"/>
        <v>0</v>
      </c>
      <c r="N1724" s="150">
        <v>3266803</v>
      </c>
      <c r="O1724" s="148"/>
      <c r="P1724" s="150">
        <v>22554</v>
      </c>
      <c r="Q1724" s="154">
        <v>0.675</v>
      </c>
      <c r="R1724" s="154">
        <v>0.217</v>
      </c>
      <c r="S1724" s="154">
        <v>0.108</v>
      </c>
      <c r="T1724" s="154">
        <v>0.006</v>
      </c>
      <c r="U1724" s="154">
        <v>0.116</v>
      </c>
      <c r="V1724" s="154">
        <v>0.381</v>
      </c>
      <c r="W1724" s="154">
        <v>0.247</v>
      </c>
      <c r="X1724" s="154">
        <v>0.149</v>
      </c>
      <c r="Y1724" s="154">
        <v>0.063</v>
      </c>
      <c r="Z1724" s="154">
        <v>0.038</v>
      </c>
      <c r="AA1724" s="148" t="s">
        <v>70</v>
      </c>
    </row>
    <row r="1725" spans="1:27">
      <c r="A1725" s="147">
        <v>3248</v>
      </c>
      <c r="B1725" s="147" t="s">
        <v>69</v>
      </c>
      <c r="C1725" s="147" t="s">
        <v>58</v>
      </c>
      <c r="D1725" s="148" t="s">
        <v>59</v>
      </c>
      <c r="E1725" s="148" t="s">
        <v>30</v>
      </c>
      <c r="F1725" s="149">
        <v>2026</v>
      </c>
      <c r="G1725" s="148" t="s">
        <v>39</v>
      </c>
      <c r="H1725" s="148"/>
      <c r="I1725" s="148"/>
      <c r="J1725" s="148"/>
      <c r="K1725" s="148"/>
      <c r="L1725" s="152"/>
      <c r="M1725" s="152">
        <f t="shared" si="26"/>
        <v>0</v>
      </c>
      <c r="N1725" s="148"/>
      <c r="O1725" s="148"/>
      <c r="P1725" s="148"/>
      <c r="Q1725" s="148"/>
      <c r="R1725" s="148"/>
      <c r="S1725" s="148"/>
      <c r="T1725" s="148"/>
      <c r="U1725" s="148"/>
      <c r="V1725" s="148"/>
      <c r="W1725" s="148"/>
      <c r="X1725" s="148"/>
      <c r="Y1725" s="148"/>
      <c r="Z1725" s="148"/>
      <c r="AA1725" s="148"/>
    </row>
    <row r="1726" spans="1:27">
      <c r="A1726" s="147">
        <v>3249</v>
      </c>
      <c r="B1726" s="147" t="s">
        <v>69</v>
      </c>
      <c r="C1726" s="147" t="s">
        <v>58</v>
      </c>
      <c r="D1726" s="148" t="s">
        <v>59</v>
      </c>
      <c r="E1726" s="148" t="s">
        <v>30</v>
      </c>
      <c r="F1726" s="149">
        <v>2026</v>
      </c>
      <c r="G1726" s="148" t="s">
        <v>40</v>
      </c>
      <c r="H1726" s="148"/>
      <c r="I1726" s="148"/>
      <c r="J1726" s="148"/>
      <c r="K1726" s="148"/>
      <c r="L1726" s="152"/>
      <c r="M1726" s="152">
        <f t="shared" si="26"/>
        <v>0</v>
      </c>
      <c r="N1726" s="148"/>
      <c r="O1726" s="148"/>
      <c r="P1726" s="148"/>
      <c r="Q1726" s="148"/>
      <c r="R1726" s="148"/>
      <c r="S1726" s="148"/>
      <c r="T1726" s="148"/>
      <c r="U1726" s="148"/>
      <c r="V1726" s="148"/>
      <c r="W1726" s="148"/>
      <c r="X1726" s="148"/>
      <c r="Y1726" s="148"/>
      <c r="Z1726" s="148"/>
      <c r="AA1726" s="148"/>
    </row>
    <row r="1727" spans="1:27">
      <c r="A1727" s="147">
        <v>3250</v>
      </c>
      <c r="B1727" s="147" t="s">
        <v>69</v>
      </c>
      <c r="C1727" s="147" t="s">
        <v>58</v>
      </c>
      <c r="D1727" s="148" t="s">
        <v>59</v>
      </c>
      <c r="E1727" s="148" t="s">
        <v>30</v>
      </c>
      <c r="F1727" s="149">
        <v>2026</v>
      </c>
      <c r="G1727" s="148" t="s">
        <v>41</v>
      </c>
      <c r="H1727" s="148"/>
      <c r="I1727" s="148"/>
      <c r="J1727" s="148"/>
      <c r="K1727" s="148"/>
      <c r="L1727" s="152"/>
      <c r="M1727" s="152">
        <f t="shared" si="26"/>
        <v>0</v>
      </c>
      <c r="N1727" s="148"/>
      <c r="O1727" s="148"/>
      <c r="P1727" s="148"/>
      <c r="Q1727" s="148"/>
      <c r="R1727" s="148"/>
      <c r="S1727" s="148"/>
      <c r="T1727" s="148"/>
      <c r="U1727" s="148"/>
      <c r="V1727" s="148"/>
      <c r="W1727" s="148"/>
      <c r="X1727" s="148"/>
      <c r="Y1727" s="148"/>
      <c r="Z1727" s="148"/>
      <c r="AA1727" s="148"/>
    </row>
    <row r="1728" spans="1:27">
      <c r="A1728" s="147">
        <v>3251</v>
      </c>
      <c r="B1728" s="147" t="s">
        <v>69</v>
      </c>
      <c r="C1728" s="147" t="s">
        <v>58</v>
      </c>
      <c r="D1728" s="148" t="s">
        <v>59</v>
      </c>
      <c r="E1728" s="148" t="s">
        <v>30</v>
      </c>
      <c r="F1728" s="149">
        <v>2026</v>
      </c>
      <c r="G1728" s="148" t="s">
        <v>42</v>
      </c>
      <c r="H1728" s="148"/>
      <c r="I1728" s="148"/>
      <c r="J1728" s="148"/>
      <c r="K1728" s="148"/>
      <c r="L1728" s="152"/>
      <c r="M1728" s="152">
        <f t="shared" si="26"/>
        <v>0</v>
      </c>
      <c r="N1728" s="148"/>
      <c r="O1728" s="148"/>
      <c r="P1728" s="148"/>
      <c r="Q1728" s="148"/>
      <c r="R1728" s="148"/>
      <c r="S1728" s="148"/>
      <c r="T1728" s="148"/>
      <c r="U1728" s="148"/>
      <c r="V1728" s="148"/>
      <c r="W1728" s="148"/>
      <c r="X1728" s="148"/>
      <c r="Y1728" s="148"/>
      <c r="Z1728" s="148"/>
      <c r="AA1728" s="148"/>
    </row>
    <row r="1729" spans="1:27">
      <c r="A1729" s="147">
        <v>3252</v>
      </c>
      <c r="B1729" s="147" t="s">
        <v>69</v>
      </c>
      <c r="C1729" s="147" t="s">
        <v>58</v>
      </c>
      <c r="D1729" s="148" t="s">
        <v>59</v>
      </c>
      <c r="E1729" s="148" t="s">
        <v>30</v>
      </c>
      <c r="F1729" s="149">
        <v>2026</v>
      </c>
      <c r="G1729" s="148" t="s">
        <v>43</v>
      </c>
      <c r="H1729" s="148"/>
      <c r="I1729" s="148"/>
      <c r="J1729" s="148"/>
      <c r="K1729" s="148"/>
      <c r="L1729" s="152"/>
      <c r="M1729" s="152">
        <f t="shared" si="26"/>
        <v>0</v>
      </c>
      <c r="N1729" s="148"/>
      <c r="O1729" s="148"/>
      <c r="P1729" s="148"/>
      <c r="Q1729" s="148"/>
      <c r="R1729" s="148"/>
      <c r="S1729" s="148"/>
      <c r="T1729" s="148"/>
      <c r="U1729" s="148"/>
      <c r="V1729" s="148"/>
      <c r="W1729" s="148"/>
      <c r="X1729" s="148"/>
      <c r="Y1729" s="148"/>
      <c r="Z1729" s="148"/>
      <c r="AA1729" s="148"/>
    </row>
  </sheetData>
  <autoFilter xmlns:etc="http://www.wps.cn/officeDocument/2017/etCustomData" ref="A1:AA1729" etc:filterBottomFollowUsedRange="0">
    <sortState ref="A1:AA1729">
      <sortCondition ref="A1"/>
    </sortState>
    <extLst/>
  </autoFilter>
  <conditionalFormatting sqref="M1">
    <cfRule type="expression" dxfId="0" priority="1">
      <formula>MOD(ROW(),2)=0</formula>
    </cfRule>
  </conditionalFormatting>
  <conditionalFormatting sqref="L1:L1729">
    <cfRule type="expression" dxfId="0" priority="2">
      <formula>MOD(ROW(),2)=0</formula>
    </cfRule>
  </conditionalFormatting>
  <conditionalFormatting sqref="A1:K1 N1:AA1 A2:K2 M2:AA2 A3:K1729 M3:AA1729">
    <cfRule type="expression" dxfId="0" priority="3">
      <formula>MOD(ROW(),2)=0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BX721"/>
  <sheetViews>
    <sheetView zoomScale="85" zoomScaleNormal="85" workbookViewId="0">
      <pane xSplit="5" ySplit="1" topLeftCell="BA700" activePane="bottomRight" state="frozen"/>
      <selection/>
      <selection pane="topRight"/>
      <selection pane="bottomLeft"/>
      <selection pane="bottomRight" activeCell="I1706" sqref="I1706"/>
    </sheetView>
  </sheetViews>
  <sheetFormatPr defaultColWidth="12.7142857142857" defaultRowHeight="15" customHeight="1"/>
  <cols>
    <col min="1" max="1" width="5.71428571428571" style="97" customWidth="1"/>
    <col min="2" max="2" width="12.7142857142857" style="97" customWidth="1"/>
    <col min="3" max="3" width="18.7142857142857" style="97" customWidth="1"/>
    <col min="4" max="4" width="7.42857142857143" style="92" customWidth="1"/>
    <col min="5" max="5" width="12.7142857142857" style="97" customWidth="1"/>
    <col min="6" max="6" width="12.8571428571429" style="98" customWidth="1"/>
    <col min="7" max="9" width="12.7142857142857" style="98" customWidth="1"/>
    <col min="10" max="10" width="12.7142857142857" style="99" customWidth="1"/>
    <col min="11" max="25" width="12.7142857142857" style="98" customWidth="1"/>
    <col min="26" max="26" width="19.2857142857143" style="98" customWidth="1"/>
    <col min="27" max="29" width="12.7142857142857" style="98"/>
    <col min="30" max="31" width="13.7142857142857" style="98"/>
    <col min="32" max="37" width="12.7142857142857" style="98"/>
    <col min="38" max="38" width="13.7142857142857" style="98"/>
    <col min="39" max="53" width="12.7142857142857" style="98"/>
    <col min="54" max="54" width="12.7142857142857" style="100" customWidth="1"/>
    <col min="55" max="55" width="13.1428571428571" style="100" customWidth="1"/>
    <col min="56" max="61" width="12.7142857142857" style="100" customWidth="1"/>
    <col min="62" max="64" width="12.7142857142857" style="97"/>
    <col min="65" max="66" width="17" style="101" customWidth="1"/>
    <col min="67" max="16384" width="12.7142857142857" style="97"/>
  </cols>
  <sheetData>
    <row r="1" s="95" customFormat="1" ht="51" spans="1:76">
      <c r="A1" s="102" t="s">
        <v>0</v>
      </c>
      <c r="B1" s="102" t="s">
        <v>2</v>
      </c>
      <c r="C1" s="103" t="s">
        <v>3</v>
      </c>
      <c r="D1" s="103" t="s">
        <v>5</v>
      </c>
      <c r="E1" s="102" t="s">
        <v>6</v>
      </c>
      <c r="F1" s="103" t="s">
        <v>71</v>
      </c>
      <c r="G1" s="103" t="s">
        <v>72</v>
      </c>
      <c r="H1" s="103" t="s">
        <v>73</v>
      </c>
      <c r="I1" s="103" t="s">
        <v>74</v>
      </c>
      <c r="J1" s="104" t="s">
        <v>75</v>
      </c>
      <c r="K1" s="103" t="s">
        <v>76</v>
      </c>
      <c r="L1" s="103" t="s">
        <v>77</v>
      </c>
      <c r="M1" s="103" t="s">
        <v>13</v>
      </c>
      <c r="N1" s="103" t="s">
        <v>78</v>
      </c>
      <c r="O1" s="103" t="s">
        <v>79</v>
      </c>
      <c r="P1" s="103" t="s">
        <v>80</v>
      </c>
      <c r="Q1" s="103" t="s">
        <v>81</v>
      </c>
      <c r="R1" s="103" t="s">
        <v>82</v>
      </c>
      <c r="S1" s="103" t="s">
        <v>83</v>
      </c>
      <c r="T1" s="103" t="s">
        <v>84</v>
      </c>
      <c r="U1" s="103" t="s">
        <v>85</v>
      </c>
      <c r="V1" s="103" t="s">
        <v>86</v>
      </c>
      <c r="W1" s="103" t="s">
        <v>87</v>
      </c>
      <c r="X1" s="103" t="s">
        <v>88</v>
      </c>
      <c r="Y1" s="103" t="s">
        <v>89</v>
      </c>
      <c r="Z1" s="105" t="s">
        <v>90</v>
      </c>
      <c r="AA1" s="103" t="s">
        <v>91</v>
      </c>
      <c r="AB1" s="103" t="s">
        <v>92</v>
      </c>
      <c r="AC1" s="103" t="s">
        <v>93</v>
      </c>
      <c r="AD1" s="103" t="s">
        <v>94</v>
      </c>
      <c r="AE1" s="103" t="s">
        <v>95</v>
      </c>
      <c r="AF1" s="103" t="s">
        <v>96</v>
      </c>
      <c r="AG1" s="103" t="s">
        <v>97</v>
      </c>
      <c r="AH1" s="103" t="s">
        <v>98</v>
      </c>
      <c r="AI1" s="103" t="s">
        <v>99</v>
      </c>
      <c r="AJ1" s="103" t="s">
        <v>100</v>
      </c>
      <c r="AK1" s="103" t="s">
        <v>101</v>
      </c>
      <c r="AL1" s="103" t="s">
        <v>102</v>
      </c>
      <c r="AM1" s="103" t="s">
        <v>103</v>
      </c>
      <c r="AN1" s="103" t="s">
        <v>104</v>
      </c>
      <c r="AO1" s="103" t="s">
        <v>105</v>
      </c>
      <c r="AP1" s="103" t="s">
        <v>106</v>
      </c>
      <c r="AQ1" s="103" t="s">
        <v>107</v>
      </c>
      <c r="AR1" s="103" t="s">
        <v>108</v>
      </c>
      <c r="AS1" s="103" t="s">
        <v>109</v>
      </c>
      <c r="AT1" s="103" t="s">
        <v>110</v>
      </c>
      <c r="AU1" s="103" t="s">
        <v>111</v>
      </c>
      <c r="AV1" s="103" t="s">
        <v>112</v>
      </c>
      <c r="AW1" s="103" t="s">
        <v>113</v>
      </c>
      <c r="AX1" s="103" t="s">
        <v>114</v>
      </c>
      <c r="AY1" s="103" t="s">
        <v>115</v>
      </c>
      <c r="AZ1" s="103" t="s">
        <v>116</v>
      </c>
      <c r="BA1" s="103" t="s">
        <v>117</v>
      </c>
      <c r="BB1" s="106" t="s">
        <v>118</v>
      </c>
      <c r="BC1" s="106" t="s">
        <v>119</v>
      </c>
      <c r="BD1" s="106" t="s">
        <v>120</v>
      </c>
      <c r="BE1" s="106" t="s">
        <v>121</v>
      </c>
      <c r="BF1" s="106" t="s">
        <v>122</v>
      </c>
      <c r="BG1" s="106" t="s">
        <v>123</v>
      </c>
      <c r="BH1" s="106" t="s">
        <v>124</v>
      </c>
      <c r="BI1" s="106" t="s">
        <v>125</v>
      </c>
      <c r="BJ1" s="107" t="s">
        <v>8</v>
      </c>
      <c r="BK1" s="107" t="s">
        <v>9</v>
      </c>
      <c r="BL1" s="108" t="s">
        <v>126</v>
      </c>
      <c r="BM1" s="109" t="s">
        <v>127</v>
      </c>
      <c r="BN1" s="109" t="s">
        <v>128</v>
      </c>
      <c r="BO1" s="110" t="s">
        <v>129</v>
      </c>
      <c r="BP1" s="110" t="s">
        <v>130</v>
      </c>
      <c r="BQ1" s="110" t="s">
        <v>131</v>
      </c>
      <c r="BR1" s="110" t="s">
        <v>19</v>
      </c>
      <c r="BS1" s="110" t="s">
        <v>20</v>
      </c>
      <c r="BT1" s="110" t="s">
        <v>21</v>
      </c>
      <c r="BU1" s="110" t="s">
        <v>22</v>
      </c>
      <c r="BV1" s="110" t="s">
        <v>23</v>
      </c>
      <c r="BW1" s="110" t="s">
        <v>24</v>
      </c>
      <c r="BX1" s="110" t="s">
        <v>25</v>
      </c>
    </row>
    <row r="2" s="96" customFormat="1" ht="15.75" customHeight="1" spans="1:76">
      <c r="A2" s="111">
        <v>1</v>
      </c>
      <c r="B2" s="112" t="s">
        <v>28</v>
      </c>
      <c r="C2" s="112" t="s">
        <v>28</v>
      </c>
      <c r="D2" s="111">
        <v>2024</v>
      </c>
      <c r="E2" s="113" t="s">
        <v>31</v>
      </c>
      <c r="F2" s="114">
        <v>5011740</v>
      </c>
      <c r="G2" s="114">
        <v>5011740</v>
      </c>
      <c r="H2" s="114">
        <v>108235.6673</v>
      </c>
      <c r="I2" s="114">
        <v>16364</v>
      </c>
      <c r="J2" s="115">
        <v>0.000891203703703704</v>
      </c>
      <c r="K2" s="114">
        <v>37.08</v>
      </c>
      <c r="L2" s="114">
        <v>1088</v>
      </c>
      <c r="M2" s="114">
        <v>49441107</v>
      </c>
      <c r="N2" s="114">
        <v>7.53</v>
      </c>
      <c r="O2" s="114">
        <v>3232830</v>
      </c>
      <c r="P2" s="114">
        <v>1713656</v>
      </c>
      <c r="Q2" s="114">
        <v>1519174</v>
      </c>
      <c r="R2" s="114">
        <v>1519174</v>
      </c>
      <c r="S2" s="114">
        <v>0</v>
      </c>
      <c r="T2" s="114">
        <v>20087</v>
      </c>
      <c r="U2" s="114">
        <v>3723</v>
      </c>
      <c r="V2" s="114">
        <v>61405</v>
      </c>
      <c r="W2" s="114">
        <v>2508</v>
      </c>
      <c r="X2" s="114">
        <v>12681</v>
      </c>
      <c r="Y2" s="114">
        <v>8484</v>
      </c>
      <c r="Z2" s="114">
        <v>11797500</v>
      </c>
      <c r="AA2" s="114"/>
      <c r="AB2" s="114"/>
      <c r="AC2" s="114"/>
      <c r="AD2" s="114"/>
      <c r="AE2" s="114"/>
      <c r="AF2" s="114"/>
      <c r="AG2" s="114"/>
      <c r="AH2" s="114"/>
      <c r="AI2" s="114"/>
      <c r="AJ2" s="114">
        <v>0</v>
      </c>
      <c r="AK2" s="114">
        <v>0</v>
      </c>
      <c r="AL2" s="114"/>
      <c r="AM2" s="114"/>
      <c r="AN2" s="114">
        <v>84675</v>
      </c>
      <c r="AO2" s="114">
        <v>4010.4346</v>
      </c>
      <c r="AP2" s="114">
        <v>747.4248</v>
      </c>
      <c r="AQ2" s="114">
        <v>82</v>
      </c>
      <c r="AR2" s="114">
        <v>237</v>
      </c>
      <c r="AS2" s="114">
        <v>1518</v>
      </c>
      <c r="AT2" s="114">
        <v>8</v>
      </c>
      <c r="AU2" s="114">
        <v>16062</v>
      </c>
      <c r="AV2" s="114">
        <v>0</v>
      </c>
      <c r="AW2" s="114">
        <v>0</v>
      </c>
      <c r="AX2" s="114">
        <v>0</v>
      </c>
      <c r="AY2" s="114">
        <v>0</v>
      </c>
      <c r="AZ2" s="114">
        <v>202</v>
      </c>
      <c r="BA2" s="114">
        <v>21519</v>
      </c>
      <c r="BB2" s="116"/>
      <c r="BC2" s="116"/>
      <c r="BD2" s="116"/>
      <c r="BE2" s="116"/>
      <c r="BF2" s="116"/>
      <c r="BG2" s="116"/>
      <c r="BH2" s="116"/>
      <c r="BI2" s="116"/>
      <c r="BJ2" s="117">
        <v>854727</v>
      </c>
      <c r="BK2" s="117">
        <v>16364</v>
      </c>
      <c r="BL2" s="117">
        <v>1836308</v>
      </c>
      <c r="BM2" s="118">
        <v>5763000</v>
      </c>
      <c r="BN2" s="118">
        <v>339</v>
      </c>
      <c r="BO2" s="119"/>
      <c r="BP2" s="119"/>
      <c r="BQ2" s="119"/>
      <c r="BR2" s="119"/>
      <c r="BS2" s="119"/>
      <c r="BT2" s="119"/>
      <c r="BU2" s="119"/>
      <c r="BV2" s="119"/>
      <c r="BW2" s="119"/>
      <c r="BX2" s="119"/>
    </row>
    <row r="3" s="96" customFormat="1" ht="15.75" customHeight="1" spans="1:76">
      <c r="A3" s="111">
        <v>2</v>
      </c>
      <c r="B3" s="112" t="s">
        <v>28</v>
      </c>
      <c r="C3" s="112" t="s">
        <v>28</v>
      </c>
      <c r="D3" s="111">
        <v>2024</v>
      </c>
      <c r="E3" s="113" t="s">
        <v>33</v>
      </c>
      <c r="F3" s="114">
        <v>3767874</v>
      </c>
      <c r="G3" s="114">
        <v>3767874</v>
      </c>
      <c r="H3" s="114">
        <v>88900.2435</v>
      </c>
      <c r="I3" s="114">
        <v>9702</v>
      </c>
      <c r="J3" s="115">
        <v>0.000972222222222222</v>
      </c>
      <c r="K3" s="114">
        <v>6.22</v>
      </c>
      <c r="L3" s="114">
        <v>906</v>
      </c>
      <c r="M3" s="114">
        <v>39770997</v>
      </c>
      <c r="N3" s="114">
        <v>6.93</v>
      </c>
      <c r="O3" s="114">
        <v>2515578</v>
      </c>
      <c r="P3" s="114">
        <v>1222345</v>
      </c>
      <c r="Q3" s="114">
        <v>1301106</v>
      </c>
      <c r="R3" s="114">
        <v>1301106</v>
      </c>
      <c r="S3" s="114">
        <v>0</v>
      </c>
      <c r="T3" s="114">
        <v>12298</v>
      </c>
      <c r="U3" s="114">
        <v>2596</v>
      </c>
      <c r="V3" s="114">
        <v>30249</v>
      </c>
      <c r="W3" s="114">
        <v>1101</v>
      </c>
      <c r="X3" s="114">
        <v>11432</v>
      </c>
      <c r="Y3" s="114">
        <v>7962</v>
      </c>
      <c r="Z3" s="114">
        <v>11220000</v>
      </c>
      <c r="AA3" s="114"/>
      <c r="AB3" s="114"/>
      <c r="AC3" s="114"/>
      <c r="AD3" s="114"/>
      <c r="AE3" s="114"/>
      <c r="AF3" s="114"/>
      <c r="AG3" s="114"/>
      <c r="AH3" s="114"/>
      <c r="AI3" s="114"/>
      <c r="AJ3" s="114">
        <v>0</v>
      </c>
      <c r="AK3" s="114">
        <v>0</v>
      </c>
      <c r="AL3" s="114"/>
      <c r="AM3" s="114"/>
      <c r="AN3" s="114">
        <v>64700</v>
      </c>
      <c r="AO3" s="114">
        <v>2925.6872</v>
      </c>
      <c r="AP3" s="114">
        <v>544.0357</v>
      </c>
      <c r="AQ3" s="114">
        <v>51</v>
      </c>
      <c r="AR3" s="114">
        <v>186</v>
      </c>
      <c r="AS3" s="114">
        <v>902</v>
      </c>
      <c r="AT3" s="114">
        <v>1</v>
      </c>
      <c r="AU3" s="114">
        <v>727</v>
      </c>
      <c r="AV3" s="114">
        <v>0</v>
      </c>
      <c r="AW3" s="114">
        <v>0</v>
      </c>
      <c r="AX3" s="114">
        <v>0</v>
      </c>
      <c r="AY3" s="114">
        <v>0</v>
      </c>
      <c r="AZ3" s="114">
        <v>99</v>
      </c>
      <c r="BA3" s="114">
        <v>11784</v>
      </c>
      <c r="BB3" s="116"/>
      <c r="BC3" s="116"/>
      <c r="BD3" s="116"/>
      <c r="BE3" s="116"/>
      <c r="BF3" s="116"/>
      <c r="BG3" s="116"/>
      <c r="BH3" s="116"/>
      <c r="BI3" s="116"/>
      <c r="BJ3" s="117">
        <v>864429</v>
      </c>
      <c r="BK3" s="117">
        <v>9702</v>
      </c>
      <c r="BL3" s="117">
        <v>1454779</v>
      </c>
      <c r="BM3" s="118">
        <v>5559000</v>
      </c>
      <c r="BN3" s="118">
        <v>327</v>
      </c>
      <c r="BO3" s="119"/>
      <c r="BP3" s="119"/>
      <c r="BQ3" s="119"/>
      <c r="BR3" s="119"/>
      <c r="BS3" s="119"/>
      <c r="BT3" s="119"/>
      <c r="BU3" s="119"/>
      <c r="BV3" s="119"/>
      <c r="BW3" s="119"/>
      <c r="BX3" s="119"/>
    </row>
    <row r="4" s="96" customFormat="1" ht="15.75" customHeight="1" spans="1:76">
      <c r="A4" s="111">
        <v>3</v>
      </c>
      <c r="B4" s="112" t="s">
        <v>28</v>
      </c>
      <c r="C4" s="112" t="s">
        <v>28</v>
      </c>
      <c r="D4" s="111">
        <v>2024</v>
      </c>
      <c r="E4" s="113" t="s">
        <v>34</v>
      </c>
      <c r="F4" s="114">
        <v>2977528</v>
      </c>
      <c r="G4" s="114">
        <v>2977528</v>
      </c>
      <c r="H4" s="114">
        <v>66657.7874</v>
      </c>
      <c r="I4" s="114">
        <v>6235</v>
      </c>
      <c r="J4" s="115">
        <v>0.000925925925925926</v>
      </c>
      <c r="K4" s="114">
        <v>42.35</v>
      </c>
      <c r="L4" s="114">
        <v>941</v>
      </c>
      <c r="M4" s="114">
        <v>29722042</v>
      </c>
      <c r="N4" s="114">
        <v>6.44</v>
      </c>
      <c r="O4" s="114">
        <v>2014308</v>
      </c>
      <c r="P4" s="114">
        <v>994863</v>
      </c>
      <c r="Q4" s="114">
        <v>1019445</v>
      </c>
      <c r="R4" s="114">
        <v>1019445</v>
      </c>
      <c r="S4" s="114">
        <v>0</v>
      </c>
      <c r="T4" s="114">
        <v>8709</v>
      </c>
      <c r="U4" s="114">
        <v>2474</v>
      </c>
      <c r="V4" s="114">
        <v>22011</v>
      </c>
      <c r="W4" s="114">
        <v>757</v>
      </c>
      <c r="X4" s="114">
        <v>9188</v>
      </c>
      <c r="Y4" s="114">
        <v>4724</v>
      </c>
      <c r="Z4" s="114">
        <v>9949500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>
        <v>0</v>
      </c>
      <c r="AK4" s="114">
        <v>0</v>
      </c>
      <c r="AL4" s="114"/>
      <c r="AM4" s="114"/>
      <c r="AN4" s="114">
        <v>52194</v>
      </c>
      <c r="AO4" s="114">
        <v>2421.6607</v>
      </c>
      <c r="AP4" s="114">
        <v>743</v>
      </c>
      <c r="AQ4" s="114">
        <v>-2</v>
      </c>
      <c r="AR4" s="114">
        <v>148</v>
      </c>
      <c r="AS4" s="114">
        <v>1017</v>
      </c>
      <c r="AT4" s="114">
        <v>1</v>
      </c>
      <c r="AU4" s="114">
        <v>9365</v>
      </c>
      <c r="AV4" s="114">
        <v>0</v>
      </c>
      <c r="AW4" s="114">
        <v>0</v>
      </c>
      <c r="AX4" s="114">
        <v>0</v>
      </c>
      <c r="AY4" s="114">
        <v>0</v>
      </c>
      <c r="AZ4" s="114">
        <v>61</v>
      </c>
      <c r="BA4" s="114">
        <v>14958</v>
      </c>
      <c r="BB4" s="116"/>
      <c r="BC4" s="116"/>
      <c r="BD4" s="116"/>
      <c r="BE4" s="116"/>
      <c r="BF4" s="116"/>
      <c r="BG4" s="116"/>
      <c r="BH4" s="116"/>
      <c r="BI4" s="116"/>
      <c r="BJ4" s="117">
        <v>870664</v>
      </c>
      <c r="BK4" s="117">
        <v>6235</v>
      </c>
      <c r="BL4" s="117">
        <v>1250223</v>
      </c>
      <c r="BM4" s="118">
        <v>4369000</v>
      </c>
      <c r="BN4" s="118">
        <v>257</v>
      </c>
      <c r="BO4" s="119"/>
      <c r="BP4" s="119"/>
      <c r="BQ4" s="119"/>
      <c r="BR4" s="119"/>
      <c r="BS4" s="119"/>
      <c r="BT4" s="119"/>
      <c r="BU4" s="119"/>
      <c r="BV4" s="119"/>
      <c r="BW4" s="119"/>
      <c r="BX4" s="119"/>
    </row>
    <row r="5" s="96" customFormat="1" ht="15.75" customHeight="1" spans="1:76">
      <c r="A5" s="111">
        <v>4</v>
      </c>
      <c r="B5" s="112" t="s">
        <v>28</v>
      </c>
      <c r="C5" s="112" t="s">
        <v>28</v>
      </c>
      <c r="D5" s="111">
        <v>2024</v>
      </c>
      <c r="E5" s="113" t="s">
        <v>35</v>
      </c>
      <c r="F5" s="114">
        <v>3048893</v>
      </c>
      <c r="G5" s="114">
        <v>3048893</v>
      </c>
      <c r="H5" s="114">
        <v>66102.0062</v>
      </c>
      <c r="I5" s="114">
        <v>7761</v>
      </c>
      <c r="J5" s="115">
        <v>0.000902777777777778</v>
      </c>
      <c r="K5" s="114">
        <v>37.92</v>
      </c>
      <c r="L5" s="114">
        <v>843</v>
      </c>
      <c r="M5" s="114">
        <v>29560038</v>
      </c>
      <c r="N5" s="114">
        <v>6.97</v>
      </c>
      <c r="O5" s="114">
        <v>2177165</v>
      </c>
      <c r="P5" s="114">
        <v>1092666</v>
      </c>
      <c r="Q5" s="114">
        <v>1084499</v>
      </c>
      <c r="R5" s="114">
        <v>1084499</v>
      </c>
      <c r="S5" s="114">
        <v>0</v>
      </c>
      <c r="T5" s="114">
        <v>10174</v>
      </c>
      <c r="U5" s="114">
        <v>2413</v>
      </c>
      <c r="V5" s="114">
        <v>25293</v>
      </c>
      <c r="W5" s="114">
        <v>1010</v>
      </c>
      <c r="X5" s="114">
        <v>8695</v>
      </c>
      <c r="Y5" s="114">
        <v>7302</v>
      </c>
      <c r="Z5" s="114">
        <v>9735000</v>
      </c>
      <c r="AA5" s="114"/>
      <c r="AB5" s="114"/>
      <c r="AC5" s="114"/>
      <c r="AD5" s="114"/>
      <c r="AE5" s="114"/>
      <c r="AF5" s="114"/>
      <c r="AG5" s="114"/>
      <c r="AH5" s="114"/>
      <c r="AI5" s="114"/>
      <c r="AJ5" s="114">
        <v>0</v>
      </c>
      <c r="AK5" s="114">
        <v>0</v>
      </c>
      <c r="AL5" s="114"/>
      <c r="AM5" s="114"/>
      <c r="AN5" s="114">
        <v>68183</v>
      </c>
      <c r="AO5" s="114">
        <v>2594.1761</v>
      </c>
      <c r="AP5" s="114">
        <v>720</v>
      </c>
      <c r="AQ5" s="114">
        <v>0</v>
      </c>
      <c r="AR5" s="114">
        <v>225</v>
      </c>
      <c r="AS5" s="114">
        <v>760</v>
      </c>
      <c r="AT5" s="114"/>
      <c r="AU5" s="114">
        <v>489</v>
      </c>
      <c r="AV5" s="114">
        <v>0</v>
      </c>
      <c r="AW5" s="114">
        <v>0</v>
      </c>
      <c r="AX5" s="114">
        <v>0</v>
      </c>
      <c r="AY5" s="114">
        <v>0</v>
      </c>
      <c r="AZ5" s="114">
        <v>66</v>
      </c>
      <c r="BA5" s="114">
        <v>9920</v>
      </c>
      <c r="BB5" s="116"/>
      <c r="BC5" s="116"/>
      <c r="BD5" s="116"/>
      <c r="BE5" s="116"/>
      <c r="BF5" s="116"/>
      <c r="BG5" s="116"/>
      <c r="BH5" s="116"/>
      <c r="BI5" s="116"/>
      <c r="BJ5" s="117">
        <v>878425</v>
      </c>
      <c r="BK5" s="117">
        <v>7761</v>
      </c>
      <c r="BL5" s="117">
        <v>1677018</v>
      </c>
      <c r="BM5" s="118">
        <v>5423000</v>
      </c>
      <c r="BN5" s="118">
        <v>319</v>
      </c>
      <c r="BO5" s="119"/>
      <c r="BP5" s="119"/>
      <c r="BQ5" s="119"/>
      <c r="BR5" s="119"/>
      <c r="BS5" s="119"/>
      <c r="BT5" s="119"/>
      <c r="BU5" s="119"/>
      <c r="BV5" s="119"/>
      <c r="BW5" s="119"/>
      <c r="BX5" s="119"/>
    </row>
    <row r="6" s="96" customFormat="1" ht="15.75" customHeight="1" spans="1:76">
      <c r="A6" s="111">
        <v>5</v>
      </c>
      <c r="B6" s="112" t="s">
        <v>28</v>
      </c>
      <c r="C6" s="112" t="s">
        <v>28</v>
      </c>
      <c r="D6" s="111">
        <v>2024</v>
      </c>
      <c r="E6" s="113" t="s">
        <v>36</v>
      </c>
      <c r="F6" s="114">
        <v>3270360</v>
      </c>
      <c r="G6" s="114">
        <v>3270360</v>
      </c>
      <c r="H6" s="114">
        <v>88948.2511</v>
      </c>
      <c r="I6" s="114">
        <v>8980</v>
      </c>
      <c r="J6" s="115">
        <v>0.00112268518518519</v>
      </c>
      <c r="K6" s="114">
        <v>37.2</v>
      </c>
      <c r="L6" s="114">
        <v>883</v>
      </c>
      <c r="M6" s="114">
        <v>34548713</v>
      </c>
      <c r="N6" s="114">
        <v>6.95</v>
      </c>
      <c r="O6" s="114">
        <v>2187771</v>
      </c>
      <c r="P6" s="114">
        <v>1075930</v>
      </c>
      <c r="Q6" s="114">
        <v>1111841</v>
      </c>
      <c r="R6" s="114">
        <v>1111841</v>
      </c>
      <c r="S6" s="114">
        <v>0</v>
      </c>
      <c r="T6" s="114">
        <v>11817</v>
      </c>
      <c r="U6" s="114">
        <v>2837</v>
      </c>
      <c r="V6" s="114">
        <v>28064</v>
      </c>
      <c r="W6" s="114">
        <v>983</v>
      </c>
      <c r="X6" s="114">
        <v>10256</v>
      </c>
      <c r="Y6" s="114">
        <v>7662</v>
      </c>
      <c r="Z6" s="114">
        <v>11121000</v>
      </c>
      <c r="AA6" s="114"/>
      <c r="AB6" s="114"/>
      <c r="AC6" s="114"/>
      <c r="AD6" s="114"/>
      <c r="AE6" s="114"/>
      <c r="AF6" s="114"/>
      <c r="AG6" s="114"/>
      <c r="AH6" s="114"/>
      <c r="AI6" s="114"/>
      <c r="AJ6" s="114">
        <v>0</v>
      </c>
      <c r="AK6" s="114">
        <v>0</v>
      </c>
      <c r="AL6" s="114"/>
      <c r="AM6" s="114"/>
      <c r="AN6" s="114">
        <v>74861</v>
      </c>
      <c r="AO6" s="114">
        <v>4208.1033</v>
      </c>
      <c r="AP6" s="114">
        <v>744</v>
      </c>
      <c r="AQ6" s="114">
        <v>0</v>
      </c>
      <c r="AR6" s="114">
        <v>244</v>
      </c>
      <c r="AS6" s="114">
        <v>2254</v>
      </c>
      <c r="AT6" s="114">
        <v>2</v>
      </c>
      <c r="AU6" s="114">
        <v>2294</v>
      </c>
      <c r="AV6" s="114">
        <v>0</v>
      </c>
      <c r="AW6" s="114">
        <v>0</v>
      </c>
      <c r="AX6" s="114">
        <v>0</v>
      </c>
      <c r="AY6" s="114">
        <v>0</v>
      </c>
      <c r="AZ6" s="114">
        <v>66</v>
      </c>
      <c r="BA6" s="114">
        <v>11459</v>
      </c>
      <c r="BB6" s="116"/>
      <c r="BC6" s="116"/>
      <c r="BD6" s="116"/>
      <c r="BE6" s="116"/>
      <c r="BF6" s="116"/>
      <c r="BG6" s="116"/>
      <c r="BH6" s="116"/>
      <c r="BI6" s="116"/>
      <c r="BJ6" s="117">
        <v>887405</v>
      </c>
      <c r="BK6" s="117">
        <v>8980</v>
      </c>
      <c r="BL6" s="117">
        <v>1207281</v>
      </c>
      <c r="BM6" s="118">
        <v>4998000</v>
      </c>
      <c r="BN6" s="118">
        <v>294</v>
      </c>
      <c r="BO6" s="119"/>
      <c r="BP6" s="119"/>
      <c r="BQ6" s="119"/>
      <c r="BR6" s="119"/>
      <c r="BS6" s="119"/>
      <c r="BT6" s="119"/>
      <c r="BU6" s="119"/>
      <c r="BV6" s="119"/>
      <c r="BW6" s="119"/>
      <c r="BX6" s="119"/>
    </row>
    <row r="7" s="96" customFormat="1" ht="15.75" customHeight="1" spans="1:76">
      <c r="A7" s="111">
        <v>6</v>
      </c>
      <c r="B7" s="112" t="s">
        <v>28</v>
      </c>
      <c r="C7" s="112" t="s">
        <v>28</v>
      </c>
      <c r="D7" s="111">
        <v>2024</v>
      </c>
      <c r="E7" s="113" t="s">
        <v>37</v>
      </c>
      <c r="F7" s="114">
        <v>2484009</v>
      </c>
      <c r="G7" s="114">
        <v>2484009</v>
      </c>
      <c r="H7" s="114">
        <v>71807.7752</v>
      </c>
      <c r="I7" s="114">
        <v>6175</v>
      </c>
      <c r="J7" s="115">
        <v>0.0012037037037037</v>
      </c>
      <c r="K7" s="114">
        <v>14.45</v>
      </c>
      <c r="L7" s="114">
        <v>952</v>
      </c>
      <c r="M7" s="114">
        <v>27161937</v>
      </c>
      <c r="N7" s="114">
        <v>6.21</v>
      </c>
      <c r="O7" s="114">
        <v>1644656</v>
      </c>
      <c r="P7" s="114">
        <v>807261</v>
      </c>
      <c r="Q7" s="114">
        <v>837395</v>
      </c>
      <c r="R7" s="114">
        <v>837395</v>
      </c>
      <c r="S7" s="114">
        <v>0</v>
      </c>
      <c r="T7" s="114">
        <v>8913</v>
      </c>
      <c r="U7" s="114">
        <v>2738</v>
      </c>
      <c r="V7" s="114">
        <v>20933</v>
      </c>
      <c r="W7" s="114">
        <v>1024</v>
      </c>
      <c r="X7" s="114">
        <v>8315</v>
      </c>
      <c r="Y7" s="114">
        <v>6808</v>
      </c>
      <c r="Z7" s="114">
        <v>8877000</v>
      </c>
      <c r="AA7" s="114"/>
      <c r="AB7" s="114"/>
      <c r="AC7" s="114"/>
      <c r="AD7" s="114"/>
      <c r="AE7" s="114"/>
      <c r="AF7" s="114"/>
      <c r="AG7" s="114"/>
      <c r="AH7" s="114"/>
      <c r="AI7" s="114"/>
      <c r="AJ7" s="114">
        <v>0</v>
      </c>
      <c r="AK7" s="114">
        <v>0</v>
      </c>
      <c r="AL7" s="114"/>
      <c r="AM7" s="114"/>
      <c r="AN7" s="114">
        <v>54389</v>
      </c>
      <c r="AO7" s="114">
        <v>3485.0029</v>
      </c>
      <c r="AP7" s="114">
        <v>681.7287</v>
      </c>
      <c r="AQ7" s="114">
        <v>0</v>
      </c>
      <c r="AR7" s="114">
        <v>866</v>
      </c>
      <c r="AS7" s="114">
        <v>2875</v>
      </c>
      <c r="AT7" s="114">
        <v>8</v>
      </c>
      <c r="AU7" s="114">
        <v>14681</v>
      </c>
      <c r="AV7" s="114">
        <v>0</v>
      </c>
      <c r="AW7" s="114">
        <v>0</v>
      </c>
      <c r="AX7" s="114">
        <v>0</v>
      </c>
      <c r="AY7" s="114">
        <v>0</v>
      </c>
      <c r="AZ7" s="114">
        <v>74</v>
      </c>
      <c r="BA7" s="114">
        <v>13038</v>
      </c>
      <c r="BB7" s="116"/>
      <c r="BC7" s="116"/>
      <c r="BD7" s="116"/>
      <c r="BE7" s="116"/>
      <c r="BF7" s="116"/>
      <c r="BG7" s="116"/>
      <c r="BH7" s="116"/>
      <c r="BI7" s="116"/>
      <c r="BJ7" s="117">
        <v>893580</v>
      </c>
      <c r="BK7" s="117">
        <v>6175</v>
      </c>
      <c r="BL7" s="117">
        <v>1008848</v>
      </c>
      <c r="BM7" s="118">
        <v>5168000</v>
      </c>
      <c r="BN7" s="118">
        <v>304</v>
      </c>
      <c r="BO7" s="119"/>
      <c r="BP7" s="119"/>
      <c r="BQ7" s="119"/>
      <c r="BR7" s="119"/>
      <c r="BS7" s="119"/>
      <c r="BT7" s="119"/>
      <c r="BU7" s="119"/>
      <c r="BV7" s="119"/>
      <c r="BW7" s="119"/>
      <c r="BX7" s="119"/>
    </row>
    <row r="8" s="96" customFormat="1" ht="15.75" customHeight="1" spans="1:76">
      <c r="A8" s="111">
        <v>7</v>
      </c>
      <c r="B8" s="112" t="s">
        <v>28</v>
      </c>
      <c r="C8" s="112" t="s">
        <v>28</v>
      </c>
      <c r="D8" s="111">
        <v>2024</v>
      </c>
      <c r="E8" s="113" t="s">
        <v>38</v>
      </c>
      <c r="F8" s="114">
        <v>3265561</v>
      </c>
      <c r="G8" s="114">
        <v>3265561</v>
      </c>
      <c r="H8" s="114">
        <v>87742.4297</v>
      </c>
      <c r="I8" s="114">
        <v>8351</v>
      </c>
      <c r="J8" s="115">
        <v>0.00111111111111111</v>
      </c>
      <c r="K8" s="114">
        <v>12.23</v>
      </c>
      <c r="L8" s="114">
        <v>1201</v>
      </c>
      <c r="M8" s="114">
        <v>34736312</v>
      </c>
      <c r="N8" s="114">
        <v>6.72</v>
      </c>
      <c r="O8" s="114">
        <v>2105515</v>
      </c>
      <c r="P8" s="114">
        <v>989694</v>
      </c>
      <c r="Q8" s="114">
        <v>1115821</v>
      </c>
      <c r="R8" s="114">
        <v>1115821</v>
      </c>
      <c r="S8" s="114">
        <v>0</v>
      </c>
      <c r="T8" s="114">
        <v>11274</v>
      </c>
      <c r="U8" s="114">
        <v>2923</v>
      </c>
      <c r="V8" s="114">
        <v>28795</v>
      </c>
      <c r="W8" s="114">
        <v>1162</v>
      </c>
      <c r="X8" s="114">
        <v>9964</v>
      </c>
      <c r="Y8" s="114">
        <v>8778</v>
      </c>
      <c r="Z8" s="114">
        <v>10131000</v>
      </c>
      <c r="AA8" s="114"/>
      <c r="AB8" s="114"/>
      <c r="AC8" s="114"/>
      <c r="AD8" s="114"/>
      <c r="AE8" s="114"/>
      <c r="AF8" s="114"/>
      <c r="AG8" s="114"/>
      <c r="AH8" s="114"/>
      <c r="AI8" s="114"/>
      <c r="AJ8" s="114">
        <v>0</v>
      </c>
      <c r="AK8" s="114">
        <v>0</v>
      </c>
      <c r="AL8" s="114"/>
      <c r="AM8" s="114"/>
      <c r="AN8" s="114">
        <v>72639</v>
      </c>
      <c r="AO8" s="114">
        <v>3786.4411</v>
      </c>
      <c r="AP8" s="114">
        <v>718.1526</v>
      </c>
      <c r="AQ8" s="114">
        <v>0</v>
      </c>
      <c r="AR8" s="114">
        <v>249</v>
      </c>
      <c r="AS8" s="114">
        <v>794</v>
      </c>
      <c r="AT8" s="114">
        <v>2</v>
      </c>
      <c r="AU8" s="114">
        <v>11640</v>
      </c>
      <c r="AV8" s="114">
        <v>0</v>
      </c>
      <c r="AW8" s="114">
        <v>0</v>
      </c>
      <c r="AX8" s="114">
        <v>0</v>
      </c>
      <c r="AY8" s="114">
        <v>80</v>
      </c>
      <c r="AZ8" s="114">
        <v>81</v>
      </c>
      <c r="BA8" s="114">
        <v>11557</v>
      </c>
      <c r="BB8" s="116"/>
      <c r="BC8" s="116"/>
      <c r="BD8" s="116"/>
      <c r="BE8" s="116"/>
      <c r="BF8" s="116"/>
      <c r="BG8" s="116"/>
      <c r="BH8" s="116"/>
      <c r="BI8" s="116"/>
      <c r="BJ8" s="117">
        <v>901931</v>
      </c>
      <c r="BK8" s="117">
        <v>8351</v>
      </c>
      <c r="BL8" s="117">
        <v>1897686</v>
      </c>
      <c r="BM8" s="118">
        <v>7293000</v>
      </c>
      <c r="BN8" s="118">
        <v>429</v>
      </c>
      <c r="BO8" s="119"/>
      <c r="BP8" s="119"/>
      <c r="BQ8" s="119"/>
      <c r="BR8" s="119"/>
      <c r="BS8" s="119"/>
      <c r="BT8" s="119"/>
      <c r="BU8" s="119"/>
      <c r="BV8" s="119"/>
      <c r="BW8" s="119"/>
      <c r="BX8" s="119"/>
    </row>
    <row r="9" s="96" customFormat="1" ht="15.75" customHeight="1" spans="1:76">
      <c r="A9" s="111">
        <v>8</v>
      </c>
      <c r="B9" s="112" t="s">
        <v>28</v>
      </c>
      <c r="C9" s="112" t="s">
        <v>28</v>
      </c>
      <c r="D9" s="111">
        <v>2024</v>
      </c>
      <c r="E9" s="113" t="s">
        <v>39</v>
      </c>
      <c r="F9" s="114">
        <v>3314205</v>
      </c>
      <c r="G9" s="114">
        <v>3314205</v>
      </c>
      <c r="H9" s="114">
        <v>83763.2931</v>
      </c>
      <c r="I9" s="114">
        <v>7680</v>
      </c>
      <c r="J9" s="115">
        <v>0.00104166666666667</v>
      </c>
      <c r="K9" s="114">
        <v>45.55</v>
      </c>
      <c r="L9" s="114">
        <v>970</v>
      </c>
      <c r="M9" s="114">
        <v>36865252</v>
      </c>
      <c r="N9" s="114">
        <v>6.77</v>
      </c>
      <c r="O9" s="114">
        <v>2160620</v>
      </c>
      <c r="P9" s="114">
        <v>991584</v>
      </c>
      <c r="Q9" s="114">
        <v>1169036</v>
      </c>
      <c r="R9" s="114">
        <v>1169036</v>
      </c>
      <c r="S9" s="114">
        <v>0</v>
      </c>
      <c r="T9" s="114">
        <v>10600</v>
      </c>
      <c r="U9" s="114">
        <v>2920</v>
      </c>
      <c r="V9" s="114">
        <v>26267</v>
      </c>
      <c r="W9" s="114">
        <v>1033</v>
      </c>
      <c r="X9" s="114">
        <v>9844</v>
      </c>
      <c r="Y9" s="114">
        <v>9856</v>
      </c>
      <c r="Z9" s="114">
        <v>10048500</v>
      </c>
      <c r="AA9" s="114"/>
      <c r="AB9" s="114"/>
      <c r="AC9" s="114"/>
      <c r="AD9" s="114"/>
      <c r="AE9" s="114"/>
      <c r="AF9" s="114"/>
      <c r="AG9" s="114"/>
      <c r="AH9" s="114"/>
      <c r="AI9" s="114"/>
      <c r="AJ9" s="114">
        <v>0</v>
      </c>
      <c r="AK9" s="114">
        <v>0</v>
      </c>
      <c r="AL9" s="114"/>
      <c r="AM9" s="114"/>
      <c r="AN9" s="114">
        <v>77940</v>
      </c>
      <c r="AO9" s="114">
        <v>3528.5149</v>
      </c>
      <c r="AP9" s="114">
        <v>744</v>
      </c>
      <c r="AQ9" s="114">
        <v>0</v>
      </c>
      <c r="AR9" s="114">
        <v>271</v>
      </c>
      <c r="AS9" s="114">
        <v>1219</v>
      </c>
      <c r="AT9" s="114">
        <v>3</v>
      </c>
      <c r="AU9" s="114">
        <v>51141</v>
      </c>
      <c r="AV9" s="114">
        <v>0</v>
      </c>
      <c r="AW9" s="114">
        <v>0</v>
      </c>
      <c r="AX9" s="114">
        <v>0</v>
      </c>
      <c r="AY9" s="114">
        <v>137</v>
      </c>
      <c r="AZ9" s="114">
        <v>72</v>
      </c>
      <c r="BA9" s="114">
        <v>10810</v>
      </c>
      <c r="BB9" s="116"/>
      <c r="BC9" s="116"/>
      <c r="BD9" s="116"/>
      <c r="BE9" s="116"/>
      <c r="BF9" s="116"/>
      <c r="BG9" s="116"/>
      <c r="BH9" s="116"/>
      <c r="BI9" s="116"/>
      <c r="BJ9" s="117">
        <v>909611</v>
      </c>
      <c r="BK9" s="117">
        <v>7680</v>
      </c>
      <c r="BL9" s="117">
        <v>1529848</v>
      </c>
      <c r="BM9" s="118">
        <v>6035000</v>
      </c>
      <c r="BN9" s="118">
        <v>355</v>
      </c>
      <c r="BO9" s="119"/>
      <c r="BP9" s="119"/>
      <c r="BQ9" s="119"/>
      <c r="BR9" s="119"/>
      <c r="BS9" s="119"/>
      <c r="BT9" s="119"/>
      <c r="BU9" s="119"/>
      <c r="BV9" s="119"/>
      <c r="BW9" s="119"/>
      <c r="BX9" s="119"/>
    </row>
    <row r="10" s="96" customFormat="1" ht="15.75" customHeight="1" spans="1:76">
      <c r="A10" s="111">
        <v>9</v>
      </c>
      <c r="B10" s="112" t="s">
        <v>28</v>
      </c>
      <c r="C10" s="112" t="s">
        <v>28</v>
      </c>
      <c r="D10" s="111">
        <v>2024</v>
      </c>
      <c r="E10" s="113" t="s">
        <v>40</v>
      </c>
      <c r="F10" s="114">
        <v>3069674</v>
      </c>
      <c r="G10" s="114">
        <v>3069674</v>
      </c>
      <c r="H10" s="114">
        <v>83886.9489</v>
      </c>
      <c r="I10" s="114">
        <v>8241</v>
      </c>
      <c r="J10" s="115">
        <v>0.00113425925925926</v>
      </c>
      <c r="K10" s="114">
        <v>11.06</v>
      </c>
      <c r="L10" s="114">
        <v>975</v>
      </c>
      <c r="M10" s="114">
        <v>35451478</v>
      </c>
      <c r="N10" s="114">
        <v>6.71</v>
      </c>
      <c r="O10" s="114">
        <v>1938886</v>
      </c>
      <c r="P10" s="114">
        <v>866786</v>
      </c>
      <c r="Q10" s="114">
        <v>1072100</v>
      </c>
      <c r="R10" s="114">
        <v>1072100</v>
      </c>
      <c r="S10" s="114">
        <v>0</v>
      </c>
      <c r="T10" s="114">
        <v>10900</v>
      </c>
      <c r="U10" s="114">
        <v>2659</v>
      </c>
      <c r="V10" s="114">
        <v>27408</v>
      </c>
      <c r="W10" s="114">
        <v>1052</v>
      </c>
      <c r="X10" s="114">
        <v>9506</v>
      </c>
      <c r="Y10" s="114">
        <v>8887</v>
      </c>
      <c r="Z10" s="114">
        <v>10197000</v>
      </c>
      <c r="AA10" s="114"/>
      <c r="AB10" s="114"/>
      <c r="AC10" s="114"/>
      <c r="AD10" s="114"/>
      <c r="AE10" s="114"/>
      <c r="AF10" s="114"/>
      <c r="AG10" s="114"/>
      <c r="AH10" s="114"/>
      <c r="AI10" s="114"/>
      <c r="AJ10" s="114">
        <v>0</v>
      </c>
      <c r="AK10" s="114">
        <v>0</v>
      </c>
      <c r="AL10" s="114"/>
      <c r="AM10" s="114"/>
      <c r="AN10" s="114">
        <v>74796</v>
      </c>
      <c r="AO10" s="114">
        <v>3924.6753</v>
      </c>
      <c r="AP10" s="114">
        <v>690.1925</v>
      </c>
      <c r="AQ10" s="114">
        <v>0</v>
      </c>
      <c r="AR10" s="114">
        <v>220</v>
      </c>
      <c r="AS10" s="114">
        <v>1274</v>
      </c>
      <c r="AT10" s="114">
        <v>5</v>
      </c>
      <c r="AU10" s="114">
        <v>13716</v>
      </c>
      <c r="AV10" s="114">
        <v>0</v>
      </c>
      <c r="AW10" s="114">
        <v>0</v>
      </c>
      <c r="AX10" s="114">
        <v>2</v>
      </c>
      <c r="AY10" s="114">
        <v>455</v>
      </c>
      <c r="AZ10" s="114">
        <v>116</v>
      </c>
      <c r="BA10" s="114">
        <v>12857</v>
      </c>
      <c r="BB10" s="116"/>
      <c r="BC10" s="116"/>
      <c r="BD10" s="116"/>
      <c r="BE10" s="116"/>
      <c r="BF10" s="116"/>
      <c r="BG10" s="116"/>
      <c r="BH10" s="116"/>
      <c r="BI10" s="116"/>
      <c r="BJ10" s="117">
        <v>917852</v>
      </c>
      <c r="BK10" s="117">
        <v>8241</v>
      </c>
      <c r="BL10" s="117">
        <v>1547474</v>
      </c>
      <c r="BM10" s="118">
        <v>7514000</v>
      </c>
      <c r="BN10" s="118">
        <v>442</v>
      </c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</row>
    <row r="11" s="96" customFormat="1" ht="15.75" customHeight="1" spans="1:76">
      <c r="A11" s="111">
        <v>10</v>
      </c>
      <c r="B11" s="112" t="s">
        <v>28</v>
      </c>
      <c r="C11" s="112" t="s">
        <v>28</v>
      </c>
      <c r="D11" s="111">
        <v>2024</v>
      </c>
      <c r="E11" s="113" t="s">
        <v>41</v>
      </c>
      <c r="F11" s="114">
        <v>3695397</v>
      </c>
      <c r="G11" s="114">
        <v>3695397</v>
      </c>
      <c r="H11" s="114">
        <v>102373.3111</v>
      </c>
      <c r="I11" s="114">
        <v>9123</v>
      </c>
      <c r="J11" s="115">
        <v>0.00114583333333333</v>
      </c>
      <c r="K11" s="114">
        <v>6.62</v>
      </c>
      <c r="L11" s="114">
        <v>1182</v>
      </c>
      <c r="M11" s="114">
        <v>43239009</v>
      </c>
      <c r="N11" s="114">
        <v>6.26</v>
      </c>
      <c r="O11" s="114">
        <v>2388224</v>
      </c>
      <c r="P11" s="114">
        <v>1139187</v>
      </c>
      <c r="Q11" s="114">
        <v>1249037</v>
      </c>
      <c r="R11" s="114">
        <v>1249037</v>
      </c>
      <c r="S11" s="114">
        <v>0</v>
      </c>
      <c r="T11" s="114">
        <v>12495</v>
      </c>
      <c r="U11" s="114">
        <v>3372</v>
      </c>
      <c r="V11" s="114">
        <v>33548</v>
      </c>
      <c r="W11" s="114">
        <v>1681</v>
      </c>
      <c r="X11" s="114">
        <v>10369</v>
      </c>
      <c r="Y11" s="114">
        <v>8940</v>
      </c>
      <c r="Z11" s="114">
        <v>24453000</v>
      </c>
      <c r="AA11" s="114"/>
      <c r="AB11" s="114"/>
      <c r="AC11" s="114"/>
      <c r="AD11" s="114"/>
      <c r="AE11" s="114"/>
      <c r="AF11" s="114"/>
      <c r="AG11" s="114"/>
      <c r="AH11" s="114"/>
      <c r="AI11" s="114"/>
      <c r="AJ11" s="114">
        <v>0</v>
      </c>
      <c r="AK11" s="114">
        <v>0</v>
      </c>
      <c r="AL11" s="114"/>
      <c r="AM11" s="114"/>
      <c r="AN11" s="114">
        <v>75508</v>
      </c>
      <c r="AO11" s="114">
        <v>4390.5117</v>
      </c>
      <c r="AP11" s="114">
        <v>712.1652</v>
      </c>
      <c r="AQ11" s="114">
        <v>25</v>
      </c>
      <c r="AR11" s="114">
        <v>718</v>
      </c>
      <c r="AS11" s="114">
        <v>572</v>
      </c>
      <c r="AT11" s="114">
        <v>9</v>
      </c>
      <c r="AU11" s="114">
        <v>59381</v>
      </c>
      <c r="AV11" s="114">
        <v>0</v>
      </c>
      <c r="AW11" s="114">
        <v>0</v>
      </c>
      <c r="AX11" s="114">
        <v>1</v>
      </c>
      <c r="AY11" s="114">
        <v>192</v>
      </c>
      <c r="AZ11" s="114">
        <v>83</v>
      </c>
      <c r="BA11" s="114">
        <v>8729</v>
      </c>
      <c r="BB11" s="116"/>
      <c r="BC11" s="116"/>
      <c r="BD11" s="116"/>
      <c r="BE11" s="116"/>
      <c r="BF11" s="116"/>
      <c r="BG11" s="116"/>
      <c r="BH11" s="116"/>
      <c r="BI11" s="116"/>
      <c r="BJ11" s="117">
        <v>926975</v>
      </c>
      <c r="BK11" s="117">
        <v>9123</v>
      </c>
      <c r="BL11" s="117">
        <v>2010003</v>
      </c>
      <c r="BM11" s="118">
        <v>7939000</v>
      </c>
      <c r="BN11" s="118">
        <v>467</v>
      </c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</row>
    <row r="12" s="96" customFormat="1" ht="15.75" customHeight="1" spans="1:76">
      <c r="A12" s="111">
        <v>11</v>
      </c>
      <c r="B12" s="112" t="s">
        <v>28</v>
      </c>
      <c r="C12" s="112" t="s">
        <v>28</v>
      </c>
      <c r="D12" s="111">
        <v>2024</v>
      </c>
      <c r="E12" s="113" t="s">
        <v>42</v>
      </c>
      <c r="F12" s="114">
        <v>1233699</v>
      </c>
      <c r="G12" s="114">
        <v>1233699</v>
      </c>
      <c r="H12" s="114">
        <v>32817.5193</v>
      </c>
      <c r="I12" s="114">
        <v>2379</v>
      </c>
      <c r="J12" s="115">
        <v>0.00109953703703704</v>
      </c>
      <c r="K12" s="114">
        <v>22.15</v>
      </c>
      <c r="L12" s="114">
        <v>426</v>
      </c>
      <c r="M12" s="114">
        <v>14749326</v>
      </c>
      <c r="N12" s="114">
        <v>6.02</v>
      </c>
      <c r="O12" s="114">
        <v>908396</v>
      </c>
      <c r="P12" s="114">
        <v>426910</v>
      </c>
      <c r="Q12" s="114">
        <v>481486</v>
      </c>
      <c r="R12" s="114">
        <v>481486</v>
      </c>
      <c r="S12" s="114">
        <v>0</v>
      </c>
      <c r="T12" s="114">
        <v>4509</v>
      </c>
      <c r="U12" s="114">
        <v>2130</v>
      </c>
      <c r="V12" s="114">
        <v>10859</v>
      </c>
      <c r="W12" s="114">
        <v>585</v>
      </c>
      <c r="X12" s="114">
        <v>3852</v>
      </c>
      <c r="Y12" s="114">
        <v>3365</v>
      </c>
      <c r="Z12" s="114">
        <v>198000</v>
      </c>
      <c r="AA12" s="114"/>
      <c r="AB12" s="114"/>
      <c r="AC12" s="114"/>
      <c r="AD12" s="114"/>
      <c r="AE12" s="114"/>
      <c r="AF12" s="114"/>
      <c r="AG12" s="114"/>
      <c r="AH12" s="114"/>
      <c r="AI12" s="114"/>
      <c r="AJ12" s="114">
        <v>0</v>
      </c>
      <c r="AK12" s="114">
        <v>0</v>
      </c>
      <c r="AL12" s="114"/>
      <c r="AM12" s="114"/>
      <c r="AN12" s="114">
        <v>26520</v>
      </c>
      <c r="AO12" s="114">
        <v>1357.8118</v>
      </c>
      <c r="AP12" s="114">
        <v>281.7909</v>
      </c>
      <c r="AQ12" s="114">
        <v>0</v>
      </c>
      <c r="AR12" s="114">
        <v>142</v>
      </c>
      <c r="AS12" s="114">
        <v>260</v>
      </c>
      <c r="AT12" s="114">
        <v>2</v>
      </c>
      <c r="AU12" s="114">
        <v>141605</v>
      </c>
      <c r="AV12" s="114">
        <v>0</v>
      </c>
      <c r="AW12" s="114">
        <v>0</v>
      </c>
      <c r="AX12" s="114">
        <v>0</v>
      </c>
      <c r="AY12" s="114">
        <v>42</v>
      </c>
      <c r="AZ12" s="114">
        <v>32</v>
      </c>
      <c r="BA12" s="114">
        <v>4390</v>
      </c>
      <c r="BB12" s="116"/>
      <c r="BC12" s="116"/>
      <c r="BD12" s="116"/>
      <c r="BE12" s="116"/>
      <c r="BF12" s="116"/>
      <c r="BG12" s="116"/>
      <c r="BH12" s="116"/>
      <c r="BI12" s="116"/>
      <c r="BJ12" s="117">
        <v>929354</v>
      </c>
      <c r="BK12" s="117">
        <v>2379</v>
      </c>
      <c r="BL12" s="117">
        <v>497334</v>
      </c>
      <c r="BM12" s="118">
        <v>136000</v>
      </c>
      <c r="BN12" s="118">
        <v>8</v>
      </c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</row>
    <row r="13" s="96" customFormat="1" ht="15.75" customHeight="1" spans="1:76">
      <c r="A13" s="111">
        <v>12</v>
      </c>
      <c r="B13" s="112" t="s">
        <v>28</v>
      </c>
      <c r="C13" s="112" t="s">
        <v>28</v>
      </c>
      <c r="D13" s="111">
        <v>2024</v>
      </c>
      <c r="E13" s="113" t="s">
        <v>43</v>
      </c>
      <c r="F13" s="114">
        <v>2291720</v>
      </c>
      <c r="G13" s="114">
        <v>2291720</v>
      </c>
      <c r="H13" s="114">
        <v>100490.9758</v>
      </c>
      <c r="I13" s="114">
        <v>6724</v>
      </c>
      <c r="J13" s="115">
        <v>0.00181712962962963</v>
      </c>
      <c r="K13" s="114">
        <v>33.03</v>
      </c>
      <c r="L13" s="114">
        <v>769</v>
      </c>
      <c r="M13" s="114">
        <v>26739600</v>
      </c>
      <c r="N13" s="114">
        <v>6.53</v>
      </c>
      <c r="O13" s="114">
        <v>1602993</v>
      </c>
      <c r="P13" s="114">
        <v>753822</v>
      </c>
      <c r="Q13" s="114">
        <v>849171</v>
      </c>
      <c r="R13" s="114">
        <v>849171</v>
      </c>
      <c r="S13" s="114">
        <v>0</v>
      </c>
      <c r="T13" s="114">
        <v>9060</v>
      </c>
      <c r="U13" s="114">
        <v>2336</v>
      </c>
      <c r="V13" s="114">
        <v>18024</v>
      </c>
      <c r="W13" s="114">
        <v>846</v>
      </c>
      <c r="X13" s="114">
        <v>6907</v>
      </c>
      <c r="Y13" s="114">
        <v>5966</v>
      </c>
      <c r="Z13" s="114">
        <v>9306000</v>
      </c>
      <c r="AA13" s="114"/>
      <c r="AB13" s="114"/>
      <c r="AC13" s="114"/>
      <c r="AD13" s="114"/>
      <c r="AE13" s="114"/>
      <c r="AF13" s="114"/>
      <c r="AG13" s="114"/>
      <c r="AH13" s="114"/>
      <c r="AI13" s="114"/>
      <c r="AJ13" s="114">
        <v>0</v>
      </c>
      <c r="AK13" s="114">
        <v>0</v>
      </c>
      <c r="AL13" s="114"/>
      <c r="AM13" s="114"/>
      <c r="AN13" s="114">
        <v>49815</v>
      </c>
      <c r="AO13" s="114">
        <v>3719.2284</v>
      </c>
      <c r="AP13" s="114">
        <v>744</v>
      </c>
      <c r="AQ13" s="114">
        <v>0</v>
      </c>
      <c r="AR13" s="114">
        <v>814</v>
      </c>
      <c r="AS13" s="114">
        <v>1885</v>
      </c>
      <c r="AT13" s="114">
        <v>3</v>
      </c>
      <c r="AU13" s="114">
        <v>148805</v>
      </c>
      <c r="AV13" s="114">
        <v>0</v>
      </c>
      <c r="AW13" s="114">
        <v>0</v>
      </c>
      <c r="AX13" s="114">
        <v>2</v>
      </c>
      <c r="AY13" s="114">
        <v>94</v>
      </c>
      <c r="AZ13" s="114">
        <v>56</v>
      </c>
      <c r="BA13" s="114">
        <v>5023</v>
      </c>
      <c r="BB13" s="116"/>
      <c r="BC13" s="116"/>
      <c r="BD13" s="116"/>
      <c r="BE13" s="116"/>
      <c r="BF13" s="116"/>
      <c r="BG13" s="116"/>
      <c r="BH13" s="116"/>
      <c r="BI13" s="116"/>
      <c r="BJ13" s="117">
        <v>936078</v>
      </c>
      <c r="BK13" s="117">
        <v>6724</v>
      </c>
      <c r="BL13" s="117">
        <v>1067325</v>
      </c>
      <c r="BM13" s="118">
        <v>7327000</v>
      </c>
      <c r="BN13" s="118">
        <v>431</v>
      </c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</row>
    <row r="14" s="96" customFormat="1" ht="15.75" customHeight="1" spans="1:76">
      <c r="A14" s="111">
        <v>13</v>
      </c>
      <c r="B14" s="112" t="s">
        <v>28</v>
      </c>
      <c r="C14" s="112" t="s">
        <v>28</v>
      </c>
      <c r="D14" s="111">
        <v>2025</v>
      </c>
      <c r="E14" s="113" t="s">
        <v>31</v>
      </c>
      <c r="F14" s="114">
        <v>2767543</v>
      </c>
      <c r="G14" s="114">
        <v>2767543</v>
      </c>
      <c r="H14" s="114">
        <v>97725.5528</v>
      </c>
      <c r="I14" s="114">
        <v>7575</v>
      </c>
      <c r="J14" s="115">
        <v>0.00146990740740741</v>
      </c>
      <c r="K14" s="114">
        <v>5.63</v>
      </c>
      <c r="L14" s="114">
        <v>744</v>
      </c>
      <c r="M14" s="114">
        <v>32747422</v>
      </c>
      <c r="N14" s="114">
        <v>6.44</v>
      </c>
      <c r="O14" s="114">
        <v>1730462</v>
      </c>
      <c r="P14" s="114">
        <v>795575</v>
      </c>
      <c r="Q14" s="114">
        <v>934887</v>
      </c>
      <c r="R14" s="114">
        <v>934887</v>
      </c>
      <c r="S14" s="114">
        <v>0</v>
      </c>
      <c r="T14" s="114">
        <v>9952</v>
      </c>
      <c r="U14" s="114">
        <v>2377</v>
      </c>
      <c r="V14" s="114">
        <v>23875</v>
      </c>
      <c r="W14" s="114">
        <v>835</v>
      </c>
      <c r="X14" s="114">
        <v>11325</v>
      </c>
      <c r="Y14" s="114">
        <v>7725</v>
      </c>
      <c r="Z14" s="114">
        <v>8167500</v>
      </c>
      <c r="AA14" s="114"/>
      <c r="AB14" s="114"/>
      <c r="AC14" s="114"/>
      <c r="AD14" s="114"/>
      <c r="AE14" s="114"/>
      <c r="AF14" s="114"/>
      <c r="AG14" s="114"/>
      <c r="AH14" s="114"/>
      <c r="AI14" s="114"/>
      <c r="AJ14" s="114">
        <v>0</v>
      </c>
      <c r="AK14" s="114">
        <v>0</v>
      </c>
      <c r="AL14" s="114"/>
      <c r="AM14" s="114"/>
      <c r="AN14" s="114">
        <v>61593</v>
      </c>
      <c r="AO14" s="114">
        <v>4273.5767</v>
      </c>
      <c r="AP14" s="114">
        <v>716.7519</v>
      </c>
      <c r="AQ14" s="114">
        <v>25</v>
      </c>
      <c r="AR14" s="114">
        <v>752</v>
      </c>
      <c r="AS14" s="114">
        <v>1576</v>
      </c>
      <c r="AT14" s="114">
        <v>1</v>
      </c>
      <c r="AU14" s="114">
        <v>138419</v>
      </c>
      <c r="AV14" s="114">
        <v>0</v>
      </c>
      <c r="AW14" s="114">
        <v>0</v>
      </c>
      <c r="AX14" s="114">
        <v>0</v>
      </c>
      <c r="AY14" s="114">
        <v>64</v>
      </c>
      <c r="AZ14" s="114">
        <v>33</v>
      </c>
      <c r="BA14" s="114">
        <v>3814</v>
      </c>
      <c r="BB14" s="116"/>
      <c r="BC14" s="116"/>
      <c r="BD14" s="116"/>
      <c r="BE14" s="116"/>
      <c r="BF14" s="116"/>
      <c r="BG14" s="116"/>
      <c r="BH14" s="116"/>
      <c r="BI14" s="116"/>
      <c r="BJ14" s="117">
        <v>943653</v>
      </c>
      <c r="BK14" s="117">
        <v>7575</v>
      </c>
      <c r="BL14" s="117">
        <v>1677509</v>
      </c>
      <c r="BM14" s="118">
        <v>6843520</v>
      </c>
      <c r="BN14" s="118">
        <v>402.56</v>
      </c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</row>
    <row r="15" s="96" customFormat="1" ht="15.75" customHeight="1" spans="1:76">
      <c r="A15" s="111">
        <v>14</v>
      </c>
      <c r="B15" s="112" t="s">
        <v>28</v>
      </c>
      <c r="C15" s="112" t="s">
        <v>28</v>
      </c>
      <c r="D15" s="111">
        <v>2025</v>
      </c>
      <c r="E15" s="113" t="s">
        <v>33</v>
      </c>
      <c r="F15" s="114">
        <v>2490316</v>
      </c>
      <c r="G15" s="114">
        <v>2490316</v>
      </c>
      <c r="H15" s="114">
        <v>106698.5226</v>
      </c>
      <c r="I15" s="114">
        <v>7564</v>
      </c>
      <c r="J15" s="115">
        <v>0.00178240740740741</v>
      </c>
      <c r="K15" s="114">
        <v>14.86</v>
      </c>
      <c r="L15" s="114">
        <v>732</v>
      </c>
      <c r="M15" s="114">
        <v>28934433</v>
      </c>
      <c r="N15" s="114">
        <v>6.4</v>
      </c>
      <c r="O15" s="114">
        <v>1521346</v>
      </c>
      <c r="P15" s="114">
        <v>697750</v>
      </c>
      <c r="Q15" s="114">
        <v>823596</v>
      </c>
      <c r="R15" s="114">
        <v>823596</v>
      </c>
      <c r="S15" s="114">
        <v>0</v>
      </c>
      <c r="T15" s="114">
        <v>9076</v>
      </c>
      <c r="U15" s="114">
        <v>1512</v>
      </c>
      <c r="V15" s="114">
        <v>21384</v>
      </c>
      <c r="W15" s="114">
        <v>671</v>
      </c>
      <c r="X15" s="114">
        <v>8288</v>
      </c>
      <c r="Y15" s="114">
        <v>8038</v>
      </c>
      <c r="Z15" s="114">
        <v>9471000</v>
      </c>
      <c r="AA15" s="114"/>
      <c r="AB15" s="114"/>
      <c r="AC15" s="114"/>
      <c r="AD15" s="114"/>
      <c r="AE15" s="114"/>
      <c r="AF15" s="114"/>
      <c r="AG15" s="114"/>
      <c r="AH15" s="114"/>
      <c r="AI15" s="114"/>
      <c r="AJ15" s="114">
        <v>0</v>
      </c>
      <c r="AK15" s="114">
        <v>0</v>
      </c>
      <c r="AL15" s="114"/>
      <c r="AM15" s="114"/>
      <c r="AN15" s="114">
        <v>68658</v>
      </c>
      <c r="AO15" s="114">
        <v>5233.7755</v>
      </c>
      <c r="AP15" s="114">
        <v>667.7061</v>
      </c>
      <c r="AQ15" s="114">
        <v>-1</v>
      </c>
      <c r="AR15" s="114">
        <v>359</v>
      </c>
      <c r="AS15" s="114">
        <v>534</v>
      </c>
      <c r="AT15" s="114">
        <v>5</v>
      </c>
      <c r="AU15" s="114">
        <v>17422</v>
      </c>
      <c r="AV15" s="114">
        <v>0</v>
      </c>
      <c r="AW15" s="114">
        <v>0</v>
      </c>
      <c r="AX15" s="114">
        <v>0</v>
      </c>
      <c r="AY15" s="114">
        <v>77</v>
      </c>
      <c r="AZ15" s="114">
        <v>17</v>
      </c>
      <c r="BA15" s="114">
        <v>2882</v>
      </c>
      <c r="BB15" s="116"/>
      <c r="BC15" s="116"/>
      <c r="BD15" s="116"/>
      <c r="BE15" s="116"/>
      <c r="BF15" s="116"/>
      <c r="BG15" s="116"/>
      <c r="BH15" s="116"/>
      <c r="BI15" s="116"/>
      <c r="BJ15" s="117">
        <v>951217</v>
      </c>
      <c r="BK15" s="117">
        <v>7564</v>
      </c>
      <c r="BL15" s="117">
        <v>1284037</v>
      </c>
      <c r="BM15" s="118">
        <v>7400780</v>
      </c>
      <c r="BN15" s="118">
        <v>435.34</v>
      </c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</row>
    <row r="16" s="96" customFormat="1" ht="15.75" customHeight="1" spans="1:76">
      <c r="A16" s="111">
        <v>15</v>
      </c>
      <c r="B16" s="112" t="s">
        <v>28</v>
      </c>
      <c r="C16" s="112" t="s">
        <v>28</v>
      </c>
      <c r="D16" s="111">
        <v>2025</v>
      </c>
      <c r="E16" s="113" t="s">
        <v>34</v>
      </c>
      <c r="F16" s="114">
        <v>1799108</v>
      </c>
      <c r="G16" s="114">
        <v>1794717</v>
      </c>
      <c r="H16" s="114">
        <v>72558.4326</v>
      </c>
      <c r="I16" s="114">
        <v>3275</v>
      </c>
      <c r="J16" s="115">
        <v>0.00167824074074074</v>
      </c>
      <c r="K16" s="114">
        <v>27.17</v>
      </c>
      <c r="L16" s="114">
        <v>732</v>
      </c>
      <c r="M16" s="114">
        <v>22490219</v>
      </c>
      <c r="N16" s="114">
        <v>5.7</v>
      </c>
      <c r="O16" s="114">
        <v>1096072</v>
      </c>
      <c r="P16" s="114">
        <v>545311</v>
      </c>
      <c r="Q16" s="114">
        <v>550700</v>
      </c>
      <c r="R16" s="114">
        <v>489830</v>
      </c>
      <c r="S16" s="114">
        <v>60870</v>
      </c>
      <c r="T16" s="114">
        <v>6084</v>
      </c>
      <c r="U16" s="114">
        <v>2809</v>
      </c>
      <c r="V16" s="114">
        <v>14831</v>
      </c>
      <c r="W16" s="114">
        <v>506</v>
      </c>
      <c r="X16" s="114">
        <v>6871</v>
      </c>
      <c r="Y16" s="114">
        <v>6054</v>
      </c>
      <c r="Z16" s="114">
        <v>7045500</v>
      </c>
      <c r="AA16" s="114"/>
      <c r="AB16" s="114"/>
      <c r="AC16" s="114"/>
      <c r="AD16" s="114"/>
      <c r="AE16" s="114"/>
      <c r="AF16" s="114"/>
      <c r="AG16" s="114"/>
      <c r="AH16" s="114"/>
      <c r="AI16" s="114"/>
      <c r="AJ16" s="114">
        <v>0</v>
      </c>
      <c r="AK16" s="114">
        <v>0</v>
      </c>
      <c r="AL16" s="114"/>
      <c r="AM16" s="114"/>
      <c r="AN16" s="114">
        <v>52242</v>
      </c>
      <c r="AO16" s="114">
        <v>4277.7923</v>
      </c>
      <c r="AP16" s="114">
        <v>742.9793</v>
      </c>
      <c r="AQ16" s="114">
        <v>0</v>
      </c>
      <c r="AR16" s="114">
        <v>464</v>
      </c>
      <c r="AS16" s="114">
        <v>721</v>
      </c>
      <c r="AT16" s="114">
        <v>6</v>
      </c>
      <c r="AU16" s="114">
        <v>42006</v>
      </c>
      <c r="AV16" s="114">
        <v>0</v>
      </c>
      <c r="AW16" s="114">
        <v>0</v>
      </c>
      <c r="AX16" s="114">
        <v>0</v>
      </c>
      <c r="AY16" s="114">
        <v>22</v>
      </c>
      <c r="AZ16" s="114">
        <v>17</v>
      </c>
      <c r="BA16" s="114">
        <v>2705</v>
      </c>
      <c r="BB16" s="116"/>
      <c r="BC16" s="116"/>
      <c r="BD16" s="116"/>
      <c r="BE16" s="116"/>
      <c r="BF16" s="116"/>
      <c r="BG16" s="116"/>
      <c r="BH16" s="116"/>
      <c r="BI16" s="116"/>
      <c r="BJ16" s="117">
        <v>954492</v>
      </c>
      <c r="BK16" s="117">
        <v>3275</v>
      </c>
      <c r="BL16" s="117">
        <v>788122</v>
      </c>
      <c r="BM16" s="118">
        <v>4763910</v>
      </c>
      <c r="BN16" s="118">
        <v>280.23</v>
      </c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</row>
    <row r="17" s="96" customFormat="1" ht="15.75" customHeight="1" spans="1:76">
      <c r="A17" s="111">
        <v>16</v>
      </c>
      <c r="B17" s="112" t="s">
        <v>28</v>
      </c>
      <c r="C17" s="112" t="s">
        <v>28</v>
      </c>
      <c r="D17" s="111">
        <v>2025</v>
      </c>
      <c r="E17" s="113" t="s">
        <v>35</v>
      </c>
      <c r="F17" s="114">
        <v>1997866</v>
      </c>
      <c r="G17" s="114">
        <v>1790965</v>
      </c>
      <c r="H17" s="114">
        <v>78122.6283</v>
      </c>
      <c r="I17" s="114">
        <v>5063</v>
      </c>
      <c r="J17" s="115">
        <v>0.00180555555555556</v>
      </c>
      <c r="K17" s="114">
        <v>13.07</v>
      </c>
      <c r="L17" s="114">
        <v>713</v>
      </c>
      <c r="M17" s="114">
        <v>27919543</v>
      </c>
      <c r="N17" s="114">
        <v>4.5</v>
      </c>
      <c r="O17" s="114">
        <v>1131101</v>
      </c>
      <c r="P17" s="114">
        <v>558456</v>
      </c>
      <c r="Q17" s="114">
        <v>575283</v>
      </c>
      <c r="R17" s="114">
        <v>459245</v>
      </c>
      <c r="S17" s="114">
        <v>116038</v>
      </c>
      <c r="T17" s="114">
        <v>7498</v>
      </c>
      <c r="U17" s="114">
        <v>2435</v>
      </c>
      <c r="V17" s="114">
        <v>14265</v>
      </c>
      <c r="W17" s="114">
        <v>718</v>
      </c>
      <c r="X17" s="114">
        <v>6609</v>
      </c>
      <c r="Y17" s="114">
        <v>2054</v>
      </c>
      <c r="Z17" s="114">
        <v>4801500</v>
      </c>
      <c r="AA17" s="114"/>
      <c r="AB17" s="114"/>
      <c r="AC17" s="114"/>
      <c r="AD17" s="114"/>
      <c r="AE17" s="114"/>
      <c r="AF17" s="114"/>
      <c r="AG17" s="114"/>
      <c r="AH17" s="114"/>
      <c r="AI17" s="114"/>
      <c r="AJ17" s="114">
        <v>3</v>
      </c>
      <c r="AK17" s="114">
        <v>488</v>
      </c>
      <c r="AL17" s="114"/>
      <c r="AM17" s="114"/>
      <c r="AN17" s="114">
        <v>51522</v>
      </c>
      <c r="AO17" s="114">
        <v>5216.4039</v>
      </c>
      <c r="AP17" s="114">
        <v>698.6371</v>
      </c>
      <c r="AQ17" s="114">
        <v>140</v>
      </c>
      <c r="AR17" s="114">
        <v>362</v>
      </c>
      <c r="AS17" s="114">
        <v>1146</v>
      </c>
      <c r="AT17" s="114">
        <v>4</v>
      </c>
      <c r="AU17" s="114">
        <v>11555</v>
      </c>
      <c r="AV17" s="114">
        <v>0</v>
      </c>
      <c r="AW17" s="114">
        <v>0</v>
      </c>
      <c r="AX17" s="114">
        <v>0</v>
      </c>
      <c r="AY17" s="114">
        <v>37</v>
      </c>
      <c r="AZ17" s="114">
        <v>16</v>
      </c>
      <c r="BA17" s="114">
        <v>2439</v>
      </c>
      <c r="BB17" s="116"/>
      <c r="BC17" s="116"/>
      <c r="BD17" s="116"/>
      <c r="BE17" s="116"/>
      <c r="BF17" s="116"/>
      <c r="BG17" s="116"/>
      <c r="BH17" s="116"/>
      <c r="BI17" s="116"/>
      <c r="BJ17" s="117">
        <v>959555</v>
      </c>
      <c r="BK17" s="117">
        <v>5063</v>
      </c>
      <c r="BL17" s="117">
        <v>1047092</v>
      </c>
      <c r="BM17" s="118">
        <v>3776380</v>
      </c>
      <c r="BN17" s="118">
        <v>222.14</v>
      </c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</row>
    <row r="18" s="96" customFormat="1" ht="15.75" customHeight="1" spans="1:76">
      <c r="A18" s="111">
        <v>17</v>
      </c>
      <c r="B18" s="112" t="s">
        <v>28</v>
      </c>
      <c r="C18" s="112" t="s">
        <v>28</v>
      </c>
      <c r="D18" s="111">
        <v>2025</v>
      </c>
      <c r="E18" s="113" t="s">
        <v>36</v>
      </c>
      <c r="F18" s="114">
        <v>2973251</v>
      </c>
      <c r="G18" s="114">
        <v>2635868</v>
      </c>
      <c r="H18" s="114">
        <v>121192.4851</v>
      </c>
      <c r="I18" s="114">
        <v>8207</v>
      </c>
      <c r="J18" s="115">
        <v>0.00190972222222222</v>
      </c>
      <c r="K18" s="114">
        <v>11.61</v>
      </c>
      <c r="L18" s="114">
        <v>978</v>
      </c>
      <c r="M18" s="114">
        <v>36735679</v>
      </c>
      <c r="N18" s="114">
        <v>4.96</v>
      </c>
      <c r="O18" s="114">
        <v>1583429</v>
      </c>
      <c r="P18" s="114">
        <v>743185</v>
      </c>
      <c r="Q18" s="114">
        <v>840244</v>
      </c>
      <c r="R18" s="114">
        <v>676199</v>
      </c>
      <c r="S18" s="114">
        <v>164045</v>
      </c>
      <c r="T18" s="114">
        <v>10638</v>
      </c>
      <c r="U18" s="114">
        <v>2431</v>
      </c>
      <c r="V18" s="114">
        <v>25705</v>
      </c>
      <c r="W18" s="114">
        <v>946</v>
      </c>
      <c r="X18" s="114">
        <v>9347</v>
      </c>
      <c r="Y18" s="114">
        <v>8097</v>
      </c>
      <c r="Z18" s="114">
        <v>8033584.992</v>
      </c>
      <c r="AA18" s="114">
        <v>0</v>
      </c>
      <c r="AB18" s="114">
        <v>15</v>
      </c>
      <c r="AC18" s="114">
        <v>760802.884</v>
      </c>
      <c r="AD18" s="114">
        <v>7177325.397</v>
      </c>
      <c r="AE18" s="114">
        <v>13050561.72</v>
      </c>
      <c r="AF18" s="114">
        <v>1279044</v>
      </c>
      <c r="AG18" s="114">
        <v>10203.372</v>
      </c>
      <c r="AH18" s="114">
        <v>1083741</v>
      </c>
      <c r="AI18" s="114">
        <v>3047.796</v>
      </c>
      <c r="AJ18" s="114">
        <v>1187</v>
      </c>
      <c r="AK18" s="114">
        <v>70057</v>
      </c>
      <c r="AL18" s="114">
        <v>955368.189</v>
      </c>
      <c r="AM18" s="114">
        <v>13</v>
      </c>
      <c r="AN18" s="114">
        <v>74785</v>
      </c>
      <c r="AO18" s="114">
        <v>6674.7252</v>
      </c>
      <c r="AP18" s="114">
        <v>727.7341</v>
      </c>
      <c r="AQ18" s="114">
        <v>74</v>
      </c>
      <c r="AR18" s="114">
        <v>139</v>
      </c>
      <c r="AS18" s="114">
        <v>691</v>
      </c>
      <c r="AT18" s="114">
        <v>3</v>
      </c>
      <c r="AU18" s="114">
        <v>33802</v>
      </c>
      <c r="AV18" s="114">
        <v>2</v>
      </c>
      <c r="AW18" s="114">
        <v>0.0036</v>
      </c>
      <c r="AX18" s="114">
        <v>0</v>
      </c>
      <c r="AY18" s="114">
        <v>41</v>
      </c>
      <c r="AZ18" s="114">
        <v>12</v>
      </c>
      <c r="BA18" s="114">
        <v>2251</v>
      </c>
      <c r="BB18" s="116"/>
      <c r="BC18" s="116"/>
      <c r="BD18" s="116"/>
      <c r="BE18" s="116"/>
      <c r="BF18" s="116"/>
      <c r="BG18" s="116"/>
      <c r="BH18" s="116"/>
      <c r="BI18" s="116"/>
      <c r="BJ18" s="117">
        <v>967762</v>
      </c>
      <c r="BK18" s="117">
        <v>8207</v>
      </c>
      <c r="BL18" s="117">
        <v>1920584</v>
      </c>
      <c r="BM18" s="118">
        <v>7025250</v>
      </c>
      <c r="BN18" s="118">
        <v>413.25</v>
      </c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</row>
    <row r="19" s="96" customFormat="1" ht="15.75" customHeight="1" spans="1:76">
      <c r="A19" s="111">
        <v>18</v>
      </c>
      <c r="B19" s="112" t="s">
        <v>28</v>
      </c>
      <c r="C19" s="112" t="s">
        <v>28</v>
      </c>
      <c r="D19" s="111">
        <v>2025</v>
      </c>
      <c r="E19" s="113" t="s">
        <v>37</v>
      </c>
      <c r="F19" s="114">
        <v>2781917</v>
      </c>
      <c r="G19" s="114">
        <v>2463138</v>
      </c>
      <c r="H19" s="114">
        <v>112165.4824</v>
      </c>
      <c r="I19" s="114">
        <v>7680</v>
      </c>
      <c r="J19" s="115">
        <v>0.00188657407407407</v>
      </c>
      <c r="K19" s="114">
        <v>11.14</v>
      </c>
      <c r="L19" s="114">
        <v>814</v>
      </c>
      <c r="M19" s="114">
        <v>32546506</v>
      </c>
      <c r="N19" s="114">
        <v>5.45</v>
      </c>
      <c r="O19" s="114">
        <v>1555237</v>
      </c>
      <c r="P19" s="114">
        <v>735196</v>
      </c>
      <c r="Q19" s="114">
        <v>820041</v>
      </c>
      <c r="R19" s="114">
        <v>661929</v>
      </c>
      <c r="S19" s="114">
        <v>158112</v>
      </c>
      <c r="T19" s="114">
        <v>9889</v>
      </c>
      <c r="U19" s="114">
        <v>2209</v>
      </c>
      <c r="V19" s="114">
        <v>24961</v>
      </c>
      <c r="W19" s="114">
        <v>787</v>
      </c>
      <c r="X19" s="114">
        <v>7973</v>
      </c>
      <c r="Y19" s="114">
        <v>7584</v>
      </c>
      <c r="Z19" s="114">
        <v>9301598.342</v>
      </c>
      <c r="AA19" s="114">
        <v>0</v>
      </c>
      <c r="AB19" s="114">
        <v>14</v>
      </c>
      <c r="AC19" s="114">
        <v>1044959.641</v>
      </c>
      <c r="AD19" s="114">
        <v>8115041.259</v>
      </c>
      <c r="AE19" s="114">
        <v>14758522.03</v>
      </c>
      <c r="AF19" s="114">
        <v>1352413</v>
      </c>
      <c r="AG19" s="114">
        <v>10912.733</v>
      </c>
      <c r="AH19" s="114">
        <v>1137236</v>
      </c>
      <c r="AI19" s="114">
        <v>3776.321</v>
      </c>
      <c r="AJ19" s="114">
        <v>626</v>
      </c>
      <c r="AK19" s="114">
        <v>47873</v>
      </c>
      <c r="AL19" s="114">
        <v>1875787.207</v>
      </c>
      <c r="AM19" s="114">
        <v>15</v>
      </c>
      <c r="AN19" s="114">
        <v>74269</v>
      </c>
      <c r="AO19" s="114">
        <v>6730.6563</v>
      </c>
      <c r="AP19" s="114">
        <v>730.6144</v>
      </c>
      <c r="AQ19" s="114">
        <v>175</v>
      </c>
      <c r="AR19" s="114">
        <v>190</v>
      </c>
      <c r="AS19" s="114">
        <v>778</v>
      </c>
      <c r="AT19" s="114">
        <v>5</v>
      </c>
      <c r="AU19" s="114">
        <v>57749</v>
      </c>
      <c r="AV19" s="114">
        <v>0</v>
      </c>
      <c r="AW19" s="114">
        <v>0</v>
      </c>
      <c r="AX19" s="114">
        <v>0</v>
      </c>
      <c r="AY19" s="114">
        <v>51</v>
      </c>
      <c r="AZ19" s="114">
        <v>20</v>
      </c>
      <c r="BA19" s="114">
        <v>2184</v>
      </c>
      <c r="BB19" s="116"/>
      <c r="BC19" s="116"/>
      <c r="BD19" s="116"/>
      <c r="BE19" s="116"/>
      <c r="BF19" s="116"/>
      <c r="BG19" s="116"/>
      <c r="BH19" s="116"/>
      <c r="BI19" s="116"/>
      <c r="BJ19" s="117">
        <v>975442</v>
      </c>
      <c r="BK19" s="117">
        <v>7680</v>
      </c>
      <c r="BL19" s="117">
        <v>1865757</v>
      </c>
      <c r="BM19" s="118">
        <v>7643880</v>
      </c>
      <c r="BN19" s="118">
        <v>449.64</v>
      </c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</row>
    <row r="20" s="96" customFormat="1" ht="15.75" customHeight="1" spans="1:76">
      <c r="A20" s="111">
        <v>19</v>
      </c>
      <c r="B20" s="112" t="s">
        <v>28</v>
      </c>
      <c r="C20" s="112" t="s">
        <v>28</v>
      </c>
      <c r="D20" s="111">
        <v>2025</v>
      </c>
      <c r="E20" s="113" t="s">
        <v>38</v>
      </c>
      <c r="F20" s="114">
        <v>4156317</v>
      </c>
      <c r="G20" s="114">
        <v>3946582</v>
      </c>
      <c r="H20" s="114">
        <v>225058.9093</v>
      </c>
      <c r="I20" s="114">
        <v>13521</v>
      </c>
      <c r="J20" s="115">
        <v>0.00237268518518519</v>
      </c>
      <c r="K20" s="114">
        <v>13.78</v>
      </c>
      <c r="L20" s="114">
        <v>1121</v>
      </c>
      <c r="M20" s="114">
        <v>53231780</v>
      </c>
      <c r="N20" s="114">
        <v>5.11</v>
      </c>
      <c r="O20" s="114">
        <v>2092965</v>
      </c>
      <c r="P20" s="114">
        <v>978495</v>
      </c>
      <c r="Q20" s="114">
        <v>1114470</v>
      </c>
      <c r="R20" s="114">
        <v>896417</v>
      </c>
      <c r="S20" s="114">
        <v>218053</v>
      </c>
      <c r="T20" s="114">
        <v>16311</v>
      </c>
      <c r="U20" s="114">
        <v>2790</v>
      </c>
      <c r="V20" s="114">
        <v>37942</v>
      </c>
      <c r="W20" s="114">
        <v>1167</v>
      </c>
      <c r="X20" s="114">
        <v>9984</v>
      </c>
      <c r="Y20" s="114">
        <v>13066</v>
      </c>
      <c r="Z20" s="114">
        <v>20094369.09</v>
      </c>
      <c r="AA20" s="114">
        <v>13918.264</v>
      </c>
      <c r="AB20" s="114">
        <v>44</v>
      </c>
      <c r="AC20" s="114">
        <v>1713471.379</v>
      </c>
      <c r="AD20" s="114">
        <v>18179945.62</v>
      </c>
      <c r="AE20" s="114">
        <v>33062058.39</v>
      </c>
      <c r="AF20" s="114">
        <v>3093095</v>
      </c>
      <c r="AG20" s="114">
        <v>10688.989</v>
      </c>
      <c r="AH20" s="114">
        <v>2561147</v>
      </c>
      <c r="AI20" s="114">
        <v>5091.589</v>
      </c>
      <c r="AJ20" s="114">
        <v>1912</v>
      </c>
      <c r="AK20" s="114">
        <v>57768</v>
      </c>
      <c r="AL20" s="114">
        <v>8785153.69</v>
      </c>
      <c r="AM20" s="114">
        <v>37</v>
      </c>
      <c r="AN20" s="114">
        <v>127043</v>
      </c>
      <c r="AO20" s="114">
        <v>11786.4437</v>
      </c>
      <c r="AP20" s="114">
        <v>752.4009</v>
      </c>
      <c r="AQ20" s="114">
        <v>406</v>
      </c>
      <c r="AR20" s="114">
        <v>393</v>
      </c>
      <c r="AS20" s="114">
        <v>5517</v>
      </c>
      <c r="AT20" s="114">
        <v>3</v>
      </c>
      <c r="AU20" s="114">
        <v>2858</v>
      </c>
      <c r="AV20" s="114">
        <v>0</v>
      </c>
      <c r="AW20" s="114">
        <v>0</v>
      </c>
      <c r="AX20" s="114">
        <v>0</v>
      </c>
      <c r="AY20" s="114">
        <v>31</v>
      </c>
      <c r="AZ20" s="114">
        <v>20</v>
      </c>
      <c r="BA20" s="114">
        <v>3479</v>
      </c>
      <c r="BB20" s="116"/>
      <c r="BC20" s="116"/>
      <c r="BD20" s="116"/>
      <c r="BE20" s="116"/>
      <c r="BF20" s="116"/>
      <c r="BG20" s="116"/>
      <c r="BH20" s="116"/>
      <c r="BI20" s="116"/>
      <c r="BJ20" s="117">
        <v>988963</v>
      </c>
      <c r="BK20" s="117">
        <v>13521</v>
      </c>
      <c r="BL20" s="117">
        <v>3161127</v>
      </c>
      <c r="BM20" s="118">
        <v>18246950</v>
      </c>
      <c r="BN20" s="118">
        <v>1073.35</v>
      </c>
      <c r="BO20" s="120">
        <v>0.786</v>
      </c>
      <c r="BP20" s="120">
        <v>0.214</v>
      </c>
      <c r="BQ20" s="119"/>
      <c r="BR20" s="120">
        <v>0.013</v>
      </c>
      <c r="BS20" s="120">
        <v>0.084</v>
      </c>
      <c r="BT20" s="120">
        <v>0.302</v>
      </c>
      <c r="BU20" s="120">
        <v>0.232</v>
      </c>
      <c r="BV20" s="120">
        <v>0.18</v>
      </c>
      <c r="BW20" s="120">
        <v>0.124</v>
      </c>
      <c r="BX20" s="120">
        <v>0.066</v>
      </c>
    </row>
    <row r="21" s="96" customFormat="1" ht="15.75" customHeight="1" spans="1:76">
      <c r="A21" s="111">
        <v>20</v>
      </c>
      <c r="B21" s="112" t="s">
        <v>28</v>
      </c>
      <c r="C21" s="112" t="s">
        <v>28</v>
      </c>
      <c r="D21" s="111">
        <v>2025</v>
      </c>
      <c r="E21" s="113" t="s">
        <v>39</v>
      </c>
      <c r="F21" s="114">
        <v>3697244</v>
      </c>
      <c r="G21" s="114">
        <v>3388733</v>
      </c>
      <c r="H21" s="114">
        <v>211117.5184</v>
      </c>
      <c r="I21" s="114">
        <v>10881</v>
      </c>
      <c r="J21" s="115">
        <v>0.00259259259259259</v>
      </c>
      <c r="K21" s="114">
        <v>31.39</v>
      </c>
      <c r="L21" s="114">
        <v>1093</v>
      </c>
      <c r="M21" s="114">
        <v>46110515</v>
      </c>
      <c r="N21" s="114">
        <v>4.69</v>
      </c>
      <c r="O21" s="114">
        <v>1927002</v>
      </c>
      <c r="P21" s="114">
        <v>899901</v>
      </c>
      <c r="Q21" s="114">
        <v>1027101</v>
      </c>
      <c r="R21" s="114">
        <v>832755</v>
      </c>
      <c r="S21" s="114">
        <v>194346</v>
      </c>
      <c r="T21" s="114">
        <v>13196</v>
      </c>
      <c r="U21" s="114">
        <v>2315</v>
      </c>
      <c r="V21" s="114">
        <v>31230</v>
      </c>
      <c r="W21" s="114">
        <v>1387</v>
      </c>
      <c r="X21" s="114">
        <v>9705</v>
      </c>
      <c r="Y21" s="114">
        <v>15633</v>
      </c>
      <c r="Z21" s="114">
        <v>18337331.45</v>
      </c>
      <c r="AA21" s="114">
        <v>0</v>
      </c>
      <c r="AB21" s="114">
        <v>31</v>
      </c>
      <c r="AC21" s="114">
        <v>1895956.105</v>
      </c>
      <c r="AD21" s="114">
        <v>16092903.82</v>
      </c>
      <c r="AE21" s="114">
        <v>29273745.5</v>
      </c>
      <c r="AF21" s="114">
        <v>2482578</v>
      </c>
      <c r="AG21" s="114">
        <v>11791.672</v>
      </c>
      <c r="AH21" s="114">
        <v>1945296</v>
      </c>
      <c r="AI21" s="114">
        <v>5411.264</v>
      </c>
      <c r="AJ21" s="114">
        <v>862</v>
      </c>
      <c r="AK21" s="114">
        <v>45244</v>
      </c>
      <c r="AL21" s="114">
        <v>1963424.996</v>
      </c>
      <c r="AM21" s="114">
        <v>25</v>
      </c>
      <c r="AN21" s="114">
        <v>122870</v>
      </c>
      <c r="AO21" s="114">
        <v>13198.1562</v>
      </c>
      <c r="AP21" s="114">
        <v>785.5281</v>
      </c>
      <c r="AQ21" s="114">
        <v>438</v>
      </c>
      <c r="AR21" s="114">
        <v>405</v>
      </c>
      <c r="AS21" s="114">
        <v>866</v>
      </c>
      <c r="AT21" s="114">
        <v>1</v>
      </c>
      <c r="AU21" s="114">
        <v>1777</v>
      </c>
      <c r="AV21" s="114">
        <v>0</v>
      </c>
      <c r="AW21" s="114">
        <v>0</v>
      </c>
      <c r="AX21" s="114">
        <v>0</v>
      </c>
      <c r="AY21" s="114">
        <v>31</v>
      </c>
      <c r="AZ21" s="114">
        <v>29</v>
      </c>
      <c r="BA21" s="114">
        <v>1963</v>
      </c>
      <c r="BB21" s="116"/>
      <c r="BC21" s="116"/>
      <c r="BD21" s="116"/>
      <c r="BE21" s="116"/>
      <c r="BF21" s="116"/>
      <c r="BG21" s="116"/>
      <c r="BH21" s="116"/>
      <c r="BI21" s="116"/>
      <c r="BJ21" s="117">
        <v>1000810</v>
      </c>
      <c r="BK21" s="117">
        <v>10881</v>
      </c>
      <c r="BL21" s="117">
        <v>2676885</v>
      </c>
      <c r="BM21" s="118">
        <v>15476290</v>
      </c>
      <c r="BN21" s="118">
        <v>910.37</v>
      </c>
      <c r="BO21" s="120">
        <v>0.771</v>
      </c>
      <c r="BP21" s="120">
        <v>0.229</v>
      </c>
      <c r="BQ21" s="120">
        <v>0.001</v>
      </c>
      <c r="BR21" s="120">
        <v>0.012</v>
      </c>
      <c r="BS21" s="120">
        <v>0.079</v>
      </c>
      <c r="BT21" s="120">
        <v>0.302</v>
      </c>
      <c r="BU21" s="120">
        <v>0.229</v>
      </c>
      <c r="BV21" s="120">
        <v>0.176</v>
      </c>
      <c r="BW21" s="120">
        <v>0.129</v>
      </c>
      <c r="BX21" s="120">
        <v>0.073</v>
      </c>
    </row>
    <row r="22" s="96" customFormat="1" ht="15.75" customHeight="1" spans="1:76">
      <c r="A22" s="111">
        <v>21</v>
      </c>
      <c r="B22" s="112" t="s">
        <v>28</v>
      </c>
      <c r="C22" s="112" t="s">
        <v>28</v>
      </c>
      <c r="D22" s="111">
        <v>2025</v>
      </c>
      <c r="E22" s="113" t="s">
        <v>40</v>
      </c>
      <c r="F22" s="114">
        <v>10293205</v>
      </c>
      <c r="G22" s="114">
        <v>10040336</v>
      </c>
      <c r="H22" s="114">
        <v>517731.6554</v>
      </c>
      <c r="I22" s="114">
        <v>28720</v>
      </c>
      <c r="J22" s="115">
        <v>0.0021412037037037</v>
      </c>
      <c r="K22" s="114">
        <v>17.52</v>
      </c>
      <c r="L22" s="114">
        <v>1288</v>
      </c>
      <c r="M22" s="114">
        <v>123133910</v>
      </c>
      <c r="N22" s="114">
        <v>6.14</v>
      </c>
      <c r="O22" s="114">
        <v>4778720</v>
      </c>
      <c r="P22" s="114">
        <v>2297618</v>
      </c>
      <c r="Q22" s="114">
        <v>2481102</v>
      </c>
      <c r="R22" s="114">
        <v>2120387</v>
      </c>
      <c r="S22" s="114">
        <v>360715</v>
      </c>
      <c r="T22" s="114">
        <v>32277</v>
      </c>
      <c r="U22" s="114">
        <v>3557</v>
      </c>
      <c r="V22" s="114">
        <v>92220</v>
      </c>
      <c r="W22" s="114">
        <v>1973</v>
      </c>
      <c r="X22" s="114">
        <v>25898</v>
      </c>
      <c r="Y22" s="114">
        <v>39184</v>
      </c>
      <c r="Z22" s="114">
        <v>50134204.96</v>
      </c>
      <c r="AA22" s="114">
        <v>0</v>
      </c>
      <c r="AB22" s="114">
        <v>59</v>
      </c>
      <c r="AC22" s="114">
        <v>3857562.116</v>
      </c>
      <c r="AD22" s="114">
        <v>46012347.45</v>
      </c>
      <c r="AE22" s="114">
        <v>83786325.21</v>
      </c>
      <c r="AF22" s="114">
        <v>7775397</v>
      </c>
      <c r="AG22" s="114">
        <v>10775.826</v>
      </c>
      <c r="AH22" s="114">
        <v>6221111</v>
      </c>
      <c r="AI22" s="114">
        <v>4993.28</v>
      </c>
      <c r="AJ22" s="114">
        <v>2385</v>
      </c>
      <c r="AK22" s="114">
        <v>66308</v>
      </c>
      <c r="AL22" s="114">
        <v>4140476.248</v>
      </c>
      <c r="AM22" s="114">
        <v>58</v>
      </c>
      <c r="AN22" s="114">
        <v>341255</v>
      </c>
      <c r="AO22" s="114">
        <v>25939.8975</v>
      </c>
      <c r="AP22" s="114">
        <v>776.7574</v>
      </c>
      <c r="AQ22" s="114">
        <v>875</v>
      </c>
      <c r="AR22" s="114">
        <v>2065</v>
      </c>
      <c r="AS22" s="114">
        <v>2215</v>
      </c>
      <c r="AT22" s="114"/>
      <c r="AU22" s="114">
        <v>259</v>
      </c>
      <c r="AV22" s="114">
        <v>0</v>
      </c>
      <c r="AW22" s="114">
        <v>0</v>
      </c>
      <c r="AX22" s="114">
        <v>0</v>
      </c>
      <c r="AY22" s="114">
        <v>36</v>
      </c>
      <c r="AZ22" s="114">
        <v>13888</v>
      </c>
      <c r="BA22" s="114">
        <v>1360597</v>
      </c>
      <c r="BB22" s="116"/>
      <c r="BC22" s="116"/>
      <c r="BD22" s="116"/>
      <c r="BE22" s="116"/>
      <c r="BF22" s="116"/>
      <c r="BG22" s="116"/>
      <c r="BH22" s="116"/>
      <c r="BI22" s="116"/>
      <c r="BJ22" s="117">
        <v>1028499</v>
      </c>
      <c r="BK22" s="117">
        <v>28720</v>
      </c>
      <c r="BL22" s="117">
        <v>9477025</v>
      </c>
      <c r="BM22" s="118">
        <v>48403080</v>
      </c>
      <c r="BN22" s="118">
        <v>2847.24</v>
      </c>
      <c r="BO22" s="120">
        <v>0.782</v>
      </c>
      <c r="BP22" s="120">
        <v>0.217</v>
      </c>
      <c r="BQ22" s="120">
        <v>0.001</v>
      </c>
      <c r="BR22" s="120">
        <v>0.01</v>
      </c>
      <c r="BS22" s="120">
        <v>0.066</v>
      </c>
      <c r="BT22" s="120">
        <v>0.293</v>
      </c>
      <c r="BU22" s="120">
        <v>0.252</v>
      </c>
      <c r="BV22" s="120">
        <v>0.193</v>
      </c>
      <c r="BW22" s="120">
        <v>0.125</v>
      </c>
      <c r="BX22" s="120">
        <v>0.062</v>
      </c>
    </row>
    <row r="23" s="96" customFormat="1" ht="15.75" customHeight="1" spans="1:76">
      <c r="A23" s="111">
        <v>22</v>
      </c>
      <c r="B23" s="112" t="s">
        <v>28</v>
      </c>
      <c r="C23" s="112" t="s">
        <v>28</v>
      </c>
      <c r="D23" s="111">
        <v>2025</v>
      </c>
      <c r="E23" s="113" t="s">
        <v>41</v>
      </c>
      <c r="F23" s="114">
        <v>10119843</v>
      </c>
      <c r="G23" s="114">
        <v>9692127</v>
      </c>
      <c r="H23" s="114">
        <v>565059.3309</v>
      </c>
      <c r="I23" s="114">
        <v>25536</v>
      </c>
      <c r="J23" s="115">
        <v>0.00241898148148148</v>
      </c>
      <c r="K23" s="114">
        <v>19.17</v>
      </c>
      <c r="L23" s="114">
        <v>1181</v>
      </c>
      <c r="M23" s="114">
        <v>101188685</v>
      </c>
      <c r="N23" s="114">
        <v>6.89</v>
      </c>
      <c r="O23" s="114">
        <v>3968517</v>
      </c>
      <c r="P23" s="114">
        <v>1375616</v>
      </c>
      <c r="Q23" s="114">
        <v>2592901</v>
      </c>
      <c r="R23" s="114">
        <v>2171481</v>
      </c>
      <c r="S23" s="114">
        <v>421420</v>
      </c>
      <c r="T23" s="114">
        <v>29105</v>
      </c>
      <c r="U23" s="114">
        <v>3569</v>
      </c>
      <c r="V23" s="114">
        <v>99077</v>
      </c>
      <c r="W23" s="114">
        <v>2015</v>
      </c>
      <c r="X23" s="114">
        <v>35427</v>
      </c>
      <c r="Y23" s="114">
        <v>33189</v>
      </c>
      <c r="Z23" s="114">
        <v>58470292.4</v>
      </c>
      <c r="AA23" s="114">
        <v>0</v>
      </c>
      <c r="AB23" s="114">
        <v>47</v>
      </c>
      <c r="AC23" s="114">
        <v>5830540.698</v>
      </c>
      <c r="AD23" s="114">
        <v>52228587.21</v>
      </c>
      <c r="AE23" s="114">
        <v>95146846.63</v>
      </c>
      <c r="AF23" s="114">
        <v>7904674</v>
      </c>
      <c r="AG23" s="114">
        <v>12036.783</v>
      </c>
      <c r="AH23" s="114">
        <v>5961231</v>
      </c>
      <c r="AI23" s="114">
        <v>6032.762</v>
      </c>
      <c r="AJ23" s="114">
        <v>1652</v>
      </c>
      <c r="AK23" s="114">
        <v>41170</v>
      </c>
      <c r="AL23" s="114">
        <v>5876484.001</v>
      </c>
      <c r="AM23" s="114">
        <v>40</v>
      </c>
      <c r="AN23" s="114">
        <v>441606</v>
      </c>
      <c r="AO23" s="114">
        <v>39735.4276</v>
      </c>
      <c r="AP23" s="114">
        <v>788.4645</v>
      </c>
      <c r="AQ23" s="114">
        <v>1363</v>
      </c>
      <c r="AR23" s="114">
        <v>20046</v>
      </c>
      <c r="AS23" s="114">
        <v>11979</v>
      </c>
      <c r="AT23" s="114">
        <v>1</v>
      </c>
      <c r="AU23" s="114">
        <v>5203</v>
      </c>
      <c r="AV23" s="114">
        <v>0</v>
      </c>
      <c r="AW23" s="114">
        <v>0</v>
      </c>
      <c r="AX23" s="114">
        <v>0</v>
      </c>
      <c r="AY23" s="114">
        <v>24</v>
      </c>
      <c r="AZ23" s="114">
        <v>7828</v>
      </c>
      <c r="BA23" s="114">
        <v>950617</v>
      </c>
      <c r="BB23" s="116"/>
      <c r="BC23" s="116"/>
      <c r="BD23" s="116"/>
      <c r="BE23" s="116"/>
      <c r="BF23" s="116"/>
      <c r="BG23" s="116"/>
      <c r="BH23" s="116"/>
      <c r="BI23" s="116"/>
      <c r="BJ23" s="117">
        <v>1054035</v>
      </c>
      <c r="BK23" s="117">
        <v>25536</v>
      </c>
      <c r="BL23" s="117">
        <v>7934481</v>
      </c>
      <c r="BM23" s="118">
        <v>50527740</v>
      </c>
      <c r="BN23" s="118">
        <v>2972.22</v>
      </c>
      <c r="BO23" s="120">
        <v>0.778</v>
      </c>
      <c r="BP23" s="120">
        <v>0.221</v>
      </c>
      <c r="BQ23" s="120">
        <v>0.001</v>
      </c>
      <c r="BR23" s="120">
        <v>0.009</v>
      </c>
      <c r="BS23" s="120">
        <v>0.059</v>
      </c>
      <c r="BT23" s="120">
        <v>0.275</v>
      </c>
      <c r="BU23" s="120">
        <v>0.239</v>
      </c>
      <c r="BV23" s="120">
        <v>0.198</v>
      </c>
      <c r="BW23" s="120">
        <v>0.143</v>
      </c>
      <c r="BX23" s="120">
        <v>0.077</v>
      </c>
    </row>
    <row r="24" s="96" customFormat="1" ht="15.75" customHeight="1" spans="1:76">
      <c r="A24" s="111">
        <v>23</v>
      </c>
      <c r="B24" s="112" t="s">
        <v>28</v>
      </c>
      <c r="C24" s="112" t="s">
        <v>28</v>
      </c>
      <c r="D24" s="111">
        <v>2025</v>
      </c>
      <c r="E24" s="113" t="s">
        <v>42</v>
      </c>
      <c r="F24" s="114">
        <v>7493167</v>
      </c>
      <c r="G24" s="114">
        <v>7081414</v>
      </c>
      <c r="H24" s="114">
        <v>386877.4011</v>
      </c>
      <c r="I24" s="114">
        <v>15472</v>
      </c>
      <c r="J24" s="115">
        <v>0.00226851851851852</v>
      </c>
      <c r="K24" s="114">
        <v>18.47</v>
      </c>
      <c r="L24" s="114">
        <v>973</v>
      </c>
      <c r="M24" s="114">
        <v>75557775</v>
      </c>
      <c r="N24" s="114">
        <v>6.9</v>
      </c>
      <c r="O24" s="114">
        <v>3605210</v>
      </c>
      <c r="P24" s="114">
        <v>1248030</v>
      </c>
      <c r="Q24" s="114">
        <v>2355556</v>
      </c>
      <c r="R24" s="114">
        <v>1944454</v>
      </c>
      <c r="S24" s="114">
        <v>411102</v>
      </c>
      <c r="T24" s="114">
        <v>18746</v>
      </c>
      <c r="U24" s="114">
        <v>3274</v>
      </c>
      <c r="V24" s="114">
        <v>69062</v>
      </c>
      <c r="W24" s="114">
        <v>1693</v>
      </c>
      <c r="X24" s="114">
        <v>22944</v>
      </c>
      <c r="Y24" s="114">
        <v>28073</v>
      </c>
      <c r="Z24" s="114">
        <v>44579723.63</v>
      </c>
      <c r="AA24" s="114">
        <v>0</v>
      </c>
      <c r="AB24" s="114">
        <v>54</v>
      </c>
      <c r="AC24" s="114">
        <v>3677799.647</v>
      </c>
      <c r="AD24" s="114">
        <v>40469866.88</v>
      </c>
      <c r="AE24" s="114">
        <v>73644787.54</v>
      </c>
      <c r="AF24" s="114">
        <v>6107007</v>
      </c>
      <c r="AG24" s="114">
        <v>12059.064</v>
      </c>
      <c r="AH24" s="114">
        <v>4663139</v>
      </c>
      <c r="AI24" s="114">
        <v>6295.314</v>
      </c>
      <c r="AJ24" s="114">
        <v>1736</v>
      </c>
      <c r="AK24" s="114">
        <v>121055</v>
      </c>
      <c r="AL24" s="114">
        <v>14472411.93</v>
      </c>
      <c r="AM24" s="114">
        <v>46</v>
      </c>
      <c r="AN24" s="114">
        <v>274658</v>
      </c>
      <c r="AO24" s="114">
        <v>24163.839</v>
      </c>
      <c r="AP24" s="114">
        <v>755.2078</v>
      </c>
      <c r="AQ24" s="114">
        <v>1848</v>
      </c>
      <c r="AR24" s="114">
        <v>1613</v>
      </c>
      <c r="AS24" s="114">
        <v>1522</v>
      </c>
      <c r="AT24" s="114">
        <v>6</v>
      </c>
      <c r="AU24" s="114">
        <v>10234</v>
      </c>
      <c r="AV24" s="114">
        <v>0</v>
      </c>
      <c r="AW24" s="114">
        <v>0</v>
      </c>
      <c r="AX24" s="114">
        <v>0</v>
      </c>
      <c r="AY24" s="114">
        <v>14</v>
      </c>
      <c r="AZ24" s="114">
        <v>3632</v>
      </c>
      <c r="BA24" s="114">
        <v>498086</v>
      </c>
      <c r="BB24" s="116"/>
      <c r="BC24" s="116"/>
      <c r="BD24" s="116"/>
      <c r="BE24" s="116"/>
      <c r="BF24" s="116"/>
      <c r="BG24" s="116"/>
      <c r="BH24" s="116"/>
      <c r="BI24" s="116"/>
      <c r="BJ24" s="117">
        <v>1069507</v>
      </c>
      <c r="BK24" s="117">
        <v>15472</v>
      </c>
      <c r="BL24" s="117">
        <v>6236865</v>
      </c>
      <c r="BM24" s="118">
        <v>37024810</v>
      </c>
      <c r="BN24" s="118">
        <v>2177.93</v>
      </c>
      <c r="BO24" s="120">
        <v>0.772</v>
      </c>
      <c r="BP24" s="120">
        <v>0.227</v>
      </c>
      <c r="BQ24" s="120">
        <v>0.001</v>
      </c>
      <c r="BR24" s="120">
        <v>0.01</v>
      </c>
      <c r="BS24" s="120">
        <v>0.061</v>
      </c>
      <c r="BT24" s="120">
        <v>0.285</v>
      </c>
      <c r="BU24" s="120">
        <v>0.235</v>
      </c>
      <c r="BV24" s="120">
        <v>0.189</v>
      </c>
      <c r="BW24" s="120">
        <v>0.139</v>
      </c>
      <c r="BX24" s="120">
        <v>0.08</v>
      </c>
    </row>
    <row r="25" s="96" customFormat="1" ht="15.75" customHeight="1" spans="1:76">
      <c r="A25" s="111">
        <v>24</v>
      </c>
      <c r="B25" s="112" t="s">
        <v>28</v>
      </c>
      <c r="C25" s="112" t="s">
        <v>28</v>
      </c>
      <c r="D25" s="111">
        <v>2025</v>
      </c>
      <c r="E25" s="113" t="s">
        <v>43</v>
      </c>
      <c r="F25" s="114">
        <v>4862746</v>
      </c>
      <c r="G25" s="114">
        <v>4578657</v>
      </c>
      <c r="H25" s="114">
        <v>253554.1816</v>
      </c>
      <c r="I25" s="114">
        <v>8798</v>
      </c>
      <c r="J25" s="115">
        <v>0.00230324074074074</v>
      </c>
      <c r="K25" s="114">
        <v>13.48</v>
      </c>
      <c r="L25" s="114">
        <v>1091</v>
      </c>
      <c r="M25" s="114">
        <v>59047310</v>
      </c>
      <c r="N25" s="114">
        <v>5.28</v>
      </c>
      <c r="O25" s="114">
        <v>2578784</v>
      </c>
      <c r="P25" s="114">
        <v>930674</v>
      </c>
      <c r="Q25" s="114">
        <v>1647131</v>
      </c>
      <c r="R25" s="114">
        <v>1285428</v>
      </c>
      <c r="S25" s="114">
        <v>361703</v>
      </c>
      <c r="T25" s="114">
        <v>11477</v>
      </c>
      <c r="U25" s="114">
        <v>2679</v>
      </c>
      <c r="V25" s="114">
        <v>37578</v>
      </c>
      <c r="W25" s="114">
        <v>1289</v>
      </c>
      <c r="X25" s="114">
        <v>14169</v>
      </c>
      <c r="Y25" s="114">
        <v>14199</v>
      </c>
      <c r="Z25" s="114">
        <v>26631223.66</v>
      </c>
      <c r="AA25" s="114">
        <v>34899.249</v>
      </c>
      <c r="AB25" s="114">
        <v>42</v>
      </c>
      <c r="AC25" s="114">
        <v>2066536.884</v>
      </c>
      <c r="AD25" s="114">
        <v>24272275.63</v>
      </c>
      <c r="AE25" s="114">
        <v>44190253.45</v>
      </c>
      <c r="AF25" s="114">
        <v>3965456</v>
      </c>
      <c r="AG25" s="114">
        <v>11143.801</v>
      </c>
      <c r="AH25" s="114">
        <v>3095199</v>
      </c>
      <c r="AI25" s="114">
        <v>5816.383</v>
      </c>
      <c r="AJ25" s="114">
        <v>1228</v>
      </c>
      <c r="AK25" s="114">
        <v>82807</v>
      </c>
      <c r="AL25" s="114">
        <v>3931399.125</v>
      </c>
      <c r="AM25" s="114">
        <v>35</v>
      </c>
      <c r="AN25" s="114">
        <v>158507</v>
      </c>
      <c r="AO25" s="114">
        <v>14309.6113</v>
      </c>
      <c r="AP25" s="114">
        <v>770.9741</v>
      </c>
      <c r="AQ25" s="114">
        <v>980</v>
      </c>
      <c r="AR25" s="114">
        <v>7476</v>
      </c>
      <c r="AS25" s="114">
        <v>2553</v>
      </c>
      <c r="AT25" s="114">
        <v>2</v>
      </c>
      <c r="AU25" s="114">
        <v>1190</v>
      </c>
      <c r="AV25" s="114">
        <v>0</v>
      </c>
      <c r="AW25" s="114">
        <v>0</v>
      </c>
      <c r="AX25" s="114">
        <v>0</v>
      </c>
      <c r="AY25" s="114">
        <v>19</v>
      </c>
      <c r="AZ25" s="114">
        <v>3613</v>
      </c>
      <c r="BA25" s="114">
        <v>463666</v>
      </c>
      <c r="BB25" s="116"/>
      <c r="BC25" s="116"/>
      <c r="BD25" s="116"/>
      <c r="BE25" s="116"/>
      <c r="BF25" s="116"/>
      <c r="BG25" s="116"/>
      <c r="BH25" s="116"/>
      <c r="BI25" s="116"/>
      <c r="BJ25" s="117">
        <v>1078300</v>
      </c>
      <c r="BK25" s="117">
        <v>8793</v>
      </c>
      <c r="BL25" s="117">
        <v>3785184</v>
      </c>
      <c r="BM25" s="118">
        <v>21205460</v>
      </c>
      <c r="BN25" s="118">
        <v>1247.38</v>
      </c>
      <c r="BO25" s="120">
        <v>0.746</v>
      </c>
      <c r="BP25" s="120">
        <v>0.253</v>
      </c>
      <c r="BQ25" s="120">
        <v>0.001</v>
      </c>
      <c r="BR25" s="120">
        <v>0.012</v>
      </c>
      <c r="BS25" s="120">
        <v>0.064</v>
      </c>
      <c r="BT25" s="120">
        <v>0.282</v>
      </c>
      <c r="BU25" s="120">
        <v>0.225</v>
      </c>
      <c r="BV25" s="120">
        <v>0.191</v>
      </c>
      <c r="BW25" s="120">
        <v>0.144</v>
      </c>
      <c r="BX25" s="120">
        <v>0.082</v>
      </c>
    </row>
    <row r="26" s="96" customFormat="1" ht="15.75" customHeight="1" spans="1:76">
      <c r="A26" s="111">
        <v>25</v>
      </c>
      <c r="B26" s="112" t="s">
        <v>28</v>
      </c>
      <c r="C26" s="112" t="s">
        <v>28</v>
      </c>
      <c r="D26" s="111">
        <v>2026</v>
      </c>
      <c r="E26" s="112" t="s">
        <v>31</v>
      </c>
      <c r="F26" s="121">
        <v>4876310</v>
      </c>
      <c r="G26" s="114">
        <v>4578331</v>
      </c>
      <c r="H26" s="114">
        <v>303577.053</v>
      </c>
      <c r="I26" s="114">
        <v>12802</v>
      </c>
      <c r="J26" s="115">
        <v>0.00275462962962963</v>
      </c>
      <c r="K26" s="114">
        <v>33</v>
      </c>
      <c r="L26" s="114">
        <v>1237</v>
      </c>
      <c r="M26" s="114">
        <v>51870331</v>
      </c>
      <c r="N26" s="114">
        <v>5.87</v>
      </c>
      <c r="O26" s="114">
        <v>2248225</v>
      </c>
      <c r="P26" s="114">
        <v>686773</v>
      </c>
      <c r="Q26" s="114">
        <v>1560799</v>
      </c>
      <c r="R26" s="114">
        <v>1132396</v>
      </c>
      <c r="S26" s="114">
        <v>428403</v>
      </c>
      <c r="T26" s="114">
        <v>15480</v>
      </c>
      <c r="U26" s="114">
        <v>2678</v>
      </c>
      <c r="V26" s="114">
        <v>47507</v>
      </c>
      <c r="W26" s="114">
        <v>1301</v>
      </c>
      <c r="X26" s="114">
        <v>20591</v>
      </c>
      <c r="Y26" s="114">
        <v>16344</v>
      </c>
      <c r="Z26" s="121">
        <v>31055882</v>
      </c>
      <c r="AA26" s="114">
        <v>0</v>
      </c>
      <c r="AB26" s="114">
        <v>101</v>
      </c>
      <c r="AC26" s="114">
        <v>3735898.336</v>
      </c>
      <c r="AD26" s="114">
        <v>26345542.86</v>
      </c>
      <c r="AE26" s="114">
        <v>47935166.92</v>
      </c>
      <c r="AF26" s="114">
        <v>3788089</v>
      </c>
      <c r="AG26" s="114">
        <v>12654.182</v>
      </c>
      <c r="AH26" s="114">
        <v>2762876</v>
      </c>
      <c r="AI26" s="114">
        <v>6776.411</v>
      </c>
      <c r="AJ26" s="114">
        <v>1644</v>
      </c>
      <c r="AK26" s="114">
        <v>175808</v>
      </c>
      <c r="AL26" s="114">
        <v>12800670.35</v>
      </c>
      <c r="AM26" s="114">
        <v>68</v>
      </c>
      <c r="AN26" s="114">
        <v>240181</v>
      </c>
      <c r="AO26" s="114">
        <v>26202.9629</v>
      </c>
      <c r="AP26" s="114">
        <v>820.4877</v>
      </c>
      <c r="AQ26" s="114">
        <v>1007</v>
      </c>
      <c r="AR26" s="114">
        <v>12769</v>
      </c>
      <c r="AS26" s="114">
        <v>10737</v>
      </c>
      <c r="AT26" s="114">
        <v>1</v>
      </c>
      <c r="AU26" s="114">
        <v>418</v>
      </c>
      <c r="AV26" s="114">
        <v>0</v>
      </c>
      <c r="AW26" s="114">
        <v>0</v>
      </c>
      <c r="AX26" s="114">
        <v>0</v>
      </c>
      <c r="AY26" s="114">
        <v>30</v>
      </c>
      <c r="AZ26" s="114">
        <v>2283</v>
      </c>
      <c r="BA26" s="114">
        <v>430166</v>
      </c>
      <c r="BB26" s="116"/>
      <c r="BC26" s="116"/>
      <c r="BD26" s="116"/>
      <c r="BE26" s="116"/>
      <c r="BF26" s="116"/>
      <c r="BG26" s="116"/>
      <c r="BH26" s="116"/>
      <c r="BI26" s="116"/>
      <c r="BJ26" s="117">
        <v>1091106</v>
      </c>
      <c r="BK26" s="117">
        <v>12801</v>
      </c>
      <c r="BL26" s="117">
        <v>4038526</v>
      </c>
      <c r="BM26" s="118">
        <v>25596674</v>
      </c>
      <c r="BN26" s="118"/>
      <c r="BO26" s="120">
        <v>0.789</v>
      </c>
      <c r="BP26" s="120">
        <v>0.211</v>
      </c>
      <c r="BQ26" s="120">
        <v>0.001</v>
      </c>
      <c r="BR26" s="120">
        <v>0.01</v>
      </c>
      <c r="BS26" s="120">
        <v>0.059</v>
      </c>
      <c r="BT26" s="120">
        <v>0.28</v>
      </c>
      <c r="BU26" s="120">
        <v>0.236</v>
      </c>
      <c r="BV26" s="120">
        <v>0.195</v>
      </c>
      <c r="BW26" s="120">
        <v>0.141</v>
      </c>
      <c r="BX26" s="120">
        <v>0.08</v>
      </c>
    </row>
    <row r="27" s="96" customFormat="1" ht="15.75" customHeight="1" spans="1:76">
      <c r="A27" s="111">
        <v>26</v>
      </c>
      <c r="B27" s="112" t="s">
        <v>28</v>
      </c>
      <c r="C27" s="112" t="s">
        <v>28</v>
      </c>
      <c r="D27" s="111">
        <v>2026</v>
      </c>
      <c r="E27" s="112" t="s">
        <v>33</v>
      </c>
      <c r="F27" s="114">
        <v>4181207</v>
      </c>
      <c r="G27" s="114">
        <v>3952035</v>
      </c>
      <c r="H27" s="114">
        <v>255396.6985</v>
      </c>
      <c r="I27" s="114">
        <v>7492</v>
      </c>
      <c r="J27" s="115">
        <v>0.00268518518518518</v>
      </c>
      <c r="K27" s="114">
        <v>29.46</v>
      </c>
      <c r="L27" s="114">
        <v>1307</v>
      </c>
      <c r="M27" s="114">
        <v>45326122</v>
      </c>
      <c r="N27" s="114">
        <v>5.75</v>
      </c>
      <c r="O27" s="114">
        <v>2109868</v>
      </c>
      <c r="P27" s="114">
        <v>659748</v>
      </c>
      <c r="Q27" s="114">
        <v>1452536</v>
      </c>
      <c r="R27" s="114">
        <v>1020597</v>
      </c>
      <c r="S27" s="114">
        <v>431939</v>
      </c>
      <c r="T27" s="114">
        <v>9955</v>
      </c>
      <c r="U27" s="114">
        <v>2463</v>
      </c>
      <c r="V27" s="114">
        <v>37975</v>
      </c>
      <c r="W27" s="114">
        <v>1160</v>
      </c>
      <c r="X27" s="114">
        <v>16313</v>
      </c>
      <c r="Y27" s="114">
        <v>14245</v>
      </c>
      <c r="Z27" s="114">
        <v>26811771.17</v>
      </c>
      <c r="AA27" s="114">
        <v>0</v>
      </c>
      <c r="AB27" s="114">
        <v>92</v>
      </c>
      <c r="AC27" s="114">
        <v>3203075.003</v>
      </c>
      <c r="AD27" s="114">
        <v>23219019.77</v>
      </c>
      <c r="AE27" s="114">
        <v>42195732.33</v>
      </c>
      <c r="AF27" s="114">
        <v>3604152</v>
      </c>
      <c r="AG27" s="114">
        <v>11707.534</v>
      </c>
      <c r="AH27" s="114">
        <v>2601852</v>
      </c>
      <c r="AI27" s="114">
        <v>6782.336</v>
      </c>
      <c r="AJ27" s="114">
        <v>1789</v>
      </c>
      <c r="AK27" s="114">
        <v>233211</v>
      </c>
      <c r="AL27" s="114">
        <v>7030058.689</v>
      </c>
      <c r="AM27" s="114">
        <v>64</v>
      </c>
      <c r="AN27" s="114">
        <v>206465</v>
      </c>
      <c r="AO27" s="114">
        <v>20843.7612</v>
      </c>
      <c r="AP27" s="114">
        <v>745.7275</v>
      </c>
      <c r="AQ27" s="114">
        <v>1381</v>
      </c>
      <c r="AR27" s="114">
        <v>1426</v>
      </c>
      <c r="AS27" s="114">
        <v>4806</v>
      </c>
      <c r="AT27" s="114">
        <v>0</v>
      </c>
      <c r="AU27" s="114">
        <v>217</v>
      </c>
      <c r="AV27" s="114">
        <v>0</v>
      </c>
      <c r="AW27" s="114">
        <v>0</v>
      </c>
      <c r="AX27" s="114">
        <v>0</v>
      </c>
      <c r="AY27" s="114">
        <v>31</v>
      </c>
      <c r="AZ27" s="114">
        <v>2763</v>
      </c>
      <c r="BA27" s="114">
        <v>412537</v>
      </c>
      <c r="BB27" s="116"/>
      <c r="BC27" s="116"/>
      <c r="BD27" s="116"/>
      <c r="BE27" s="116"/>
      <c r="BF27" s="116"/>
      <c r="BG27" s="116"/>
      <c r="BH27" s="116"/>
      <c r="BI27" s="116"/>
      <c r="BJ27" s="117">
        <v>1098599</v>
      </c>
      <c r="BK27" s="117">
        <v>7492</v>
      </c>
      <c r="BL27" s="117">
        <v>3520995</v>
      </c>
      <c r="BM27" s="118">
        <v>22103000</v>
      </c>
      <c r="BN27" s="118"/>
      <c r="BO27" s="120">
        <v>0.782</v>
      </c>
      <c r="BP27" s="120">
        <v>0.218</v>
      </c>
      <c r="BQ27" s="120">
        <v>0.001</v>
      </c>
      <c r="BR27" s="120">
        <v>0.01</v>
      </c>
      <c r="BS27" s="120">
        <v>0.062</v>
      </c>
      <c r="BT27" s="120">
        <v>0.285</v>
      </c>
      <c r="BU27" s="120">
        <v>0.233</v>
      </c>
      <c r="BV27" s="120">
        <v>0.192</v>
      </c>
      <c r="BW27" s="120">
        <v>0.14</v>
      </c>
      <c r="BX27" s="120">
        <v>0.079</v>
      </c>
    </row>
    <row r="28" s="96" customFormat="1" ht="15.75" customHeight="1" spans="1:76">
      <c r="A28" s="111">
        <v>27</v>
      </c>
      <c r="B28" s="112" t="s">
        <v>28</v>
      </c>
      <c r="C28" s="112" t="s">
        <v>28</v>
      </c>
      <c r="D28" s="111">
        <v>2026</v>
      </c>
      <c r="E28" s="113" t="s">
        <v>34</v>
      </c>
      <c r="F28" s="114">
        <v>14717328</v>
      </c>
      <c r="G28" s="114">
        <v>13729784</v>
      </c>
      <c r="H28" s="114">
        <v>672801.1456</v>
      </c>
      <c r="I28" s="114">
        <v>18699</v>
      </c>
      <c r="J28" s="115">
        <v>0.00203703703703704</v>
      </c>
      <c r="K28" s="114">
        <v>29.41</v>
      </c>
      <c r="L28" s="114">
        <v>1750</v>
      </c>
      <c r="M28" s="114">
        <v>124899528</v>
      </c>
      <c r="N28" s="114">
        <v>7.68</v>
      </c>
      <c r="O28" s="114">
        <v>6504587</v>
      </c>
      <c r="P28" s="114">
        <v>2726772</v>
      </c>
      <c r="Q28" s="114">
        <v>3542728</v>
      </c>
      <c r="R28" s="114">
        <v>2764577</v>
      </c>
      <c r="S28" s="114">
        <v>778151</v>
      </c>
      <c r="T28" s="114">
        <v>22727</v>
      </c>
      <c r="U28" s="114">
        <v>4028</v>
      </c>
      <c r="V28" s="114">
        <v>164641</v>
      </c>
      <c r="W28" s="114">
        <v>4860</v>
      </c>
      <c r="X28" s="114">
        <v>20526</v>
      </c>
      <c r="Y28" s="114">
        <v>59130</v>
      </c>
      <c r="Z28" s="114">
        <v>61712269.93</v>
      </c>
      <c r="AA28" s="114">
        <v>75640.561</v>
      </c>
      <c r="AB28" s="114">
        <v>50</v>
      </c>
      <c r="AC28" s="114">
        <v>3325881.27</v>
      </c>
      <c r="AD28" s="114">
        <v>57513075.89</v>
      </c>
      <c r="AE28" s="114">
        <v>104504418.8</v>
      </c>
      <c r="AF28" s="114">
        <v>10598770</v>
      </c>
      <c r="AG28" s="114">
        <v>9860.052</v>
      </c>
      <c r="AH28" s="114">
        <v>8135568</v>
      </c>
      <c r="AI28" s="114">
        <v>4469.587</v>
      </c>
      <c r="AJ28" s="114">
        <v>1691</v>
      </c>
      <c r="AK28" s="114">
        <v>202615</v>
      </c>
      <c r="AL28" s="114">
        <v>5169238.61</v>
      </c>
      <c r="AM28" s="114">
        <v>37</v>
      </c>
      <c r="AN28" s="114">
        <v>395292</v>
      </c>
      <c r="AO28" s="114">
        <v>25524.3499</v>
      </c>
      <c r="AP28" s="114">
        <v>805.2689</v>
      </c>
      <c r="AQ28" s="114">
        <v>1287</v>
      </c>
      <c r="AR28" s="114">
        <v>6085</v>
      </c>
      <c r="AS28" s="114">
        <v>8936</v>
      </c>
      <c r="AT28" s="114">
        <v>2</v>
      </c>
      <c r="AU28" s="114">
        <v>3465</v>
      </c>
      <c r="AV28" s="114">
        <v>0</v>
      </c>
      <c r="AW28" s="114">
        <v>0</v>
      </c>
      <c r="AX28" s="114">
        <v>0</v>
      </c>
      <c r="AY28" s="114">
        <v>18</v>
      </c>
      <c r="AZ28" s="114">
        <v>11609</v>
      </c>
      <c r="BA28" s="114">
        <v>1930627</v>
      </c>
      <c r="BB28" s="116"/>
      <c r="BC28" s="116"/>
      <c r="BD28" s="116"/>
      <c r="BE28" s="116"/>
      <c r="BF28" s="116"/>
      <c r="BG28" s="116"/>
      <c r="BH28" s="116"/>
      <c r="BI28" s="116"/>
      <c r="BJ28" s="117">
        <v>1117298</v>
      </c>
      <c r="BK28" s="117">
        <v>18699</v>
      </c>
      <c r="BL28" s="117">
        <v>13982328</v>
      </c>
      <c r="BM28" s="118">
        <v>57251409</v>
      </c>
      <c r="BN28" s="118"/>
      <c r="BO28" s="120">
        <v>0.801</v>
      </c>
      <c r="BP28" s="120">
        <v>0.198</v>
      </c>
      <c r="BQ28" s="120">
        <v>0.001</v>
      </c>
      <c r="BR28" s="120">
        <v>0.012</v>
      </c>
      <c r="BS28" s="120">
        <v>0.056</v>
      </c>
      <c r="BT28" s="120">
        <v>0.293</v>
      </c>
      <c r="BU28" s="120">
        <v>0.282</v>
      </c>
      <c r="BV28" s="120">
        <v>0.198</v>
      </c>
      <c r="BW28" s="120">
        <v>0.11</v>
      </c>
      <c r="BX28" s="120">
        <v>0.049</v>
      </c>
    </row>
    <row r="29" s="96" customFormat="1" ht="15.75" customHeight="1" spans="1:76">
      <c r="A29" s="111">
        <v>28</v>
      </c>
      <c r="B29" s="112" t="s">
        <v>28</v>
      </c>
      <c r="C29" s="112" t="s">
        <v>28</v>
      </c>
      <c r="D29" s="111">
        <v>2026</v>
      </c>
      <c r="E29" s="113" t="s">
        <v>35</v>
      </c>
      <c r="F29" s="114">
        <v>10766415</v>
      </c>
      <c r="G29" s="114">
        <v>10162640</v>
      </c>
      <c r="H29" s="114">
        <v>591779.5995</v>
      </c>
      <c r="I29" s="114">
        <v>11115</v>
      </c>
      <c r="J29" s="115">
        <v>0.00241898148148148</v>
      </c>
      <c r="K29" s="114">
        <v>17.28</v>
      </c>
      <c r="L29" s="114">
        <v>1118</v>
      </c>
      <c r="M29" s="114">
        <v>93883486</v>
      </c>
      <c r="N29" s="114">
        <v>7.29</v>
      </c>
      <c r="O29" s="114">
        <v>4293066</v>
      </c>
      <c r="P29" s="114">
        <v>1226732</v>
      </c>
      <c r="Q29" s="114">
        <v>2885837</v>
      </c>
      <c r="R29" s="114">
        <v>2141821</v>
      </c>
      <c r="S29" s="114">
        <v>744016</v>
      </c>
      <c r="T29" s="114">
        <v>14749</v>
      </c>
      <c r="U29" s="114">
        <v>3634</v>
      </c>
      <c r="V29" s="114">
        <v>91662</v>
      </c>
      <c r="W29" s="114">
        <v>3243</v>
      </c>
      <c r="X29" s="114">
        <v>16003</v>
      </c>
      <c r="Y29" s="114">
        <v>37696</v>
      </c>
      <c r="Z29" s="114">
        <v>43933972.43</v>
      </c>
      <c r="AA29" s="114">
        <v>0</v>
      </c>
      <c r="AB29" s="114">
        <v>13</v>
      </c>
      <c r="AC29" s="114">
        <v>3433967.562</v>
      </c>
      <c r="AD29" s="114">
        <v>40325213.78</v>
      </c>
      <c r="AE29" s="114">
        <v>72981167.94</v>
      </c>
      <c r="AF29" s="114">
        <v>7339542</v>
      </c>
      <c r="AG29" s="114">
        <v>9943.559</v>
      </c>
      <c r="AH29" s="114">
        <v>5725905</v>
      </c>
      <c r="AI29" s="114">
        <v>4262.249</v>
      </c>
      <c r="AJ29" s="114">
        <v>692</v>
      </c>
      <c r="AK29" s="114">
        <v>96035</v>
      </c>
      <c r="AL29" s="114">
        <v>800539.248</v>
      </c>
      <c r="AM29" s="114">
        <v>10</v>
      </c>
      <c r="AN29" s="114">
        <v>304736</v>
      </c>
      <c r="AO29" s="114">
        <v>24890.4415</v>
      </c>
      <c r="AP29" s="114">
        <v>812.7423</v>
      </c>
      <c r="AQ29" s="114">
        <v>1335</v>
      </c>
      <c r="AR29" s="114">
        <v>4903</v>
      </c>
      <c r="AS29" s="114">
        <v>907</v>
      </c>
      <c r="AT29" s="114">
        <v>2</v>
      </c>
      <c r="AU29" s="114">
        <v>663</v>
      </c>
      <c r="AV29" s="114">
        <v>0</v>
      </c>
      <c r="AW29" s="114">
        <v>0</v>
      </c>
      <c r="AX29" s="114">
        <v>0</v>
      </c>
      <c r="AY29" s="114">
        <v>10</v>
      </c>
      <c r="AZ29" s="114">
        <v>8649</v>
      </c>
      <c r="BA29" s="114">
        <v>1210455</v>
      </c>
      <c r="BB29" s="116"/>
      <c r="BC29" s="116"/>
      <c r="BD29" s="116"/>
      <c r="BE29" s="116"/>
      <c r="BF29" s="116"/>
      <c r="BG29" s="116"/>
      <c r="BH29" s="116"/>
      <c r="BI29" s="116"/>
      <c r="BJ29" s="117">
        <v>1128413</v>
      </c>
      <c r="BK29" s="117">
        <v>11115</v>
      </c>
      <c r="BL29" s="117">
        <v>9441231</v>
      </c>
      <c r="BM29" s="118">
        <v>37233699</v>
      </c>
      <c r="BN29" s="118"/>
      <c r="BO29" s="120">
        <v>0.795</v>
      </c>
      <c r="BP29" s="120">
        <v>0.204</v>
      </c>
      <c r="BQ29" s="120">
        <v>0.001</v>
      </c>
      <c r="BR29" s="120">
        <v>0.012</v>
      </c>
      <c r="BS29" s="120">
        <v>0.061</v>
      </c>
      <c r="BT29" s="120">
        <v>0.285</v>
      </c>
      <c r="BU29" s="120">
        <v>0.255</v>
      </c>
      <c r="BV29" s="120">
        <v>0.199</v>
      </c>
      <c r="BW29" s="120">
        <v>0.126</v>
      </c>
      <c r="BX29" s="120">
        <v>0.062</v>
      </c>
    </row>
    <row r="30" s="96" customFormat="1" ht="15.75" customHeight="1" spans="1:76">
      <c r="A30" s="111">
        <v>29</v>
      </c>
      <c r="B30" s="112" t="s">
        <v>28</v>
      </c>
      <c r="C30" s="112" t="s">
        <v>28</v>
      </c>
      <c r="D30" s="111">
        <v>2026</v>
      </c>
      <c r="E30" s="113" t="s">
        <v>36</v>
      </c>
      <c r="F30" s="114">
        <v>11136322</v>
      </c>
      <c r="G30" s="114">
        <v>10553847</v>
      </c>
      <c r="H30" s="114">
        <v>687481.3774</v>
      </c>
      <c r="I30" s="114">
        <v>12907</v>
      </c>
      <c r="J30" s="115">
        <v>0.00270833333333333</v>
      </c>
      <c r="K30" s="114">
        <v>31.2</v>
      </c>
      <c r="L30" s="114">
        <v>1892</v>
      </c>
      <c r="M30" s="114">
        <v>98538401</v>
      </c>
      <c r="N30" s="114">
        <v>7.07</v>
      </c>
      <c r="O30" s="114">
        <v>4213027</v>
      </c>
      <c r="P30" s="114">
        <v>1217220</v>
      </c>
      <c r="Q30" s="114">
        <v>2861621</v>
      </c>
      <c r="R30" s="114">
        <v>2035499</v>
      </c>
      <c r="S30" s="114">
        <v>826122</v>
      </c>
      <c r="T30" s="114">
        <v>16560</v>
      </c>
      <c r="U30" s="114">
        <v>3653</v>
      </c>
      <c r="V30" s="114">
        <v>93509</v>
      </c>
      <c r="W30" s="114">
        <v>3594</v>
      </c>
      <c r="X30" s="114">
        <v>21121</v>
      </c>
      <c r="Y30" s="114">
        <v>37459</v>
      </c>
      <c r="Z30" s="114">
        <v>60974537.76</v>
      </c>
      <c r="AA30" s="114">
        <v>0</v>
      </c>
      <c r="AB30" s="114">
        <v>1</v>
      </c>
      <c r="AC30" s="114">
        <v>4432797.108</v>
      </c>
      <c r="AD30" s="114">
        <v>56339251.98</v>
      </c>
      <c r="AE30" s="114">
        <v>101038072.6</v>
      </c>
      <c r="AF30" s="114">
        <v>8827592</v>
      </c>
      <c r="AG30" s="114">
        <v>11445.712</v>
      </c>
      <c r="AH30" s="114">
        <v>6764790</v>
      </c>
      <c r="AI30" s="114">
        <v>5764.363</v>
      </c>
      <c r="AJ30" s="114">
        <v>135</v>
      </c>
      <c r="AK30" s="114">
        <v>14668</v>
      </c>
      <c r="AL30" s="114">
        <v>25694.172</v>
      </c>
      <c r="AM30" s="114">
        <v>1</v>
      </c>
      <c r="AN30" s="114">
        <v>369368</v>
      </c>
      <c r="AO30" s="114">
        <v>33403.3297</v>
      </c>
      <c r="AP30" s="114">
        <v>827.764</v>
      </c>
      <c r="AQ30" s="114">
        <v>1389</v>
      </c>
      <c r="AR30" s="114">
        <v>11333</v>
      </c>
      <c r="AS30" s="114">
        <v>4808</v>
      </c>
      <c r="AT30" s="114"/>
      <c r="AU30" s="114">
        <v>984</v>
      </c>
      <c r="AV30" s="114">
        <v>0</v>
      </c>
      <c r="AW30" s="114">
        <v>0</v>
      </c>
      <c r="AX30" s="114">
        <v>0</v>
      </c>
      <c r="AY30" s="114">
        <v>34</v>
      </c>
      <c r="AZ30" s="114">
        <v>9664</v>
      </c>
      <c r="BA30" s="114">
        <v>1707911</v>
      </c>
      <c r="BB30" s="116"/>
      <c r="BC30" s="116"/>
      <c r="BD30" s="116"/>
      <c r="BE30" s="116"/>
      <c r="BF30" s="116"/>
      <c r="BG30" s="116"/>
      <c r="BH30" s="116"/>
      <c r="BI30" s="116"/>
      <c r="BJ30" s="117">
        <v>1141320</v>
      </c>
      <c r="BK30" s="117">
        <v>12907</v>
      </c>
      <c r="BL30" s="117">
        <v>10034826</v>
      </c>
      <c r="BM30" s="118">
        <v>54617883</v>
      </c>
      <c r="BN30" s="118"/>
      <c r="BO30" s="120">
        <v>0.783</v>
      </c>
      <c r="BP30" s="120">
        <v>0.217</v>
      </c>
      <c r="BQ30" s="120">
        <v>0.001</v>
      </c>
      <c r="BR30" s="120">
        <v>0.013</v>
      </c>
      <c r="BS30" s="120">
        <v>0.062</v>
      </c>
      <c r="BT30" s="120">
        <v>0.277</v>
      </c>
      <c r="BU30" s="120">
        <v>0.224</v>
      </c>
      <c r="BV30" s="120">
        <v>0.192</v>
      </c>
      <c r="BW30" s="120">
        <v>0.147</v>
      </c>
      <c r="BX30" s="120">
        <v>0.085</v>
      </c>
    </row>
    <row r="31" s="96" customFormat="1" ht="15.75" customHeight="1" spans="1:76">
      <c r="A31" s="111">
        <v>30</v>
      </c>
      <c r="B31" s="96" t="s">
        <v>28</v>
      </c>
      <c r="C31" s="96" t="s">
        <v>29</v>
      </c>
      <c r="D31" s="122">
        <v>2026</v>
      </c>
      <c r="E31" s="96" t="s">
        <v>37</v>
      </c>
      <c r="F31" s="123">
        <v>8413197</v>
      </c>
      <c r="G31" s="123">
        <v>7795856</v>
      </c>
      <c r="H31" s="123">
        <v>441312</v>
      </c>
      <c r="I31" s="123">
        <v>8598</v>
      </c>
      <c r="J31" s="124">
        <v>0.00234953703703704</v>
      </c>
      <c r="K31" s="125">
        <v>31</v>
      </c>
      <c r="L31" s="123">
        <v>1849</v>
      </c>
      <c r="M31" s="123">
        <v>73298178</v>
      </c>
      <c r="N31" s="125">
        <v>7</v>
      </c>
      <c r="O31" s="123">
        <v>3392494</v>
      </c>
      <c r="P31" s="123">
        <v>827176</v>
      </c>
      <c r="Q31" s="123">
        <v>2420048</v>
      </c>
      <c r="R31" s="123">
        <v>1599776</v>
      </c>
      <c r="S31" s="123">
        <v>820272</v>
      </c>
      <c r="T31" s="123">
        <v>11759</v>
      </c>
      <c r="U31" s="123">
        <v>3161</v>
      </c>
      <c r="V31" s="123">
        <v>80827</v>
      </c>
      <c r="W31" s="123">
        <v>2992</v>
      </c>
      <c r="X31" s="123">
        <v>18298</v>
      </c>
      <c r="Y31" s="123">
        <v>31970</v>
      </c>
      <c r="Z31" s="123">
        <v>44574725</v>
      </c>
      <c r="AA31" s="123">
        <v>42768</v>
      </c>
      <c r="AB31" s="125">
        <v>7</v>
      </c>
      <c r="AC31" s="123">
        <v>3570929</v>
      </c>
      <c r="AD31" s="123">
        <v>40613495</v>
      </c>
      <c r="AE31" s="123">
        <v>73725763</v>
      </c>
      <c r="AF31" s="123">
        <v>6130133</v>
      </c>
      <c r="AG31" s="123">
        <v>12027</v>
      </c>
      <c r="AH31" s="123">
        <v>4727466</v>
      </c>
      <c r="AI31" s="123">
        <v>5736</v>
      </c>
      <c r="AJ31" s="125">
        <v>115</v>
      </c>
      <c r="AK31" s="123">
        <v>10128</v>
      </c>
      <c r="AL31" s="123">
        <v>527178</v>
      </c>
      <c r="AM31" s="125">
        <v>5</v>
      </c>
      <c r="AN31" s="123">
        <v>341430</v>
      </c>
      <c r="AO31" s="123">
        <v>25240</v>
      </c>
      <c r="AP31" s="125">
        <v>774</v>
      </c>
      <c r="AQ31" s="123">
        <v>1619</v>
      </c>
      <c r="AR31" s="123">
        <v>1193</v>
      </c>
      <c r="AS31" s="123">
        <v>1239</v>
      </c>
      <c r="AT31" s="125">
        <v>1</v>
      </c>
      <c r="AU31" s="125">
        <v>846</v>
      </c>
      <c r="AV31" s="125">
        <v>0</v>
      </c>
      <c r="AW31" s="125">
        <v>0</v>
      </c>
      <c r="AX31" s="125">
        <v>0</v>
      </c>
      <c r="AY31" s="125">
        <v>25</v>
      </c>
      <c r="AZ31" s="123">
        <v>2314</v>
      </c>
      <c r="BA31" s="123">
        <v>593437</v>
      </c>
      <c r="BB31" s="125"/>
      <c r="BC31" s="125"/>
      <c r="BD31" s="125"/>
      <c r="BE31" s="125"/>
      <c r="BF31" s="125"/>
      <c r="BG31" s="125"/>
      <c r="BH31" s="125"/>
      <c r="BI31" s="125"/>
      <c r="BJ31" s="117">
        <v>1149920</v>
      </c>
      <c r="BK31" s="117">
        <v>8598</v>
      </c>
      <c r="BL31" s="117">
        <v>7171862</v>
      </c>
      <c r="BM31" s="118">
        <v>36294167</v>
      </c>
      <c r="BN31" s="118"/>
      <c r="BO31" s="120">
        <v>0.789</v>
      </c>
      <c r="BP31" s="120">
        <v>0.21</v>
      </c>
      <c r="BQ31" s="120">
        <v>0.001</v>
      </c>
      <c r="BR31" s="120">
        <v>0.011</v>
      </c>
      <c r="BS31" s="120">
        <v>0.056</v>
      </c>
      <c r="BT31" s="120">
        <v>0.27</v>
      </c>
      <c r="BU31" s="120">
        <v>0.231</v>
      </c>
      <c r="BV31" s="120">
        <v>0.196</v>
      </c>
      <c r="BW31" s="120">
        <v>0.15</v>
      </c>
      <c r="BX31" s="120">
        <v>0.087</v>
      </c>
    </row>
    <row r="32" s="96" customFormat="1" ht="15.75" customHeight="1" spans="1:76">
      <c r="A32" s="111">
        <v>31</v>
      </c>
      <c r="B32" s="96" t="s">
        <v>28</v>
      </c>
      <c r="C32" s="96" t="s">
        <v>29</v>
      </c>
      <c r="D32" s="122">
        <v>2026</v>
      </c>
      <c r="E32" s="96" t="s">
        <v>38</v>
      </c>
      <c r="F32" s="126">
        <v>8382933</v>
      </c>
      <c r="G32" s="126">
        <v>7943721</v>
      </c>
      <c r="H32" s="126">
        <v>458526</v>
      </c>
      <c r="I32" s="126">
        <v>9400</v>
      </c>
      <c r="J32" s="127">
        <v>0.00239583333333333</v>
      </c>
      <c r="K32" s="128">
        <v>32</v>
      </c>
      <c r="L32" s="126">
        <v>1979</v>
      </c>
      <c r="M32" s="126">
        <v>80169905</v>
      </c>
      <c r="N32" s="128">
        <v>7</v>
      </c>
      <c r="O32" s="126">
        <v>3774961</v>
      </c>
      <c r="P32" s="126">
        <v>881499</v>
      </c>
      <c r="Q32" s="126">
        <v>2655221</v>
      </c>
      <c r="R32" s="126">
        <v>1687549</v>
      </c>
      <c r="S32" s="126">
        <v>967672</v>
      </c>
      <c r="T32" s="126">
        <v>12509</v>
      </c>
      <c r="U32" s="126">
        <v>3109</v>
      </c>
      <c r="V32" s="126">
        <v>74925</v>
      </c>
      <c r="W32" s="126">
        <v>2011</v>
      </c>
      <c r="X32" s="126">
        <v>24372</v>
      </c>
      <c r="Y32" s="126">
        <v>29891</v>
      </c>
      <c r="Z32" s="126">
        <v>46914288</v>
      </c>
      <c r="AA32" s="128">
        <v>0</v>
      </c>
      <c r="AB32" s="128">
        <v>5</v>
      </c>
      <c r="AC32" s="126">
        <v>3558434</v>
      </c>
      <c r="AD32" s="126">
        <v>43132700</v>
      </c>
      <c r="AE32" s="126">
        <v>78376086</v>
      </c>
      <c r="AF32" s="126">
        <v>6410321</v>
      </c>
      <c r="AG32" s="126">
        <v>12227</v>
      </c>
      <c r="AH32" s="126">
        <v>4964539</v>
      </c>
      <c r="AI32" s="126">
        <v>5916</v>
      </c>
      <c r="AJ32" s="128">
        <v>115</v>
      </c>
      <c r="AK32" s="126">
        <v>9656</v>
      </c>
      <c r="AL32" s="126">
        <v>205115</v>
      </c>
      <c r="AM32" s="128">
        <v>4</v>
      </c>
      <c r="AN32" s="126">
        <v>300367</v>
      </c>
      <c r="AO32" s="126">
        <v>25655</v>
      </c>
      <c r="AP32" s="128">
        <v>858</v>
      </c>
      <c r="AQ32" s="126">
        <v>1766</v>
      </c>
      <c r="AR32" s="126">
        <v>1632</v>
      </c>
      <c r="AS32" s="126">
        <v>7682</v>
      </c>
      <c r="AT32" s="128"/>
      <c r="AU32" s="128">
        <v>397</v>
      </c>
      <c r="AV32" s="128">
        <v>0</v>
      </c>
      <c r="AW32" s="128">
        <v>0</v>
      </c>
      <c r="AX32" s="128">
        <v>0</v>
      </c>
      <c r="AY32" s="128">
        <v>41</v>
      </c>
      <c r="AZ32" s="126">
        <v>3368</v>
      </c>
      <c r="BA32" s="126">
        <v>632684</v>
      </c>
      <c r="BB32" s="129"/>
      <c r="BC32" s="129"/>
      <c r="BD32" s="129"/>
      <c r="BE32" s="129"/>
      <c r="BF32" s="129"/>
      <c r="BG32" s="129"/>
      <c r="BH32" s="129"/>
      <c r="BI32" s="129"/>
      <c r="BJ32" s="130">
        <v>1159321</v>
      </c>
      <c r="BK32" s="130">
        <v>9400</v>
      </c>
      <c r="BL32" s="130">
        <v>6982766</v>
      </c>
      <c r="BM32" s="131">
        <v>38612558.47</v>
      </c>
      <c r="BN32" s="131"/>
      <c r="BO32" s="132">
        <v>0.79</v>
      </c>
      <c r="BP32" s="132">
        <v>0.209</v>
      </c>
      <c r="BQ32" s="132">
        <v>0.001</v>
      </c>
      <c r="BR32" s="132">
        <v>0.01</v>
      </c>
      <c r="BS32" s="132">
        <v>0.054</v>
      </c>
      <c r="BT32" s="132">
        <v>0.268</v>
      </c>
      <c r="BU32" s="132">
        <v>0.239</v>
      </c>
      <c r="BV32" s="132">
        <v>0.199</v>
      </c>
      <c r="BW32" s="132">
        <v>0.146</v>
      </c>
      <c r="BX32" s="119"/>
    </row>
    <row r="33" s="96" customFormat="1" ht="15.75" customHeight="1" spans="1:76">
      <c r="A33" s="111">
        <v>32</v>
      </c>
      <c r="B33" s="96" t="s">
        <v>28</v>
      </c>
      <c r="C33" s="96" t="s">
        <v>29</v>
      </c>
      <c r="D33" s="122">
        <v>2026</v>
      </c>
      <c r="E33" s="96" t="s">
        <v>39</v>
      </c>
      <c r="F33" s="128"/>
      <c r="G33" s="128"/>
      <c r="H33" s="128"/>
      <c r="I33" s="128"/>
      <c r="J33" s="127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9"/>
      <c r="BC33" s="129"/>
      <c r="BD33" s="129"/>
      <c r="BE33" s="129"/>
      <c r="BF33" s="129"/>
      <c r="BG33" s="129"/>
      <c r="BH33" s="129"/>
      <c r="BI33" s="129"/>
      <c r="BJ33" s="119"/>
      <c r="BK33" s="119"/>
      <c r="BL33" s="119"/>
      <c r="BM33" s="131"/>
      <c r="BN33" s="131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</row>
    <row r="34" s="96" customFormat="1" ht="15.75" customHeight="1" spans="1:76">
      <c r="A34" s="111">
        <v>33</v>
      </c>
      <c r="B34" s="96" t="s">
        <v>28</v>
      </c>
      <c r="C34" s="96" t="s">
        <v>29</v>
      </c>
      <c r="D34" s="122">
        <v>2026</v>
      </c>
      <c r="E34" s="96" t="s">
        <v>40</v>
      </c>
      <c r="F34" s="128"/>
      <c r="G34" s="128"/>
      <c r="H34" s="128"/>
      <c r="I34" s="128"/>
      <c r="J34" s="127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9"/>
      <c r="BC34" s="129"/>
      <c r="BD34" s="129"/>
      <c r="BE34" s="129"/>
      <c r="BF34" s="129"/>
      <c r="BG34" s="129"/>
      <c r="BH34" s="129"/>
      <c r="BI34" s="129"/>
      <c r="BJ34" s="119"/>
      <c r="BK34" s="119"/>
      <c r="BL34" s="119"/>
      <c r="BM34" s="131"/>
      <c r="BN34" s="131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</row>
    <row r="35" s="96" customFormat="1" ht="15.75" customHeight="1" spans="1:76">
      <c r="A35" s="111">
        <v>34</v>
      </c>
      <c r="B35" s="96" t="s">
        <v>28</v>
      </c>
      <c r="C35" s="96" t="s">
        <v>29</v>
      </c>
      <c r="D35" s="122">
        <v>2026</v>
      </c>
      <c r="E35" s="96" t="s">
        <v>41</v>
      </c>
      <c r="F35" s="128"/>
      <c r="G35" s="128"/>
      <c r="H35" s="128"/>
      <c r="I35" s="128"/>
      <c r="J35" s="127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9"/>
      <c r="BC35" s="129"/>
      <c r="BD35" s="129"/>
      <c r="BE35" s="129"/>
      <c r="BF35" s="129"/>
      <c r="BG35" s="129"/>
      <c r="BH35" s="129"/>
      <c r="BI35" s="129"/>
      <c r="BJ35" s="119"/>
      <c r="BK35" s="119"/>
      <c r="BL35" s="119"/>
      <c r="BM35" s="131"/>
      <c r="BN35" s="131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</row>
    <row r="36" s="96" customFormat="1" ht="15.75" customHeight="1" spans="1:76">
      <c r="A36" s="111">
        <v>35</v>
      </c>
      <c r="B36" s="96" t="s">
        <v>28</v>
      </c>
      <c r="C36" s="96" t="s">
        <v>29</v>
      </c>
      <c r="D36" s="122">
        <v>2026</v>
      </c>
      <c r="E36" s="96" t="s">
        <v>42</v>
      </c>
      <c r="F36" s="128"/>
      <c r="G36" s="128"/>
      <c r="H36" s="128"/>
      <c r="I36" s="128"/>
      <c r="J36" s="127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9"/>
      <c r="BC36" s="129"/>
      <c r="BD36" s="129"/>
      <c r="BE36" s="129"/>
      <c r="BF36" s="129"/>
      <c r="BG36" s="129"/>
      <c r="BH36" s="129"/>
      <c r="BI36" s="129"/>
      <c r="BJ36" s="119"/>
      <c r="BK36" s="119"/>
      <c r="BL36" s="119"/>
      <c r="BM36" s="131"/>
      <c r="BN36" s="131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</row>
    <row r="37" s="96" customFormat="1" ht="15.75" customHeight="1" spans="1:76">
      <c r="A37" s="111">
        <v>36</v>
      </c>
      <c r="B37" s="96" t="s">
        <v>28</v>
      </c>
      <c r="C37" s="96" t="s">
        <v>29</v>
      </c>
      <c r="D37" s="122">
        <v>2026</v>
      </c>
      <c r="E37" s="96" t="s">
        <v>43</v>
      </c>
      <c r="F37" s="128"/>
      <c r="G37" s="128"/>
      <c r="H37" s="128"/>
      <c r="I37" s="128"/>
      <c r="J37" s="127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9"/>
      <c r="BC37" s="129"/>
      <c r="BD37" s="129"/>
      <c r="BE37" s="129"/>
      <c r="BF37" s="129"/>
      <c r="BG37" s="129"/>
      <c r="BH37" s="129"/>
      <c r="BI37" s="129"/>
      <c r="BJ37" s="119"/>
      <c r="BK37" s="119"/>
      <c r="BL37" s="119"/>
      <c r="BM37" s="131"/>
      <c r="BN37" s="131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</row>
    <row r="38" s="96" customFormat="1" ht="15.75" customHeight="1" spans="1:76">
      <c r="A38" s="111">
        <v>37</v>
      </c>
      <c r="B38" s="112" t="s">
        <v>28</v>
      </c>
      <c r="C38" s="112" t="s">
        <v>132</v>
      </c>
      <c r="D38" s="111">
        <v>2024</v>
      </c>
      <c r="E38" s="113" t="s">
        <v>31</v>
      </c>
      <c r="F38" s="114">
        <v>75007</v>
      </c>
      <c r="G38" s="114">
        <v>75007</v>
      </c>
      <c r="H38" s="114">
        <v>2557.2794</v>
      </c>
      <c r="I38" s="114">
        <v>189</v>
      </c>
      <c r="J38" s="115">
        <v>0.00141203703703704</v>
      </c>
      <c r="K38" s="114">
        <v>27.59</v>
      </c>
      <c r="L38" s="114">
        <v>2</v>
      </c>
      <c r="M38" s="114">
        <v>761739</v>
      </c>
      <c r="N38" s="114">
        <v>7.84</v>
      </c>
      <c r="O38" s="114">
        <v>57400</v>
      </c>
      <c r="P38" s="114">
        <v>43518</v>
      </c>
      <c r="Q38" s="114">
        <v>13882</v>
      </c>
      <c r="R38" s="114">
        <v>13882</v>
      </c>
      <c r="S38" s="114">
        <v>0</v>
      </c>
      <c r="T38" s="114">
        <v>479</v>
      </c>
      <c r="U38" s="114">
        <v>290</v>
      </c>
      <c r="V38" s="114">
        <v>519</v>
      </c>
      <c r="W38" s="114">
        <v>21</v>
      </c>
      <c r="X38" s="114">
        <v>793</v>
      </c>
      <c r="Y38" s="114">
        <v>106</v>
      </c>
      <c r="Z38" s="114">
        <v>418440</v>
      </c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>
        <v>1534</v>
      </c>
      <c r="AM38" s="114">
        <v>52.8451</v>
      </c>
      <c r="AN38" s="114">
        <v>0.2303</v>
      </c>
      <c r="AO38" s="114">
        <v>0</v>
      </c>
      <c r="AP38" s="114">
        <v>0</v>
      </c>
      <c r="AQ38" s="114">
        <v>0</v>
      </c>
      <c r="AR38" s="114"/>
      <c r="AS38" s="114">
        <v>4</v>
      </c>
      <c r="AT38" s="114">
        <v>0</v>
      </c>
      <c r="AU38" s="114">
        <v>0</v>
      </c>
      <c r="AV38" s="114">
        <v>0</v>
      </c>
      <c r="AW38" s="114">
        <v>0</v>
      </c>
      <c r="AX38" s="114">
        <v>42</v>
      </c>
      <c r="AY38" s="114">
        <v>12226</v>
      </c>
      <c r="AZ38" s="114"/>
      <c r="BA38" s="114"/>
      <c r="BB38" s="116"/>
      <c r="BC38" s="116"/>
      <c r="BD38" s="116"/>
      <c r="BE38" s="116"/>
      <c r="BF38" s="116"/>
      <c r="BG38" s="116"/>
      <c r="BH38" s="116"/>
      <c r="BI38" s="116"/>
      <c r="BJ38" s="117">
        <v>178888</v>
      </c>
      <c r="BK38" s="133">
        <v>189</v>
      </c>
      <c r="BL38" s="119"/>
      <c r="BM38" s="118">
        <v>0</v>
      </c>
      <c r="BN38" s="131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</row>
    <row r="39" s="96" customFormat="1" ht="15.75" customHeight="1" spans="1:76">
      <c r="A39" s="111">
        <v>38</v>
      </c>
      <c r="B39" s="112" t="s">
        <v>28</v>
      </c>
      <c r="C39" s="112" t="s">
        <v>132</v>
      </c>
      <c r="D39" s="111">
        <v>2024</v>
      </c>
      <c r="E39" s="113" t="s">
        <v>33</v>
      </c>
      <c r="F39" s="114">
        <v>69236</v>
      </c>
      <c r="G39" s="114">
        <v>69236</v>
      </c>
      <c r="H39" s="114">
        <v>2692.824</v>
      </c>
      <c r="I39" s="114">
        <v>243</v>
      </c>
      <c r="J39" s="115">
        <v>0.00162037037037037</v>
      </c>
      <c r="K39" s="114">
        <v>28.27</v>
      </c>
      <c r="L39" s="114">
        <v>4</v>
      </c>
      <c r="M39" s="114">
        <v>708503</v>
      </c>
      <c r="N39" s="114">
        <v>7.69</v>
      </c>
      <c r="O39" s="114">
        <v>50127</v>
      </c>
      <c r="P39" s="114">
        <v>35747</v>
      </c>
      <c r="Q39" s="114">
        <v>14300</v>
      </c>
      <c r="R39" s="114">
        <v>14300</v>
      </c>
      <c r="S39" s="114">
        <v>0</v>
      </c>
      <c r="T39" s="114">
        <v>534</v>
      </c>
      <c r="U39" s="114">
        <v>291</v>
      </c>
      <c r="V39" s="114">
        <v>496</v>
      </c>
      <c r="W39" s="114">
        <v>10</v>
      </c>
      <c r="X39" s="114">
        <v>708</v>
      </c>
      <c r="Y39" s="114">
        <v>130</v>
      </c>
      <c r="Z39" s="114">
        <v>411840</v>
      </c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>
        <v>1448</v>
      </c>
      <c r="AM39" s="114">
        <v>49.7612</v>
      </c>
      <c r="AN39" s="114"/>
      <c r="AO39" s="114">
        <v>0</v>
      </c>
      <c r="AP39" s="114"/>
      <c r="AQ39" s="114"/>
      <c r="AR39" s="114"/>
      <c r="AS39" s="114"/>
      <c r="AT39" s="114">
        <v>0</v>
      </c>
      <c r="AU39" s="114">
        <v>0</v>
      </c>
      <c r="AV39" s="114">
        <v>0</v>
      </c>
      <c r="AW39" s="114">
        <v>0</v>
      </c>
      <c r="AX39" s="114">
        <v>39</v>
      </c>
      <c r="AY39" s="114">
        <v>7261</v>
      </c>
      <c r="AZ39" s="114"/>
      <c r="BA39" s="114"/>
      <c r="BB39" s="116"/>
      <c r="BC39" s="116"/>
      <c r="BD39" s="116"/>
      <c r="BE39" s="116"/>
      <c r="BF39" s="116"/>
      <c r="BG39" s="116"/>
      <c r="BH39" s="116"/>
      <c r="BI39" s="116"/>
      <c r="BJ39" s="117">
        <v>179131</v>
      </c>
      <c r="BK39" s="133">
        <v>243</v>
      </c>
      <c r="BL39" s="119"/>
      <c r="BM39" s="118">
        <v>0</v>
      </c>
      <c r="BN39" s="131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</row>
    <row r="40" s="96" customFormat="1" ht="15.75" customHeight="1" spans="1:76">
      <c r="A40" s="111">
        <v>39</v>
      </c>
      <c r="B40" s="112" t="s">
        <v>28</v>
      </c>
      <c r="C40" s="112" t="s">
        <v>132</v>
      </c>
      <c r="D40" s="111">
        <v>2024</v>
      </c>
      <c r="E40" s="113" t="s">
        <v>34</v>
      </c>
      <c r="F40" s="114">
        <v>235368</v>
      </c>
      <c r="G40" s="114">
        <v>235368</v>
      </c>
      <c r="H40" s="114">
        <v>12198.1783</v>
      </c>
      <c r="I40" s="114">
        <v>1123</v>
      </c>
      <c r="J40" s="115">
        <v>0.00215277777777778</v>
      </c>
      <c r="K40" s="114">
        <v>22.37</v>
      </c>
      <c r="L40" s="114">
        <v>7</v>
      </c>
      <c r="M40" s="114">
        <v>1846423</v>
      </c>
      <c r="N40" s="114">
        <v>10.4</v>
      </c>
      <c r="O40" s="114">
        <v>156957</v>
      </c>
      <c r="P40" s="114">
        <v>114899</v>
      </c>
      <c r="Q40" s="114">
        <v>42058</v>
      </c>
      <c r="R40" s="114">
        <v>42058</v>
      </c>
      <c r="S40" s="114">
        <v>0</v>
      </c>
      <c r="T40" s="114">
        <v>1486</v>
      </c>
      <c r="U40" s="114">
        <v>363</v>
      </c>
      <c r="V40" s="114">
        <v>1695</v>
      </c>
      <c r="W40" s="114">
        <v>36</v>
      </c>
      <c r="X40" s="114">
        <v>1051</v>
      </c>
      <c r="Y40" s="114">
        <v>329</v>
      </c>
      <c r="Z40" s="114">
        <v>1191300</v>
      </c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>
        <v>2363</v>
      </c>
      <c r="AM40" s="114">
        <v>111.1767</v>
      </c>
      <c r="AN40" s="114"/>
      <c r="AO40" s="114">
        <v>0</v>
      </c>
      <c r="AP40" s="114"/>
      <c r="AQ40" s="114"/>
      <c r="AR40" s="114"/>
      <c r="AS40" s="114">
        <v>6</v>
      </c>
      <c r="AT40" s="114">
        <v>0</v>
      </c>
      <c r="AU40" s="114">
        <v>0</v>
      </c>
      <c r="AV40" s="114">
        <v>0</v>
      </c>
      <c r="AW40" s="114">
        <v>0</v>
      </c>
      <c r="AX40" s="114">
        <v>33</v>
      </c>
      <c r="AY40" s="114">
        <v>8722</v>
      </c>
      <c r="AZ40" s="114"/>
      <c r="BA40" s="114"/>
      <c r="BB40" s="116"/>
      <c r="BC40" s="116"/>
      <c r="BD40" s="116"/>
      <c r="BE40" s="116"/>
      <c r="BF40" s="116"/>
      <c r="BG40" s="116"/>
      <c r="BH40" s="116"/>
      <c r="BI40" s="116"/>
      <c r="BJ40" s="117">
        <v>180254</v>
      </c>
      <c r="BK40" s="117">
        <v>1123</v>
      </c>
      <c r="BL40" s="119"/>
      <c r="BM40" s="118">
        <v>0</v>
      </c>
      <c r="BN40" s="131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</row>
    <row r="41" s="96" customFormat="1" ht="15.75" customHeight="1" spans="1:76">
      <c r="A41" s="111">
        <v>40</v>
      </c>
      <c r="B41" s="112" t="s">
        <v>28</v>
      </c>
      <c r="C41" s="112" t="s">
        <v>132</v>
      </c>
      <c r="D41" s="111">
        <v>2024</v>
      </c>
      <c r="E41" s="113" t="s">
        <v>35</v>
      </c>
      <c r="F41" s="114">
        <v>133770</v>
      </c>
      <c r="G41" s="114">
        <v>133770</v>
      </c>
      <c r="H41" s="114">
        <v>7355.6123</v>
      </c>
      <c r="I41" s="114">
        <v>658</v>
      </c>
      <c r="J41" s="115">
        <v>0.00228009259259259</v>
      </c>
      <c r="K41" s="114">
        <v>24.87</v>
      </c>
      <c r="L41" s="114">
        <v>15</v>
      </c>
      <c r="M41" s="114">
        <v>1199341</v>
      </c>
      <c r="N41" s="114">
        <v>8.66</v>
      </c>
      <c r="O41" s="114">
        <v>93461</v>
      </c>
      <c r="P41" s="114">
        <v>64783</v>
      </c>
      <c r="Q41" s="114">
        <v>28678</v>
      </c>
      <c r="R41" s="114">
        <v>28678</v>
      </c>
      <c r="S41" s="114">
        <v>0</v>
      </c>
      <c r="T41" s="114">
        <v>985</v>
      </c>
      <c r="U41" s="114">
        <v>327</v>
      </c>
      <c r="V41" s="114">
        <v>1049</v>
      </c>
      <c r="W41" s="114">
        <v>40</v>
      </c>
      <c r="X41" s="114">
        <v>675</v>
      </c>
      <c r="Y41" s="114">
        <v>183</v>
      </c>
      <c r="Z41" s="114">
        <v>693660</v>
      </c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>
        <v>1891</v>
      </c>
      <c r="AM41" s="114">
        <v>98.2707</v>
      </c>
      <c r="AN41" s="114"/>
      <c r="AO41" s="114">
        <v>0</v>
      </c>
      <c r="AP41" s="114"/>
      <c r="AQ41" s="114"/>
      <c r="AR41" s="114"/>
      <c r="AS41" s="114">
        <v>2</v>
      </c>
      <c r="AT41" s="114">
        <v>0</v>
      </c>
      <c r="AU41" s="114">
        <v>0</v>
      </c>
      <c r="AV41" s="114">
        <v>0</v>
      </c>
      <c r="AW41" s="114">
        <v>0</v>
      </c>
      <c r="AX41" s="114">
        <v>39</v>
      </c>
      <c r="AY41" s="114">
        <v>9388</v>
      </c>
      <c r="AZ41" s="114"/>
      <c r="BA41" s="114"/>
      <c r="BB41" s="116"/>
      <c r="BC41" s="116"/>
      <c r="BD41" s="116"/>
      <c r="BE41" s="116"/>
      <c r="BF41" s="116"/>
      <c r="BG41" s="116"/>
      <c r="BH41" s="116"/>
      <c r="BI41" s="116"/>
      <c r="BJ41" s="117">
        <v>180912</v>
      </c>
      <c r="BK41" s="133">
        <v>658</v>
      </c>
      <c r="BL41" s="119"/>
      <c r="BM41" s="118">
        <v>0</v>
      </c>
      <c r="BN41" s="131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</row>
    <row r="42" s="96" customFormat="1" ht="15.75" customHeight="1" spans="1:76">
      <c r="A42" s="111">
        <v>41</v>
      </c>
      <c r="B42" s="112" t="s">
        <v>28</v>
      </c>
      <c r="C42" s="112" t="s">
        <v>132</v>
      </c>
      <c r="D42" s="111">
        <v>2024</v>
      </c>
      <c r="E42" s="113" t="s">
        <v>36</v>
      </c>
      <c r="F42" s="114">
        <v>254426</v>
      </c>
      <c r="G42" s="114">
        <v>254426</v>
      </c>
      <c r="H42" s="114">
        <v>12510.1504</v>
      </c>
      <c r="I42" s="114">
        <v>1130</v>
      </c>
      <c r="J42" s="115">
        <v>0.00204861111111111</v>
      </c>
      <c r="K42" s="114">
        <v>27.65</v>
      </c>
      <c r="L42" s="114">
        <v>251</v>
      </c>
      <c r="M42" s="114">
        <v>2672265</v>
      </c>
      <c r="N42" s="114">
        <v>7.37</v>
      </c>
      <c r="O42" s="114">
        <v>180072</v>
      </c>
      <c r="P42" s="114">
        <v>130661</v>
      </c>
      <c r="Q42" s="114">
        <v>49411</v>
      </c>
      <c r="R42" s="114">
        <v>49411</v>
      </c>
      <c r="S42" s="114">
        <v>0</v>
      </c>
      <c r="T42" s="114">
        <v>1551</v>
      </c>
      <c r="U42" s="114">
        <v>421</v>
      </c>
      <c r="V42" s="114">
        <v>2432</v>
      </c>
      <c r="W42" s="114">
        <v>59</v>
      </c>
      <c r="X42" s="114">
        <v>1327</v>
      </c>
      <c r="Y42" s="114">
        <v>508</v>
      </c>
      <c r="Z42" s="114">
        <v>1294920</v>
      </c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>
        <v>6167</v>
      </c>
      <c r="AM42" s="114">
        <v>373.0264</v>
      </c>
      <c r="AN42" s="114"/>
      <c r="AO42" s="114">
        <v>0</v>
      </c>
      <c r="AP42" s="114"/>
      <c r="AQ42" s="114"/>
      <c r="AR42" s="114"/>
      <c r="AS42" s="114"/>
      <c r="AT42" s="114">
        <v>0</v>
      </c>
      <c r="AU42" s="114">
        <v>0</v>
      </c>
      <c r="AV42" s="114">
        <v>0</v>
      </c>
      <c r="AW42" s="114">
        <v>0</v>
      </c>
      <c r="AX42" s="114">
        <v>236</v>
      </c>
      <c r="AY42" s="114">
        <v>26714</v>
      </c>
      <c r="AZ42" s="114"/>
      <c r="BA42" s="114"/>
      <c r="BB42" s="116"/>
      <c r="BC42" s="116"/>
      <c r="BD42" s="116"/>
      <c r="BE42" s="116"/>
      <c r="BF42" s="116"/>
      <c r="BG42" s="116"/>
      <c r="BH42" s="116"/>
      <c r="BI42" s="116"/>
      <c r="BJ42" s="117">
        <v>182042</v>
      </c>
      <c r="BK42" s="117">
        <v>1130</v>
      </c>
      <c r="BL42" s="119"/>
      <c r="BM42" s="118">
        <v>0</v>
      </c>
      <c r="BN42" s="131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</row>
    <row r="43" s="96" customFormat="1" ht="15.75" customHeight="1" spans="1:76">
      <c r="A43" s="111">
        <v>42</v>
      </c>
      <c r="B43" s="112" t="s">
        <v>28</v>
      </c>
      <c r="C43" s="112" t="s">
        <v>132</v>
      </c>
      <c r="D43" s="111">
        <v>2024</v>
      </c>
      <c r="E43" s="113" t="s">
        <v>37</v>
      </c>
      <c r="F43" s="114">
        <v>249574</v>
      </c>
      <c r="G43" s="114">
        <v>249574</v>
      </c>
      <c r="H43" s="114">
        <v>11742.3264</v>
      </c>
      <c r="I43" s="114">
        <v>1274</v>
      </c>
      <c r="J43" s="115">
        <v>0.00195601851851852</v>
      </c>
      <c r="K43" s="114">
        <v>32.23</v>
      </c>
      <c r="L43" s="114">
        <v>471</v>
      </c>
      <c r="M43" s="114">
        <v>3119207</v>
      </c>
      <c r="N43" s="114">
        <v>6.18</v>
      </c>
      <c r="O43" s="114">
        <v>192872</v>
      </c>
      <c r="P43" s="114">
        <v>143426</v>
      </c>
      <c r="Q43" s="114">
        <v>49446</v>
      </c>
      <c r="R43" s="114">
        <v>49446</v>
      </c>
      <c r="S43" s="114">
        <v>0</v>
      </c>
      <c r="T43" s="114">
        <v>1710</v>
      </c>
      <c r="U43" s="114">
        <v>436</v>
      </c>
      <c r="V43" s="114">
        <v>2637</v>
      </c>
      <c r="W43" s="114">
        <v>93</v>
      </c>
      <c r="X43" s="114">
        <v>1081</v>
      </c>
      <c r="Y43" s="114">
        <v>616</v>
      </c>
      <c r="Z43" s="114">
        <v>1500015</v>
      </c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>
        <v>5728</v>
      </c>
      <c r="AM43" s="114">
        <v>307.2797</v>
      </c>
      <c r="AN43" s="114"/>
      <c r="AO43" s="114">
        <v>0</v>
      </c>
      <c r="AP43" s="114"/>
      <c r="AQ43" s="114"/>
      <c r="AR43" s="114">
        <v>1</v>
      </c>
      <c r="AS43" s="114">
        <v>3</v>
      </c>
      <c r="AT43" s="114">
        <v>0</v>
      </c>
      <c r="AU43" s="114">
        <v>0</v>
      </c>
      <c r="AV43" s="114">
        <v>0</v>
      </c>
      <c r="AW43" s="114">
        <v>0</v>
      </c>
      <c r="AX43" s="114">
        <v>295</v>
      </c>
      <c r="AY43" s="114">
        <v>34556</v>
      </c>
      <c r="AZ43" s="114"/>
      <c r="BA43" s="114"/>
      <c r="BB43" s="116"/>
      <c r="BC43" s="116"/>
      <c r="BD43" s="116"/>
      <c r="BE43" s="116"/>
      <c r="BF43" s="116"/>
      <c r="BG43" s="116"/>
      <c r="BH43" s="116"/>
      <c r="BI43" s="116"/>
      <c r="BJ43" s="117">
        <v>183316</v>
      </c>
      <c r="BK43" s="117">
        <v>1274</v>
      </c>
      <c r="BL43" s="119"/>
      <c r="BM43" s="118">
        <v>0</v>
      </c>
      <c r="BN43" s="131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</row>
    <row r="44" s="96" customFormat="1" ht="15.75" customHeight="1" spans="1:76">
      <c r="A44" s="111">
        <v>43</v>
      </c>
      <c r="B44" s="112" t="s">
        <v>28</v>
      </c>
      <c r="C44" s="112" t="s">
        <v>132</v>
      </c>
      <c r="D44" s="111">
        <v>2024</v>
      </c>
      <c r="E44" s="113" t="s">
        <v>38</v>
      </c>
      <c r="F44" s="114">
        <v>281350</v>
      </c>
      <c r="G44" s="114">
        <v>281350</v>
      </c>
      <c r="H44" s="114">
        <v>14065.9134</v>
      </c>
      <c r="I44" s="114">
        <v>1514</v>
      </c>
      <c r="J44" s="115">
        <v>0.00207175925925926</v>
      </c>
      <c r="K44" s="114">
        <v>29.36</v>
      </c>
      <c r="L44" s="114">
        <v>614</v>
      </c>
      <c r="M44" s="114">
        <v>3569507</v>
      </c>
      <c r="N44" s="114">
        <v>5.92</v>
      </c>
      <c r="O44" s="114">
        <v>209054</v>
      </c>
      <c r="P44" s="114">
        <v>152728</v>
      </c>
      <c r="Q44" s="114">
        <v>56326</v>
      </c>
      <c r="R44" s="114">
        <v>56326</v>
      </c>
      <c r="S44" s="114">
        <v>0</v>
      </c>
      <c r="T44" s="114">
        <v>1994</v>
      </c>
      <c r="U44" s="114">
        <v>480</v>
      </c>
      <c r="V44" s="114">
        <v>3157</v>
      </c>
      <c r="W44" s="114">
        <v>87</v>
      </c>
      <c r="X44" s="114">
        <v>1437</v>
      </c>
      <c r="Y44" s="114">
        <v>800</v>
      </c>
      <c r="Z44" s="114">
        <v>1890570</v>
      </c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>
        <v>7466</v>
      </c>
      <c r="AM44" s="114">
        <v>576.8248</v>
      </c>
      <c r="AN44" s="114"/>
      <c r="AO44" s="114">
        <v>0</v>
      </c>
      <c r="AP44" s="114"/>
      <c r="AQ44" s="114"/>
      <c r="AR44" s="114"/>
      <c r="AS44" s="114"/>
      <c r="AT44" s="114">
        <v>0</v>
      </c>
      <c r="AU44" s="114">
        <v>0</v>
      </c>
      <c r="AV44" s="114">
        <v>0</v>
      </c>
      <c r="AW44" s="114">
        <v>11</v>
      </c>
      <c r="AX44" s="114">
        <v>198</v>
      </c>
      <c r="AY44" s="114">
        <v>18955</v>
      </c>
      <c r="AZ44" s="114"/>
      <c r="BA44" s="114"/>
      <c r="BB44" s="116"/>
      <c r="BC44" s="116"/>
      <c r="BD44" s="116"/>
      <c r="BE44" s="116"/>
      <c r="BF44" s="116"/>
      <c r="BG44" s="116"/>
      <c r="BH44" s="116"/>
      <c r="BI44" s="116"/>
      <c r="BJ44" s="117">
        <v>184830</v>
      </c>
      <c r="BK44" s="117">
        <v>1514</v>
      </c>
      <c r="BL44" s="119"/>
      <c r="BM44" s="118">
        <v>0</v>
      </c>
      <c r="BN44" s="131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</row>
    <row r="45" s="96" customFormat="1" ht="15.75" customHeight="1" spans="1:76">
      <c r="A45" s="111">
        <v>44</v>
      </c>
      <c r="B45" s="112" t="s">
        <v>28</v>
      </c>
      <c r="C45" s="112" t="s">
        <v>132</v>
      </c>
      <c r="D45" s="111">
        <v>2024</v>
      </c>
      <c r="E45" s="113" t="s">
        <v>39</v>
      </c>
      <c r="F45" s="114">
        <v>215254</v>
      </c>
      <c r="G45" s="114">
        <v>215254</v>
      </c>
      <c r="H45" s="114">
        <v>8217.4372</v>
      </c>
      <c r="I45" s="114">
        <v>979</v>
      </c>
      <c r="J45" s="115">
        <v>0.00158564814814815</v>
      </c>
      <c r="K45" s="114">
        <v>28.73</v>
      </c>
      <c r="L45" s="114">
        <v>443</v>
      </c>
      <c r="M45" s="114">
        <v>2907970</v>
      </c>
      <c r="N45" s="114">
        <v>5.66</v>
      </c>
      <c r="O45" s="114">
        <v>165215</v>
      </c>
      <c r="P45" s="114">
        <v>118255</v>
      </c>
      <c r="Q45" s="114">
        <v>46960</v>
      </c>
      <c r="R45" s="114">
        <v>46960</v>
      </c>
      <c r="S45" s="114">
        <v>0</v>
      </c>
      <c r="T45" s="114">
        <v>1390</v>
      </c>
      <c r="U45" s="114">
        <v>411</v>
      </c>
      <c r="V45" s="114">
        <v>2065</v>
      </c>
      <c r="W45" s="114">
        <v>74</v>
      </c>
      <c r="X45" s="114">
        <v>1164</v>
      </c>
      <c r="Y45" s="114">
        <v>297</v>
      </c>
      <c r="Z45" s="114">
        <v>1148235</v>
      </c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>
        <v>4678</v>
      </c>
      <c r="AM45" s="114">
        <v>222.8034</v>
      </c>
      <c r="AN45" s="114"/>
      <c r="AO45" s="114">
        <v>0</v>
      </c>
      <c r="AP45" s="114"/>
      <c r="AQ45" s="114"/>
      <c r="AR45" s="114"/>
      <c r="AS45" s="114"/>
      <c r="AT45" s="114">
        <v>0</v>
      </c>
      <c r="AU45" s="114">
        <v>0</v>
      </c>
      <c r="AV45" s="114">
        <v>0</v>
      </c>
      <c r="AW45" s="114">
        <v>61</v>
      </c>
      <c r="AX45" s="114">
        <v>262</v>
      </c>
      <c r="AY45" s="114">
        <v>29626</v>
      </c>
      <c r="AZ45" s="114"/>
      <c r="BA45" s="114"/>
      <c r="BB45" s="116"/>
      <c r="BC45" s="116"/>
      <c r="BD45" s="116"/>
      <c r="BE45" s="116"/>
      <c r="BF45" s="116"/>
      <c r="BG45" s="116"/>
      <c r="BH45" s="116"/>
      <c r="BI45" s="116"/>
      <c r="BJ45" s="117">
        <v>185809</v>
      </c>
      <c r="BK45" s="133">
        <v>979</v>
      </c>
      <c r="BL45" s="119"/>
      <c r="BM45" s="118">
        <v>0</v>
      </c>
      <c r="BN45" s="131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</row>
    <row r="46" s="96" customFormat="1" ht="15.75" customHeight="1" spans="1:76">
      <c r="A46" s="111">
        <v>45</v>
      </c>
      <c r="B46" s="112" t="s">
        <v>28</v>
      </c>
      <c r="C46" s="112" t="s">
        <v>132</v>
      </c>
      <c r="D46" s="111">
        <v>2024</v>
      </c>
      <c r="E46" s="113" t="s">
        <v>40</v>
      </c>
      <c r="F46" s="114">
        <v>275141</v>
      </c>
      <c r="G46" s="114">
        <v>275141</v>
      </c>
      <c r="H46" s="114">
        <v>9607.4639</v>
      </c>
      <c r="I46" s="114">
        <v>1069</v>
      </c>
      <c r="J46" s="115">
        <v>0.00144675925925926</v>
      </c>
      <c r="K46" s="114">
        <v>21.72</v>
      </c>
      <c r="L46" s="114">
        <v>447</v>
      </c>
      <c r="M46" s="114">
        <v>3568392</v>
      </c>
      <c r="N46" s="114">
        <v>6.2</v>
      </c>
      <c r="O46" s="114">
        <v>197072</v>
      </c>
      <c r="P46" s="114">
        <v>130114</v>
      </c>
      <c r="Q46" s="114">
        <v>66958</v>
      </c>
      <c r="R46" s="114">
        <v>66958</v>
      </c>
      <c r="S46" s="114">
        <v>0</v>
      </c>
      <c r="T46" s="114">
        <v>1551</v>
      </c>
      <c r="U46" s="114">
        <v>482</v>
      </c>
      <c r="V46" s="114">
        <v>2753</v>
      </c>
      <c r="W46" s="114">
        <v>92</v>
      </c>
      <c r="X46" s="114">
        <v>1452</v>
      </c>
      <c r="Y46" s="114">
        <v>595</v>
      </c>
      <c r="Z46" s="114">
        <v>1299045</v>
      </c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>
        <v>5984</v>
      </c>
      <c r="AM46" s="114">
        <v>291.1852</v>
      </c>
      <c r="AN46" s="114">
        <v>1.6838</v>
      </c>
      <c r="AO46" s="114">
        <v>0</v>
      </c>
      <c r="AP46" s="114">
        <v>0</v>
      </c>
      <c r="AQ46" s="114">
        <v>26</v>
      </c>
      <c r="AR46" s="114"/>
      <c r="AS46" s="114">
        <v>1</v>
      </c>
      <c r="AT46" s="114">
        <v>0</v>
      </c>
      <c r="AU46" s="114">
        <v>0</v>
      </c>
      <c r="AV46" s="114">
        <v>1</v>
      </c>
      <c r="AW46" s="114">
        <v>61</v>
      </c>
      <c r="AX46" s="114">
        <v>42</v>
      </c>
      <c r="AY46" s="114">
        <v>6329</v>
      </c>
      <c r="AZ46" s="114"/>
      <c r="BA46" s="114"/>
      <c r="BB46" s="116"/>
      <c r="BC46" s="116"/>
      <c r="BD46" s="116"/>
      <c r="BE46" s="116"/>
      <c r="BF46" s="116"/>
      <c r="BG46" s="116"/>
      <c r="BH46" s="116"/>
      <c r="BI46" s="116"/>
      <c r="BJ46" s="117">
        <v>186878</v>
      </c>
      <c r="BK46" s="117">
        <v>1069</v>
      </c>
      <c r="BL46" s="119"/>
      <c r="BM46" s="118">
        <v>0</v>
      </c>
      <c r="BN46" s="131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</row>
    <row r="47" s="96" customFormat="1" ht="15.75" customHeight="1" spans="1:76">
      <c r="A47" s="111">
        <v>46</v>
      </c>
      <c r="B47" s="112" t="s">
        <v>28</v>
      </c>
      <c r="C47" s="112" t="s">
        <v>132</v>
      </c>
      <c r="D47" s="111">
        <v>2024</v>
      </c>
      <c r="E47" s="113" t="s">
        <v>41</v>
      </c>
      <c r="F47" s="114">
        <v>360456</v>
      </c>
      <c r="G47" s="114">
        <v>360456</v>
      </c>
      <c r="H47" s="114">
        <v>13629.11</v>
      </c>
      <c r="I47" s="114">
        <v>1685</v>
      </c>
      <c r="J47" s="115">
        <v>0.00157407407407407</v>
      </c>
      <c r="K47" s="114">
        <v>22.96</v>
      </c>
      <c r="L47" s="114">
        <v>520</v>
      </c>
      <c r="M47" s="114">
        <v>4730553</v>
      </c>
      <c r="N47" s="114">
        <v>6.3</v>
      </c>
      <c r="O47" s="114">
        <v>257143</v>
      </c>
      <c r="P47" s="114">
        <v>176520</v>
      </c>
      <c r="Q47" s="114">
        <v>80623</v>
      </c>
      <c r="R47" s="114">
        <v>80623</v>
      </c>
      <c r="S47" s="114">
        <v>0</v>
      </c>
      <c r="T47" s="114">
        <v>2120</v>
      </c>
      <c r="U47" s="114">
        <v>435</v>
      </c>
      <c r="V47" s="114">
        <v>3966</v>
      </c>
      <c r="W47" s="114">
        <v>148</v>
      </c>
      <c r="X47" s="114">
        <v>1873</v>
      </c>
      <c r="Y47" s="114">
        <v>1210</v>
      </c>
      <c r="Z47" s="114">
        <v>1623270</v>
      </c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>
        <v>8510</v>
      </c>
      <c r="AM47" s="114">
        <v>448.8263</v>
      </c>
      <c r="AN47" s="114"/>
      <c r="AO47" s="114">
        <v>0</v>
      </c>
      <c r="AP47" s="114"/>
      <c r="AQ47" s="114"/>
      <c r="AR47" s="114">
        <v>1</v>
      </c>
      <c r="AS47" s="114">
        <v>1</v>
      </c>
      <c r="AT47" s="114">
        <v>0</v>
      </c>
      <c r="AU47" s="114">
        <v>0</v>
      </c>
      <c r="AV47" s="114">
        <v>2</v>
      </c>
      <c r="AW47" s="114">
        <v>62</v>
      </c>
      <c r="AX47" s="114">
        <v>27</v>
      </c>
      <c r="AY47" s="114">
        <v>6360</v>
      </c>
      <c r="AZ47" s="114"/>
      <c r="BA47" s="114"/>
      <c r="BB47" s="116"/>
      <c r="BC47" s="116"/>
      <c r="BD47" s="116"/>
      <c r="BE47" s="116"/>
      <c r="BF47" s="116"/>
      <c r="BG47" s="116"/>
      <c r="BH47" s="116"/>
      <c r="BI47" s="116"/>
      <c r="BJ47" s="117">
        <v>188563</v>
      </c>
      <c r="BK47" s="117">
        <v>1685</v>
      </c>
      <c r="BL47" s="119"/>
      <c r="BM47" s="118">
        <v>0</v>
      </c>
      <c r="BN47" s="131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</row>
    <row r="48" s="96" customFormat="1" ht="15.75" customHeight="1" spans="1:76">
      <c r="A48" s="111">
        <v>47</v>
      </c>
      <c r="B48" s="112" t="s">
        <v>28</v>
      </c>
      <c r="C48" s="112" t="s">
        <v>132</v>
      </c>
      <c r="D48" s="111">
        <v>2024</v>
      </c>
      <c r="E48" s="113" t="s">
        <v>42</v>
      </c>
      <c r="F48" s="114">
        <v>1320341</v>
      </c>
      <c r="G48" s="114">
        <v>1320341</v>
      </c>
      <c r="H48" s="114">
        <v>59190.4646</v>
      </c>
      <c r="I48" s="114">
        <v>8445</v>
      </c>
      <c r="J48" s="115">
        <v>0.00186342592592593</v>
      </c>
      <c r="K48" s="114">
        <v>15.82</v>
      </c>
      <c r="L48" s="114">
        <v>611</v>
      </c>
      <c r="M48" s="114">
        <v>14486390</v>
      </c>
      <c r="N48" s="114">
        <v>7.92</v>
      </c>
      <c r="O48" s="114">
        <v>948774</v>
      </c>
      <c r="P48" s="114">
        <v>776382</v>
      </c>
      <c r="Q48" s="114">
        <v>172392</v>
      </c>
      <c r="R48" s="114">
        <v>172392</v>
      </c>
      <c r="S48" s="114">
        <v>0</v>
      </c>
      <c r="T48" s="114">
        <v>9132</v>
      </c>
      <c r="U48" s="114">
        <v>687</v>
      </c>
      <c r="V48" s="114">
        <v>13549</v>
      </c>
      <c r="W48" s="114">
        <v>332</v>
      </c>
      <c r="X48" s="114">
        <v>5410</v>
      </c>
      <c r="Y48" s="114">
        <v>3611</v>
      </c>
      <c r="Z48" s="114">
        <v>7030980</v>
      </c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>
        <v>28675</v>
      </c>
      <c r="AM48" s="114">
        <v>1725.1104</v>
      </c>
      <c r="AN48" s="114">
        <v>236.6187</v>
      </c>
      <c r="AO48" s="114">
        <v>0</v>
      </c>
      <c r="AP48" s="114">
        <v>431</v>
      </c>
      <c r="AQ48" s="114">
        <v>754</v>
      </c>
      <c r="AR48" s="114">
        <v>3</v>
      </c>
      <c r="AS48" s="114">
        <v>2169</v>
      </c>
      <c r="AT48" s="114">
        <v>0</v>
      </c>
      <c r="AU48" s="114">
        <v>0</v>
      </c>
      <c r="AV48" s="114">
        <v>2</v>
      </c>
      <c r="AW48" s="114">
        <v>135</v>
      </c>
      <c r="AX48" s="114">
        <v>20</v>
      </c>
      <c r="AY48" s="114">
        <v>5979</v>
      </c>
      <c r="AZ48" s="114"/>
      <c r="BA48" s="114"/>
      <c r="BB48" s="116"/>
      <c r="BC48" s="116"/>
      <c r="BD48" s="116"/>
      <c r="BE48" s="116"/>
      <c r="BF48" s="116"/>
      <c r="BG48" s="116"/>
      <c r="BH48" s="116"/>
      <c r="BI48" s="116"/>
      <c r="BJ48" s="117">
        <v>197008</v>
      </c>
      <c r="BK48" s="117">
        <v>8445</v>
      </c>
      <c r="BL48" s="119"/>
      <c r="BM48" s="118">
        <v>0</v>
      </c>
      <c r="BN48" s="131"/>
      <c r="BO48" s="119"/>
      <c r="BP48" s="119"/>
      <c r="BQ48" s="119"/>
      <c r="BR48" s="119"/>
      <c r="BS48" s="119"/>
      <c r="BT48" s="119"/>
      <c r="BU48" s="119"/>
      <c r="BV48" s="119"/>
      <c r="BW48" s="119"/>
      <c r="BX48" s="119"/>
    </row>
    <row r="49" s="96" customFormat="1" ht="15.75" customHeight="1" spans="1:76">
      <c r="A49" s="111">
        <v>48</v>
      </c>
      <c r="B49" s="112" t="s">
        <v>28</v>
      </c>
      <c r="C49" s="112" t="s">
        <v>132</v>
      </c>
      <c r="D49" s="111">
        <v>2024</v>
      </c>
      <c r="E49" s="113" t="s">
        <v>43</v>
      </c>
      <c r="F49" s="114">
        <v>417853</v>
      </c>
      <c r="G49" s="114">
        <v>417853</v>
      </c>
      <c r="H49" s="114">
        <v>19225.1544</v>
      </c>
      <c r="I49" s="114">
        <v>2222</v>
      </c>
      <c r="J49" s="115">
        <v>0.00190972222222222</v>
      </c>
      <c r="K49" s="114">
        <v>28.12</v>
      </c>
      <c r="L49" s="114">
        <v>547</v>
      </c>
      <c r="M49" s="114">
        <v>5478108</v>
      </c>
      <c r="N49" s="114">
        <v>6.31</v>
      </c>
      <c r="O49" s="114">
        <v>312515</v>
      </c>
      <c r="P49" s="114">
        <v>234968</v>
      </c>
      <c r="Q49" s="114">
        <v>77547</v>
      </c>
      <c r="R49" s="114">
        <v>77547</v>
      </c>
      <c r="S49" s="114">
        <v>0</v>
      </c>
      <c r="T49" s="114">
        <v>2721</v>
      </c>
      <c r="U49" s="114">
        <v>499</v>
      </c>
      <c r="V49" s="114">
        <v>4107</v>
      </c>
      <c r="W49" s="114">
        <v>123</v>
      </c>
      <c r="X49" s="114">
        <v>1742</v>
      </c>
      <c r="Y49" s="114">
        <v>821</v>
      </c>
      <c r="Z49" s="114">
        <v>2351415</v>
      </c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>
        <v>9343</v>
      </c>
      <c r="AM49" s="114">
        <v>498.0577</v>
      </c>
      <c r="AN49" s="114"/>
      <c r="AO49" s="114">
        <v>0</v>
      </c>
      <c r="AP49" s="114"/>
      <c r="AQ49" s="114"/>
      <c r="AR49" s="114"/>
      <c r="AS49" s="114">
        <v>19</v>
      </c>
      <c r="AT49" s="114">
        <v>0</v>
      </c>
      <c r="AU49" s="114">
        <v>0</v>
      </c>
      <c r="AV49" s="114">
        <v>0</v>
      </c>
      <c r="AW49" s="114">
        <v>60</v>
      </c>
      <c r="AX49" s="114">
        <v>25</v>
      </c>
      <c r="AY49" s="114">
        <v>4923</v>
      </c>
      <c r="AZ49" s="114"/>
      <c r="BA49" s="114"/>
      <c r="BB49" s="116"/>
      <c r="BC49" s="116"/>
      <c r="BD49" s="116"/>
      <c r="BE49" s="116"/>
      <c r="BF49" s="116"/>
      <c r="BG49" s="116"/>
      <c r="BH49" s="116"/>
      <c r="BI49" s="116"/>
      <c r="BJ49" s="117">
        <v>199230</v>
      </c>
      <c r="BK49" s="117">
        <v>2222</v>
      </c>
      <c r="BL49" s="119"/>
      <c r="BM49" s="118">
        <v>0</v>
      </c>
      <c r="BN49" s="131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</row>
    <row r="50" s="96" customFormat="1" ht="15.75" customHeight="1" spans="1:76">
      <c r="A50" s="111">
        <v>49</v>
      </c>
      <c r="B50" s="112" t="s">
        <v>28</v>
      </c>
      <c r="C50" s="112" t="s">
        <v>132</v>
      </c>
      <c r="D50" s="111">
        <v>2025</v>
      </c>
      <c r="E50" s="113" t="s">
        <v>31</v>
      </c>
      <c r="F50" s="114">
        <v>333969</v>
      </c>
      <c r="G50" s="114">
        <v>333969</v>
      </c>
      <c r="H50" s="114">
        <v>14107.3838</v>
      </c>
      <c r="I50" s="114">
        <v>1470</v>
      </c>
      <c r="J50" s="115">
        <v>0.00175925925925926</v>
      </c>
      <c r="K50" s="114">
        <v>22.42</v>
      </c>
      <c r="L50" s="114">
        <v>595</v>
      </c>
      <c r="M50" s="114">
        <v>4632591</v>
      </c>
      <c r="N50" s="114">
        <v>5.69</v>
      </c>
      <c r="O50" s="114">
        <v>234231</v>
      </c>
      <c r="P50" s="114">
        <v>141332</v>
      </c>
      <c r="Q50" s="114">
        <v>92899</v>
      </c>
      <c r="R50" s="114">
        <v>92899</v>
      </c>
      <c r="S50" s="114">
        <v>0</v>
      </c>
      <c r="T50" s="114">
        <v>1961</v>
      </c>
      <c r="U50" s="114">
        <v>491</v>
      </c>
      <c r="V50" s="114">
        <v>3469</v>
      </c>
      <c r="W50" s="114">
        <v>99</v>
      </c>
      <c r="X50" s="114">
        <v>2915</v>
      </c>
      <c r="Y50" s="114">
        <v>841</v>
      </c>
      <c r="Z50" s="114">
        <v>1571130</v>
      </c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>
        <v>9155</v>
      </c>
      <c r="AM50" s="114">
        <v>510.3401</v>
      </c>
      <c r="AN50" s="114"/>
      <c r="AO50" s="114">
        <v>-3</v>
      </c>
      <c r="AP50" s="114"/>
      <c r="AQ50" s="114"/>
      <c r="AR50" s="114"/>
      <c r="AS50" s="114">
        <v>427</v>
      </c>
      <c r="AT50" s="114">
        <v>0</v>
      </c>
      <c r="AU50" s="114">
        <v>0</v>
      </c>
      <c r="AV50" s="114">
        <v>0</v>
      </c>
      <c r="AW50" s="114">
        <v>144</v>
      </c>
      <c r="AX50" s="114">
        <v>49</v>
      </c>
      <c r="AY50" s="114">
        <v>9373</v>
      </c>
      <c r="AZ50" s="114"/>
      <c r="BA50" s="114"/>
      <c r="BB50" s="116"/>
      <c r="BC50" s="116"/>
      <c r="BD50" s="116"/>
      <c r="BE50" s="116"/>
      <c r="BF50" s="116"/>
      <c r="BG50" s="116"/>
      <c r="BH50" s="116"/>
      <c r="BI50" s="116"/>
      <c r="BJ50" s="117">
        <v>200700</v>
      </c>
      <c r="BK50" s="117">
        <v>1470</v>
      </c>
      <c r="BL50" s="117">
        <v>200119</v>
      </c>
      <c r="BM50" s="118">
        <v>0</v>
      </c>
      <c r="BN50" s="131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</row>
    <row r="51" s="96" customFormat="1" ht="15.75" customHeight="1" spans="1:76">
      <c r="A51" s="111">
        <v>50</v>
      </c>
      <c r="B51" s="112" t="s">
        <v>28</v>
      </c>
      <c r="C51" s="112" t="s">
        <v>132</v>
      </c>
      <c r="D51" s="111">
        <v>2025</v>
      </c>
      <c r="E51" s="113" t="s">
        <v>33</v>
      </c>
      <c r="F51" s="114">
        <v>323524</v>
      </c>
      <c r="G51" s="114">
        <v>323524</v>
      </c>
      <c r="H51" s="114">
        <v>15144.1843</v>
      </c>
      <c r="I51" s="114">
        <v>1412</v>
      </c>
      <c r="J51" s="115">
        <v>0.00194444444444444</v>
      </c>
      <c r="K51" s="114">
        <v>22.3</v>
      </c>
      <c r="L51" s="114">
        <v>592</v>
      </c>
      <c r="M51" s="114">
        <v>3819095</v>
      </c>
      <c r="N51" s="114">
        <v>6.38</v>
      </c>
      <c r="O51" s="114">
        <v>220307</v>
      </c>
      <c r="P51" s="114">
        <v>131658</v>
      </c>
      <c r="Q51" s="114">
        <v>88649</v>
      </c>
      <c r="R51" s="114">
        <v>88649</v>
      </c>
      <c r="S51" s="114">
        <v>0</v>
      </c>
      <c r="T51" s="114">
        <v>1780</v>
      </c>
      <c r="U51" s="114">
        <v>368</v>
      </c>
      <c r="V51" s="114">
        <v>3479</v>
      </c>
      <c r="W51" s="114">
        <v>68</v>
      </c>
      <c r="X51" s="114">
        <v>2098</v>
      </c>
      <c r="Y51" s="114">
        <v>1014</v>
      </c>
      <c r="Z51" s="114">
        <v>1698510</v>
      </c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>
        <v>9176</v>
      </c>
      <c r="AM51" s="114">
        <v>491.7212</v>
      </c>
      <c r="AN51" s="114"/>
      <c r="AO51" s="114">
        <v>0</v>
      </c>
      <c r="AP51" s="114"/>
      <c r="AQ51" s="114"/>
      <c r="AR51" s="114"/>
      <c r="AS51" s="114">
        <v>1</v>
      </c>
      <c r="AT51" s="114">
        <v>0</v>
      </c>
      <c r="AU51" s="114">
        <v>0</v>
      </c>
      <c r="AV51" s="114">
        <v>0</v>
      </c>
      <c r="AW51" s="114">
        <v>47</v>
      </c>
      <c r="AX51" s="114">
        <v>35</v>
      </c>
      <c r="AY51" s="114">
        <v>6633</v>
      </c>
      <c r="AZ51" s="114"/>
      <c r="BA51" s="114"/>
      <c r="BB51" s="116"/>
      <c r="BC51" s="116"/>
      <c r="BD51" s="116"/>
      <c r="BE51" s="116"/>
      <c r="BF51" s="116"/>
      <c r="BG51" s="116"/>
      <c r="BH51" s="116"/>
      <c r="BI51" s="116"/>
      <c r="BJ51" s="117">
        <v>202112</v>
      </c>
      <c r="BK51" s="117">
        <v>1412</v>
      </c>
      <c r="BL51" s="117">
        <v>148541</v>
      </c>
      <c r="BM51" s="118">
        <v>0</v>
      </c>
      <c r="BN51" s="131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</row>
    <row r="52" s="96" customFormat="1" ht="15.75" customHeight="1" spans="1:76">
      <c r="A52" s="111">
        <v>51</v>
      </c>
      <c r="B52" s="112" t="s">
        <v>28</v>
      </c>
      <c r="C52" s="112" t="s">
        <v>132</v>
      </c>
      <c r="D52" s="111">
        <v>2025</v>
      </c>
      <c r="E52" s="113" t="s">
        <v>34</v>
      </c>
      <c r="F52" s="114">
        <v>297401</v>
      </c>
      <c r="G52" s="114">
        <v>297334</v>
      </c>
      <c r="H52" s="114">
        <v>12107.9774</v>
      </c>
      <c r="I52" s="114">
        <v>950</v>
      </c>
      <c r="J52" s="115">
        <v>0.00168981481481481</v>
      </c>
      <c r="K52" s="114">
        <v>16.19</v>
      </c>
      <c r="L52" s="114">
        <v>591</v>
      </c>
      <c r="M52" s="114">
        <v>3478251</v>
      </c>
      <c r="N52" s="114">
        <v>6.62</v>
      </c>
      <c r="O52" s="114">
        <v>216037</v>
      </c>
      <c r="P52" s="114">
        <v>139123</v>
      </c>
      <c r="Q52" s="114">
        <v>76856</v>
      </c>
      <c r="R52" s="114">
        <v>72348</v>
      </c>
      <c r="S52" s="114">
        <v>4508</v>
      </c>
      <c r="T52" s="114">
        <v>1417</v>
      </c>
      <c r="U52" s="114">
        <v>467</v>
      </c>
      <c r="V52" s="114">
        <v>2729</v>
      </c>
      <c r="W52" s="114">
        <v>62</v>
      </c>
      <c r="X52" s="114">
        <v>1490</v>
      </c>
      <c r="Y52" s="114">
        <v>676</v>
      </c>
      <c r="Z52" s="114">
        <v>1548360</v>
      </c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>
        <v>5971</v>
      </c>
      <c r="AM52" s="114">
        <v>279.8031</v>
      </c>
      <c r="AN52" s="114"/>
      <c r="AO52" s="114">
        <v>0</v>
      </c>
      <c r="AP52" s="114"/>
      <c r="AQ52" s="114"/>
      <c r="AR52" s="114"/>
      <c r="AS52" s="114">
        <v>4</v>
      </c>
      <c r="AT52" s="114">
        <v>0</v>
      </c>
      <c r="AU52" s="114">
        <v>0</v>
      </c>
      <c r="AV52" s="114">
        <v>0</v>
      </c>
      <c r="AW52" s="114">
        <v>86</v>
      </c>
      <c r="AX52" s="114">
        <v>25</v>
      </c>
      <c r="AY52" s="114">
        <v>5917</v>
      </c>
      <c r="AZ52" s="114"/>
      <c r="BA52" s="114"/>
      <c r="BB52" s="116"/>
      <c r="BC52" s="116"/>
      <c r="BD52" s="116"/>
      <c r="BE52" s="116"/>
      <c r="BF52" s="116"/>
      <c r="BG52" s="116"/>
      <c r="BH52" s="116"/>
      <c r="BI52" s="116"/>
      <c r="BJ52" s="117">
        <v>203062</v>
      </c>
      <c r="BK52" s="133">
        <v>950</v>
      </c>
      <c r="BL52" s="117">
        <v>229237</v>
      </c>
      <c r="BM52" s="118">
        <v>0</v>
      </c>
      <c r="BN52" s="131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</row>
    <row r="53" s="96" customFormat="1" ht="15.75" customHeight="1" spans="1:76">
      <c r="A53" s="111">
        <v>52</v>
      </c>
      <c r="B53" s="112" t="s">
        <v>28</v>
      </c>
      <c r="C53" s="112" t="s">
        <v>132</v>
      </c>
      <c r="D53" s="111">
        <v>2025</v>
      </c>
      <c r="E53" s="113" t="s">
        <v>35</v>
      </c>
      <c r="F53" s="114">
        <v>379431</v>
      </c>
      <c r="G53" s="114">
        <v>373795</v>
      </c>
      <c r="H53" s="114">
        <v>18110.1391</v>
      </c>
      <c r="I53" s="114">
        <v>1720</v>
      </c>
      <c r="J53" s="115">
        <v>0.00201388888888889</v>
      </c>
      <c r="K53" s="114">
        <v>16.57</v>
      </c>
      <c r="L53" s="114">
        <v>611</v>
      </c>
      <c r="M53" s="114">
        <v>4717516</v>
      </c>
      <c r="N53" s="114">
        <v>5.75</v>
      </c>
      <c r="O53" s="114">
        <v>264153</v>
      </c>
      <c r="P53" s="114">
        <v>163463</v>
      </c>
      <c r="Q53" s="114">
        <v>100543</v>
      </c>
      <c r="R53" s="114">
        <v>89026</v>
      </c>
      <c r="S53" s="114">
        <v>11517</v>
      </c>
      <c r="T53" s="114">
        <v>2200</v>
      </c>
      <c r="U53" s="114">
        <v>480</v>
      </c>
      <c r="V53" s="114">
        <v>3740</v>
      </c>
      <c r="W53" s="114">
        <v>94</v>
      </c>
      <c r="X53" s="114">
        <v>1857</v>
      </c>
      <c r="Y53" s="114">
        <v>1098</v>
      </c>
      <c r="Z53" s="114">
        <v>1653300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>
        <v>9225</v>
      </c>
      <c r="AM53" s="114">
        <v>608.1818</v>
      </c>
      <c r="AN53" s="114">
        <v>22.6751</v>
      </c>
      <c r="AO53" s="114">
        <v>1</v>
      </c>
      <c r="AP53" s="114">
        <v>5</v>
      </c>
      <c r="AQ53" s="114">
        <v>0</v>
      </c>
      <c r="AR53" s="114"/>
      <c r="AS53" s="114">
        <v>19</v>
      </c>
      <c r="AT53" s="114">
        <v>0</v>
      </c>
      <c r="AU53" s="114">
        <v>0</v>
      </c>
      <c r="AV53" s="114">
        <v>0</v>
      </c>
      <c r="AW53" s="114">
        <v>43</v>
      </c>
      <c r="AX53" s="114">
        <v>20</v>
      </c>
      <c r="AY53" s="114">
        <v>3921</v>
      </c>
      <c r="AZ53" s="114"/>
      <c r="BA53" s="114"/>
      <c r="BB53" s="116"/>
      <c r="BC53" s="116"/>
      <c r="BD53" s="116"/>
      <c r="BE53" s="116"/>
      <c r="BF53" s="116"/>
      <c r="BG53" s="116"/>
      <c r="BH53" s="116"/>
      <c r="BI53" s="116"/>
      <c r="BJ53" s="117">
        <v>204782</v>
      </c>
      <c r="BK53" s="117">
        <v>1720</v>
      </c>
      <c r="BL53" s="117">
        <v>229237</v>
      </c>
      <c r="BM53" s="118">
        <v>0</v>
      </c>
      <c r="BN53" s="118">
        <v>0</v>
      </c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</row>
    <row r="54" s="96" customFormat="1" ht="15.75" customHeight="1" spans="1:76">
      <c r="A54" s="111">
        <v>53</v>
      </c>
      <c r="B54" s="112" t="s">
        <v>28</v>
      </c>
      <c r="C54" s="112" t="s">
        <v>132</v>
      </c>
      <c r="D54" s="111">
        <v>2025</v>
      </c>
      <c r="E54" s="113" t="s">
        <v>36</v>
      </c>
      <c r="F54" s="114">
        <v>287019</v>
      </c>
      <c r="G54" s="114">
        <v>283426</v>
      </c>
      <c r="H54" s="114">
        <v>10120.9436</v>
      </c>
      <c r="I54" s="114">
        <v>963</v>
      </c>
      <c r="J54" s="115">
        <v>0.00148148148148148</v>
      </c>
      <c r="K54" s="114">
        <v>19.1</v>
      </c>
      <c r="L54" s="114">
        <v>782</v>
      </c>
      <c r="M54" s="114">
        <v>3535740</v>
      </c>
      <c r="N54" s="114">
        <v>5.46</v>
      </c>
      <c r="O54" s="114">
        <v>198387</v>
      </c>
      <c r="P54" s="114">
        <v>123713</v>
      </c>
      <c r="Q54" s="114">
        <v>74674</v>
      </c>
      <c r="R54" s="114">
        <v>64129</v>
      </c>
      <c r="S54" s="114">
        <v>10545</v>
      </c>
      <c r="T54" s="114">
        <v>1465</v>
      </c>
      <c r="U54" s="114">
        <v>502</v>
      </c>
      <c r="V54" s="114">
        <v>2942</v>
      </c>
      <c r="W54" s="114">
        <v>62</v>
      </c>
      <c r="X54" s="114">
        <v>1810</v>
      </c>
      <c r="Y54" s="114">
        <v>716</v>
      </c>
      <c r="Z54" s="114">
        <v>723835.682</v>
      </c>
      <c r="AA54" s="114">
        <v>0</v>
      </c>
      <c r="AB54" s="114">
        <v>0</v>
      </c>
      <c r="AC54" s="114">
        <v>32057.677</v>
      </c>
      <c r="AD54" s="114">
        <v>690200.165</v>
      </c>
      <c r="AE54" s="114">
        <v>1254906.881</v>
      </c>
      <c r="AF54" s="114">
        <v>106058</v>
      </c>
      <c r="AG54" s="114">
        <v>11832.27</v>
      </c>
      <c r="AH54" s="114">
        <v>93654</v>
      </c>
      <c r="AI54" s="114">
        <v>2553.875</v>
      </c>
      <c r="AJ54" s="114">
        <v>0</v>
      </c>
      <c r="AK54" s="114">
        <v>0</v>
      </c>
      <c r="AL54" s="114">
        <v>6613</v>
      </c>
      <c r="AM54" s="114">
        <v>290.2236</v>
      </c>
      <c r="AN54" s="114"/>
      <c r="AO54" s="114">
        <v>-1</v>
      </c>
      <c r="AP54" s="114"/>
      <c r="AQ54" s="114"/>
      <c r="AR54" s="114">
        <v>2</v>
      </c>
      <c r="AS54" s="114">
        <v>1263</v>
      </c>
      <c r="AT54" s="114">
        <v>0</v>
      </c>
      <c r="AU54" s="114">
        <v>0</v>
      </c>
      <c r="AV54" s="114">
        <v>0</v>
      </c>
      <c r="AW54" s="114">
        <v>11</v>
      </c>
      <c r="AX54" s="114">
        <v>11</v>
      </c>
      <c r="AY54" s="114">
        <v>3937</v>
      </c>
      <c r="AZ54" s="114"/>
      <c r="BA54" s="114"/>
      <c r="BB54" s="116"/>
      <c r="BC54" s="116"/>
      <c r="BD54" s="116"/>
      <c r="BE54" s="116"/>
      <c r="BF54" s="116"/>
      <c r="BG54" s="116"/>
      <c r="BH54" s="116"/>
      <c r="BI54" s="116"/>
      <c r="BJ54" s="117">
        <v>205745</v>
      </c>
      <c r="BK54" s="133">
        <v>963</v>
      </c>
      <c r="BL54" s="117">
        <v>137955</v>
      </c>
      <c r="BM54" s="118">
        <v>459680</v>
      </c>
      <c r="BN54" s="118">
        <v>27.04</v>
      </c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</row>
    <row r="55" s="96" customFormat="1" ht="15.75" customHeight="1" spans="1:76">
      <c r="A55" s="111">
        <v>54</v>
      </c>
      <c r="B55" s="112" t="s">
        <v>28</v>
      </c>
      <c r="C55" s="112" t="s">
        <v>132</v>
      </c>
      <c r="D55" s="111">
        <v>2025</v>
      </c>
      <c r="E55" s="113" t="s">
        <v>37</v>
      </c>
      <c r="F55" s="114">
        <v>573172</v>
      </c>
      <c r="G55" s="114">
        <v>569097</v>
      </c>
      <c r="H55" s="114">
        <v>24256.8674</v>
      </c>
      <c r="I55" s="114">
        <v>3774</v>
      </c>
      <c r="J55" s="115">
        <v>0.00177083333333333</v>
      </c>
      <c r="K55" s="114">
        <v>26.66</v>
      </c>
      <c r="L55" s="114">
        <v>597</v>
      </c>
      <c r="M55" s="114">
        <v>6183936</v>
      </c>
      <c r="N55" s="114">
        <v>7.27</v>
      </c>
      <c r="O55" s="114">
        <v>433916</v>
      </c>
      <c r="P55" s="114">
        <v>294777</v>
      </c>
      <c r="Q55" s="114">
        <v>139139</v>
      </c>
      <c r="R55" s="114">
        <v>126231</v>
      </c>
      <c r="S55" s="114">
        <v>12908</v>
      </c>
      <c r="T55" s="114">
        <v>4265</v>
      </c>
      <c r="U55" s="114">
        <v>491</v>
      </c>
      <c r="V55" s="114">
        <v>6636</v>
      </c>
      <c r="W55" s="114">
        <v>188</v>
      </c>
      <c r="X55" s="114">
        <v>1595</v>
      </c>
      <c r="Y55" s="114">
        <v>2199</v>
      </c>
      <c r="Z55" s="114">
        <v>2033725.459</v>
      </c>
      <c r="AA55" s="114">
        <v>0</v>
      </c>
      <c r="AB55" s="114">
        <v>0</v>
      </c>
      <c r="AC55" s="114">
        <v>81777.858</v>
      </c>
      <c r="AD55" s="114">
        <v>1949342.145</v>
      </c>
      <c r="AE55" s="114">
        <v>3544625.934</v>
      </c>
      <c r="AF55" s="114">
        <v>367695</v>
      </c>
      <c r="AG55" s="114">
        <v>9640.125</v>
      </c>
      <c r="AH55" s="114">
        <v>334591</v>
      </c>
      <c r="AI55" s="114">
        <v>3573.602</v>
      </c>
      <c r="AJ55" s="114">
        <v>0</v>
      </c>
      <c r="AK55" s="114">
        <v>0</v>
      </c>
      <c r="AL55" s="114">
        <v>11478</v>
      </c>
      <c r="AM55" s="114">
        <v>530.7868</v>
      </c>
      <c r="AN55" s="114"/>
      <c r="AO55" s="114">
        <v>0</v>
      </c>
      <c r="AP55" s="114"/>
      <c r="AQ55" s="114"/>
      <c r="AR55" s="114"/>
      <c r="AS55" s="114">
        <v>12</v>
      </c>
      <c r="AT55" s="114">
        <v>0</v>
      </c>
      <c r="AU55" s="114">
        <v>0</v>
      </c>
      <c r="AV55" s="114">
        <v>0</v>
      </c>
      <c r="AW55" s="114">
        <v>6</v>
      </c>
      <c r="AX55" s="114">
        <v>20</v>
      </c>
      <c r="AY55" s="114">
        <v>3404</v>
      </c>
      <c r="AZ55" s="114"/>
      <c r="BA55" s="114"/>
      <c r="BB55" s="116"/>
      <c r="BC55" s="116"/>
      <c r="BD55" s="116"/>
      <c r="BE55" s="116"/>
      <c r="BF55" s="116"/>
      <c r="BG55" s="116"/>
      <c r="BH55" s="116"/>
      <c r="BI55" s="116"/>
      <c r="BJ55" s="117">
        <v>209519</v>
      </c>
      <c r="BK55" s="117">
        <v>3774</v>
      </c>
      <c r="BL55" s="117">
        <v>450988</v>
      </c>
      <c r="BM55" s="118">
        <v>1707140</v>
      </c>
      <c r="BN55" s="118">
        <v>100.42</v>
      </c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</row>
    <row r="56" s="96" customFormat="1" ht="15.75" customHeight="1" spans="1:76">
      <c r="A56" s="111">
        <v>55</v>
      </c>
      <c r="B56" s="112" t="s">
        <v>28</v>
      </c>
      <c r="C56" s="112" t="s">
        <v>132</v>
      </c>
      <c r="D56" s="111">
        <v>2025</v>
      </c>
      <c r="E56" s="113" t="s">
        <v>38</v>
      </c>
      <c r="F56" s="114">
        <v>398691</v>
      </c>
      <c r="G56" s="114">
        <v>344426</v>
      </c>
      <c r="H56" s="114">
        <v>11631.2851</v>
      </c>
      <c r="I56" s="114">
        <v>1443</v>
      </c>
      <c r="J56" s="115">
        <v>0.00140046296296296</v>
      </c>
      <c r="K56" s="114">
        <v>19.15</v>
      </c>
      <c r="L56" s="114">
        <v>897</v>
      </c>
      <c r="M56" s="114">
        <v>4216451</v>
      </c>
      <c r="N56" s="114">
        <v>5.73</v>
      </c>
      <c r="O56" s="114">
        <v>227248</v>
      </c>
      <c r="P56" s="114">
        <v>136522</v>
      </c>
      <c r="Q56" s="114">
        <v>90726</v>
      </c>
      <c r="R56" s="114">
        <v>77941</v>
      </c>
      <c r="S56" s="114">
        <v>12785</v>
      </c>
      <c r="T56" s="114">
        <v>1890</v>
      </c>
      <c r="U56" s="114">
        <v>447</v>
      </c>
      <c r="V56" s="114">
        <v>3807</v>
      </c>
      <c r="W56" s="114">
        <v>110</v>
      </c>
      <c r="X56" s="114">
        <v>1464</v>
      </c>
      <c r="Y56" s="114">
        <v>683</v>
      </c>
      <c r="Z56" s="114">
        <v>1379478.515</v>
      </c>
      <c r="AA56" s="114">
        <v>0</v>
      </c>
      <c r="AB56" s="114">
        <v>0</v>
      </c>
      <c r="AC56" s="114">
        <v>80035.373</v>
      </c>
      <c r="AD56" s="114">
        <v>1288081.754</v>
      </c>
      <c r="AE56" s="114">
        <v>2360825.784</v>
      </c>
      <c r="AF56" s="114">
        <v>193790</v>
      </c>
      <c r="AG56" s="114">
        <v>12182.392</v>
      </c>
      <c r="AH56" s="114">
        <v>166952</v>
      </c>
      <c r="AI56" s="114">
        <v>4005.158</v>
      </c>
      <c r="AJ56" s="114">
        <v>0</v>
      </c>
      <c r="AK56" s="114">
        <v>0</v>
      </c>
      <c r="AL56" s="114">
        <v>12967</v>
      </c>
      <c r="AM56" s="114">
        <v>571.8377</v>
      </c>
      <c r="AN56" s="114">
        <v>0.7352</v>
      </c>
      <c r="AO56" s="114">
        <v>6</v>
      </c>
      <c r="AP56" s="114">
        <v>0</v>
      </c>
      <c r="AQ56" s="114">
        <v>0</v>
      </c>
      <c r="AR56" s="114">
        <v>1</v>
      </c>
      <c r="AS56" s="114">
        <v>1070</v>
      </c>
      <c r="AT56" s="114">
        <v>0</v>
      </c>
      <c r="AU56" s="114">
        <v>0</v>
      </c>
      <c r="AV56" s="114">
        <v>0</v>
      </c>
      <c r="AW56" s="114">
        <v>22</v>
      </c>
      <c r="AX56" s="114">
        <v>10</v>
      </c>
      <c r="AY56" s="114">
        <v>3316</v>
      </c>
      <c r="AZ56" s="114"/>
      <c r="BA56" s="114"/>
      <c r="BB56" s="116"/>
      <c r="BC56" s="116"/>
      <c r="BD56" s="116"/>
      <c r="BE56" s="116"/>
      <c r="BF56" s="116"/>
      <c r="BG56" s="116"/>
      <c r="BH56" s="116"/>
      <c r="BI56" s="116"/>
      <c r="BJ56" s="117">
        <v>210962</v>
      </c>
      <c r="BK56" s="117">
        <v>1443</v>
      </c>
      <c r="BL56" s="117">
        <v>300526</v>
      </c>
      <c r="BM56" s="118">
        <v>1120470</v>
      </c>
      <c r="BN56" s="118">
        <v>65.91</v>
      </c>
      <c r="BO56" s="120">
        <v>0.793</v>
      </c>
      <c r="BP56" s="120">
        <v>0.207</v>
      </c>
      <c r="BQ56" s="119"/>
      <c r="BR56" s="120">
        <v>0.014</v>
      </c>
      <c r="BS56" s="120">
        <v>0.087</v>
      </c>
      <c r="BT56" s="120">
        <v>0.325</v>
      </c>
      <c r="BU56" s="120">
        <v>0.254</v>
      </c>
      <c r="BV56" s="120">
        <v>0.175</v>
      </c>
      <c r="BW56" s="120">
        <v>0.098</v>
      </c>
      <c r="BX56" s="120">
        <v>0.047</v>
      </c>
    </row>
    <row r="57" s="96" customFormat="1" ht="15.75" customHeight="1" spans="1:76">
      <c r="A57" s="111">
        <v>56</v>
      </c>
      <c r="B57" s="112" t="s">
        <v>28</v>
      </c>
      <c r="C57" s="112" t="s">
        <v>132</v>
      </c>
      <c r="D57" s="111">
        <v>2025</v>
      </c>
      <c r="E57" s="113" t="s">
        <v>39</v>
      </c>
      <c r="F57" s="114">
        <v>473865</v>
      </c>
      <c r="G57" s="114">
        <v>355996</v>
      </c>
      <c r="H57" s="114">
        <v>12303.7637</v>
      </c>
      <c r="I57" s="114">
        <v>1319</v>
      </c>
      <c r="J57" s="115">
        <v>0.00142361111111111</v>
      </c>
      <c r="K57" s="114">
        <v>18.66</v>
      </c>
      <c r="L57" s="114">
        <v>571</v>
      </c>
      <c r="M57" s="114">
        <v>4098401</v>
      </c>
      <c r="N57" s="114">
        <v>5.56</v>
      </c>
      <c r="O57" s="114">
        <v>226349</v>
      </c>
      <c r="P57" s="114">
        <v>129112</v>
      </c>
      <c r="Q57" s="114">
        <v>97237</v>
      </c>
      <c r="R57" s="114">
        <v>82932</v>
      </c>
      <c r="S57" s="114">
        <v>14305</v>
      </c>
      <c r="T57" s="114">
        <v>1702</v>
      </c>
      <c r="U57" s="114">
        <v>383</v>
      </c>
      <c r="V57" s="114">
        <v>4865</v>
      </c>
      <c r="W57" s="114">
        <v>143</v>
      </c>
      <c r="X57" s="114">
        <v>1965</v>
      </c>
      <c r="Y57" s="114">
        <v>916</v>
      </c>
      <c r="Z57" s="114">
        <v>1696067.175</v>
      </c>
      <c r="AA57" s="114">
        <v>0</v>
      </c>
      <c r="AB57" s="114">
        <v>0</v>
      </c>
      <c r="AC57" s="114">
        <v>152751.196</v>
      </c>
      <c r="AD57" s="114">
        <v>1525296.492</v>
      </c>
      <c r="AE57" s="114">
        <v>2775831.067</v>
      </c>
      <c r="AF57" s="114">
        <v>184197</v>
      </c>
      <c r="AG57" s="114">
        <v>15069.904</v>
      </c>
      <c r="AH57" s="114">
        <v>151155</v>
      </c>
      <c r="AI57" s="114">
        <v>4764.283</v>
      </c>
      <c r="AJ57" s="114">
        <v>0</v>
      </c>
      <c r="AK57" s="114">
        <v>0</v>
      </c>
      <c r="AL57" s="114">
        <v>23076</v>
      </c>
      <c r="AM57" s="114">
        <v>1037.0987</v>
      </c>
      <c r="AN57" s="114">
        <v>15.1056</v>
      </c>
      <c r="AO57" s="114">
        <v>0</v>
      </c>
      <c r="AP57" s="114">
        <v>13</v>
      </c>
      <c r="AQ57" s="114">
        <v>0</v>
      </c>
      <c r="AR57" s="114"/>
      <c r="AS57" s="114">
        <v>19</v>
      </c>
      <c r="AT57" s="114">
        <v>0</v>
      </c>
      <c r="AU57" s="114">
        <v>0</v>
      </c>
      <c r="AV57" s="114">
        <v>0</v>
      </c>
      <c r="AW57" s="114">
        <v>30</v>
      </c>
      <c r="AX57" s="114">
        <v>13</v>
      </c>
      <c r="AY57" s="114">
        <v>2886</v>
      </c>
      <c r="AZ57" s="114"/>
      <c r="BA57" s="114"/>
      <c r="BB57" s="116"/>
      <c r="BC57" s="116"/>
      <c r="BD57" s="116"/>
      <c r="BE57" s="116"/>
      <c r="BF57" s="116"/>
      <c r="BG57" s="116"/>
      <c r="BH57" s="116"/>
      <c r="BI57" s="116"/>
      <c r="BJ57" s="117">
        <v>212459</v>
      </c>
      <c r="BK57" s="117">
        <v>1319</v>
      </c>
      <c r="BL57" s="117">
        <v>363938</v>
      </c>
      <c r="BM57" s="118">
        <v>1215500</v>
      </c>
      <c r="BN57" s="118">
        <v>71.5</v>
      </c>
      <c r="BO57" s="120">
        <v>0.816</v>
      </c>
      <c r="BP57" s="120">
        <v>0.184</v>
      </c>
      <c r="BQ57" s="134">
        <v>0</v>
      </c>
      <c r="BR57" s="120">
        <v>0.009</v>
      </c>
      <c r="BS57" s="120">
        <v>0.074</v>
      </c>
      <c r="BT57" s="120">
        <v>0.321</v>
      </c>
      <c r="BU57" s="120">
        <v>0.26</v>
      </c>
      <c r="BV57" s="120">
        <v>0.183</v>
      </c>
      <c r="BW57" s="120">
        <v>0.102</v>
      </c>
      <c r="BX57" s="120">
        <v>0.051</v>
      </c>
    </row>
    <row r="58" s="96" customFormat="1" ht="15.75" customHeight="1" spans="1:76">
      <c r="A58" s="111">
        <v>57</v>
      </c>
      <c r="B58" s="112" t="s">
        <v>28</v>
      </c>
      <c r="C58" s="112" t="s">
        <v>132</v>
      </c>
      <c r="D58" s="111">
        <v>2025</v>
      </c>
      <c r="E58" s="113" t="s">
        <v>40</v>
      </c>
      <c r="F58" s="114">
        <v>983590</v>
      </c>
      <c r="G58" s="114">
        <v>860891</v>
      </c>
      <c r="H58" s="114">
        <v>38444.1688</v>
      </c>
      <c r="I58" s="114">
        <v>4401</v>
      </c>
      <c r="J58" s="115">
        <v>0.00185185185185185</v>
      </c>
      <c r="K58" s="114">
        <v>16.3</v>
      </c>
      <c r="L58" s="114">
        <v>405</v>
      </c>
      <c r="M58" s="114">
        <v>8565942</v>
      </c>
      <c r="N58" s="114">
        <v>7.47</v>
      </c>
      <c r="O58" s="114">
        <v>559417</v>
      </c>
      <c r="P58" s="114">
        <v>341089</v>
      </c>
      <c r="Q58" s="114">
        <v>218328</v>
      </c>
      <c r="R58" s="114">
        <v>195133</v>
      </c>
      <c r="S58" s="114">
        <v>23195</v>
      </c>
      <c r="T58" s="114">
        <v>4960</v>
      </c>
      <c r="U58" s="114">
        <v>559</v>
      </c>
      <c r="V58" s="114">
        <v>11131</v>
      </c>
      <c r="W58" s="114">
        <v>246</v>
      </c>
      <c r="X58" s="114">
        <v>4608</v>
      </c>
      <c r="Y58" s="114">
        <v>3185</v>
      </c>
      <c r="Z58" s="114">
        <v>5375316.993</v>
      </c>
      <c r="AA58" s="114">
        <v>0</v>
      </c>
      <c r="AB58" s="114">
        <v>0</v>
      </c>
      <c r="AC58" s="114">
        <v>438271.515</v>
      </c>
      <c r="AD58" s="114">
        <v>4910198.851</v>
      </c>
      <c r="AE58" s="114">
        <v>8927937.494</v>
      </c>
      <c r="AF58" s="114">
        <v>645892</v>
      </c>
      <c r="AG58" s="114">
        <v>13822.648</v>
      </c>
      <c r="AH58" s="114">
        <v>501707</v>
      </c>
      <c r="AI58" s="114">
        <v>6243.902</v>
      </c>
      <c r="AJ58" s="114">
        <v>0</v>
      </c>
      <c r="AK58" s="114">
        <v>0</v>
      </c>
      <c r="AL58" s="114">
        <v>52083</v>
      </c>
      <c r="AM58" s="114">
        <v>2924.9696</v>
      </c>
      <c r="AN58" s="114">
        <v>44.5579</v>
      </c>
      <c r="AO58" s="114">
        <v>129</v>
      </c>
      <c r="AP58" s="114">
        <v>593</v>
      </c>
      <c r="AQ58" s="114">
        <v>161</v>
      </c>
      <c r="AR58" s="114">
        <v>1</v>
      </c>
      <c r="AS58" s="114">
        <v>3488</v>
      </c>
      <c r="AT58" s="114">
        <v>0</v>
      </c>
      <c r="AU58" s="114">
        <v>0</v>
      </c>
      <c r="AV58" s="114">
        <v>0</v>
      </c>
      <c r="AW58" s="114">
        <v>13</v>
      </c>
      <c r="AX58" s="114">
        <v>45</v>
      </c>
      <c r="AY58" s="114">
        <v>9989</v>
      </c>
      <c r="AZ58" s="114"/>
      <c r="BA58" s="114"/>
      <c r="BB58" s="116"/>
      <c r="BC58" s="116"/>
      <c r="BD58" s="116"/>
      <c r="BE58" s="116"/>
      <c r="BF58" s="116"/>
      <c r="BG58" s="116"/>
      <c r="BH58" s="116"/>
      <c r="BI58" s="116"/>
      <c r="BJ58" s="117">
        <v>216678</v>
      </c>
      <c r="BK58" s="117">
        <v>4401</v>
      </c>
      <c r="BL58" s="117">
        <v>895562</v>
      </c>
      <c r="BM58" s="118">
        <v>5130260</v>
      </c>
      <c r="BN58" s="118">
        <v>301.78</v>
      </c>
      <c r="BO58" s="120">
        <v>0.84</v>
      </c>
      <c r="BP58" s="120">
        <v>0.16</v>
      </c>
      <c r="BQ58" s="134">
        <v>0</v>
      </c>
      <c r="BR58" s="120">
        <v>0.005</v>
      </c>
      <c r="BS58" s="120">
        <v>0.06</v>
      </c>
      <c r="BT58" s="120">
        <v>0.324</v>
      </c>
      <c r="BU58" s="120">
        <v>0.282</v>
      </c>
      <c r="BV58" s="120">
        <v>0.183</v>
      </c>
      <c r="BW58" s="120">
        <v>0.1</v>
      </c>
      <c r="BX58" s="120">
        <v>0.045</v>
      </c>
    </row>
    <row r="59" s="96" customFormat="1" ht="15.75" customHeight="1" spans="1:76">
      <c r="A59" s="111">
        <v>58</v>
      </c>
      <c r="B59" s="112" t="s">
        <v>28</v>
      </c>
      <c r="C59" s="112" t="s">
        <v>132</v>
      </c>
      <c r="D59" s="111">
        <v>2025</v>
      </c>
      <c r="E59" s="113" t="s">
        <v>41</v>
      </c>
      <c r="F59" s="114">
        <v>1006811</v>
      </c>
      <c r="G59" s="114">
        <v>868042</v>
      </c>
      <c r="H59" s="114">
        <v>40061.3885</v>
      </c>
      <c r="I59" s="114">
        <v>4000</v>
      </c>
      <c r="J59" s="115">
        <v>0.00190972222222222</v>
      </c>
      <c r="K59" s="114">
        <v>19.21</v>
      </c>
      <c r="L59" s="114">
        <v>423</v>
      </c>
      <c r="M59" s="114">
        <v>7886533</v>
      </c>
      <c r="N59" s="114">
        <v>6.9</v>
      </c>
      <c r="O59" s="114">
        <v>604099</v>
      </c>
      <c r="P59" s="114">
        <v>383624</v>
      </c>
      <c r="Q59" s="114">
        <v>220475</v>
      </c>
      <c r="R59" s="114">
        <v>198588</v>
      </c>
      <c r="S59" s="114">
        <v>21887</v>
      </c>
      <c r="T59" s="114">
        <v>4530</v>
      </c>
      <c r="U59" s="114">
        <v>530</v>
      </c>
      <c r="V59" s="114">
        <v>12192</v>
      </c>
      <c r="W59" s="114">
        <v>319</v>
      </c>
      <c r="X59" s="114">
        <v>4078</v>
      </c>
      <c r="Y59" s="114">
        <v>1944</v>
      </c>
      <c r="Z59" s="114">
        <v>5168654.899</v>
      </c>
      <c r="AA59" s="114">
        <v>0</v>
      </c>
      <c r="AB59" s="114">
        <v>0</v>
      </c>
      <c r="AC59" s="114">
        <v>342049.743</v>
      </c>
      <c r="AD59" s="114">
        <v>4780314.069</v>
      </c>
      <c r="AE59" s="114">
        <v>8717628.475</v>
      </c>
      <c r="AF59" s="114">
        <v>582426</v>
      </c>
      <c r="AG59" s="114">
        <v>14967.787</v>
      </c>
      <c r="AH59" s="114">
        <v>433554</v>
      </c>
      <c r="AI59" s="114">
        <v>5954.382</v>
      </c>
      <c r="AJ59" s="114">
        <v>0</v>
      </c>
      <c r="AK59" s="114">
        <v>0</v>
      </c>
      <c r="AL59" s="114">
        <v>43989</v>
      </c>
      <c r="AM59" s="114">
        <v>2409.5678</v>
      </c>
      <c r="AN59" s="114">
        <v>32.6358</v>
      </c>
      <c r="AO59" s="114">
        <v>54</v>
      </c>
      <c r="AP59" s="114">
        <v>290</v>
      </c>
      <c r="AQ59" s="114">
        <v>1045</v>
      </c>
      <c r="AR59" s="114">
        <v>7</v>
      </c>
      <c r="AS59" s="114">
        <v>5763</v>
      </c>
      <c r="AT59" s="114">
        <v>0</v>
      </c>
      <c r="AU59" s="114">
        <v>0</v>
      </c>
      <c r="AV59" s="114">
        <v>0</v>
      </c>
      <c r="AW59" s="114">
        <v>21</v>
      </c>
      <c r="AX59" s="114">
        <v>28</v>
      </c>
      <c r="AY59" s="114">
        <v>4533</v>
      </c>
      <c r="AZ59" s="114"/>
      <c r="BA59" s="114"/>
      <c r="BB59" s="116"/>
      <c r="BC59" s="116"/>
      <c r="BD59" s="116"/>
      <c r="BE59" s="116"/>
      <c r="BF59" s="116"/>
      <c r="BG59" s="116"/>
      <c r="BH59" s="116"/>
      <c r="BI59" s="116"/>
      <c r="BJ59" s="117">
        <v>220678</v>
      </c>
      <c r="BK59" s="117">
        <v>4000</v>
      </c>
      <c r="BL59" s="117">
        <v>631727</v>
      </c>
      <c r="BM59" s="118">
        <v>2502910</v>
      </c>
      <c r="BN59" s="118">
        <v>147.23</v>
      </c>
      <c r="BO59" s="120">
        <v>0.79</v>
      </c>
      <c r="BP59" s="120">
        <v>0.21</v>
      </c>
      <c r="BQ59" s="134">
        <v>0</v>
      </c>
      <c r="BR59" s="120">
        <v>0.006</v>
      </c>
      <c r="BS59" s="120">
        <v>0.058</v>
      </c>
      <c r="BT59" s="120">
        <v>0.286</v>
      </c>
      <c r="BU59" s="120">
        <v>0.247</v>
      </c>
      <c r="BV59" s="120">
        <v>0.189</v>
      </c>
      <c r="BW59" s="120">
        <v>0.136</v>
      </c>
      <c r="BX59" s="120">
        <v>0.077</v>
      </c>
    </row>
    <row r="60" s="96" customFormat="1" ht="15.75" customHeight="1" spans="1:76">
      <c r="A60" s="111">
        <v>59</v>
      </c>
      <c r="B60" s="112" t="s">
        <v>28</v>
      </c>
      <c r="C60" s="112" t="s">
        <v>132</v>
      </c>
      <c r="D60" s="111">
        <v>2025</v>
      </c>
      <c r="E60" s="113" t="s">
        <v>42</v>
      </c>
      <c r="F60" s="114">
        <v>979697</v>
      </c>
      <c r="G60" s="114">
        <v>882574</v>
      </c>
      <c r="H60" s="114">
        <v>34492.1284</v>
      </c>
      <c r="I60" s="114">
        <v>2947</v>
      </c>
      <c r="J60" s="115">
        <v>0.00162037037037037</v>
      </c>
      <c r="K60" s="114">
        <v>18.93</v>
      </c>
      <c r="L60" s="114">
        <v>413</v>
      </c>
      <c r="M60" s="114">
        <v>8438696</v>
      </c>
      <c r="N60" s="114">
        <v>7.77</v>
      </c>
      <c r="O60" s="114">
        <v>572935</v>
      </c>
      <c r="P60" s="114">
        <v>312261</v>
      </c>
      <c r="Q60" s="114">
        <v>260863</v>
      </c>
      <c r="R60" s="114">
        <v>231877</v>
      </c>
      <c r="S60" s="114">
        <v>28986</v>
      </c>
      <c r="T60" s="114">
        <v>3441</v>
      </c>
      <c r="U60" s="114">
        <v>494</v>
      </c>
      <c r="V60" s="114">
        <v>10308</v>
      </c>
      <c r="W60" s="114">
        <v>223</v>
      </c>
      <c r="X60" s="114">
        <v>3636</v>
      </c>
      <c r="Y60" s="114">
        <v>2412</v>
      </c>
      <c r="Z60" s="114">
        <v>5560225.144</v>
      </c>
      <c r="AA60" s="114">
        <v>0</v>
      </c>
      <c r="AB60" s="114">
        <v>0</v>
      </c>
      <c r="AC60" s="114">
        <v>446103.898</v>
      </c>
      <c r="AD60" s="114">
        <v>5088810.673</v>
      </c>
      <c r="AE60" s="114">
        <v>9255580.987</v>
      </c>
      <c r="AF60" s="114">
        <v>619846</v>
      </c>
      <c r="AG60" s="114">
        <v>14932.065</v>
      </c>
      <c r="AH60" s="114">
        <v>482704</v>
      </c>
      <c r="AI60" s="114">
        <v>6300.012</v>
      </c>
      <c r="AJ60" s="114">
        <v>0</v>
      </c>
      <c r="AK60" s="114">
        <v>0</v>
      </c>
      <c r="AL60" s="114">
        <v>62514</v>
      </c>
      <c r="AM60" s="114">
        <v>2969.1115</v>
      </c>
      <c r="AN60" s="114">
        <v>57.0451</v>
      </c>
      <c r="AO60" s="114">
        <v>75</v>
      </c>
      <c r="AP60" s="114">
        <v>133</v>
      </c>
      <c r="AQ60" s="114">
        <v>128</v>
      </c>
      <c r="AR60" s="114">
        <v>1</v>
      </c>
      <c r="AS60" s="114">
        <v>1183</v>
      </c>
      <c r="AT60" s="114">
        <v>0</v>
      </c>
      <c r="AU60" s="114">
        <v>0</v>
      </c>
      <c r="AV60" s="114">
        <v>0</v>
      </c>
      <c r="AW60" s="114">
        <v>18</v>
      </c>
      <c r="AX60" s="114">
        <v>7</v>
      </c>
      <c r="AY60" s="114">
        <v>2349</v>
      </c>
      <c r="AZ60" s="114"/>
      <c r="BA60" s="114"/>
      <c r="BB60" s="116"/>
      <c r="BC60" s="116"/>
      <c r="BD60" s="116"/>
      <c r="BE60" s="116"/>
      <c r="BF60" s="116"/>
      <c r="BG60" s="116"/>
      <c r="BH60" s="116"/>
      <c r="BI60" s="116"/>
      <c r="BJ60" s="117">
        <v>223625</v>
      </c>
      <c r="BK60" s="117">
        <v>2947</v>
      </c>
      <c r="BL60" s="117">
        <v>786911</v>
      </c>
      <c r="BM60" s="118">
        <v>4017610</v>
      </c>
      <c r="BN60" s="118">
        <v>236.33</v>
      </c>
      <c r="BO60" s="120">
        <v>0.854</v>
      </c>
      <c r="BP60" s="120">
        <v>0.145</v>
      </c>
      <c r="BQ60" s="134">
        <v>0</v>
      </c>
      <c r="BR60" s="120">
        <v>0.005</v>
      </c>
      <c r="BS60" s="120">
        <v>0.051</v>
      </c>
      <c r="BT60" s="120">
        <v>0.309</v>
      </c>
      <c r="BU60" s="120">
        <v>0.291</v>
      </c>
      <c r="BV60" s="120">
        <v>0.191</v>
      </c>
      <c r="BW60" s="120">
        <v>0.102</v>
      </c>
      <c r="BX60" s="120">
        <v>0.052</v>
      </c>
    </row>
    <row r="61" s="96" customFormat="1" ht="15.75" customHeight="1" spans="1:76">
      <c r="A61" s="111">
        <v>60</v>
      </c>
      <c r="B61" s="112" t="s">
        <v>28</v>
      </c>
      <c r="C61" s="112" t="s">
        <v>132</v>
      </c>
      <c r="D61" s="111">
        <v>2025</v>
      </c>
      <c r="E61" s="113" t="s">
        <v>43</v>
      </c>
      <c r="F61" s="114">
        <v>665923</v>
      </c>
      <c r="G61" s="114">
        <v>613859</v>
      </c>
      <c r="H61" s="114">
        <v>22630.1479</v>
      </c>
      <c r="I61" s="114">
        <v>1748</v>
      </c>
      <c r="J61" s="115">
        <v>0.00152777777777778</v>
      </c>
      <c r="K61" s="114">
        <v>21.58</v>
      </c>
      <c r="L61" s="114">
        <v>283</v>
      </c>
      <c r="M61" s="114">
        <v>6157818</v>
      </c>
      <c r="N61" s="114">
        <v>6.88</v>
      </c>
      <c r="O61" s="114">
        <v>395328</v>
      </c>
      <c r="P61" s="114">
        <v>195118</v>
      </c>
      <c r="Q61" s="114">
        <v>200741</v>
      </c>
      <c r="R61" s="114">
        <v>176322</v>
      </c>
      <c r="S61" s="114">
        <v>24419</v>
      </c>
      <c r="T61" s="114">
        <v>2199</v>
      </c>
      <c r="U61" s="114">
        <v>451</v>
      </c>
      <c r="V61" s="114">
        <v>6380</v>
      </c>
      <c r="W61" s="114">
        <v>117</v>
      </c>
      <c r="X61" s="114">
        <v>3324</v>
      </c>
      <c r="Y61" s="114">
        <v>1312</v>
      </c>
      <c r="Z61" s="114">
        <v>4273675.435</v>
      </c>
      <c r="AA61" s="114">
        <v>0</v>
      </c>
      <c r="AB61" s="114">
        <v>0</v>
      </c>
      <c r="AC61" s="114">
        <v>310462.241</v>
      </c>
      <c r="AD61" s="114">
        <v>3948003.048</v>
      </c>
      <c r="AE61" s="114">
        <v>7182664.009</v>
      </c>
      <c r="AF61" s="114">
        <v>422887</v>
      </c>
      <c r="AG61" s="114">
        <v>16984.83</v>
      </c>
      <c r="AH61" s="114">
        <v>329948</v>
      </c>
      <c r="AI61" s="114">
        <v>6961.984</v>
      </c>
      <c r="AJ61" s="114">
        <v>0</v>
      </c>
      <c r="AK61" s="114">
        <v>0</v>
      </c>
      <c r="AL61" s="114">
        <v>45498</v>
      </c>
      <c r="AM61" s="114">
        <v>2179.229</v>
      </c>
      <c r="AN61" s="114">
        <v>15.6409</v>
      </c>
      <c r="AO61" s="114">
        <v>46</v>
      </c>
      <c r="AP61" s="114">
        <v>40</v>
      </c>
      <c r="AQ61" s="114">
        <v>420</v>
      </c>
      <c r="AR61" s="114">
        <v>1</v>
      </c>
      <c r="AS61" s="114">
        <v>59</v>
      </c>
      <c r="AT61" s="114">
        <v>0</v>
      </c>
      <c r="AU61" s="114">
        <v>0</v>
      </c>
      <c r="AV61" s="114">
        <v>0</v>
      </c>
      <c r="AW61" s="114">
        <v>28</v>
      </c>
      <c r="AX61" s="114">
        <v>7</v>
      </c>
      <c r="AY61" s="114">
        <v>1936</v>
      </c>
      <c r="AZ61" s="114"/>
      <c r="BA61" s="114"/>
      <c r="BB61" s="116"/>
      <c r="BC61" s="116"/>
      <c r="BD61" s="116"/>
      <c r="BE61" s="116"/>
      <c r="BF61" s="116"/>
      <c r="BG61" s="116"/>
      <c r="BH61" s="116"/>
      <c r="BI61" s="116"/>
      <c r="BJ61" s="117">
        <v>225374</v>
      </c>
      <c r="BK61" s="117">
        <v>1749</v>
      </c>
      <c r="BL61" s="117">
        <v>538751</v>
      </c>
      <c r="BM61" s="118">
        <v>3029230</v>
      </c>
      <c r="BN61" s="118">
        <v>178.19</v>
      </c>
      <c r="BO61" s="120">
        <v>0.835</v>
      </c>
      <c r="BP61" s="120">
        <v>0.165</v>
      </c>
      <c r="BQ61" s="134">
        <v>0</v>
      </c>
      <c r="BR61" s="120">
        <v>0.005</v>
      </c>
      <c r="BS61" s="120">
        <v>0.048</v>
      </c>
      <c r="BT61" s="120">
        <v>0.299</v>
      </c>
      <c r="BU61" s="120">
        <v>0.305</v>
      </c>
      <c r="BV61" s="120">
        <v>0.2</v>
      </c>
      <c r="BW61" s="120">
        <v>0.097</v>
      </c>
      <c r="BX61" s="120">
        <v>0.046</v>
      </c>
    </row>
    <row r="62" s="96" customFormat="1" ht="15.75" customHeight="1" spans="1:76">
      <c r="A62" s="111">
        <v>61</v>
      </c>
      <c r="B62" s="112" t="s">
        <v>28</v>
      </c>
      <c r="C62" s="112" t="s">
        <v>132</v>
      </c>
      <c r="D62" s="111">
        <v>2026</v>
      </c>
      <c r="E62" s="112" t="s">
        <v>31</v>
      </c>
      <c r="F62" s="121">
        <v>693127</v>
      </c>
      <c r="G62" s="114">
        <v>618289</v>
      </c>
      <c r="H62" s="114">
        <v>24414.6039</v>
      </c>
      <c r="I62" s="114">
        <v>1949</v>
      </c>
      <c r="J62" s="115">
        <v>0.00164351851851852</v>
      </c>
      <c r="K62" s="114">
        <v>24.19</v>
      </c>
      <c r="L62" s="114">
        <v>361</v>
      </c>
      <c r="M62" s="114">
        <v>6519410</v>
      </c>
      <c r="N62" s="114">
        <v>6.48</v>
      </c>
      <c r="O62" s="114">
        <v>367410</v>
      </c>
      <c r="P62" s="114">
        <v>170420</v>
      </c>
      <c r="Q62" s="114">
        <v>196618</v>
      </c>
      <c r="R62" s="114">
        <v>164657</v>
      </c>
      <c r="S62" s="114">
        <v>31961</v>
      </c>
      <c r="T62" s="114">
        <v>2413</v>
      </c>
      <c r="U62" s="114">
        <v>464</v>
      </c>
      <c r="V62" s="114">
        <v>8705</v>
      </c>
      <c r="W62" s="114">
        <v>185</v>
      </c>
      <c r="X62" s="114">
        <v>2898</v>
      </c>
      <c r="Y62" s="114">
        <v>1297</v>
      </c>
      <c r="Z62" s="121">
        <v>3621795</v>
      </c>
      <c r="AA62" s="114">
        <v>0</v>
      </c>
      <c r="AB62" s="114">
        <v>0</v>
      </c>
      <c r="AC62" s="114">
        <v>351633.749</v>
      </c>
      <c r="AD62" s="114">
        <v>3160828.174</v>
      </c>
      <c r="AE62" s="114">
        <v>5760093.861</v>
      </c>
      <c r="AF62" s="114">
        <v>390376</v>
      </c>
      <c r="AG62" s="114">
        <v>14755.246</v>
      </c>
      <c r="AH62" s="114">
        <v>298857</v>
      </c>
      <c r="AI62" s="114">
        <v>5715.432</v>
      </c>
      <c r="AJ62" s="114">
        <v>0</v>
      </c>
      <c r="AK62" s="114">
        <v>0</v>
      </c>
      <c r="AL62" s="114">
        <v>49515</v>
      </c>
      <c r="AM62" s="114">
        <v>2530.3957</v>
      </c>
      <c r="AN62" s="114">
        <v>62.3066</v>
      </c>
      <c r="AO62" s="114">
        <v>36</v>
      </c>
      <c r="AP62" s="114">
        <v>359</v>
      </c>
      <c r="AQ62" s="114">
        <v>1142</v>
      </c>
      <c r="AR62" s="114">
        <v>3</v>
      </c>
      <c r="AS62" s="114">
        <v>2932</v>
      </c>
      <c r="AT62" s="114">
        <v>0</v>
      </c>
      <c r="AU62" s="114">
        <v>0</v>
      </c>
      <c r="AV62" s="114">
        <v>4</v>
      </c>
      <c r="AW62" s="114">
        <v>43</v>
      </c>
      <c r="AX62" s="114">
        <v>28</v>
      </c>
      <c r="AY62" s="114">
        <v>4402</v>
      </c>
      <c r="AZ62" s="114"/>
      <c r="BA62" s="114"/>
      <c r="BB62" s="116"/>
      <c r="BC62" s="116"/>
      <c r="BD62" s="116"/>
      <c r="BE62" s="116"/>
      <c r="BF62" s="116"/>
      <c r="BG62" s="116"/>
      <c r="BH62" s="116"/>
      <c r="BI62" s="116"/>
      <c r="BJ62" s="117">
        <v>227322</v>
      </c>
      <c r="BK62" s="117">
        <v>1949</v>
      </c>
      <c r="BL62" s="117">
        <v>566112</v>
      </c>
      <c r="BM62" s="118">
        <v>2451051</v>
      </c>
      <c r="BN62" s="118"/>
      <c r="BO62" s="120">
        <v>0.882</v>
      </c>
      <c r="BP62" s="120">
        <v>0.118</v>
      </c>
      <c r="BQ62" s="134">
        <v>0</v>
      </c>
      <c r="BR62" s="120">
        <v>0.004</v>
      </c>
      <c r="BS62" s="120">
        <v>0.045</v>
      </c>
      <c r="BT62" s="120">
        <v>0.311</v>
      </c>
      <c r="BU62" s="120">
        <v>0.299</v>
      </c>
      <c r="BV62" s="120">
        <v>0.198</v>
      </c>
      <c r="BW62" s="120">
        <v>0.098</v>
      </c>
      <c r="BX62" s="120">
        <v>0.045</v>
      </c>
    </row>
    <row r="63" s="96" customFormat="1" ht="15.75" customHeight="1" spans="1:76">
      <c r="A63" s="111">
        <v>62</v>
      </c>
      <c r="B63" s="112" t="s">
        <v>28</v>
      </c>
      <c r="C63" s="112" t="s">
        <v>132</v>
      </c>
      <c r="D63" s="111">
        <v>2026</v>
      </c>
      <c r="E63" s="112" t="s">
        <v>33</v>
      </c>
      <c r="F63" s="114">
        <v>821380</v>
      </c>
      <c r="G63" s="114">
        <v>719496</v>
      </c>
      <c r="H63" s="114">
        <v>35120.8434</v>
      </c>
      <c r="I63" s="114">
        <v>3217</v>
      </c>
      <c r="J63" s="115">
        <v>0.00202546296296296</v>
      </c>
      <c r="K63" s="114">
        <v>27.36</v>
      </c>
      <c r="L63" s="114">
        <v>466</v>
      </c>
      <c r="M63" s="114">
        <v>6953791</v>
      </c>
      <c r="N63" s="114">
        <v>6.37</v>
      </c>
      <c r="O63" s="114">
        <v>409945</v>
      </c>
      <c r="P63" s="114">
        <v>199995</v>
      </c>
      <c r="Q63" s="114">
        <v>209873</v>
      </c>
      <c r="R63" s="114">
        <v>165540</v>
      </c>
      <c r="S63" s="114">
        <v>44333</v>
      </c>
      <c r="T63" s="114">
        <v>4372</v>
      </c>
      <c r="U63" s="114">
        <v>1155</v>
      </c>
      <c r="V63" s="114">
        <v>40596</v>
      </c>
      <c r="W63" s="114">
        <v>486</v>
      </c>
      <c r="X63" s="114">
        <v>41642</v>
      </c>
      <c r="Y63" s="114">
        <v>33726</v>
      </c>
      <c r="Z63" s="114">
        <v>5215680.374</v>
      </c>
      <c r="AA63" s="114">
        <v>0</v>
      </c>
      <c r="AB63" s="114">
        <v>0</v>
      </c>
      <c r="AC63" s="114">
        <v>542217.367</v>
      </c>
      <c r="AD63" s="114">
        <v>4638303.162</v>
      </c>
      <c r="AE63" s="114">
        <v>8424405.033</v>
      </c>
      <c r="AF63" s="114">
        <v>535318</v>
      </c>
      <c r="AG63" s="114">
        <v>15737.197</v>
      </c>
      <c r="AH63" s="114">
        <v>375328</v>
      </c>
      <c r="AI63" s="114">
        <v>7245.333</v>
      </c>
      <c r="AJ63" s="114">
        <v>0</v>
      </c>
      <c r="AK63" s="114">
        <v>0</v>
      </c>
      <c r="AL63" s="114">
        <v>57872</v>
      </c>
      <c r="AM63" s="114">
        <v>3772.7702</v>
      </c>
      <c r="AN63" s="114">
        <v>42.7757</v>
      </c>
      <c r="AO63" s="114">
        <v>137</v>
      </c>
      <c r="AP63" s="114">
        <v>43</v>
      </c>
      <c r="AQ63" s="114">
        <v>148</v>
      </c>
      <c r="AR63" s="114">
        <v>20</v>
      </c>
      <c r="AS63" s="114">
        <v>18057</v>
      </c>
      <c r="AT63" s="114">
        <v>0</v>
      </c>
      <c r="AU63" s="114">
        <v>0</v>
      </c>
      <c r="AV63" s="114">
        <v>0</v>
      </c>
      <c r="AW63" s="114">
        <v>33</v>
      </c>
      <c r="AX63" s="114">
        <v>59</v>
      </c>
      <c r="AY63" s="114">
        <v>13568</v>
      </c>
      <c r="AZ63" s="114"/>
      <c r="BA63" s="114"/>
      <c r="BB63" s="116"/>
      <c r="BC63" s="116"/>
      <c r="BD63" s="116"/>
      <c r="BE63" s="116"/>
      <c r="BF63" s="116"/>
      <c r="BG63" s="116"/>
      <c r="BH63" s="116"/>
      <c r="BI63" s="116"/>
      <c r="BJ63" s="117">
        <v>230539</v>
      </c>
      <c r="BK63" s="117">
        <v>3217</v>
      </c>
      <c r="BL63" s="117">
        <v>718906</v>
      </c>
      <c r="BM63" s="118">
        <v>4301650</v>
      </c>
      <c r="BN63" s="118"/>
      <c r="BO63" s="120">
        <v>0.834</v>
      </c>
      <c r="BP63" s="120">
        <v>0.166</v>
      </c>
      <c r="BQ63" s="120">
        <v>0</v>
      </c>
      <c r="BR63" s="120">
        <v>0.004</v>
      </c>
      <c r="BS63" s="120">
        <v>0.051</v>
      </c>
      <c r="BT63" s="120">
        <v>0.309</v>
      </c>
      <c r="BU63" s="120">
        <v>0.287</v>
      </c>
      <c r="BV63" s="120">
        <v>0.208</v>
      </c>
      <c r="BW63" s="120">
        <v>0.1</v>
      </c>
      <c r="BX63" s="120">
        <v>0.042</v>
      </c>
    </row>
    <row r="64" s="96" customFormat="1" ht="15.75" customHeight="1" spans="1:76">
      <c r="A64" s="111">
        <v>63</v>
      </c>
      <c r="B64" s="112" t="s">
        <v>28</v>
      </c>
      <c r="C64" s="112" t="s">
        <v>132</v>
      </c>
      <c r="D64" s="111">
        <v>2026</v>
      </c>
      <c r="E64" s="113" t="s">
        <v>34</v>
      </c>
      <c r="F64" s="114">
        <v>1165255</v>
      </c>
      <c r="G64" s="114">
        <v>1060384</v>
      </c>
      <c r="H64" s="114">
        <v>39508.6205</v>
      </c>
      <c r="I64" s="114">
        <v>1869</v>
      </c>
      <c r="J64" s="115">
        <v>0.00155092592592593</v>
      </c>
      <c r="K64" s="114">
        <v>19.54</v>
      </c>
      <c r="L64" s="114">
        <v>435</v>
      </c>
      <c r="M64" s="114">
        <v>10776650</v>
      </c>
      <c r="N64" s="114">
        <v>6.96</v>
      </c>
      <c r="O64" s="114">
        <v>682749</v>
      </c>
      <c r="P64" s="114">
        <v>325762</v>
      </c>
      <c r="Q64" s="114">
        <v>316224</v>
      </c>
      <c r="R64" s="114">
        <v>261391</v>
      </c>
      <c r="S64" s="114">
        <v>54833</v>
      </c>
      <c r="T64" s="114">
        <v>2428</v>
      </c>
      <c r="U64" s="114">
        <v>559</v>
      </c>
      <c r="V64" s="114">
        <v>10835</v>
      </c>
      <c r="W64" s="114">
        <v>316</v>
      </c>
      <c r="X64" s="114">
        <v>4822</v>
      </c>
      <c r="Y64" s="114">
        <v>3228</v>
      </c>
      <c r="Z64" s="114">
        <v>5698846.296</v>
      </c>
      <c r="AA64" s="114">
        <v>0</v>
      </c>
      <c r="AB64" s="114">
        <v>0</v>
      </c>
      <c r="AC64" s="114">
        <v>597955.7</v>
      </c>
      <c r="AD64" s="114">
        <v>5053855.219</v>
      </c>
      <c r="AE64" s="114">
        <v>9188221.069</v>
      </c>
      <c r="AF64" s="114">
        <v>659463</v>
      </c>
      <c r="AG64" s="114">
        <v>13932.883</v>
      </c>
      <c r="AH64" s="114">
        <v>486015</v>
      </c>
      <c r="AI64" s="114">
        <v>5497.067</v>
      </c>
      <c r="AJ64" s="114"/>
      <c r="AK64" s="114"/>
      <c r="AL64" s="114">
        <v>0</v>
      </c>
      <c r="AM64" s="114">
        <v>0</v>
      </c>
      <c r="AN64" s="114">
        <v>90784</v>
      </c>
      <c r="AO64" s="114">
        <v>4511.665</v>
      </c>
      <c r="AP64" s="114">
        <v>34.8019</v>
      </c>
      <c r="AQ64" s="114">
        <v>158</v>
      </c>
      <c r="AR64" s="114">
        <v>97</v>
      </c>
      <c r="AS64" s="114">
        <v>415</v>
      </c>
      <c r="AT64" s="114">
        <v>2</v>
      </c>
      <c r="AU64" s="114">
        <v>99</v>
      </c>
      <c r="AV64" s="114">
        <v>0</v>
      </c>
      <c r="AW64" s="114">
        <v>0</v>
      </c>
      <c r="AX64" s="114">
        <v>0</v>
      </c>
      <c r="AY64" s="114">
        <v>34</v>
      </c>
      <c r="AZ64" s="114">
        <v>17</v>
      </c>
      <c r="BA64" s="114">
        <v>5256</v>
      </c>
      <c r="BB64" s="116"/>
      <c r="BC64" s="116"/>
      <c r="BD64" s="116"/>
      <c r="BE64" s="116"/>
      <c r="BF64" s="116"/>
      <c r="BG64" s="116"/>
      <c r="BH64" s="116"/>
      <c r="BI64" s="116"/>
      <c r="BJ64" s="117">
        <v>232408</v>
      </c>
      <c r="BK64" s="117">
        <v>1869</v>
      </c>
      <c r="BL64" s="117">
        <v>1048023</v>
      </c>
      <c r="BM64" s="118">
        <v>4565087</v>
      </c>
      <c r="BN64" s="118"/>
      <c r="BO64" s="120">
        <v>0.861</v>
      </c>
      <c r="BP64" s="120">
        <v>0.139</v>
      </c>
      <c r="BQ64" s="120">
        <v>0</v>
      </c>
      <c r="BR64" s="120">
        <v>0.005</v>
      </c>
      <c r="BS64" s="120">
        <v>0.042</v>
      </c>
      <c r="BT64" s="120">
        <v>0.292</v>
      </c>
      <c r="BU64" s="120">
        <v>0.306</v>
      </c>
      <c r="BV64" s="120">
        <v>0.206</v>
      </c>
      <c r="BW64" s="120">
        <v>0.102</v>
      </c>
      <c r="BX64" s="120">
        <v>0.047</v>
      </c>
    </row>
    <row r="65" s="96" customFormat="1" ht="15.75" customHeight="1" spans="1:76">
      <c r="A65" s="111">
        <v>64</v>
      </c>
      <c r="B65" s="112" t="s">
        <v>28</v>
      </c>
      <c r="C65" s="112" t="s">
        <v>132</v>
      </c>
      <c r="D65" s="111">
        <v>2026</v>
      </c>
      <c r="E65" s="113" t="s">
        <v>35</v>
      </c>
      <c r="F65" s="114">
        <v>1442383</v>
      </c>
      <c r="G65" s="114">
        <v>1320158</v>
      </c>
      <c r="H65" s="114">
        <v>59276.7191</v>
      </c>
      <c r="I65" s="114">
        <v>2524</v>
      </c>
      <c r="J65" s="115">
        <v>0.00186342592592593</v>
      </c>
      <c r="K65" s="114">
        <v>28.28</v>
      </c>
      <c r="L65" s="114">
        <v>321</v>
      </c>
      <c r="M65" s="114">
        <v>11098384</v>
      </c>
      <c r="N65" s="114">
        <v>7.41</v>
      </c>
      <c r="O65" s="114">
        <v>795733</v>
      </c>
      <c r="P65" s="114">
        <v>378708</v>
      </c>
      <c r="Q65" s="114">
        <v>360619</v>
      </c>
      <c r="R65" s="114">
        <v>296433</v>
      </c>
      <c r="S65" s="114">
        <v>64186</v>
      </c>
      <c r="T65" s="114">
        <v>3149</v>
      </c>
      <c r="U65" s="114">
        <v>625</v>
      </c>
      <c r="V65" s="114">
        <v>13932</v>
      </c>
      <c r="W65" s="114">
        <v>419</v>
      </c>
      <c r="X65" s="114">
        <v>4703</v>
      </c>
      <c r="Y65" s="114">
        <v>3110</v>
      </c>
      <c r="Z65" s="114">
        <v>6954474.861</v>
      </c>
      <c r="AA65" s="114">
        <v>0</v>
      </c>
      <c r="AB65" s="114">
        <v>0</v>
      </c>
      <c r="AC65" s="114">
        <v>875617.037</v>
      </c>
      <c r="AD65" s="114">
        <v>6040536.986</v>
      </c>
      <c r="AE65" s="114">
        <v>10921970.53</v>
      </c>
      <c r="AF65" s="114">
        <v>819939</v>
      </c>
      <c r="AG65" s="114">
        <v>13320.467</v>
      </c>
      <c r="AH65" s="114">
        <v>612512</v>
      </c>
      <c r="AI65" s="114">
        <v>5073.372</v>
      </c>
      <c r="AJ65" s="114"/>
      <c r="AK65" s="114"/>
      <c r="AL65" s="114">
        <v>0</v>
      </c>
      <c r="AM65" s="114">
        <v>0</v>
      </c>
      <c r="AN65" s="114">
        <v>104998</v>
      </c>
      <c r="AO65" s="114">
        <v>6321.5008</v>
      </c>
      <c r="AP65" s="114">
        <v>45.0164</v>
      </c>
      <c r="AQ65" s="114">
        <v>147</v>
      </c>
      <c r="AR65" s="114">
        <v>23</v>
      </c>
      <c r="AS65" s="114">
        <v>22</v>
      </c>
      <c r="AT65" s="114">
        <v>2</v>
      </c>
      <c r="AU65" s="114">
        <v>1765</v>
      </c>
      <c r="AV65" s="114">
        <v>0</v>
      </c>
      <c r="AW65" s="114">
        <v>0</v>
      </c>
      <c r="AX65" s="114">
        <v>0</v>
      </c>
      <c r="AY65" s="114">
        <v>8</v>
      </c>
      <c r="AZ65" s="114">
        <v>7</v>
      </c>
      <c r="BA65" s="114">
        <v>4727</v>
      </c>
      <c r="BB65" s="116"/>
      <c r="BC65" s="116"/>
      <c r="BD65" s="116"/>
      <c r="BE65" s="116"/>
      <c r="BF65" s="116"/>
      <c r="BG65" s="116"/>
      <c r="BH65" s="116"/>
      <c r="BI65" s="116"/>
      <c r="BJ65" s="117">
        <v>234932</v>
      </c>
      <c r="BK65" s="117">
        <v>2524</v>
      </c>
      <c r="BL65" s="117">
        <v>1250105</v>
      </c>
      <c r="BM65" s="118">
        <v>5602868</v>
      </c>
      <c r="BN65" s="118"/>
      <c r="BO65" s="120">
        <v>0.835</v>
      </c>
      <c r="BP65" s="120">
        <v>0.165</v>
      </c>
      <c r="BQ65" s="120">
        <v>0</v>
      </c>
      <c r="BR65" s="120">
        <v>0.007</v>
      </c>
      <c r="BS65" s="120">
        <v>0.044</v>
      </c>
      <c r="BT65" s="120">
        <v>0.286</v>
      </c>
      <c r="BU65" s="120">
        <v>0.284</v>
      </c>
      <c r="BV65" s="120">
        <v>0.211</v>
      </c>
      <c r="BW65" s="120">
        <v>0.115</v>
      </c>
      <c r="BX65" s="120">
        <v>0.054</v>
      </c>
    </row>
    <row r="66" s="96" customFormat="1" ht="15.75" customHeight="1" spans="1:76">
      <c r="A66" s="111">
        <v>65</v>
      </c>
      <c r="B66" s="112" t="s">
        <v>28</v>
      </c>
      <c r="C66" s="112" t="s">
        <v>132</v>
      </c>
      <c r="D66" s="111">
        <v>2026</v>
      </c>
      <c r="E66" s="113" t="s">
        <v>36</v>
      </c>
      <c r="F66" s="114">
        <v>1475380</v>
      </c>
      <c r="G66" s="114">
        <v>1355621</v>
      </c>
      <c r="H66" s="114">
        <v>69926.7284</v>
      </c>
      <c r="I66" s="114">
        <v>2874</v>
      </c>
      <c r="J66" s="115">
        <v>0.0021412037037037</v>
      </c>
      <c r="K66" s="114">
        <v>24.4</v>
      </c>
      <c r="L66" s="114">
        <v>684</v>
      </c>
      <c r="M66" s="114">
        <v>12034558</v>
      </c>
      <c r="N66" s="114">
        <v>7.36</v>
      </c>
      <c r="O66" s="114">
        <v>819677</v>
      </c>
      <c r="P66" s="114">
        <v>396393</v>
      </c>
      <c r="Q66" s="114">
        <v>397381</v>
      </c>
      <c r="R66" s="114">
        <v>324003</v>
      </c>
      <c r="S66" s="114">
        <v>73378</v>
      </c>
      <c r="T66" s="114">
        <v>3455</v>
      </c>
      <c r="U66" s="114">
        <v>581</v>
      </c>
      <c r="V66" s="114">
        <v>14646</v>
      </c>
      <c r="W66" s="114">
        <v>433</v>
      </c>
      <c r="X66" s="114">
        <v>5271</v>
      </c>
      <c r="Y66" s="114">
        <v>3433</v>
      </c>
      <c r="Z66" s="114">
        <v>8149606.584</v>
      </c>
      <c r="AA66" s="114">
        <v>0</v>
      </c>
      <c r="AB66" s="114">
        <v>0</v>
      </c>
      <c r="AC66" s="114">
        <v>834057.005</v>
      </c>
      <c r="AD66" s="114">
        <v>7271097.484</v>
      </c>
      <c r="AE66" s="114">
        <v>13162554.28</v>
      </c>
      <c r="AF66" s="114">
        <v>932159</v>
      </c>
      <c r="AG66" s="114">
        <v>14120.503</v>
      </c>
      <c r="AH66" s="114">
        <v>703012</v>
      </c>
      <c r="AI66" s="114">
        <v>6010.16</v>
      </c>
      <c r="AJ66" s="128"/>
      <c r="AK66" s="128"/>
      <c r="AL66" s="114">
        <v>0</v>
      </c>
      <c r="AM66" s="114">
        <v>0</v>
      </c>
      <c r="AN66" s="114">
        <v>103730</v>
      </c>
      <c r="AO66" s="114">
        <v>6255.9884</v>
      </c>
      <c r="AP66" s="114">
        <v>45.9635</v>
      </c>
      <c r="AQ66" s="114">
        <v>146</v>
      </c>
      <c r="AR66" s="114">
        <v>81</v>
      </c>
      <c r="AS66" s="114">
        <v>50</v>
      </c>
      <c r="AT66" s="114"/>
      <c r="AU66" s="114">
        <v>16</v>
      </c>
      <c r="AV66" s="114">
        <v>0</v>
      </c>
      <c r="AW66" s="114">
        <v>0</v>
      </c>
      <c r="AX66" s="114">
        <v>0</v>
      </c>
      <c r="AY66" s="114">
        <v>9</v>
      </c>
      <c r="AZ66" s="114">
        <v>118</v>
      </c>
      <c r="BA66" s="114">
        <v>24337</v>
      </c>
      <c r="BB66" s="116"/>
      <c r="BC66" s="116"/>
      <c r="BD66" s="116"/>
      <c r="BE66" s="116"/>
      <c r="BF66" s="116"/>
      <c r="BG66" s="116"/>
      <c r="BH66" s="116"/>
      <c r="BI66" s="116"/>
      <c r="BJ66" s="117">
        <v>237806</v>
      </c>
      <c r="BK66" s="117">
        <v>2874</v>
      </c>
      <c r="BL66" s="117">
        <v>1282220</v>
      </c>
      <c r="BM66" s="118">
        <v>6826333</v>
      </c>
      <c r="BN66" s="118"/>
      <c r="BO66" s="120">
        <v>0.858</v>
      </c>
      <c r="BP66" s="120">
        <v>0.142</v>
      </c>
      <c r="BQ66" s="120">
        <v>0.001</v>
      </c>
      <c r="BR66" s="120">
        <v>0.007</v>
      </c>
      <c r="BS66" s="120">
        <v>0.045</v>
      </c>
      <c r="BT66" s="120">
        <v>0.293</v>
      </c>
      <c r="BU66" s="120">
        <v>0.285</v>
      </c>
      <c r="BV66" s="120">
        <v>0.198</v>
      </c>
      <c r="BW66" s="120">
        <v>0.112</v>
      </c>
      <c r="BX66" s="120">
        <v>0.06</v>
      </c>
    </row>
    <row r="67" s="96" customFormat="1" ht="15.75" customHeight="1" spans="1:76">
      <c r="A67" s="111">
        <v>66</v>
      </c>
      <c r="B67" s="96" t="s">
        <v>28</v>
      </c>
      <c r="C67" s="96" t="s">
        <v>132</v>
      </c>
      <c r="D67" s="122">
        <v>2026</v>
      </c>
      <c r="E67" s="96" t="s">
        <v>37</v>
      </c>
      <c r="F67" s="123">
        <v>1133851</v>
      </c>
      <c r="G67" s="123">
        <v>1106375</v>
      </c>
      <c r="H67" s="123">
        <v>59907</v>
      </c>
      <c r="I67" s="123">
        <v>2715</v>
      </c>
      <c r="J67" s="124">
        <v>0.00224537037037037</v>
      </c>
      <c r="K67" s="125">
        <v>25</v>
      </c>
      <c r="L67" s="125">
        <v>517</v>
      </c>
      <c r="M67" s="123">
        <v>11250778</v>
      </c>
      <c r="N67" s="125">
        <v>7</v>
      </c>
      <c r="O67" s="123">
        <v>646677</v>
      </c>
      <c r="P67" s="123">
        <v>274665</v>
      </c>
      <c r="Q67" s="123">
        <v>347952</v>
      </c>
      <c r="R67" s="123">
        <v>267057</v>
      </c>
      <c r="S67" s="123">
        <v>80895</v>
      </c>
      <c r="T67" s="123">
        <v>3341</v>
      </c>
      <c r="U67" s="125">
        <v>626</v>
      </c>
      <c r="V67" s="123">
        <v>10549</v>
      </c>
      <c r="W67" s="125">
        <v>268</v>
      </c>
      <c r="X67" s="123">
        <v>4592</v>
      </c>
      <c r="Y67" s="123">
        <v>3063</v>
      </c>
      <c r="Z67" s="123">
        <v>9676091</v>
      </c>
      <c r="AA67" s="125">
        <v>0</v>
      </c>
      <c r="AB67" s="125">
        <v>0</v>
      </c>
      <c r="AC67" s="123">
        <v>895464</v>
      </c>
      <c r="AD67" s="123">
        <v>8769445</v>
      </c>
      <c r="AE67" s="123">
        <v>15881367</v>
      </c>
      <c r="AF67" s="123">
        <v>926105</v>
      </c>
      <c r="AG67" s="123">
        <v>17149</v>
      </c>
      <c r="AH67" s="123">
        <v>661030</v>
      </c>
      <c r="AI67" s="123">
        <v>8799</v>
      </c>
      <c r="AJ67" s="125"/>
      <c r="AK67" s="125"/>
      <c r="AL67" s="125">
        <v>0</v>
      </c>
      <c r="AM67" s="125">
        <v>0</v>
      </c>
      <c r="AN67" s="123">
        <v>97189</v>
      </c>
      <c r="AO67" s="123">
        <v>6302</v>
      </c>
      <c r="AP67" s="125">
        <v>17</v>
      </c>
      <c r="AQ67" s="125">
        <v>123</v>
      </c>
      <c r="AR67" s="125">
        <v>53</v>
      </c>
      <c r="AS67" s="125">
        <v>37</v>
      </c>
      <c r="AT67" s="125"/>
      <c r="AU67" s="125">
        <v>11</v>
      </c>
      <c r="AV67" s="125">
        <v>0</v>
      </c>
      <c r="AW67" s="125">
        <v>0</v>
      </c>
      <c r="AX67" s="125">
        <v>0</v>
      </c>
      <c r="AY67" s="125">
        <v>9</v>
      </c>
      <c r="AZ67" s="125">
        <v>77</v>
      </c>
      <c r="BA67" s="123">
        <v>11868</v>
      </c>
      <c r="BB67" s="125"/>
      <c r="BC67" s="125"/>
      <c r="BD67" s="125"/>
      <c r="BE67" s="125"/>
      <c r="BF67" s="125"/>
      <c r="BG67" s="125"/>
      <c r="BH67" s="125"/>
      <c r="BI67" s="125"/>
      <c r="BJ67" s="117">
        <v>240521</v>
      </c>
      <c r="BK67" s="117">
        <v>2715</v>
      </c>
      <c r="BL67" s="117">
        <v>980104</v>
      </c>
      <c r="BM67" s="118">
        <v>7889111</v>
      </c>
      <c r="BN67" s="118"/>
      <c r="BO67" s="120">
        <v>0.866</v>
      </c>
      <c r="BP67" s="120">
        <v>0.134</v>
      </c>
      <c r="BQ67" s="120">
        <v>0</v>
      </c>
      <c r="BR67" s="120">
        <v>0.005</v>
      </c>
      <c r="BS67" s="120">
        <v>0.043</v>
      </c>
      <c r="BT67" s="120">
        <v>0.283</v>
      </c>
      <c r="BU67" s="120">
        <v>0.293</v>
      </c>
      <c r="BV67" s="120">
        <v>0.207</v>
      </c>
      <c r="BW67" s="120">
        <v>0.114</v>
      </c>
      <c r="BX67" s="120">
        <v>0.055</v>
      </c>
    </row>
    <row r="68" s="96" customFormat="1" ht="15.75" customHeight="1" spans="1:76">
      <c r="A68" s="111">
        <v>67</v>
      </c>
      <c r="B68" s="96" t="s">
        <v>28</v>
      </c>
      <c r="C68" s="96" t="s">
        <v>132</v>
      </c>
      <c r="D68" s="122">
        <v>2026</v>
      </c>
      <c r="E68" s="96" t="s">
        <v>38</v>
      </c>
      <c r="F68" s="126">
        <v>946315</v>
      </c>
      <c r="G68" s="126">
        <v>906295</v>
      </c>
      <c r="H68" s="126">
        <v>40280</v>
      </c>
      <c r="I68" s="126">
        <v>1795</v>
      </c>
      <c r="J68" s="127">
        <v>0.00184027777777778</v>
      </c>
      <c r="K68" s="128">
        <v>25</v>
      </c>
      <c r="L68" s="128">
        <v>449</v>
      </c>
      <c r="M68" s="126">
        <v>9184363</v>
      </c>
      <c r="N68" s="128">
        <v>6</v>
      </c>
      <c r="O68" s="126">
        <v>562513</v>
      </c>
      <c r="P68" s="126">
        <v>216975</v>
      </c>
      <c r="Q68" s="126">
        <v>288301</v>
      </c>
      <c r="R68" s="126">
        <v>208865</v>
      </c>
      <c r="S68" s="126">
        <v>79436</v>
      </c>
      <c r="T68" s="126">
        <v>2313</v>
      </c>
      <c r="U68" s="128">
        <v>518</v>
      </c>
      <c r="V68" s="126">
        <v>8414</v>
      </c>
      <c r="W68" s="128">
        <v>146</v>
      </c>
      <c r="X68" s="126">
        <v>3635</v>
      </c>
      <c r="Y68" s="126">
        <v>1999</v>
      </c>
      <c r="Z68" s="126">
        <v>6840877</v>
      </c>
      <c r="AA68" s="128">
        <v>0</v>
      </c>
      <c r="AB68" s="128">
        <v>0</v>
      </c>
      <c r="AC68" s="126">
        <v>637792</v>
      </c>
      <c r="AD68" s="126">
        <v>6186205</v>
      </c>
      <c r="AE68" s="126">
        <v>11238333</v>
      </c>
      <c r="AF68" s="126">
        <v>646374</v>
      </c>
      <c r="AG68" s="126">
        <v>17387</v>
      </c>
      <c r="AH68" s="126">
        <v>463634</v>
      </c>
      <c r="AI68" s="126">
        <v>7701</v>
      </c>
      <c r="AJ68" s="128"/>
      <c r="AK68" s="128"/>
      <c r="AL68" s="128">
        <v>0</v>
      </c>
      <c r="AM68" s="128">
        <v>0</v>
      </c>
      <c r="AN68" s="126">
        <v>75247</v>
      </c>
      <c r="AO68" s="126">
        <v>4507</v>
      </c>
      <c r="AP68" s="128">
        <v>10</v>
      </c>
      <c r="AQ68" s="128">
        <v>78</v>
      </c>
      <c r="AR68" s="128">
        <v>3</v>
      </c>
      <c r="AS68" s="128">
        <v>0</v>
      </c>
      <c r="AT68" s="128"/>
      <c r="AU68" s="128">
        <v>19</v>
      </c>
      <c r="AV68" s="128">
        <v>0</v>
      </c>
      <c r="AW68" s="128">
        <v>0</v>
      </c>
      <c r="AX68" s="128">
        <v>0</v>
      </c>
      <c r="AY68" s="128">
        <v>5</v>
      </c>
      <c r="AZ68" s="128">
        <v>16</v>
      </c>
      <c r="BA68" s="126">
        <v>5264</v>
      </c>
      <c r="BB68" s="129"/>
      <c r="BC68" s="129"/>
      <c r="BD68" s="129"/>
      <c r="BE68" s="129"/>
      <c r="BF68" s="129"/>
      <c r="BG68" s="129"/>
      <c r="BH68" s="129"/>
      <c r="BI68" s="129"/>
      <c r="BJ68" s="130">
        <v>242316</v>
      </c>
      <c r="BK68" s="130">
        <v>1795</v>
      </c>
      <c r="BL68" s="130">
        <v>789489</v>
      </c>
      <c r="BM68" s="131">
        <v>5522679.05</v>
      </c>
      <c r="BN68" s="131"/>
      <c r="BO68" s="132">
        <v>0.876</v>
      </c>
      <c r="BP68" s="132">
        <v>0.123</v>
      </c>
      <c r="BQ68" s="132">
        <v>0.001</v>
      </c>
      <c r="BR68" s="132">
        <v>0.004</v>
      </c>
      <c r="BS68" s="132">
        <v>0.045</v>
      </c>
      <c r="BT68" s="132">
        <v>0.307</v>
      </c>
      <c r="BU68" s="132">
        <v>0.322</v>
      </c>
      <c r="BV68" s="132">
        <v>0.196</v>
      </c>
      <c r="BW68" s="132">
        <v>0.087</v>
      </c>
      <c r="BX68" s="119"/>
    </row>
    <row r="69" s="96" customFormat="1" ht="15.75" customHeight="1" spans="1:76">
      <c r="A69" s="111">
        <v>68</v>
      </c>
      <c r="B69" s="96" t="s">
        <v>28</v>
      </c>
      <c r="C69" s="96" t="s">
        <v>132</v>
      </c>
      <c r="D69" s="122">
        <v>2026</v>
      </c>
      <c r="E69" s="96" t="s">
        <v>39</v>
      </c>
      <c r="F69" s="128"/>
      <c r="G69" s="128"/>
      <c r="H69" s="128"/>
      <c r="I69" s="128"/>
      <c r="J69" s="127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9"/>
      <c r="BC69" s="129"/>
      <c r="BD69" s="129"/>
      <c r="BE69" s="129"/>
      <c r="BF69" s="129"/>
      <c r="BG69" s="129"/>
      <c r="BH69" s="129"/>
      <c r="BI69" s="129"/>
      <c r="BJ69" s="119"/>
      <c r="BK69" s="119"/>
      <c r="BL69" s="119"/>
      <c r="BM69" s="131"/>
      <c r="BN69" s="131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</row>
    <row r="70" s="96" customFormat="1" ht="15.75" customHeight="1" spans="1:76">
      <c r="A70" s="111">
        <v>69</v>
      </c>
      <c r="B70" s="96" t="s">
        <v>28</v>
      </c>
      <c r="C70" s="96" t="s">
        <v>132</v>
      </c>
      <c r="D70" s="122">
        <v>2026</v>
      </c>
      <c r="E70" s="96" t="s">
        <v>40</v>
      </c>
      <c r="F70" s="128"/>
      <c r="G70" s="128"/>
      <c r="H70" s="128"/>
      <c r="I70" s="128"/>
      <c r="J70" s="127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9"/>
      <c r="BC70" s="129"/>
      <c r="BD70" s="129"/>
      <c r="BE70" s="129"/>
      <c r="BF70" s="129"/>
      <c r="BG70" s="129"/>
      <c r="BH70" s="129"/>
      <c r="BI70" s="129"/>
      <c r="BJ70" s="119"/>
      <c r="BK70" s="119"/>
      <c r="BL70" s="119"/>
      <c r="BM70" s="131"/>
      <c r="BN70" s="131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</row>
    <row r="71" s="96" customFormat="1" ht="15.75" customHeight="1" spans="1:76">
      <c r="A71" s="111">
        <v>70</v>
      </c>
      <c r="B71" s="96" t="s">
        <v>28</v>
      </c>
      <c r="C71" s="96" t="s">
        <v>132</v>
      </c>
      <c r="D71" s="122">
        <v>2026</v>
      </c>
      <c r="E71" s="96" t="s">
        <v>41</v>
      </c>
      <c r="F71" s="128"/>
      <c r="G71" s="128"/>
      <c r="H71" s="128"/>
      <c r="I71" s="128"/>
      <c r="J71" s="127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9"/>
      <c r="BC71" s="129"/>
      <c r="BD71" s="129"/>
      <c r="BE71" s="129"/>
      <c r="BF71" s="129"/>
      <c r="BG71" s="129"/>
      <c r="BH71" s="129"/>
      <c r="BI71" s="129"/>
      <c r="BJ71" s="119"/>
      <c r="BK71" s="119"/>
      <c r="BL71" s="119"/>
      <c r="BM71" s="131"/>
      <c r="BN71" s="131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</row>
    <row r="72" s="96" customFormat="1" ht="15.75" customHeight="1" spans="1:76">
      <c r="A72" s="111">
        <v>71</v>
      </c>
      <c r="B72" s="96" t="s">
        <v>28</v>
      </c>
      <c r="C72" s="96" t="s">
        <v>132</v>
      </c>
      <c r="D72" s="122">
        <v>2026</v>
      </c>
      <c r="E72" s="96" t="s">
        <v>42</v>
      </c>
      <c r="F72" s="128"/>
      <c r="G72" s="128"/>
      <c r="H72" s="128"/>
      <c r="I72" s="128"/>
      <c r="J72" s="127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9"/>
      <c r="BC72" s="129"/>
      <c r="BD72" s="129"/>
      <c r="BE72" s="129"/>
      <c r="BF72" s="129"/>
      <c r="BG72" s="129"/>
      <c r="BH72" s="129"/>
      <c r="BI72" s="129"/>
      <c r="BJ72" s="119"/>
      <c r="BK72" s="119"/>
      <c r="BL72" s="119"/>
      <c r="BM72" s="131"/>
      <c r="BN72" s="131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</row>
    <row r="73" s="96" customFormat="1" ht="15.75" customHeight="1" spans="1:76">
      <c r="A73" s="111">
        <v>72</v>
      </c>
      <c r="B73" s="96" t="s">
        <v>28</v>
      </c>
      <c r="C73" s="96" t="s">
        <v>132</v>
      </c>
      <c r="D73" s="122">
        <v>2026</v>
      </c>
      <c r="E73" s="96" t="s">
        <v>43</v>
      </c>
      <c r="F73" s="128"/>
      <c r="G73" s="128"/>
      <c r="H73" s="128"/>
      <c r="I73" s="128"/>
      <c r="J73" s="127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9"/>
      <c r="BC73" s="129"/>
      <c r="BD73" s="129"/>
      <c r="BE73" s="129"/>
      <c r="BF73" s="129"/>
      <c r="BG73" s="129"/>
      <c r="BH73" s="129"/>
      <c r="BI73" s="129"/>
      <c r="BJ73" s="119"/>
      <c r="BK73" s="119"/>
      <c r="BL73" s="119"/>
      <c r="BM73" s="131"/>
      <c r="BN73" s="131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</row>
    <row r="74" s="96" customFormat="1" ht="15.75" customHeight="1" spans="1:76">
      <c r="A74" s="111">
        <v>73</v>
      </c>
      <c r="B74" s="112" t="s">
        <v>46</v>
      </c>
      <c r="C74" s="112" t="s">
        <v>47</v>
      </c>
      <c r="D74" s="111">
        <v>2024</v>
      </c>
      <c r="E74" s="113" t="s">
        <v>31</v>
      </c>
      <c r="F74" s="114">
        <v>11490965</v>
      </c>
      <c r="G74" s="114">
        <v>11490965</v>
      </c>
      <c r="H74" s="114">
        <v>232987.8769</v>
      </c>
      <c r="I74" s="114">
        <v>15911</v>
      </c>
      <c r="J74" s="115">
        <v>0.000833333333333333</v>
      </c>
      <c r="K74" s="114">
        <v>35.26</v>
      </c>
      <c r="L74" s="114">
        <v>1297</v>
      </c>
      <c r="M74" s="114">
        <v>108060870</v>
      </c>
      <c r="N74" s="114">
        <v>7.74</v>
      </c>
      <c r="O74" s="114">
        <v>6583359</v>
      </c>
      <c r="P74" s="114">
        <v>2203848</v>
      </c>
      <c r="Q74" s="114">
        <v>4379511</v>
      </c>
      <c r="R74" s="114">
        <v>4379511</v>
      </c>
      <c r="S74" s="114">
        <v>0</v>
      </c>
      <c r="T74" s="114">
        <v>19589</v>
      </c>
      <c r="U74" s="114">
        <v>3678</v>
      </c>
      <c r="V74" s="114">
        <v>83729</v>
      </c>
      <c r="W74" s="114">
        <v>2007</v>
      </c>
      <c r="X74" s="114">
        <v>21239</v>
      </c>
      <c r="Y74" s="114">
        <v>30725</v>
      </c>
      <c r="Z74" s="114">
        <v>20983645.54</v>
      </c>
      <c r="AA74" s="114">
        <v>0</v>
      </c>
      <c r="AB74" s="114">
        <v>0</v>
      </c>
      <c r="AC74" s="114">
        <v>336884.848</v>
      </c>
      <c r="AD74" s="114">
        <v>20593948.23</v>
      </c>
      <c r="AE74" s="114">
        <v>37443464.93</v>
      </c>
      <c r="AF74" s="114">
        <v>4203389</v>
      </c>
      <c r="AG74" s="114">
        <v>8907.923</v>
      </c>
      <c r="AH74" s="114">
        <v>3856463</v>
      </c>
      <c r="AI74" s="114">
        <v>1826.1</v>
      </c>
      <c r="AJ74" s="114">
        <v>0</v>
      </c>
      <c r="AK74" s="114">
        <v>0</v>
      </c>
      <c r="AL74" s="114">
        <v>0</v>
      </c>
      <c r="AM74" s="114">
        <v>0</v>
      </c>
      <c r="AN74" s="114">
        <v>120076</v>
      </c>
      <c r="AO74" s="114">
        <v>3459.6661</v>
      </c>
      <c r="AP74" s="114"/>
      <c r="AQ74" s="114">
        <v>0</v>
      </c>
      <c r="AR74" s="114"/>
      <c r="AS74" s="114"/>
      <c r="AT74" s="114">
        <v>7</v>
      </c>
      <c r="AU74" s="114">
        <v>14367</v>
      </c>
      <c r="AV74" s="114">
        <v>0</v>
      </c>
      <c r="AW74" s="114">
        <v>0</v>
      </c>
      <c r="AX74" s="114">
        <v>0</v>
      </c>
      <c r="AY74" s="114">
        <v>0</v>
      </c>
      <c r="AZ74" s="114">
        <v>67</v>
      </c>
      <c r="BA74" s="114">
        <v>3331</v>
      </c>
      <c r="BB74" s="116"/>
      <c r="BC74" s="116"/>
      <c r="BD74" s="116"/>
      <c r="BE74" s="116"/>
      <c r="BF74" s="116"/>
      <c r="BG74" s="116"/>
      <c r="BH74" s="116"/>
      <c r="BI74" s="116"/>
      <c r="BJ74" s="117">
        <v>1433628</v>
      </c>
      <c r="BK74" s="117">
        <v>15911</v>
      </c>
      <c r="BL74" s="119"/>
      <c r="BM74" s="118">
        <v>0</v>
      </c>
      <c r="BN74" s="131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</row>
    <row r="75" s="96" customFormat="1" ht="15.75" customHeight="1" spans="1:76">
      <c r="A75" s="111">
        <v>74</v>
      </c>
      <c r="B75" s="112" t="s">
        <v>46</v>
      </c>
      <c r="C75" s="112" t="s">
        <v>47</v>
      </c>
      <c r="D75" s="111">
        <v>2024</v>
      </c>
      <c r="E75" s="113" t="s">
        <v>33</v>
      </c>
      <c r="F75" s="114">
        <v>12305045</v>
      </c>
      <c r="G75" s="114">
        <v>12305045</v>
      </c>
      <c r="H75" s="114">
        <v>257737.4486</v>
      </c>
      <c r="I75" s="114">
        <v>20304</v>
      </c>
      <c r="J75" s="115">
        <v>0.000868055555555556</v>
      </c>
      <c r="K75" s="114">
        <v>43.01</v>
      </c>
      <c r="L75" s="114">
        <v>1203</v>
      </c>
      <c r="M75" s="114">
        <v>117193272</v>
      </c>
      <c r="N75" s="114">
        <v>7.92</v>
      </c>
      <c r="O75" s="114">
        <v>7117848</v>
      </c>
      <c r="P75" s="114">
        <v>2494613</v>
      </c>
      <c r="Q75" s="114">
        <v>4621062</v>
      </c>
      <c r="R75" s="114">
        <v>4621062</v>
      </c>
      <c r="S75" s="114">
        <v>0</v>
      </c>
      <c r="T75" s="114">
        <v>23997</v>
      </c>
      <c r="U75" s="114">
        <v>3693</v>
      </c>
      <c r="V75" s="114">
        <v>59095</v>
      </c>
      <c r="W75" s="114">
        <v>2267</v>
      </c>
      <c r="X75" s="114">
        <v>23413</v>
      </c>
      <c r="Y75" s="114">
        <v>32497</v>
      </c>
      <c r="Z75" s="114">
        <v>29537071.22</v>
      </c>
      <c r="AA75" s="114">
        <v>0</v>
      </c>
      <c r="AB75" s="114">
        <v>0</v>
      </c>
      <c r="AC75" s="114">
        <v>298880.42</v>
      </c>
      <c r="AD75" s="114">
        <v>29180982.07</v>
      </c>
      <c r="AE75" s="114">
        <v>53056262.2</v>
      </c>
      <c r="AF75" s="114">
        <v>5966600</v>
      </c>
      <c r="AG75" s="114">
        <v>8892.21</v>
      </c>
      <c r="AH75" s="114">
        <v>5492546</v>
      </c>
      <c r="AI75" s="114">
        <v>2400.403</v>
      </c>
      <c r="AJ75" s="114">
        <v>0</v>
      </c>
      <c r="AK75" s="114">
        <v>0</v>
      </c>
      <c r="AL75" s="114">
        <v>0</v>
      </c>
      <c r="AM75" s="114">
        <v>0</v>
      </c>
      <c r="AN75" s="114">
        <v>130138</v>
      </c>
      <c r="AO75" s="114">
        <v>2975.1888</v>
      </c>
      <c r="AP75" s="114">
        <v>0.0653</v>
      </c>
      <c r="AQ75" s="114">
        <v>42</v>
      </c>
      <c r="AR75" s="114">
        <v>0</v>
      </c>
      <c r="AS75" s="114">
        <v>0</v>
      </c>
      <c r="AT75" s="114">
        <v>12</v>
      </c>
      <c r="AU75" s="114">
        <v>49871</v>
      </c>
      <c r="AV75" s="114">
        <v>0</v>
      </c>
      <c r="AW75" s="114">
        <v>0</v>
      </c>
      <c r="AX75" s="114">
        <v>0</v>
      </c>
      <c r="AY75" s="114">
        <v>0</v>
      </c>
      <c r="AZ75" s="114">
        <v>155</v>
      </c>
      <c r="BA75" s="114">
        <v>4970</v>
      </c>
      <c r="BB75" s="116"/>
      <c r="BC75" s="116"/>
      <c r="BD75" s="116"/>
      <c r="BE75" s="116"/>
      <c r="BF75" s="116"/>
      <c r="BG75" s="116"/>
      <c r="BH75" s="116"/>
      <c r="BI75" s="116"/>
      <c r="BJ75" s="117">
        <v>1453932</v>
      </c>
      <c r="BK75" s="117">
        <v>20304</v>
      </c>
      <c r="BL75" s="119"/>
      <c r="BM75" s="118">
        <v>0</v>
      </c>
      <c r="BN75" s="131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</row>
    <row r="76" s="96" customFormat="1" ht="15.75" customHeight="1" spans="1:76">
      <c r="A76" s="111">
        <v>75</v>
      </c>
      <c r="B76" s="112" t="s">
        <v>46</v>
      </c>
      <c r="C76" s="112" t="s">
        <v>47</v>
      </c>
      <c r="D76" s="111">
        <v>2024</v>
      </c>
      <c r="E76" s="113" t="s">
        <v>34</v>
      </c>
      <c r="F76" s="114">
        <v>12499431</v>
      </c>
      <c r="G76" s="114">
        <v>12499431</v>
      </c>
      <c r="H76" s="114">
        <v>200696.9806</v>
      </c>
      <c r="I76" s="114">
        <v>15933</v>
      </c>
      <c r="J76" s="115">
        <v>0.000659722222222222</v>
      </c>
      <c r="K76" s="114">
        <v>40.2</v>
      </c>
      <c r="L76" s="114">
        <v>1005</v>
      </c>
      <c r="M76" s="114">
        <v>93727895</v>
      </c>
      <c r="N76" s="114">
        <v>6.99</v>
      </c>
      <c r="O76" s="114">
        <v>7362363</v>
      </c>
      <c r="P76" s="114">
        <v>2481727</v>
      </c>
      <c r="Q76" s="114">
        <v>4880636</v>
      </c>
      <c r="R76" s="114">
        <v>4880636</v>
      </c>
      <c r="S76" s="114">
        <v>0</v>
      </c>
      <c r="T76" s="114">
        <v>19359</v>
      </c>
      <c r="U76" s="114">
        <v>3426</v>
      </c>
      <c r="V76" s="114">
        <v>60390</v>
      </c>
      <c r="W76" s="114">
        <v>3664</v>
      </c>
      <c r="X76" s="114">
        <v>20715</v>
      </c>
      <c r="Y76" s="114">
        <v>17511</v>
      </c>
      <c r="Z76" s="114">
        <v>26543479.96</v>
      </c>
      <c r="AA76" s="114">
        <v>0</v>
      </c>
      <c r="AB76" s="114">
        <v>0</v>
      </c>
      <c r="AC76" s="114">
        <v>189263.186</v>
      </c>
      <c r="AD76" s="114">
        <v>25805867.35</v>
      </c>
      <c r="AE76" s="114">
        <v>46919987.84</v>
      </c>
      <c r="AF76" s="114">
        <v>5094984</v>
      </c>
      <c r="AG76" s="114">
        <v>9209.055</v>
      </c>
      <c r="AH76" s="114">
        <v>4642569</v>
      </c>
      <c r="AI76" s="114">
        <v>2123.575</v>
      </c>
      <c r="AJ76" s="114">
        <v>0</v>
      </c>
      <c r="AK76" s="114">
        <v>0</v>
      </c>
      <c r="AL76" s="114">
        <v>0</v>
      </c>
      <c r="AM76" s="114">
        <v>0</v>
      </c>
      <c r="AN76" s="114">
        <v>113790</v>
      </c>
      <c r="AO76" s="114">
        <v>2064.6421</v>
      </c>
      <c r="AP76" s="114"/>
      <c r="AQ76" s="114">
        <v>0</v>
      </c>
      <c r="AR76" s="114"/>
      <c r="AS76" s="114"/>
      <c r="AT76" s="114">
        <v>11</v>
      </c>
      <c r="AU76" s="114">
        <v>14776</v>
      </c>
      <c r="AV76" s="114">
        <v>0</v>
      </c>
      <c r="AW76" s="114">
        <v>0</v>
      </c>
      <c r="AX76" s="114">
        <v>0</v>
      </c>
      <c r="AY76" s="114">
        <v>0</v>
      </c>
      <c r="AZ76" s="114">
        <v>146</v>
      </c>
      <c r="BA76" s="114">
        <v>5034</v>
      </c>
      <c r="BB76" s="116"/>
      <c r="BC76" s="116"/>
      <c r="BD76" s="116"/>
      <c r="BE76" s="116"/>
      <c r="BF76" s="116"/>
      <c r="BG76" s="116"/>
      <c r="BH76" s="116"/>
      <c r="BI76" s="116"/>
      <c r="BJ76" s="117">
        <v>1469865</v>
      </c>
      <c r="BK76" s="117">
        <v>15933</v>
      </c>
      <c r="BL76" s="119"/>
      <c r="BM76" s="118">
        <v>0</v>
      </c>
      <c r="BN76" s="131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</row>
    <row r="77" s="96" customFormat="1" ht="15.75" customHeight="1" spans="1:76">
      <c r="A77" s="111">
        <v>76</v>
      </c>
      <c r="B77" s="112" t="s">
        <v>46</v>
      </c>
      <c r="C77" s="112" t="s">
        <v>47</v>
      </c>
      <c r="D77" s="111">
        <v>2024</v>
      </c>
      <c r="E77" s="113" t="s">
        <v>35</v>
      </c>
      <c r="F77" s="114">
        <v>10766201</v>
      </c>
      <c r="G77" s="114">
        <v>10766201</v>
      </c>
      <c r="H77" s="114">
        <v>175417.5831</v>
      </c>
      <c r="I77" s="114">
        <v>12429</v>
      </c>
      <c r="J77" s="115">
        <v>0.000671296296296296</v>
      </c>
      <c r="K77" s="114">
        <v>47.45</v>
      </c>
      <c r="L77" s="114">
        <v>934</v>
      </c>
      <c r="M77" s="114">
        <v>97238406</v>
      </c>
      <c r="N77" s="114">
        <v>6.83</v>
      </c>
      <c r="O77" s="114">
        <v>6454605</v>
      </c>
      <c r="P77" s="114">
        <v>2139776</v>
      </c>
      <c r="Q77" s="114">
        <v>4314829</v>
      </c>
      <c r="R77" s="114">
        <v>4314829</v>
      </c>
      <c r="S77" s="114">
        <v>0</v>
      </c>
      <c r="T77" s="114">
        <v>15477</v>
      </c>
      <c r="U77" s="114">
        <v>3048</v>
      </c>
      <c r="V77" s="114">
        <v>38918</v>
      </c>
      <c r="W77" s="114">
        <v>1594</v>
      </c>
      <c r="X77" s="114">
        <v>12505</v>
      </c>
      <c r="Y77" s="114">
        <v>13586</v>
      </c>
      <c r="Z77" s="114">
        <v>20027901.77</v>
      </c>
      <c r="AA77" s="114">
        <v>0</v>
      </c>
      <c r="AB77" s="114">
        <v>0</v>
      </c>
      <c r="AC77" s="114">
        <v>203745.567</v>
      </c>
      <c r="AD77" s="114">
        <v>19765650.85</v>
      </c>
      <c r="AE77" s="114">
        <v>35937580.17</v>
      </c>
      <c r="AF77" s="114">
        <v>4076461</v>
      </c>
      <c r="AG77" s="114">
        <v>8815.877</v>
      </c>
      <c r="AH77" s="114">
        <v>3893355</v>
      </c>
      <c r="AI77" s="114">
        <v>1860.258</v>
      </c>
      <c r="AJ77" s="114">
        <v>0</v>
      </c>
      <c r="AK77" s="114">
        <v>0</v>
      </c>
      <c r="AL77" s="114">
        <v>0</v>
      </c>
      <c r="AM77" s="114">
        <v>0</v>
      </c>
      <c r="AN77" s="114">
        <v>103002</v>
      </c>
      <c r="AO77" s="114">
        <v>1932.2365</v>
      </c>
      <c r="AP77" s="114"/>
      <c r="AQ77" s="114">
        <v>0</v>
      </c>
      <c r="AR77" s="114"/>
      <c r="AS77" s="114"/>
      <c r="AT77" s="114">
        <v>27</v>
      </c>
      <c r="AU77" s="114">
        <v>76049</v>
      </c>
      <c r="AV77" s="114">
        <v>0</v>
      </c>
      <c r="AW77" s="114">
        <v>0</v>
      </c>
      <c r="AX77" s="114">
        <v>0</v>
      </c>
      <c r="AY77" s="114">
        <v>0</v>
      </c>
      <c r="AZ77" s="114">
        <v>42</v>
      </c>
      <c r="BA77" s="114">
        <v>2155</v>
      </c>
      <c r="BB77" s="116"/>
      <c r="BC77" s="116"/>
      <c r="BD77" s="116"/>
      <c r="BE77" s="116"/>
      <c r="BF77" s="116"/>
      <c r="BG77" s="116"/>
      <c r="BH77" s="116"/>
      <c r="BI77" s="116"/>
      <c r="BJ77" s="117">
        <v>1482294</v>
      </c>
      <c r="BK77" s="117">
        <v>12429</v>
      </c>
      <c r="BL77" s="119"/>
      <c r="BM77" s="118">
        <v>0</v>
      </c>
      <c r="BN77" s="131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</row>
    <row r="78" s="96" customFormat="1" ht="15.75" customHeight="1" spans="1:76">
      <c r="A78" s="111">
        <v>77</v>
      </c>
      <c r="B78" s="112" t="s">
        <v>46</v>
      </c>
      <c r="C78" s="112" t="s">
        <v>47</v>
      </c>
      <c r="D78" s="111">
        <v>2024</v>
      </c>
      <c r="E78" s="113" t="s">
        <v>36</v>
      </c>
      <c r="F78" s="114">
        <v>15359498</v>
      </c>
      <c r="G78" s="114">
        <v>15359498</v>
      </c>
      <c r="H78" s="114">
        <v>264164.7616</v>
      </c>
      <c r="I78" s="114">
        <v>16362</v>
      </c>
      <c r="J78" s="115">
        <v>0.000706018518518518</v>
      </c>
      <c r="K78" s="114">
        <v>46.74</v>
      </c>
      <c r="L78" s="114">
        <v>1182</v>
      </c>
      <c r="M78" s="114">
        <v>116574248</v>
      </c>
      <c r="N78" s="114">
        <v>8.51</v>
      </c>
      <c r="O78" s="114">
        <v>8125969</v>
      </c>
      <c r="P78" s="114">
        <v>2632825</v>
      </c>
      <c r="Q78" s="114">
        <v>5493144</v>
      </c>
      <c r="R78" s="114">
        <v>5493144</v>
      </c>
      <c r="S78" s="114">
        <v>0</v>
      </c>
      <c r="T78" s="114">
        <v>20063</v>
      </c>
      <c r="U78" s="114">
        <v>3701</v>
      </c>
      <c r="V78" s="114">
        <v>56496</v>
      </c>
      <c r="W78" s="114">
        <v>2335</v>
      </c>
      <c r="X78" s="114">
        <v>19890</v>
      </c>
      <c r="Y78" s="114">
        <v>27483</v>
      </c>
      <c r="Z78" s="114">
        <v>28288635.51</v>
      </c>
      <c r="AA78" s="114">
        <v>0</v>
      </c>
      <c r="AB78" s="114">
        <v>0</v>
      </c>
      <c r="AC78" s="114">
        <v>300745.273</v>
      </c>
      <c r="AD78" s="114">
        <v>27915709.8</v>
      </c>
      <c r="AE78" s="114">
        <v>50755854.15</v>
      </c>
      <c r="AF78" s="114">
        <v>5477975</v>
      </c>
      <c r="AG78" s="114">
        <v>9265.441</v>
      </c>
      <c r="AH78" s="114">
        <v>5218406</v>
      </c>
      <c r="AI78" s="114">
        <v>1841.769</v>
      </c>
      <c r="AJ78" s="114">
        <v>0</v>
      </c>
      <c r="AK78" s="114">
        <v>0</v>
      </c>
      <c r="AL78" s="114">
        <v>0</v>
      </c>
      <c r="AM78" s="114">
        <v>0</v>
      </c>
      <c r="AN78" s="114">
        <v>147621</v>
      </c>
      <c r="AO78" s="114">
        <v>2997.6579</v>
      </c>
      <c r="AP78" s="114"/>
      <c r="AQ78" s="114">
        <v>0</v>
      </c>
      <c r="AR78" s="114"/>
      <c r="AS78" s="114"/>
      <c r="AT78" s="114">
        <v>535</v>
      </c>
      <c r="AU78" s="114">
        <v>4193756</v>
      </c>
      <c r="AV78" s="114">
        <v>0</v>
      </c>
      <c r="AW78" s="114">
        <v>0</v>
      </c>
      <c r="AX78" s="114">
        <v>0</v>
      </c>
      <c r="AY78" s="114">
        <v>0</v>
      </c>
      <c r="AZ78" s="114">
        <v>48</v>
      </c>
      <c r="BA78" s="114">
        <v>2982</v>
      </c>
      <c r="BB78" s="116"/>
      <c r="BC78" s="116"/>
      <c r="BD78" s="116"/>
      <c r="BE78" s="116"/>
      <c r="BF78" s="116"/>
      <c r="BG78" s="116"/>
      <c r="BH78" s="116"/>
      <c r="BI78" s="116"/>
      <c r="BJ78" s="117">
        <v>1498656</v>
      </c>
      <c r="BK78" s="117">
        <v>16362</v>
      </c>
      <c r="BL78" s="119"/>
      <c r="BM78" s="118">
        <v>0</v>
      </c>
      <c r="BN78" s="131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</row>
    <row r="79" s="96" customFormat="1" ht="15.75" customHeight="1" spans="1:76">
      <c r="A79" s="111">
        <v>78</v>
      </c>
      <c r="B79" s="112" t="s">
        <v>46</v>
      </c>
      <c r="C79" s="112" t="s">
        <v>47</v>
      </c>
      <c r="D79" s="111">
        <v>2024</v>
      </c>
      <c r="E79" s="113" t="s">
        <v>37</v>
      </c>
      <c r="F79" s="114">
        <v>6906237</v>
      </c>
      <c r="G79" s="114">
        <v>6906237</v>
      </c>
      <c r="H79" s="114">
        <v>137736.3314</v>
      </c>
      <c r="I79" s="114">
        <v>9171</v>
      </c>
      <c r="J79" s="115">
        <v>0.000821759259259259</v>
      </c>
      <c r="K79" s="114">
        <v>41.65</v>
      </c>
      <c r="L79" s="114">
        <v>1193</v>
      </c>
      <c r="M79" s="114">
        <v>72509444</v>
      </c>
      <c r="N79" s="114">
        <v>7.05</v>
      </c>
      <c r="O79" s="114">
        <v>4332917</v>
      </c>
      <c r="P79" s="114">
        <v>1389599</v>
      </c>
      <c r="Q79" s="114">
        <v>2943318</v>
      </c>
      <c r="R79" s="114">
        <v>2943318</v>
      </c>
      <c r="S79" s="114">
        <v>0</v>
      </c>
      <c r="T79" s="114">
        <v>12512</v>
      </c>
      <c r="U79" s="114">
        <v>3341</v>
      </c>
      <c r="V79" s="114">
        <v>27322</v>
      </c>
      <c r="W79" s="114">
        <v>1059</v>
      </c>
      <c r="X79" s="114">
        <v>13367</v>
      </c>
      <c r="Y79" s="114">
        <v>11195</v>
      </c>
      <c r="Z79" s="114">
        <v>15591315.08</v>
      </c>
      <c r="AA79" s="114">
        <v>0</v>
      </c>
      <c r="AB79" s="114">
        <v>0</v>
      </c>
      <c r="AC79" s="114">
        <v>185435.612</v>
      </c>
      <c r="AD79" s="114">
        <v>15392531.75</v>
      </c>
      <c r="AE79" s="114">
        <v>27986424.78</v>
      </c>
      <c r="AF79" s="114">
        <v>2912932</v>
      </c>
      <c r="AG79" s="114">
        <v>9607.648</v>
      </c>
      <c r="AH79" s="114">
        <v>2719561</v>
      </c>
      <c r="AI79" s="114">
        <v>2257.57</v>
      </c>
      <c r="AJ79" s="114">
        <v>0</v>
      </c>
      <c r="AK79" s="114">
        <v>0</v>
      </c>
      <c r="AL79" s="114">
        <v>0</v>
      </c>
      <c r="AM79" s="114">
        <v>0</v>
      </c>
      <c r="AN79" s="114">
        <v>68200</v>
      </c>
      <c r="AO79" s="114">
        <v>1728.2171</v>
      </c>
      <c r="AP79" s="114">
        <v>0.0756</v>
      </c>
      <c r="AQ79" s="114">
        <v>0</v>
      </c>
      <c r="AR79" s="114">
        <v>0</v>
      </c>
      <c r="AS79" s="114">
        <v>0</v>
      </c>
      <c r="AT79" s="114">
        <v>290</v>
      </c>
      <c r="AU79" s="114">
        <v>6769926</v>
      </c>
      <c r="AV79" s="114">
        <v>0</v>
      </c>
      <c r="AW79" s="114">
        <v>0</v>
      </c>
      <c r="AX79" s="114">
        <v>0</v>
      </c>
      <c r="AY79" s="114">
        <v>0</v>
      </c>
      <c r="AZ79" s="114">
        <v>46</v>
      </c>
      <c r="BA79" s="114">
        <v>2336</v>
      </c>
      <c r="BB79" s="116"/>
      <c r="BC79" s="116"/>
      <c r="BD79" s="116"/>
      <c r="BE79" s="116"/>
      <c r="BF79" s="116"/>
      <c r="BG79" s="116"/>
      <c r="BH79" s="116"/>
      <c r="BI79" s="116"/>
      <c r="BJ79" s="117">
        <v>1507827</v>
      </c>
      <c r="BK79" s="117">
        <v>9171</v>
      </c>
      <c r="BL79" s="119"/>
      <c r="BM79" s="118">
        <v>0</v>
      </c>
      <c r="BN79" s="131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</row>
    <row r="80" s="96" customFormat="1" ht="15.75" customHeight="1" spans="1:76">
      <c r="A80" s="111">
        <v>79</v>
      </c>
      <c r="B80" s="112" t="s">
        <v>46</v>
      </c>
      <c r="C80" s="112" t="s">
        <v>47</v>
      </c>
      <c r="D80" s="111">
        <v>2024</v>
      </c>
      <c r="E80" s="113" t="s">
        <v>38</v>
      </c>
      <c r="F80" s="114">
        <v>6393971</v>
      </c>
      <c r="G80" s="114">
        <v>6393971</v>
      </c>
      <c r="H80" s="114">
        <v>127587.3483</v>
      </c>
      <c r="I80" s="114">
        <v>8249</v>
      </c>
      <c r="J80" s="115">
        <v>0.000821759259259259</v>
      </c>
      <c r="K80" s="114">
        <v>37.98</v>
      </c>
      <c r="L80" s="114">
        <v>1278</v>
      </c>
      <c r="M80" s="114">
        <v>67505609</v>
      </c>
      <c r="N80" s="114">
        <v>6.9</v>
      </c>
      <c r="O80" s="114">
        <v>4045251</v>
      </c>
      <c r="P80" s="114">
        <v>1493802</v>
      </c>
      <c r="Q80" s="114">
        <v>2551449</v>
      </c>
      <c r="R80" s="114">
        <v>2551449</v>
      </c>
      <c r="S80" s="114">
        <v>0</v>
      </c>
      <c r="T80" s="114">
        <v>11614</v>
      </c>
      <c r="U80" s="114">
        <v>3365</v>
      </c>
      <c r="V80" s="114">
        <v>25770</v>
      </c>
      <c r="W80" s="114">
        <v>964</v>
      </c>
      <c r="X80" s="114">
        <v>12772</v>
      </c>
      <c r="Y80" s="114">
        <v>14177</v>
      </c>
      <c r="Z80" s="114">
        <v>14534374.18</v>
      </c>
      <c r="AA80" s="114">
        <v>0</v>
      </c>
      <c r="AB80" s="114">
        <v>0</v>
      </c>
      <c r="AC80" s="114">
        <v>194262.191</v>
      </c>
      <c r="AD80" s="114">
        <v>14334261.91</v>
      </c>
      <c r="AE80" s="114">
        <v>26062741.76</v>
      </c>
      <c r="AF80" s="114">
        <v>2812455</v>
      </c>
      <c r="AG80" s="114">
        <v>9266.901</v>
      </c>
      <c r="AH80" s="114">
        <v>2575781</v>
      </c>
      <c r="AI80" s="114">
        <v>2273.138</v>
      </c>
      <c r="AJ80" s="114">
        <v>0</v>
      </c>
      <c r="AK80" s="114">
        <v>0</v>
      </c>
      <c r="AL80" s="114">
        <v>0</v>
      </c>
      <c r="AM80" s="114">
        <v>0</v>
      </c>
      <c r="AN80" s="114">
        <v>67968</v>
      </c>
      <c r="AO80" s="114">
        <v>1894.881</v>
      </c>
      <c r="AP80" s="114"/>
      <c r="AQ80" s="114">
        <v>0</v>
      </c>
      <c r="AR80" s="114"/>
      <c r="AS80" s="114"/>
      <c r="AT80" s="114">
        <v>109</v>
      </c>
      <c r="AU80" s="114">
        <v>2883598</v>
      </c>
      <c r="AV80" s="114">
        <v>0</v>
      </c>
      <c r="AW80" s="114">
        <v>0</v>
      </c>
      <c r="AX80" s="114">
        <v>0</v>
      </c>
      <c r="AY80" s="114">
        <v>3</v>
      </c>
      <c r="AZ80" s="114">
        <v>43</v>
      </c>
      <c r="BA80" s="114">
        <v>2577</v>
      </c>
      <c r="BB80" s="116"/>
      <c r="BC80" s="116"/>
      <c r="BD80" s="116"/>
      <c r="BE80" s="116"/>
      <c r="BF80" s="116"/>
      <c r="BG80" s="116"/>
      <c r="BH80" s="116"/>
      <c r="BI80" s="116"/>
      <c r="BJ80" s="117">
        <v>1516076</v>
      </c>
      <c r="BK80" s="117">
        <v>8249</v>
      </c>
      <c r="BL80" s="119"/>
      <c r="BM80" s="118">
        <v>0</v>
      </c>
      <c r="BN80" s="131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</row>
    <row r="81" s="96" customFormat="1" ht="15.75" customHeight="1" spans="1:76">
      <c r="A81" s="111">
        <v>80</v>
      </c>
      <c r="B81" s="112" t="s">
        <v>46</v>
      </c>
      <c r="C81" s="112" t="s">
        <v>47</v>
      </c>
      <c r="D81" s="111">
        <v>2024</v>
      </c>
      <c r="E81" s="113" t="s">
        <v>39</v>
      </c>
      <c r="F81" s="114">
        <v>6373253</v>
      </c>
      <c r="G81" s="114">
        <v>6373253</v>
      </c>
      <c r="H81" s="114">
        <v>131603.4985</v>
      </c>
      <c r="I81" s="114">
        <v>9434</v>
      </c>
      <c r="J81" s="115">
        <v>0.000856481481481482</v>
      </c>
      <c r="K81" s="114">
        <v>37.59</v>
      </c>
      <c r="L81" s="114">
        <v>1067</v>
      </c>
      <c r="M81" s="114">
        <v>73890627</v>
      </c>
      <c r="N81" s="114">
        <v>6.86</v>
      </c>
      <c r="O81" s="114">
        <v>4107045</v>
      </c>
      <c r="P81" s="114">
        <v>1438451</v>
      </c>
      <c r="Q81" s="114">
        <v>2668594</v>
      </c>
      <c r="R81" s="114">
        <v>2668594</v>
      </c>
      <c r="S81" s="114">
        <v>0</v>
      </c>
      <c r="T81" s="114">
        <v>12690</v>
      </c>
      <c r="U81" s="114">
        <v>3256</v>
      </c>
      <c r="V81" s="114">
        <v>27973</v>
      </c>
      <c r="W81" s="114">
        <v>1036</v>
      </c>
      <c r="X81" s="114">
        <v>11907</v>
      </c>
      <c r="Y81" s="114">
        <v>11908</v>
      </c>
      <c r="Z81" s="114">
        <v>13628249.91</v>
      </c>
      <c r="AA81" s="114">
        <v>0</v>
      </c>
      <c r="AB81" s="114">
        <v>0</v>
      </c>
      <c r="AC81" s="114">
        <v>185007.705</v>
      </c>
      <c r="AD81" s="114">
        <v>13437545.54</v>
      </c>
      <c r="AE81" s="114">
        <v>24494807.97</v>
      </c>
      <c r="AF81" s="114">
        <v>2651706</v>
      </c>
      <c r="AG81" s="114">
        <v>9237.377</v>
      </c>
      <c r="AH81" s="114">
        <v>2443196</v>
      </c>
      <c r="AI81" s="114">
        <v>2138.351</v>
      </c>
      <c r="AJ81" s="114">
        <v>0</v>
      </c>
      <c r="AK81" s="114">
        <v>0</v>
      </c>
      <c r="AL81" s="114">
        <v>0</v>
      </c>
      <c r="AM81" s="114">
        <v>0</v>
      </c>
      <c r="AN81" s="114">
        <v>77359</v>
      </c>
      <c r="AO81" s="114">
        <v>1842.0008</v>
      </c>
      <c r="AP81" s="114"/>
      <c r="AQ81" s="114">
        <v>0</v>
      </c>
      <c r="AR81" s="114"/>
      <c r="AS81" s="114"/>
      <c r="AT81" s="114">
        <v>326</v>
      </c>
      <c r="AU81" s="114">
        <v>2800559</v>
      </c>
      <c r="AV81" s="114">
        <v>0</v>
      </c>
      <c r="AW81" s="114">
        <v>0</v>
      </c>
      <c r="AX81" s="114">
        <v>0</v>
      </c>
      <c r="AY81" s="114">
        <v>0</v>
      </c>
      <c r="AZ81" s="114">
        <v>51</v>
      </c>
      <c r="BA81" s="114">
        <v>3928</v>
      </c>
      <c r="BB81" s="116"/>
      <c r="BC81" s="116"/>
      <c r="BD81" s="116"/>
      <c r="BE81" s="116"/>
      <c r="BF81" s="116"/>
      <c r="BG81" s="116"/>
      <c r="BH81" s="116"/>
      <c r="BI81" s="116"/>
      <c r="BJ81" s="117">
        <v>1525510</v>
      </c>
      <c r="BK81" s="117">
        <v>9434</v>
      </c>
      <c r="BL81" s="119"/>
      <c r="BM81" s="118">
        <v>0</v>
      </c>
      <c r="BN81" s="131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</row>
    <row r="82" s="96" customFormat="1" ht="15.75" customHeight="1" spans="1:76">
      <c r="A82" s="111">
        <v>81</v>
      </c>
      <c r="B82" s="112" t="s">
        <v>46</v>
      </c>
      <c r="C82" s="112" t="s">
        <v>47</v>
      </c>
      <c r="D82" s="111">
        <v>2024</v>
      </c>
      <c r="E82" s="113" t="s">
        <v>40</v>
      </c>
      <c r="F82" s="114">
        <v>6583830</v>
      </c>
      <c r="G82" s="114">
        <v>6583830</v>
      </c>
      <c r="H82" s="114">
        <v>152131.4436</v>
      </c>
      <c r="I82" s="114">
        <v>9958</v>
      </c>
      <c r="J82" s="115">
        <v>0.000960648148148148</v>
      </c>
      <c r="K82" s="114">
        <v>26.97</v>
      </c>
      <c r="L82" s="114">
        <v>872</v>
      </c>
      <c r="M82" s="114">
        <v>68306003</v>
      </c>
      <c r="N82" s="114">
        <v>7.87</v>
      </c>
      <c r="O82" s="114">
        <v>4094229</v>
      </c>
      <c r="P82" s="114">
        <v>1399314</v>
      </c>
      <c r="Q82" s="114">
        <v>2694915</v>
      </c>
      <c r="R82" s="114">
        <v>2694915</v>
      </c>
      <c r="S82" s="114">
        <v>0</v>
      </c>
      <c r="T82" s="114">
        <v>13208</v>
      </c>
      <c r="U82" s="114">
        <v>3250</v>
      </c>
      <c r="V82" s="114">
        <v>27267</v>
      </c>
      <c r="W82" s="114">
        <v>1148</v>
      </c>
      <c r="X82" s="114">
        <v>12366</v>
      </c>
      <c r="Y82" s="114">
        <v>12204</v>
      </c>
      <c r="Z82" s="114">
        <v>14897672.92</v>
      </c>
      <c r="AA82" s="114">
        <v>0</v>
      </c>
      <c r="AB82" s="114">
        <v>0</v>
      </c>
      <c r="AC82" s="114">
        <v>227291.36</v>
      </c>
      <c r="AD82" s="114">
        <v>14664080.91</v>
      </c>
      <c r="AE82" s="114">
        <v>26661962.72</v>
      </c>
      <c r="AF82" s="114">
        <v>2964621</v>
      </c>
      <c r="AG82" s="114">
        <v>8993.38</v>
      </c>
      <c r="AH82" s="114">
        <v>2733969</v>
      </c>
      <c r="AI82" s="114">
        <v>2262.767</v>
      </c>
      <c r="AJ82" s="114">
        <v>6</v>
      </c>
      <c r="AK82" s="114">
        <v>234</v>
      </c>
      <c r="AL82" s="114">
        <v>0</v>
      </c>
      <c r="AM82" s="114">
        <v>0</v>
      </c>
      <c r="AN82" s="114">
        <v>74858</v>
      </c>
      <c r="AO82" s="114">
        <v>2011.5395</v>
      </c>
      <c r="AP82" s="114"/>
      <c r="AQ82" s="114">
        <v>0</v>
      </c>
      <c r="AR82" s="114"/>
      <c r="AS82" s="114"/>
      <c r="AT82" s="114">
        <v>155</v>
      </c>
      <c r="AU82" s="114">
        <v>999338</v>
      </c>
      <c r="AV82" s="114">
        <v>0</v>
      </c>
      <c r="AW82" s="114">
        <v>0</v>
      </c>
      <c r="AX82" s="114">
        <v>0</v>
      </c>
      <c r="AY82" s="114">
        <v>1</v>
      </c>
      <c r="AZ82" s="114">
        <v>47</v>
      </c>
      <c r="BA82" s="114">
        <v>2334</v>
      </c>
      <c r="BB82" s="116"/>
      <c r="BC82" s="116"/>
      <c r="BD82" s="116"/>
      <c r="BE82" s="116"/>
      <c r="BF82" s="116"/>
      <c r="BG82" s="116"/>
      <c r="BH82" s="116"/>
      <c r="BI82" s="116"/>
      <c r="BJ82" s="117">
        <v>1535468</v>
      </c>
      <c r="BK82" s="117">
        <v>9958</v>
      </c>
      <c r="BL82" s="119"/>
      <c r="BM82" s="118">
        <v>0</v>
      </c>
      <c r="BN82" s="131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</row>
    <row r="83" s="96" customFormat="1" ht="15.75" customHeight="1" spans="1:76">
      <c r="A83" s="111">
        <v>82</v>
      </c>
      <c r="B83" s="112" t="s">
        <v>46</v>
      </c>
      <c r="C83" s="112" t="s">
        <v>47</v>
      </c>
      <c r="D83" s="111">
        <v>2024</v>
      </c>
      <c r="E83" s="113" t="s">
        <v>41</v>
      </c>
      <c r="F83" s="114">
        <v>7282217</v>
      </c>
      <c r="G83" s="114">
        <v>7282217</v>
      </c>
      <c r="H83" s="114">
        <v>148809.8205</v>
      </c>
      <c r="I83" s="114">
        <v>12173</v>
      </c>
      <c r="J83" s="115">
        <v>0.000844907407407407</v>
      </c>
      <c r="K83" s="114">
        <v>33.29</v>
      </c>
      <c r="L83" s="114">
        <v>925</v>
      </c>
      <c r="M83" s="114">
        <v>82566228</v>
      </c>
      <c r="N83" s="114">
        <v>7.5</v>
      </c>
      <c r="O83" s="114">
        <v>4594998</v>
      </c>
      <c r="P83" s="114">
        <v>1612810</v>
      </c>
      <c r="Q83" s="114">
        <v>2982188</v>
      </c>
      <c r="R83" s="114">
        <v>2982188</v>
      </c>
      <c r="S83" s="114">
        <v>0</v>
      </c>
      <c r="T83" s="114">
        <v>15620</v>
      </c>
      <c r="U83" s="114">
        <v>3447</v>
      </c>
      <c r="V83" s="114">
        <v>31567</v>
      </c>
      <c r="W83" s="114">
        <v>1349</v>
      </c>
      <c r="X83" s="114">
        <v>13282</v>
      </c>
      <c r="Y83" s="114">
        <v>14285</v>
      </c>
      <c r="Z83" s="114">
        <v>13308455.24</v>
      </c>
      <c r="AA83" s="114">
        <v>0</v>
      </c>
      <c r="AB83" s="114">
        <v>0</v>
      </c>
      <c r="AC83" s="114">
        <v>197478.302</v>
      </c>
      <c r="AD83" s="114">
        <v>13095022.14</v>
      </c>
      <c r="AE83" s="114">
        <v>23809227.53</v>
      </c>
      <c r="AF83" s="114">
        <v>2695430</v>
      </c>
      <c r="AG83" s="114">
        <v>8833.183</v>
      </c>
      <c r="AH83" s="114">
        <v>2561786</v>
      </c>
      <c r="AI83" s="114">
        <v>1827.528</v>
      </c>
      <c r="AJ83" s="114">
        <v>0</v>
      </c>
      <c r="AK83" s="114">
        <v>8</v>
      </c>
      <c r="AL83" s="114">
        <v>0</v>
      </c>
      <c r="AM83" s="114">
        <v>0</v>
      </c>
      <c r="AN83" s="114">
        <v>76750</v>
      </c>
      <c r="AO83" s="114">
        <v>1683.2062</v>
      </c>
      <c r="AP83" s="114"/>
      <c r="AQ83" s="114">
        <v>0</v>
      </c>
      <c r="AR83" s="114"/>
      <c r="AS83" s="114"/>
      <c r="AT83" s="114">
        <v>224</v>
      </c>
      <c r="AU83" s="114">
        <v>1175892</v>
      </c>
      <c r="AV83" s="114">
        <v>0</v>
      </c>
      <c r="AW83" s="114">
        <v>0</v>
      </c>
      <c r="AX83" s="114">
        <v>0</v>
      </c>
      <c r="AY83" s="114">
        <v>4</v>
      </c>
      <c r="AZ83" s="114">
        <v>37</v>
      </c>
      <c r="BA83" s="114">
        <v>1867</v>
      </c>
      <c r="BB83" s="116"/>
      <c r="BC83" s="116"/>
      <c r="BD83" s="116"/>
      <c r="BE83" s="116"/>
      <c r="BF83" s="116"/>
      <c r="BG83" s="116"/>
      <c r="BH83" s="116"/>
      <c r="BI83" s="116"/>
      <c r="BJ83" s="117">
        <v>1547641</v>
      </c>
      <c r="BK83" s="117">
        <v>12173</v>
      </c>
      <c r="BL83" s="119"/>
      <c r="BM83" s="118">
        <v>0</v>
      </c>
      <c r="BN83" s="131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</row>
    <row r="84" s="96" customFormat="1" ht="15.75" customHeight="1" spans="1:76">
      <c r="A84" s="111">
        <v>83</v>
      </c>
      <c r="B84" s="112" t="s">
        <v>46</v>
      </c>
      <c r="C84" s="112" t="s">
        <v>47</v>
      </c>
      <c r="D84" s="111">
        <v>2024</v>
      </c>
      <c r="E84" s="113" t="s">
        <v>42</v>
      </c>
      <c r="F84" s="114">
        <v>9158494</v>
      </c>
      <c r="G84" s="114">
        <v>9158494</v>
      </c>
      <c r="H84" s="114">
        <v>216779.7662</v>
      </c>
      <c r="I84" s="114">
        <v>15936</v>
      </c>
      <c r="J84" s="115">
        <v>0.000983796296296296</v>
      </c>
      <c r="K84" s="114">
        <v>42.79</v>
      </c>
      <c r="L84" s="114">
        <v>900</v>
      </c>
      <c r="M84" s="114">
        <v>93320264</v>
      </c>
      <c r="N84" s="114">
        <v>8.05</v>
      </c>
      <c r="O84" s="114">
        <v>5815172</v>
      </c>
      <c r="P84" s="114">
        <v>2132176</v>
      </c>
      <c r="Q84" s="114">
        <v>3682996</v>
      </c>
      <c r="R84" s="114">
        <v>3682996</v>
      </c>
      <c r="S84" s="114">
        <v>0</v>
      </c>
      <c r="T84" s="114">
        <v>19327</v>
      </c>
      <c r="U84" s="114">
        <v>3391</v>
      </c>
      <c r="V84" s="114">
        <v>42192</v>
      </c>
      <c r="W84" s="114">
        <v>1899</v>
      </c>
      <c r="X84" s="114">
        <v>14488</v>
      </c>
      <c r="Y84" s="114">
        <v>16359</v>
      </c>
      <c r="Z84" s="114">
        <v>17524024.25</v>
      </c>
      <c r="AA84" s="114">
        <v>0</v>
      </c>
      <c r="AB84" s="114">
        <v>0</v>
      </c>
      <c r="AC84" s="114">
        <v>333904.336</v>
      </c>
      <c r="AD84" s="114">
        <v>17108044.79</v>
      </c>
      <c r="AE84" s="114">
        <v>31105569.21</v>
      </c>
      <c r="AF84" s="114">
        <v>3485137</v>
      </c>
      <c r="AG84" s="114">
        <v>8925.207</v>
      </c>
      <c r="AH84" s="114">
        <v>3234745</v>
      </c>
      <c r="AI84" s="114">
        <v>1913.419</v>
      </c>
      <c r="AJ84" s="114">
        <v>53</v>
      </c>
      <c r="AK84" s="114">
        <v>46860</v>
      </c>
      <c r="AL84" s="114">
        <v>0</v>
      </c>
      <c r="AM84" s="114">
        <v>0</v>
      </c>
      <c r="AN84" s="114">
        <v>89075</v>
      </c>
      <c r="AO84" s="114">
        <v>2428.62</v>
      </c>
      <c r="AP84" s="114">
        <v>1.5741</v>
      </c>
      <c r="AQ84" s="114">
        <v>6</v>
      </c>
      <c r="AR84" s="114">
        <v>0</v>
      </c>
      <c r="AS84" s="114">
        <v>1</v>
      </c>
      <c r="AT84" s="114">
        <v>155</v>
      </c>
      <c r="AU84" s="114">
        <v>837112</v>
      </c>
      <c r="AV84" s="114">
        <v>0</v>
      </c>
      <c r="AW84" s="114">
        <v>0</v>
      </c>
      <c r="AX84" s="114">
        <v>0</v>
      </c>
      <c r="AY84" s="114">
        <v>5</v>
      </c>
      <c r="AZ84" s="114">
        <v>44</v>
      </c>
      <c r="BA84" s="114">
        <v>1776</v>
      </c>
      <c r="BB84" s="116"/>
      <c r="BC84" s="116"/>
      <c r="BD84" s="116"/>
      <c r="BE84" s="116"/>
      <c r="BF84" s="116"/>
      <c r="BG84" s="116"/>
      <c r="BH84" s="116"/>
      <c r="BI84" s="116"/>
      <c r="BJ84" s="117">
        <v>1563577</v>
      </c>
      <c r="BK84" s="117">
        <v>15936</v>
      </c>
      <c r="BL84" s="119"/>
      <c r="BM84" s="118">
        <v>0</v>
      </c>
      <c r="BN84" s="131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</row>
    <row r="85" s="96" customFormat="1" ht="15.75" customHeight="1" spans="1:76">
      <c r="A85" s="111">
        <v>84</v>
      </c>
      <c r="B85" s="112" t="s">
        <v>46</v>
      </c>
      <c r="C85" s="112" t="s">
        <v>47</v>
      </c>
      <c r="D85" s="111">
        <v>2024</v>
      </c>
      <c r="E85" s="113" t="s">
        <v>43</v>
      </c>
      <c r="F85" s="114">
        <v>5626546</v>
      </c>
      <c r="G85" s="114">
        <v>5626546</v>
      </c>
      <c r="H85" s="114">
        <v>126543.3214</v>
      </c>
      <c r="I85" s="114">
        <v>9534</v>
      </c>
      <c r="J85" s="115">
        <v>0.000925925925925926</v>
      </c>
      <c r="K85" s="114">
        <v>37.49</v>
      </c>
      <c r="L85" s="114">
        <v>1249</v>
      </c>
      <c r="M85" s="114">
        <v>58734978</v>
      </c>
      <c r="N85" s="114">
        <v>7.76</v>
      </c>
      <c r="O85" s="114">
        <v>3612910</v>
      </c>
      <c r="P85" s="114">
        <v>1367776</v>
      </c>
      <c r="Q85" s="114">
        <v>2245134</v>
      </c>
      <c r="R85" s="114">
        <v>2245134</v>
      </c>
      <c r="S85" s="114">
        <v>0</v>
      </c>
      <c r="T85" s="114">
        <v>12835</v>
      </c>
      <c r="U85" s="114">
        <v>3301</v>
      </c>
      <c r="V85" s="114">
        <v>21224</v>
      </c>
      <c r="W85" s="114">
        <v>945</v>
      </c>
      <c r="X85" s="114">
        <v>9145</v>
      </c>
      <c r="Y85" s="114">
        <v>8763</v>
      </c>
      <c r="Z85" s="114">
        <v>11325854.46</v>
      </c>
      <c r="AA85" s="114">
        <v>0</v>
      </c>
      <c r="AB85" s="114">
        <v>0</v>
      </c>
      <c r="AC85" s="114">
        <v>189261.027</v>
      </c>
      <c r="AD85" s="114">
        <v>11110903.5</v>
      </c>
      <c r="AE85" s="114">
        <v>20201647.78</v>
      </c>
      <c r="AF85" s="114">
        <v>2294214</v>
      </c>
      <c r="AG85" s="114">
        <v>8805.477</v>
      </c>
      <c r="AH85" s="114">
        <v>2159133</v>
      </c>
      <c r="AI85" s="114">
        <v>2012.933</v>
      </c>
      <c r="AJ85" s="114">
        <v>19</v>
      </c>
      <c r="AK85" s="114">
        <v>17959</v>
      </c>
      <c r="AL85" s="114">
        <v>0</v>
      </c>
      <c r="AM85" s="114">
        <v>0</v>
      </c>
      <c r="AN85" s="114">
        <v>49539</v>
      </c>
      <c r="AO85" s="114">
        <v>1414.2252</v>
      </c>
      <c r="AP85" s="114"/>
      <c r="AQ85" s="114">
        <v>0</v>
      </c>
      <c r="AR85" s="114"/>
      <c r="AS85" s="114"/>
      <c r="AT85" s="114">
        <v>142</v>
      </c>
      <c r="AU85" s="114">
        <v>726514</v>
      </c>
      <c r="AV85" s="114">
        <v>0</v>
      </c>
      <c r="AW85" s="114">
        <v>0</v>
      </c>
      <c r="AX85" s="114">
        <v>1</v>
      </c>
      <c r="AY85" s="114">
        <v>6</v>
      </c>
      <c r="AZ85" s="114">
        <v>25</v>
      </c>
      <c r="BA85" s="114">
        <v>1566</v>
      </c>
      <c r="BB85" s="116"/>
      <c r="BC85" s="116"/>
      <c r="BD85" s="116"/>
      <c r="BE85" s="116"/>
      <c r="BF85" s="116"/>
      <c r="BG85" s="116"/>
      <c r="BH85" s="116"/>
      <c r="BI85" s="116"/>
      <c r="BJ85" s="117">
        <v>1573111</v>
      </c>
      <c r="BK85" s="117">
        <v>9534</v>
      </c>
      <c r="BL85" s="119"/>
      <c r="BM85" s="118">
        <v>0</v>
      </c>
      <c r="BN85" s="131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</row>
    <row r="86" s="96" customFormat="1" ht="15.75" customHeight="1" spans="1:76">
      <c r="A86" s="111">
        <v>85</v>
      </c>
      <c r="B86" s="112" t="s">
        <v>46</v>
      </c>
      <c r="C86" s="112" t="s">
        <v>47</v>
      </c>
      <c r="D86" s="111">
        <v>2025</v>
      </c>
      <c r="E86" s="113" t="s">
        <v>31</v>
      </c>
      <c r="F86" s="114">
        <v>4582086</v>
      </c>
      <c r="G86" s="114">
        <v>4582086</v>
      </c>
      <c r="H86" s="114">
        <v>96608.869</v>
      </c>
      <c r="I86" s="114">
        <v>7927</v>
      </c>
      <c r="J86" s="115">
        <v>0.000868055555555556</v>
      </c>
      <c r="K86" s="114">
        <v>34.22</v>
      </c>
      <c r="L86" s="114">
        <v>1258</v>
      </c>
      <c r="M86" s="114">
        <v>51392249</v>
      </c>
      <c r="N86" s="114">
        <v>7.34</v>
      </c>
      <c r="O86" s="114">
        <v>3074773</v>
      </c>
      <c r="P86" s="114">
        <v>1211499</v>
      </c>
      <c r="Q86" s="114">
        <v>1863274</v>
      </c>
      <c r="R86" s="114">
        <v>1863274</v>
      </c>
      <c r="S86" s="114">
        <v>0</v>
      </c>
      <c r="T86" s="114">
        <v>11126</v>
      </c>
      <c r="U86" s="114">
        <v>3199</v>
      </c>
      <c r="V86" s="114">
        <v>16439</v>
      </c>
      <c r="W86" s="114">
        <v>719</v>
      </c>
      <c r="X86" s="114">
        <v>9192</v>
      </c>
      <c r="Y86" s="114">
        <v>6118</v>
      </c>
      <c r="Z86" s="114">
        <v>5728332.6</v>
      </c>
      <c r="AA86" s="114">
        <v>0</v>
      </c>
      <c r="AB86" s="114">
        <v>0</v>
      </c>
      <c r="AC86" s="114">
        <v>118683.018</v>
      </c>
      <c r="AD86" s="114">
        <v>5595302.89</v>
      </c>
      <c r="AE86" s="114">
        <v>10173319.93</v>
      </c>
      <c r="AF86" s="114">
        <v>1088256</v>
      </c>
      <c r="AG86" s="114">
        <v>9348.278</v>
      </c>
      <c r="AH86" s="114">
        <v>1053598</v>
      </c>
      <c r="AI86" s="114">
        <v>1250.158</v>
      </c>
      <c r="AJ86" s="114">
        <v>8</v>
      </c>
      <c r="AK86" s="114">
        <v>11981</v>
      </c>
      <c r="AL86" s="114">
        <v>0</v>
      </c>
      <c r="AM86" s="114">
        <v>0</v>
      </c>
      <c r="AN86" s="114">
        <v>40837</v>
      </c>
      <c r="AO86" s="114">
        <v>957.7312</v>
      </c>
      <c r="AP86" s="114">
        <v>0.2204</v>
      </c>
      <c r="AQ86" s="114">
        <v>2</v>
      </c>
      <c r="AR86" s="114">
        <v>0</v>
      </c>
      <c r="AS86" s="114">
        <v>0</v>
      </c>
      <c r="AT86" s="114">
        <v>100</v>
      </c>
      <c r="AU86" s="114">
        <v>512532</v>
      </c>
      <c r="AV86" s="114">
        <v>0</v>
      </c>
      <c r="AW86" s="114">
        <v>0</v>
      </c>
      <c r="AX86" s="114">
        <v>10</v>
      </c>
      <c r="AY86" s="114">
        <v>67</v>
      </c>
      <c r="AZ86" s="114">
        <v>37</v>
      </c>
      <c r="BA86" s="114">
        <v>1712</v>
      </c>
      <c r="BB86" s="116"/>
      <c r="BC86" s="116"/>
      <c r="BD86" s="116"/>
      <c r="BE86" s="116"/>
      <c r="BF86" s="116"/>
      <c r="BG86" s="116"/>
      <c r="BH86" s="116"/>
      <c r="BI86" s="116"/>
      <c r="BJ86" s="117">
        <v>1581038</v>
      </c>
      <c r="BK86" s="117">
        <v>7927</v>
      </c>
      <c r="BL86" s="117">
        <v>1975290</v>
      </c>
      <c r="BM86" s="118">
        <v>2063290</v>
      </c>
      <c r="BN86" s="118">
        <v>121.37</v>
      </c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</row>
    <row r="87" s="96" customFormat="1" ht="15.75" customHeight="1" spans="1:76">
      <c r="A87" s="111">
        <v>86</v>
      </c>
      <c r="B87" s="112" t="s">
        <v>46</v>
      </c>
      <c r="C87" s="112" t="s">
        <v>47</v>
      </c>
      <c r="D87" s="111">
        <v>2025</v>
      </c>
      <c r="E87" s="113" t="s">
        <v>33</v>
      </c>
      <c r="F87" s="114">
        <v>4172545</v>
      </c>
      <c r="G87" s="114">
        <v>4172545</v>
      </c>
      <c r="H87" s="114">
        <v>72167.0929</v>
      </c>
      <c r="I87" s="114">
        <v>6476</v>
      </c>
      <c r="J87" s="115">
        <v>0.000717592592592593</v>
      </c>
      <c r="K87" s="114">
        <v>29.2</v>
      </c>
      <c r="L87" s="114">
        <v>925</v>
      </c>
      <c r="M87" s="114">
        <v>46136951</v>
      </c>
      <c r="N87" s="114">
        <v>7.37</v>
      </c>
      <c r="O87" s="114">
        <v>2905370</v>
      </c>
      <c r="P87" s="114">
        <v>1187549</v>
      </c>
      <c r="Q87" s="114">
        <v>1717821</v>
      </c>
      <c r="R87" s="114">
        <v>1717821</v>
      </c>
      <c r="S87" s="114">
        <v>0</v>
      </c>
      <c r="T87" s="114">
        <v>8438</v>
      </c>
      <c r="U87" s="114">
        <v>1962</v>
      </c>
      <c r="V87" s="114">
        <v>15091</v>
      </c>
      <c r="W87" s="114">
        <v>577</v>
      </c>
      <c r="X87" s="114">
        <v>8417</v>
      </c>
      <c r="Y87" s="114">
        <v>25849</v>
      </c>
      <c r="Z87" s="114">
        <v>5790378.523</v>
      </c>
      <c r="AA87" s="114">
        <v>13908.869</v>
      </c>
      <c r="AB87" s="114">
        <v>1</v>
      </c>
      <c r="AC87" s="114">
        <v>129864.075</v>
      </c>
      <c r="AD87" s="114">
        <v>5617730.705</v>
      </c>
      <c r="AE87" s="114">
        <v>10214045.25</v>
      </c>
      <c r="AF87" s="114">
        <v>1077348</v>
      </c>
      <c r="AG87" s="114">
        <v>9480.73</v>
      </c>
      <c r="AH87" s="114">
        <v>1027490</v>
      </c>
      <c r="AI87" s="114">
        <v>1387.732</v>
      </c>
      <c r="AJ87" s="114">
        <v>9</v>
      </c>
      <c r="AK87" s="114">
        <v>5400</v>
      </c>
      <c r="AL87" s="114">
        <v>0</v>
      </c>
      <c r="AM87" s="114">
        <v>0</v>
      </c>
      <c r="AN87" s="114">
        <v>41794</v>
      </c>
      <c r="AO87" s="114">
        <v>898.5922</v>
      </c>
      <c r="AP87" s="114"/>
      <c r="AQ87" s="114">
        <v>0</v>
      </c>
      <c r="AR87" s="114"/>
      <c r="AS87" s="114"/>
      <c r="AT87" s="114">
        <v>23</v>
      </c>
      <c r="AU87" s="114">
        <v>110418</v>
      </c>
      <c r="AV87" s="114">
        <v>0</v>
      </c>
      <c r="AW87" s="114">
        <v>0</v>
      </c>
      <c r="AX87" s="114">
        <v>2</v>
      </c>
      <c r="AY87" s="114">
        <v>9</v>
      </c>
      <c r="AZ87" s="114">
        <v>17</v>
      </c>
      <c r="BA87" s="114">
        <v>1233</v>
      </c>
      <c r="BB87" s="116"/>
      <c r="BC87" s="116"/>
      <c r="BD87" s="116"/>
      <c r="BE87" s="116"/>
      <c r="BF87" s="116"/>
      <c r="BG87" s="116"/>
      <c r="BH87" s="116"/>
      <c r="BI87" s="116"/>
      <c r="BJ87" s="117">
        <v>1587514</v>
      </c>
      <c r="BK87" s="117">
        <v>6476</v>
      </c>
      <c r="BL87" s="117">
        <v>1477110</v>
      </c>
      <c r="BM87" s="118">
        <v>2263720</v>
      </c>
      <c r="BN87" s="118">
        <v>133.16</v>
      </c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</row>
    <row r="88" s="96" customFormat="1" ht="15.75" customHeight="1" spans="1:76">
      <c r="A88" s="111">
        <v>87</v>
      </c>
      <c r="B88" s="112" t="s">
        <v>46</v>
      </c>
      <c r="C88" s="112" t="s">
        <v>47</v>
      </c>
      <c r="D88" s="111">
        <v>2025</v>
      </c>
      <c r="E88" s="113" t="s">
        <v>34</v>
      </c>
      <c r="F88" s="114">
        <v>4134433</v>
      </c>
      <c r="G88" s="114">
        <v>4128567</v>
      </c>
      <c r="H88" s="114">
        <v>63824.5232</v>
      </c>
      <c r="I88" s="114">
        <v>5418</v>
      </c>
      <c r="J88" s="115">
        <v>0.000636574074074074</v>
      </c>
      <c r="K88" s="114">
        <v>40.11</v>
      </c>
      <c r="L88" s="114">
        <v>874</v>
      </c>
      <c r="M88" s="114">
        <v>42819740</v>
      </c>
      <c r="N88" s="114">
        <v>7.43</v>
      </c>
      <c r="O88" s="114">
        <v>2820002</v>
      </c>
      <c r="P88" s="114">
        <v>1265987</v>
      </c>
      <c r="Q88" s="114">
        <v>1554154</v>
      </c>
      <c r="R88" s="114">
        <v>1398230</v>
      </c>
      <c r="S88" s="114">
        <v>155924</v>
      </c>
      <c r="T88" s="114">
        <v>9248</v>
      </c>
      <c r="U88" s="114">
        <v>3830</v>
      </c>
      <c r="V88" s="114">
        <v>14235</v>
      </c>
      <c r="W88" s="114">
        <v>702</v>
      </c>
      <c r="X88" s="114">
        <v>5919</v>
      </c>
      <c r="Y88" s="114">
        <v>6606</v>
      </c>
      <c r="Z88" s="114">
        <v>6867351.133</v>
      </c>
      <c r="AA88" s="114">
        <v>0</v>
      </c>
      <c r="AB88" s="114">
        <v>0</v>
      </c>
      <c r="AC88" s="114">
        <v>75394.835</v>
      </c>
      <c r="AD88" s="114">
        <v>6731806.909</v>
      </c>
      <c r="AE88" s="114">
        <v>12239643.66</v>
      </c>
      <c r="AF88" s="114">
        <v>1401362</v>
      </c>
      <c r="AG88" s="114">
        <v>8734.106</v>
      </c>
      <c r="AH88" s="114">
        <v>1319772</v>
      </c>
      <c r="AI88" s="114">
        <v>1663.374</v>
      </c>
      <c r="AJ88" s="114">
        <v>1</v>
      </c>
      <c r="AK88" s="114">
        <v>1264</v>
      </c>
      <c r="AL88" s="114">
        <v>0</v>
      </c>
      <c r="AM88" s="114">
        <v>0</v>
      </c>
      <c r="AN88" s="114">
        <v>37618</v>
      </c>
      <c r="AO88" s="114">
        <v>647.7798</v>
      </c>
      <c r="AP88" s="114"/>
      <c r="AQ88" s="114">
        <v>0</v>
      </c>
      <c r="AR88" s="114"/>
      <c r="AS88" s="114"/>
      <c r="AT88" s="114">
        <v>60</v>
      </c>
      <c r="AU88" s="114">
        <v>369793</v>
      </c>
      <c r="AV88" s="114">
        <v>0</v>
      </c>
      <c r="AW88" s="114">
        <v>0</v>
      </c>
      <c r="AX88" s="114">
        <v>0</v>
      </c>
      <c r="AY88" s="114">
        <v>1</v>
      </c>
      <c r="AZ88" s="114">
        <v>19</v>
      </c>
      <c r="BA88" s="114">
        <v>1178</v>
      </c>
      <c r="BB88" s="116"/>
      <c r="BC88" s="116"/>
      <c r="BD88" s="116"/>
      <c r="BE88" s="116"/>
      <c r="BF88" s="116"/>
      <c r="BG88" s="116"/>
      <c r="BH88" s="116"/>
      <c r="BI88" s="116"/>
      <c r="BJ88" s="117">
        <v>1592932</v>
      </c>
      <c r="BK88" s="117">
        <v>5418</v>
      </c>
      <c r="BL88" s="117">
        <v>1646065</v>
      </c>
      <c r="BM88" s="118">
        <v>2920600</v>
      </c>
      <c r="BN88" s="118">
        <v>171.8</v>
      </c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</row>
    <row r="89" s="96" customFormat="1" ht="15.75" customHeight="1" spans="1:76">
      <c r="A89" s="111">
        <v>88</v>
      </c>
      <c r="B89" s="112" t="s">
        <v>46</v>
      </c>
      <c r="C89" s="112" t="s">
        <v>47</v>
      </c>
      <c r="D89" s="111">
        <v>2025</v>
      </c>
      <c r="E89" s="113" t="s">
        <v>35</v>
      </c>
      <c r="F89" s="114">
        <v>3548182</v>
      </c>
      <c r="G89" s="114">
        <v>3247723</v>
      </c>
      <c r="H89" s="114">
        <v>51738.8294</v>
      </c>
      <c r="I89" s="114">
        <v>3950</v>
      </c>
      <c r="J89" s="115">
        <v>0.000659722222222222</v>
      </c>
      <c r="K89" s="114">
        <v>38.45</v>
      </c>
      <c r="L89" s="114">
        <v>706</v>
      </c>
      <c r="M89" s="114">
        <v>35130351</v>
      </c>
      <c r="N89" s="114">
        <v>7.21</v>
      </c>
      <c r="O89" s="114">
        <v>2275190</v>
      </c>
      <c r="P89" s="114">
        <v>1029687</v>
      </c>
      <c r="Q89" s="114">
        <v>1246896</v>
      </c>
      <c r="R89" s="114">
        <v>984945</v>
      </c>
      <c r="S89" s="114">
        <v>261951</v>
      </c>
      <c r="T89" s="114">
        <v>7015</v>
      </c>
      <c r="U89" s="114">
        <v>3065</v>
      </c>
      <c r="V89" s="114">
        <v>10612</v>
      </c>
      <c r="W89" s="114">
        <v>874</v>
      </c>
      <c r="X89" s="114">
        <v>5478</v>
      </c>
      <c r="Y89" s="114">
        <v>5325</v>
      </c>
      <c r="Z89" s="114">
        <v>4449050.621</v>
      </c>
      <c r="AA89" s="114">
        <v>0</v>
      </c>
      <c r="AB89" s="114">
        <v>0</v>
      </c>
      <c r="AC89" s="114">
        <v>75935.162</v>
      </c>
      <c r="AD89" s="114">
        <v>4322547.044</v>
      </c>
      <c r="AE89" s="114">
        <v>7860360.689</v>
      </c>
      <c r="AF89" s="114">
        <v>922824</v>
      </c>
      <c r="AG89" s="114">
        <v>8517.725</v>
      </c>
      <c r="AH89" s="114">
        <v>881750</v>
      </c>
      <c r="AI89" s="114">
        <v>1369.898</v>
      </c>
      <c r="AJ89" s="114">
        <v>0</v>
      </c>
      <c r="AK89" s="114">
        <v>31</v>
      </c>
      <c r="AL89" s="114">
        <v>0</v>
      </c>
      <c r="AM89" s="114">
        <v>0</v>
      </c>
      <c r="AN89" s="114">
        <v>31489</v>
      </c>
      <c r="AO89" s="114">
        <v>580.5611</v>
      </c>
      <c r="AP89" s="114"/>
      <c r="AQ89" s="114">
        <v>0</v>
      </c>
      <c r="AR89" s="114"/>
      <c r="AS89" s="114"/>
      <c r="AT89" s="114">
        <v>54</v>
      </c>
      <c r="AU89" s="114">
        <v>353701</v>
      </c>
      <c r="AV89" s="114">
        <v>0</v>
      </c>
      <c r="AW89" s="114">
        <v>0</v>
      </c>
      <c r="AX89" s="114">
        <v>1</v>
      </c>
      <c r="AY89" s="114">
        <v>5</v>
      </c>
      <c r="AZ89" s="114">
        <v>19</v>
      </c>
      <c r="BA89" s="114">
        <v>1114</v>
      </c>
      <c r="BB89" s="116"/>
      <c r="BC89" s="116"/>
      <c r="BD89" s="116"/>
      <c r="BE89" s="116"/>
      <c r="BF89" s="116"/>
      <c r="BG89" s="116"/>
      <c r="BH89" s="116"/>
      <c r="BI89" s="116"/>
      <c r="BJ89" s="117">
        <v>1596882</v>
      </c>
      <c r="BK89" s="117">
        <v>3950</v>
      </c>
      <c r="BL89" s="117">
        <v>1378941</v>
      </c>
      <c r="BM89" s="118">
        <v>1460980</v>
      </c>
      <c r="BN89" s="118">
        <v>85.94</v>
      </c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</row>
    <row r="90" s="96" customFormat="1" ht="15.75" customHeight="1" spans="1:76">
      <c r="A90" s="111">
        <v>89</v>
      </c>
      <c r="B90" s="112" t="s">
        <v>46</v>
      </c>
      <c r="C90" s="112" t="s">
        <v>47</v>
      </c>
      <c r="D90" s="111">
        <v>2025</v>
      </c>
      <c r="E90" s="113" t="s">
        <v>36</v>
      </c>
      <c r="F90" s="114">
        <v>3041337</v>
      </c>
      <c r="G90" s="114">
        <v>2819222</v>
      </c>
      <c r="H90" s="114">
        <v>45450.197</v>
      </c>
      <c r="I90" s="114">
        <v>2812</v>
      </c>
      <c r="J90" s="115">
        <v>0.000659722222222222</v>
      </c>
      <c r="K90" s="114">
        <v>33.14</v>
      </c>
      <c r="L90" s="114">
        <v>544</v>
      </c>
      <c r="M90" s="114">
        <v>31617054</v>
      </c>
      <c r="N90" s="114">
        <v>7.14</v>
      </c>
      <c r="O90" s="114">
        <v>2034267</v>
      </c>
      <c r="P90" s="114">
        <v>1029462</v>
      </c>
      <c r="Q90" s="114">
        <v>1004805</v>
      </c>
      <c r="R90" s="114">
        <v>799065</v>
      </c>
      <c r="S90" s="114">
        <v>205740</v>
      </c>
      <c r="T90" s="114">
        <v>5457</v>
      </c>
      <c r="U90" s="114">
        <v>2645</v>
      </c>
      <c r="V90" s="114">
        <v>7545</v>
      </c>
      <c r="W90" s="114">
        <v>483</v>
      </c>
      <c r="X90" s="114">
        <v>5618</v>
      </c>
      <c r="Y90" s="114">
        <v>5784</v>
      </c>
      <c r="Z90" s="114">
        <v>4884560.354</v>
      </c>
      <c r="AA90" s="114">
        <v>0</v>
      </c>
      <c r="AB90" s="114">
        <v>0</v>
      </c>
      <c r="AC90" s="114">
        <v>75929.728</v>
      </c>
      <c r="AD90" s="114">
        <v>4772250.227</v>
      </c>
      <c r="AE90" s="114">
        <v>8676814.597</v>
      </c>
      <c r="AF90" s="114">
        <v>888036</v>
      </c>
      <c r="AG90" s="114">
        <v>9770.791</v>
      </c>
      <c r="AH90" s="114">
        <v>852484</v>
      </c>
      <c r="AI90" s="114">
        <v>1732.591</v>
      </c>
      <c r="AJ90" s="114">
        <v>0</v>
      </c>
      <c r="AK90" s="114">
        <v>14</v>
      </c>
      <c r="AL90" s="114">
        <v>0</v>
      </c>
      <c r="AM90" s="114">
        <v>0</v>
      </c>
      <c r="AN90" s="114">
        <v>30184</v>
      </c>
      <c r="AO90" s="114">
        <v>598.7339</v>
      </c>
      <c r="AP90" s="114"/>
      <c r="AQ90" s="114">
        <v>0</v>
      </c>
      <c r="AR90" s="114"/>
      <c r="AS90" s="114"/>
      <c r="AT90" s="114">
        <v>61</v>
      </c>
      <c r="AU90" s="114">
        <v>371851</v>
      </c>
      <c r="AV90" s="114">
        <v>0</v>
      </c>
      <c r="AW90" s="114">
        <v>0</v>
      </c>
      <c r="AX90" s="114">
        <v>0</v>
      </c>
      <c r="AY90" s="114">
        <v>1</v>
      </c>
      <c r="AZ90" s="114">
        <v>16</v>
      </c>
      <c r="BA90" s="114">
        <v>1312</v>
      </c>
      <c r="BB90" s="116"/>
      <c r="BC90" s="116"/>
      <c r="BD90" s="116"/>
      <c r="BE90" s="116"/>
      <c r="BF90" s="116"/>
      <c r="BG90" s="116"/>
      <c r="BH90" s="116"/>
      <c r="BI90" s="116"/>
      <c r="BJ90" s="117">
        <v>1599694</v>
      </c>
      <c r="BK90" s="117">
        <v>2812</v>
      </c>
      <c r="BL90" s="117">
        <v>950811</v>
      </c>
      <c r="BM90" s="118">
        <v>1335690</v>
      </c>
      <c r="BN90" s="118">
        <v>78.57</v>
      </c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</row>
    <row r="91" s="96" customFormat="1" ht="15.75" customHeight="1" spans="1:76">
      <c r="A91" s="111">
        <v>90</v>
      </c>
      <c r="B91" s="112" t="s">
        <v>46</v>
      </c>
      <c r="C91" s="112" t="s">
        <v>47</v>
      </c>
      <c r="D91" s="111">
        <v>2025</v>
      </c>
      <c r="E91" s="113" t="s">
        <v>37</v>
      </c>
      <c r="F91" s="114">
        <v>2207479</v>
      </c>
      <c r="G91" s="114">
        <v>2166563</v>
      </c>
      <c r="H91" s="114">
        <v>32925.766</v>
      </c>
      <c r="I91" s="114">
        <v>2006</v>
      </c>
      <c r="J91" s="115">
        <v>0.000625</v>
      </c>
      <c r="K91" s="114">
        <v>41.12</v>
      </c>
      <c r="L91" s="114">
        <v>300</v>
      </c>
      <c r="M91" s="114">
        <v>24928449</v>
      </c>
      <c r="N91" s="114">
        <v>7.17</v>
      </c>
      <c r="O91" s="114">
        <v>1588808</v>
      </c>
      <c r="P91" s="114">
        <v>749837</v>
      </c>
      <c r="Q91" s="114">
        <v>838971</v>
      </c>
      <c r="R91" s="114">
        <v>647162</v>
      </c>
      <c r="S91" s="114">
        <v>191809</v>
      </c>
      <c r="T91" s="114">
        <v>4270</v>
      </c>
      <c r="U91" s="114">
        <v>2264</v>
      </c>
      <c r="V91" s="114">
        <v>5898</v>
      </c>
      <c r="W91" s="114">
        <v>161</v>
      </c>
      <c r="X91" s="114">
        <v>3989</v>
      </c>
      <c r="Y91" s="114">
        <v>4519</v>
      </c>
      <c r="Z91" s="114">
        <v>3507204.051</v>
      </c>
      <c r="AA91" s="114">
        <v>0</v>
      </c>
      <c r="AB91" s="114">
        <v>0</v>
      </c>
      <c r="AC91" s="114">
        <v>53462.437</v>
      </c>
      <c r="AD91" s="114">
        <v>3446240.223</v>
      </c>
      <c r="AE91" s="114">
        <v>6266187.8</v>
      </c>
      <c r="AF91" s="114">
        <v>657720</v>
      </c>
      <c r="AG91" s="114">
        <v>9527.136</v>
      </c>
      <c r="AH91" s="114">
        <v>642487</v>
      </c>
      <c r="AI91" s="114">
        <v>1618.788</v>
      </c>
      <c r="AJ91" s="114">
        <v>1</v>
      </c>
      <c r="AK91" s="114">
        <v>15</v>
      </c>
      <c r="AL91" s="114">
        <v>0</v>
      </c>
      <c r="AM91" s="114">
        <v>0</v>
      </c>
      <c r="AN91" s="114">
        <v>24440</v>
      </c>
      <c r="AO91" s="114">
        <v>411.6935</v>
      </c>
      <c r="AP91" s="114">
        <v>2.2434</v>
      </c>
      <c r="AQ91" s="114">
        <v>0</v>
      </c>
      <c r="AR91" s="114">
        <v>1</v>
      </c>
      <c r="AS91" s="114">
        <v>1</v>
      </c>
      <c r="AT91" s="114">
        <v>58</v>
      </c>
      <c r="AU91" s="114">
        <v>192817</v>
      </c>
      <c r="AV91" s="114">
        <v>0</v>
      </c>
      <c r="AW91" s="114">
        <v>0</v>
      </c>
      <c r="AX91" s="114">
        <v>0</v>
      </c>
      <c r="AY91" s="114">
        <v>3</v>
      </c>
      <c r="AZ91" s="114">
        <v>11</v>
      </c>
      <c r="BA91" s="114">
        <v>977</v>
      </c>
      <c r="BB91" s="116"/>
      <c r="BC91" s="116"/>
      <c r="BD91" s="116"/>
      <c r="BE91" s="116"/>
      <c r="BF91" s="116"/>
      <c r="BG91" s="116"/>
      <c r="BH91" s="116"/>
      <c r="BI91" s="116"/>
      <c r="BJ91" s="117">
        <v>1601700</v>
      </c>
      <c r="BK91" s="117">
        <v>2006</v>
      </c>
      <c r="BL91" s="117">
        <v>616867</v>
      </c>
      <c r="BM91" s="118">
        <v>990760</v>
      </c>
      <c r="BN91" s="118">
        <v>58.28</v>
      </c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</row>
    <row r="92" s="96" customFormat="1" ht="15.75" customHeight="1" spans="1:76">
      <c r="A92" s="111">
        <v>91</v>
      </c>
      <c r="B92" s="112" t="s">
        <v>46</v>
      </c>
      <c r="C92" s="112" t="s">
        <v>47</v>
      </c>
      <c r="D92" s="111">
        <v>2025</v>
      </c>
      <c r="E92" s="113" t="s">
        <v>38</v>
      </c>
      <c r="F92" s="114">
        <v>2383711</v>
      </c>
      <c r="G92" s="114">
        <v>2349026</v>
      </c>
      <c r="H92" s="114">
        <v>49667.7888</v>
      </c>
      <c r="I92" s="114">
        <v>2468</v>
      </c>
      <c r="J92" s="115">
        <v>0.00087962962962963</v>
      </c>
      <c r="K92" s="114">
        <v>31.3</v>
      </c>
      <c r="L92" s="114">
        <v>268</v>
      </c>
      <c r="M92" s="114">
        <v>28058615</v>
      </c>
      <c r="N92" s="114">
        <v>6.8</v>
      </c>
      <c r="O92" s="114">
        <v>1780671</v>
      </c>
      <c r="P92" s="114">
        <v>965393</v>
      </c>
      <c r="Q92" s="114">
        <v>815278</v>
      </c>
      <c r="R92" s="114">
        <v>685687</v>
      </c>
      <c r="S92" s="114">
        <v>129591</v>
      </c>
      <c r="T92" s="114">
        <v>5017</v>
      </c>
      <c r="U92" s="114">
        <v>2549</v>
      </c>
      <c r="V92" s="114">
        <v>5957</v>
      </c>
      <c r="W92" s="114">
        <v>231</v>
      </c>
      <c r="X92" s="114">
        <v>3837</v>
      </c>
      <c r="Y92" s="114">
        <v>3137</v>
      </c>
      <c r="Z92" s="114">
        <v>4178534.234</v>
      </c>
      <c r="AA92" s="114">
        <v>0</v>
      </c>
      <c r="AB92" s="114">
        <v>0</v>
      </c>
      <c r="AC92" s="114">
        <v>90530.79</v>
      </c>
      <c r="AD92" s="114">
        <v>4081781.795</v>
      </c>
      <c r="AE92" s="114">
        <v>7421425.592</v>
      </c>
      <c r="AF92" s="114">
        <v>821559</v>
      </c>
      <c r="AG92" s="114">
        <v>9033.345</v>
      </c>
      <c r="AH92" s="114">
        <v>766992</v>
      </c>
      <c r="AI92" s="114">
        <v>1778.839</v>
      </c>
      <c r="AJ92" s="114">
        <v>0</v>
      </c>
      <c r="AK92" s="114">
        <v>18</v>
      </c>
      <c r="AL92" s="114">
        <v>0</v>
      </c>
      <c r="AM92" s="114">
        <v>0</v>
      </c>
      <c r="AN92" s="114">
        <v>25996</v>
      </c>
      <c r="AO92" s="114">
        <v>699.9449</v>
      </c>
      <c r="AP92" s="114"/>
      <c r="AQ92" s="114">
        <v>0</v>
      </c>
      <c r="AR92" s="114"/>
      <c r="AS92" s="114"/>
      <c r="AT92" s="114">
        <v>53</v>
      </c>
      <c r="AU92" s="114">
        <v>319859</v>
      </c>
      <c r="AV92" s="114">
        <v>0</v>
      </c>
      <c r="AW92" s="114">
        <v>0</v>
      </c>
      <c r="AX92" s="114">
        <v>1</v>
      </c>
      <c r="AY92" s="114">
        <v>6</v>
      </c>
      <c r="AZ92" s="114">
        <v>26</v>
      </c>
      <c r="BA92" s="114">
        <v>1419</v>
      </c>
      <c r="BB92" s="116"/>
      <c r="BC92" s="116"/>
      <c r="BD92" s="116"/>
      <c r="BE92" s="116"/>
      <c r="BF92" s="116"/>
      <c r="BG92" s="116"/>
      <c r="BH92" s="116"/>
      <c r="BI92" s="116"/>
      <c r="BJ92" s="117">
        <v>1604168</v>
      </c>
      <c r="BK92" s="117">
        <v>2468</v>
      </c>
      <c r="BL92" s="117">
        <v>685839</v>
      </c>
      <c r="BM92" s="118">
        <v>2054960</v>
      </c>
      <c r="BN92" s="118">
        <v>120.88</v>
      </c>
      <c r="BO92" s="120">
        <v>0.712</v>
      </c>
      <c r="BP92" s="120">
        <v>0.288</v>
      </c>
      <c r="BQ92" s="119"/>
      <c r="BR92" s="120">
        <v>0.028</v>
      </c>
      <c r="BS92" s="120">
        <v>0.113</v>
      </c>
      <c r="BT92" s="120">
        <v>0.358</v>
      </c>
      <c r="BU92" s="120">
        <v>0.238</v>
      </c>
      <c r="BV92" s="120">
        <v>0.14</v>
      </c>
      <c r="BW92" s="120">
        <v>0.084</v>
      </c>
      <c r="BX92" s="120">
        <v>0.039</v>
      </c>
    </row>
    <row r="93" s="96" customFormat="1" ht="15.75" customHeight="1" spans="1:76">
      <c r="A93" s="111">
        <v>92</v>
      </c>
      <c r="B93" s="112" t="s">
        <v>46</v>
      </c>
      <c r="C93" s="112" t="s">
        <v>47</v>
      </c>
      <c r="D93" s="111">
        <v>2025</v>
      </c>
      <c r="E93" s="113" t="s">
        <v>39</v>
      </c>
      <c r="F93" s="114">
        <v>2504336</v>
      </c>
      <c r="G93" s="114">
        <v>2476037</v>
      </c>
      <c r="H93" s="114">
        <v>85253.3204</v>
      </c>
      <c r="I93" s="114">
        <v>5464</v>
      </c>
      <c r="J93" s="115">
        <v>0.00142361111111111</v>
      </c>
      <c r="K93" s="114">
        <v>24.96</v>
      </c>
      <c r="L93" s="114">
        <v>186</v>
      </c>
      <c r="M93" s="114">
        <v>29304069</v>
      </c>
      <c r="N93" s="114">
        <v>6.74</v>
      </c>
      <c r="O93" s="114">
        <v>1858420</v>
      </c>
      <c r="P93" s="114">
        <v>922182</v>
      </c>
      <c r="Q93" s="114">
        <v>936238</v>
      </c>
      <c r="R93" s="114">
        <v>795311</v>
      </c>
      <c r="S93" s="114">
        <v>140927</v>
      </c>
      <c r="T93" s="114">
        <v>7652</v>
      </c>
      <c r="U93" s="114">
        <v>2188</v>
      </c>
      <c r="V93" s="114">
        <v>10372</v>
      </c>
      <c r="W93" s="114">
        <v>437</v>
      </c>
      <c r="X93" s="114">
        <v>4424</v>
      </c>
      <c r="Y93" s="114">
        <v>6377</v>
      </c>
      <c r="Z93" s="114">
        <v>5649107.189</v>
      </c>
      <c r="AA93" s="114">
        <v>0</v>
      </c>
      <c r="AB93" s="114">
        <v>0</v>
      </c>
      <c r="AC93" s="114">
        <v>130000.468</v>
      </c>
      <c r="AD93" s="114">
        <v>5512818.563</v>
      </c>
      <c r="AE93" s="114">
        <v>10022435.1</v>
      </c>
      <c r="AF93" s="114">
        <v>1220767</v>
      </c>
      <c r="AG93" s="114">
        <v>8209.949</v>
      </c>
      <c r="AH93" s="114">
        <v>1107118</v>
      </c>
      <c r="AI93" s="114">
        <v>2281.511</v>
      </c>
      <c r="AJ93" s="114">
        <v>70</v>
      </c>
      <c r="AK93" s="114">
        <v>1656</v>
      </c>
      <c r="AL93" s="114">
        <v>0</v>
      </c>
      <c r="AM93" s="114">
        <v>0</v>
      </c>
      <c r="AN93" s="114">
        <v>26055</v>
      </c>
      <c r="AO93" s="114">
        <v>1012.3075</v>
      </c>
      <c r="AP93" s="114">
        <v>13.1863</v>
      </c>
      <c r="AQ93" s="114">
        <v>167</v>
      </c>
      <c r="AR93" s="114">
        <v>46</v>
      </c>
      <c r="AS93" s="114">
        <v>315</v>
      </c>
      <c r="AT93" s="114">
        <v>13</v>
      </c>
      <c r="AU93" s="114">
        <v>19772</v>
      </c>
      <c r="AV93" s="114">
        <v>0</v>
      </c>
      <c r="AW93" s="114">
        <v>0</v>
      </c>
      <c r="AX93" s="114">
        <v>0</v>
      </c>
      <c r="AY93" s="114">
        <v>1</v>
      </c>
      <c r="AZ93" s="114">
        <v>24</v>
      </c>
      <c r="BA93" s="114">
        <v>2963</v>
      </c>
      <c r="BB93" s="116"/>
      <c r="BC93" s="116"/>
      <c r="BD93" s="116"/>
      <c r="BE93" s="116"/>
      <c r="BF93" s="116"/>
      <c r="BG93" s="116"/>
      <c r="BH93" s="116"/>
      <c r="BI93" s="116"/>
      <c r="BJ93" s="117">
        <v>1609824</v>
      </c>
      <c r="BK93" s="117">
        <v>5464</v>
      </c>
      <c r="BL93" s="117">
        <v>1131389</v>
      </c>
      <c r="BM93" s="118">
        <v>3873960</v>
      </c>
      <c r="BN93" s="118">
        <v>227.88</v>
      </c>
      <c r="BO93" s="120">
        <v>0.725</v>
      </c>
      <c r="BP93" s="120">
        <v>0.274</v>
      </c>
      <c r="BQ93" s="120">
        <v>0.001</v>
      </c>
      <c r="BR93" s="120">
        <v>0.023</v>
      </c>
      <c r="BS93" s="120">
        <v>0.101</v>
      </c>
      <c r="BT93" s="120">
        <v>0.339</v>
      </c>
      <c r="BU93" s="120">
        <v>0.226</v>
      </c>
      <c r="BV93" s="120">
        <v>0.146</v>
      </c>
      <c r="BW93" s="120">
        <v>0.108</v>
      </c>
      <c r="BX93" s="120">
        <v>0.057</v>
      </c>
    </row>
    <row r="94" s="96" customFormat="1" ht="15.75" customHeight="1" spans="1:76">
      <c r="A94" s="111">
        <v>93</v>
      </c>
      <c r="B94" s="112" t="s">
        <v>46</v>
      </c>
      <c r="C94" s="112" t="s">
        <v>47</v>
      </c>
      <c r="D94" s="111">
        <v>2025</v>
      </c>
      <c r="E94" s="113" t="s">
        <v>40</v>
      </c>
      <c r="F94" s="114">
        <v>1988117</v>
      </c>
      <c r="G94" s="114">
        <v>1961806</v>
      </c>
      <c r="H94" s="114">
        <v>68873.9111</v>
      </c>
      <c r="I94" s="114">
        <v>3217</v>
      </c>
      <c r="J94" s="115">
        <v>0.00145833333333333</v>
      </c>
      <c r="K94" s="114">
        <v>22.89</v>
      </c>
      <c r="L94" s="114">
        <v>131</v>
      </c>
      <c r="M94" s="114">
        <v>23961429</v>
      </c>
      <c r="N94" s="114">
        <v>6.49</v>
      </c>
      <c r="O94" s="114">
        <v>1505043</v>
      </c>
      <c r="P94" s="114">
        <v>738126</v>
      </c>
      <c r="Q94" s="114">
        <v>766917</v>
      </c>
      <c r="R94" s="114">
        <v>668561</v>
      </c>
      <c r="S94" s="114">
        <v>98356</v>
      </c>
      <c r="T94" s="114">
        <v>5355</v>
      </c>
      <c r="U94" s="114">
        <v>2138</v>
      </c>
      <c r="V94" s="114">
        <v>5276</v>
      </c>
      <c r="W94" s="114">
        <v>258</v>
      </c>
      <c r="X94" s="114">
        <v>4015</v>
      </c>
      <c r="Y94" s="114">
        <v>2587</v>
      </c>
      <c r="Z94" s="114">
        <v>5336071.053</v>
      </c>
      <c r="AA94" s="114">
        <v>0</v>
      </c>
      <c r="AB94" s="114">
        <v>0</v>
      </c>
      <c r="AC94" s="114">
        <v>150959.661</v>
      </c>
      <c r="AD94" s="114">
        <v>5179038.18</v>
      </c>
      <c r="AE94" s="114">
        <v>9416453.498</v>
      </c>
      <c r="AF94" s="114">
        <v>1006290</v>
      </c>
      <c r="AG94" s="114">
        <v>9357.594</v>
      </c>
      <c r="AH94" s="114">
        <v>847080</v>
      </c>
      <c r="AI94" s="114">
        <v>2719.98</v>
      </c>
      <c r="AJ94" s="114">
        <v>1</v>
      </c>
      <c r="AK94" s="114">
        <v>22</v>
      </c>
      <c r="AL94" s="114">
        <v>0</v>
      </c>
      <c r="AM94" s="114">
        <v>0</v>
      </c>
      <c r="AN94" s="114">
        <v>22492</v>
      </c>
      <c r="AO94" s="114">
        <v>1098.0399</v>
      </c>
      <c r="AP94" s="114">
        <v>32.1132</v>
      </c>
      <c r="AQ94" s="114">
        <v>7</v>
      </c>
      <c r="AR94" s="114">
        <v>25</v>
      </c>
      <c r="AS94" s="114">
        <v>1</v>
      </c>
      <c r="AT94" s="114">
        <v>9</v>
      </c>
      <c r="AU94" s="114">
        <v>42603</v>
      </c>
      <c r="AV94" s="114">
        <v>0</v>
      </c>
      <c r="AW94" s="114">
        <v>0</v>
      </c>
      <c r="AX94" s="114">
        <v>0</v>
      </c>
      <c r="AY94" s="114">
        <v>0</v>
      </c>
      <c r="AZ94" s="114">
        <v>20</v>
      </c>
      <c r="BA94" s="114">
        <v>1583</v>
      </c>
      <c r="BB94" s="116"/>
      <c r="BC94" s="116"/>
      <c r="BD94" s="116"/>
      <c r="BE94" s="116"/>
      <c r="BF94" s="116"/>
      <c r="BG94" s="116"/>
      <c r="BH94" s="116"/>
      <c r="BI94" s="116"/>
      <c r="BJ94" s="117">
        <v>1612843</v>
      </c>
      <c r="BK94" s="117">
        <v>3217</v>
      </c>
      <c r="BL94" s="117">
        <v>663382</v>
      </c>
      <c r="BM94" s="118">
        <v>3152310</v>
      </c>
      <c r="BN94" s="118">
        <v>185.43</v>
      </c>
      <c r="BO94" s="120">
        <v>0.693</v>
      </c>
      <c r="BP94" s="120">
        <v>0.307</v>
      </c>
      <c r="BQ94" s="120">
        <v>0.001</v>
      </c>
      <c r="BR94" s="120">
        <v>0.024</v>
      </c>
      <c r="BS94" s="120">
        <v>0.101</v>
      </c>
      <c r="BT94" s="120">
        <v>0.351</v>
      </c>
      <c r="BU94" s="120">
        <v>0.232</v>
      </c>
      <c r="BV94" s="120">
        <v>0.144</v>
      </c>
      <c r="BW94" s="120">
        <v>0.096</v>
      </c>
      <c r="BX94" s="120">
        <v>0.053</v>
      </c>
    </row>
    <row r="95" s="96" customFormat="1" ht="15.75" customHeight="1" spans="1:76">
      <c r="A95" s="111">
        <v>94</v>
      </c>
      <c r="B95" s="112" t="s">
        <v>46</v>
      </c>
      <c r="C95" s="112" t="s">
        <v>47</v>
      </c>
      <c r="D95" s="111">
        <v>2025</v>
      </c>
      <c r="E95" s="113" t="s">
        <v>41</v>
      </c>
      <c r="F95" s="114">
        <v>2731294</v>
      </c>
      <c r="G95" s="114">
        <v>2703919</v>
      </c>
      <c r="H95" s="114">
        <v>83564.7397</v>
      </c>
      <c r="I95" s="114">
        <v>4025</v>
      </c>
      <c r="J95" s="115">
        <v>0.00128472222222222</v>
      </c>
      <c r="K95" s="114">
        <v>14.72</v>
      </c>
      <c r="L95" s="114">
        <v>264</v>
      </c>
      <c r="M95" s="114">
        <v>31325783</v>
      </c>
      <c r="N95" s="114">
        <v>7.18</v>
      </c>
      <c r="O95" s="114">
        <v>2022435</v>
      </c>
      <c r="P95" s="114">
        <v>1037724</v>
      </c>
      <c r="Q95" s="114">
        <v>984711</v>
      </c>
      <c r="R95" s="114">
        <v>870873</v>
      </c>
      <c r="S95" s="114">
        <v>113838</v>
      </c>
      <c r="T95" s="114">
        <v>6307</v>
      </c>
      <c r="U95" s="114">
        <v>2282</v>
      </c>
      <c r="V95" s="114">
        <v>10644</v>
      </c>
      <c r="W95" s="114">
        <v>306</v>
      </c>
      <c r="X95" s="114">
        <v>6263</v>
      </c>
      <c r="Y95" s="114">
        <v>5221</v>
      </c>
      <c r="Z95" s="114">
        <v>7056094.677</v>
      </c>
      <c r="AA95" s="114">
        <v>0</v>
      </c>
      <c r="AB95" s="114">
        <v>0</v>
      </c>
      <c r="AC95" s="114">
        <v>244207.524</v>
      </c>
      <c r="AD95" s="114">
        <v>6806531.828</v>
      </c>
      <c r="AE95" s="114">
        <v>12403007.23</v>
      </c>
      <c r="AF95" s="114">
        <v>1369569</v>
      </c>
      <c r="AG95" s="114">
        <v>9056.139</v>
      </c>
      <c r="AH95" s="114">
        <v>1160763</v>
      </c>
      <c r="AI95" s="114">
        <v>2609.58</v>
      </c>
      <c r="AJ95" s="114">
        <v>1</v>
      </c>
      <c r="AK95" s="114">
        <v>17</v>
      </c>
      <c r="AL95" s="114">
        <v>0</v>
      </c>
      <c r="AM95" s="114">
        <v>0</v>
      </c>
      <c r="AN95" s="114">
        <v>35033</v>
      </c>
      <c r="AO95" s="114">
        <v>1724.4218</v>
      </c>
      <c r="AP95" s="114">
        <v>30.6744</v>
      </c>
      <c r="AQ95" s="114">
        <v>151</v>
      </c>
      <c r="AR95" s="114">
        <v>14553</v>
      </c>
      <c r="AS95" s="114">
        <v>29595</v>
      </c>
      <c r="AT95" s="114">
        <v>23</v>
      </c>
      <c r="AU95" s="114">
        <v>95182</v>
      </c>
      <c r="AV95" s="114">
        <v>0</v>
      </c>
      <c r="AW95" s="114">
        <v>0</v>
      </c>
      <c r="AX95" s="114">
        <v>0</v>
      </c>
      <c r="AY95" s="114">
        <v>0</v>
      </c>
      <c r="AZ95" s="114">
        <v>45</v>
      </c>
      <c r="BA95" s="114">
        <v>4827</v>
      </c>
      <c r="BB95" s="116"/>
      <c r="BC95" s="116"/>
      <c r="BD95" s="116"/>
      <c r="BE95" s="116"/>
      <c r="BF95" s="116"/>
      <c r="BG95" s="116"/>
      <c r="BH95" s="116"/>
      <c r="BI95" s="116"/>
      <c r="BJ95" s="117">
        <v>1616868</v>
      </c>
      <c r="BK95" s="117">
        <v>4025</v>
      </c>
      <c r="BL95" s="117">
        <v>933526</v>
      </c>
      <c r="BM95" s="118">
        <v>4489530</v>
      </c>
      <c r="BN95" s="118">
        <v>264.09</v>
      </c>
      <c r="BO95" s="120">
        <v>0.716</v>
      </c>
      <c r="BP95" s="120">
        <v>0.284</v>
      </c>
      <c r="BQ95" s="120">
        <v>0.001</v>
      </c>
      <c r="BR95" s="120">
        <v>0.023</v>
      </c>
      <c r="BS95" s="120">
        <v>0.095</v>
      </c>
      <c r="BT95" s="120">
        <v>0.356</v>
      </c>
      <c r="BU95" s="120">
        <v>0.247</v>
      </c>
      <c r="BV95" s="120">
        <v>0.145</v>
      </c>
      <c r="BW95" s="120">
        <v>0.089</v>
      </c>
      <c r="BX95" s="120">
        <v>0.045</v>
      </c>
    </row>
    <row r="96" s="96" customFormat="1" ht="15.75" customHeight="1" spans="1:76">
      <c r="A96" s="111">
        <v>95</v>
      </c>
      <c r="B96" s="112" t="s">
        <v>46</v>
      </c>
      <c r="C96" s="112" t="s">
        <v>47</v>
      </c>
      <c r="D96" s="111">
        <v>2025</v>
      </c>
      <c r="E96" s="113" t="s">
        <v>42</v>
      </c>
      <c r="F96" s="114">
        <v>2950792</v>
      </c>
      <c r="G96" s="114">
        <v>2914938</v>
      </c>
      <c r="H96" s="114">
        <v>83107.1106</v>
      </c>
      <c r="I96" s="114">
        <v>3489</v>
      </c>
      <c r="J96" s="115">
        <v>0.00118055555555556</v>
      </c>
      <c r="K96" s="114">
        <v>14.14</v>
      </c>
      <c r="L96" s="114">
        <v>267</v>
      </c>
      <c r="M96" s="114">
        <v>34139721</v>
      </c>
      <c r="N96" s="114">
        <v>7.04</v>
      </c>
      <c r="O96" s="114">
        <v>2184391</v>
      </c>
      <c r="P96" s="114">
        <v>1117983</v>
      </c>
      <c r="Q96" s="114">
        <v>1066819</v>
      </c>
      <c r="R96" s="114">
        <v>958820</v>
      </c>
      <c r="S96" s="114">
        <v>107999</v>
      </c>
      <c r="T96" s="114">
        <v>5580</v>
      </c>
      <c r="U96" s="114">
        <v>2091</v>
      </c>
      <c r="V96" s="114">
        <v>9370</v>
      </c>
      <c r="W96" s="114">
        <v>402</v>
      </c>
      <c r="X96" s="114">
        <v>5977</v>
      </c>
      <c r="Y96" s="114">
        <v>4613</v>
      </c>
      <c r="Z96" s="114">
        <v>6680806.318</v>
      </c>
      <c r="AA96" s="114">
        <v>0</v>
      </c>
      <c r="AB96" s="114">
        <v>0</v>
      </c>
      <c r="AC96" s="114">
        <v>205222.965</v>
      </c>
      <c r="AD96" s="114">
        <v>6469365.245</v>
      </c>
      <c r="AE96" s="114">
        <v>11763029.82</v>
      </c>
      <c r="AF96" s="114">
        <v>1335302</v>
      </c>
      <c r="AG96" s="114">
        <v>8809.265</v>
      </c>
      <c r="AH96" s="114">
        <v>1153195</v>
      </c>
      <c r="AI96" s="114">
        <v>2291.921</v>
      </c>
      <c r="AJ96" s="114">
        <v>0</v>
      </c>
      <c r="AK96" s="114">
        <v>22</v>
      </c>
      <c r="AL96" s="114">
        <v>0</v>
      </c>
      <c r="AM96" s="114">
        <v>0</v>
      </c>
      <c r="AN96" s="114">
        <v>36112</v>
      </c>
      <c r="AO96" s="114">
        <v>1446.4576</v>
      </c>
      <c r="AP96" s="114">
        <v>26.7516</v>
      </c>
      <c r="AQ96" s="114">
        <v>72</v>
      </c>
      <c r="AR96" s="114">
        <v>3420</v>
      </c>
      <c r="AS96" s="114">
        <v>430</v>
      </c>
      <c r="AT96" s="114">
        <v>20</v>
      </c>
      <c r="AU96" s="114">
        <v>60234</v>
      </c>
      <c r="AV96" s="114">
        <v>0</v>
      </c>
      <c r="AW96" s="114">
        <v>0</v>
      </c>
      <c r="AX96" s="114">
        <v>0</v>
      </c>
      <c r="AY96" s="114">
        <v>0</v>
      </c>
      <c r="AZ96" s="114">
        <v>98</v>
      </c>
      <c r="BA96" s="114">
        <v>16238</v>
      </c>
      <c r="BB96" s="116"/>
      <c r="BC96" s="116"/>
      <c r="BD96" s="116"/>
      <c r="BE96" s="116"/>
      <c r="BF96" s="116"/>
      <c r="BG96" s="116"/>
      <c r="BH96" s="116"/>
      <c r="BI96" s="116"/>
      <c r="BJ96" s="117">
        <v>1620357</v>
      </c>
      <c r="BK96" s="117">
        <v>3489</v>
      </c>
      <c r="BL96" s="117">
        <v>876084</v>
      </c>
      <c r="BM96" s="118">
        <v>3421080</v>
      </c>
      <c r="BN96" s="118">
        <v>201.24</v>
      </c>
      <c r="BO96" s="120">
        <v>0.732</v>
      </c>
      <c r="BP96" s="120">
        <v>0.267</v>
      </c>
      <c r="BQ96" s="120">
        <v>0.001</v>
      </c>
      <c r="BR96" s="120">
        <v>0.025</v>
      </c>
      <c r="BS96" s="120">
        <v>0.09</v>
      </c>
      <c r="BT96" s="120">
        <v>0.339</v>
      </c>
      <c r="BU96" s="120">
        <v>0.242</v>
      </c>
      <c r="BV96" s="120">
        <v>0.16</v>
      </c>
      <c r="BW96" s="120">
        <v>0.099</v>
      </c>
      <c r="BX96" s="120">
        <v>0.045</v>
      </c>
    </row>
    <row r="97" s="96" customFormat="1" ht="15.75" customHeight="1" spans="1:76">
      <c r="A97" s="111">
        <v>96</v>
      </c>
      <c r="B97" s="112" t="s">
        <v>46</v>
      </c>
      <c r="C97" s="112" t="s">
        <v>47</v>
      </c>
      <c r="D97" s="111">
        <v>2025</v>
      </c>
      <c r="E97" s="113" t="s">
        <v>43</v>
      </c>
      <c r="F97" s="114">
        <v>1859411</v>
      </c>
      <c r="G97" s="114">
        <v>1823962</v>
      </c>
      <c r="H97" s="114">
        <v>54299.0441</v>
      </c>
      <c r="I97" s="114">
        <v>960</v>
      </c>
      <c r="J97" s="115">
        <v>0.00123842592592593</v>
      </c>
      <c r="K97" s="114">
        <v>28.3</v>
      </c>
      <c r="L97" s="114">
        <v>184</v>
      </c>
      <c r="M97" s="114">
        <v>22790840</v>
      </c>
      <c r="N97" s="114">
        <v>6.33</v>
      </c>
      <c r="O97" s="114">
        <v>1336207</v>
      </c>
      <c r="P97" s="114">
        <v>701184</v>
      </c>
      <c r="Q97" s="114">
        <v>636196</v>
      </c>
      <c r="R97" s="114">
        <v>572013</v>
      </c>
      <c r="S97" s="114">
        <v>64183</v>
      </c>
      <c r="T97" s="114">
        <v>3094</v>
      </c>
      <c r="U97" s="114">
        <v>2134</v>
      </c>
      <c r="V97" s="114">
        <v>2902</v>
      </c>
      <c r="W97" s="114">
        <v>209</v>
      </c>
      <c r="X97" s="114">
        <v>3338</v>
      </c>
      <c r="Y97" s="114">
        <v>2795</v>
      </c>
      <c r="Z97" s="114">
        <v>4184394.073</v>
      </c>
      <c r="AA97" s="114">
        <v>0</v>
      </c>
      <c r="AB97" s="114">
        <v>0</v>
      </c>
      <c r="AC97" s="114">
        <v>130991.913</v>
      </c>
      <c r="AD97" s="114">
        <v>4045879.819</v>
      </c>
      <c r="AE97" s="114">
        <v>7356141.309</v>
      </c>
      <c r="AF97" s="114">
        <v>843980</v>
      </c>
      <c r="AG97" s="114">
        <v>8716.014</v>
      </c>
      <c r="AH97" s="114">
        <v>722844</v>
      </c>
      <c r="AI97" s="114">
        <v>2294.124</v>
      </c>
      <c r="AJ97" s="114">
        <v>0</v>
      </c>
      <c r="AK97" s="114">
        <v>6</v>
      </c>
      <c r="AL97" s="114">
        <v>0</v>
      </c>
      <c r="AM97" s="114">
        <v>0</v>
      </c>
      <c r="AN97" s="114">
        <v>22071</v>
      </c>
      <c r="AO97" s="114">
        <v>958.6701</v>
      </c>
      <c r="AP97" s="114">
        <v>2.1467</v>
      </c>
      <c r="AQ97" s="114">
        <v>11</v>
      </c>
      <c r="AR97" s="114">
        <v>0</v>
      </c>
      <c r="AS97" s="114">
        <v>0</v>
      </c>
      <c r="AT97" s="114">
        <v>14</v>
      </c>
      <c r="AU97" s="114">
        <v>26776</v>
      </c>
      <c r="AV97" s="114">
        <v>0</v>
      </c>
      <c r="AW97" s="114">
        <v>0</v>
      </c>
      <c r="AX97" s="114">
        <v>0</v>
      </c>
      <c r="AY97" s="114">
        <v>1</v>
      </c>
      <c r="AZ97" s="114">
        <v>247</v>
      </c>
      <c r="BA97" s="114">
        <v>22250</v>
      </c>
      <c r="BB97" s="116"/>
      <c r="BC97" s="116"/>
      <c r="BD97" s="116"/>
      <c r="BE97" s="116"/>
      <c r="BF97" s="116"/>
      <c r="BG97" s="116"/>
      <c r="BH97" s="116"/>
      <c r="BI97" s="116"/>
      <c r="BJ97" s="117">
        <v>1621318</v>
      </c>
      <c r="BK97" s="133">
        <v>961</v>
      </c>
      <c r="BL97" s="117">
        <v>495091</v>
      </c>
      <c r="BM97" s="118">
        <v>2260320</v>
      </c>
      <c r="BN97" s="118">
        <v>132.96</v>
      </c>
      <c r="BO97" s="120">
        <v>0.707</v>
      </c>
      <c r="BP97" s="120">
        <v>0.293</v>
      </c>
      <c r="BQ97" s="134">
        <v>0</v>
      </c>
      <c r="BR97" s="120">
        <v>0.033</v>
      </c>
      <c r="BS97" s="120">
        <v>0.099</v>
      </c>
      <c r="BT97" s="120">
        <v>0.347</v>
      </c>
      <c r="BU97" s="120">
        <v>0.224</v>
      </c>
      <c r="BV97" s="120">
        <v>0.151</v>
      </c>
      <c r="BW97" s="120">
        <v>0.097</v>
      </c>
      <c r="BX97" s="120">
        <v>0.05</v>
      </c>
    </row>
    <row r="98" s="96" customFormat="1" ht="15.75" customHeight="1" spans="1:76">
      <c r="A98" s="111">
        <v>97</v>
      </c>
      <c r="B98" s="112" t="s">
        <v>46</v>
      </c>
      <c r="C98" s="112" t="s">
        <v>47</v>
      </c>
      <c r="D98" s="111">
        <v>2026</v>
      </c>
      <c r="E98" s="112" t="s">
        <v>31</v>
      </c>
      <c r="F98" s="121">
        <v>2481782</v>
      </c>
      <c r="G98" s="114">
        <v>2441348</v>
      </c>
      <c r="H98" s="114">
        <v>57609.1916</v>
      </c>
      <c r="I98" s="114">
        <v>1587</v>
      </c>
      <c r="J98" s="115">
        <v>0.000972222222222222</v>
      </c>
      <c r="K98" s="114">
        <v>31.3</v>
      </c>
      <c r="L98" s="114">
        <v>197</v>
      </c>
      <c r="M98" s="114">
        <v>30557272</v>
      </c>
      <c r="N98" s="114">
        <v>6.59</v>
      </c>
      <c r="O98" s="114">
        <v>1823473</v>
      </c>
      <c r="P98" s="114">
        <v>976156</v>
      </c>
      <c r="Q98" s="114">
        <v>847275</v>
      </c>
      <c r="R98" s="114">
        <v>777300</v>
      </c>
      <c r="S98" s="114">
        <v>69975</v>
      </c>
      <c r="T98" s="114">
        <v>3661</v>
      </c>
      <c r="U98" s="114">
        <v>2074</v>
      </c>
      <c r="V98" s="114">
        <v>6378</v>
      </c>
      <c r="W98" s="114">
        <v>220</v>
      </c>
      <c r="X98" s="114">
        <v>4168</v>
      </c>
      <c r="Y98" s="114">
        <v>4062</v>
      </c>
      <c r="Z98" s="121">
        <v>4581876</v>
      </c>
      <c r="AA98" s="114">
        <v>0</v>
      </c>
      <c r="AB98" s="114">
        <v>0</v>
      </c>
      <c r="AC98" s="114">
        <v>126645.288</v>
      </c>
      <c r="AD98" s="114">
        <v>4263434.454</v>
      </c>
      <c r="AE98" s="114">
        <v>7756565.441</v>
      </c>
      <c r="AF98" s="114">
        <v>943757</v>
      </c>
      <c r="AG98" s="114">
        <v>8218.816</v>
      </c>
      <c r="AH98" s="114">
        <v>840436</v>
      </c>
      <c r="AI98" s="114">
        <v>1800.544</v>
      </c>
      <c r="AJ98" s="114">
        <v>0</v>
      </c>
      <c r="AK98" s="114">
        <v>14</v>
      </c>
      <c r="AL98" s="114">
        <v>0</v>
      </c>
      <c r="AM98" s="114">
        <v>0</v>
      </c>
      <c r="AN98" s="114">
        <v>30534</v>
      </c>
      <c r="AO98" s="114">
        <v>1001.1629</v>
      </c>
      <c r="AP98" s="114">
        <v>1.7623</v>
      </c>
      <c r="AQ98" s="114">
        <v>-8</v>
      </c>
      <c r="AR98" s="114">
        <v>0</v>
      </c>
      <c r="AS98" s="114">
        <v>0</v>
      </c>
      <c r="AT98" s="114">
        <v>13</v>
      </c>
      <c r="AU98" s="114">
        <v>17661</v>
      </c>
      <c r="AV98" s="114">
        <v>0</v>
      </c>
      <c r="AW98" s="114">
        <v>0</v>
      </c>
      <c r="AX98" s="114">
        <v>0</v>
      </c>
      <c r="AY98" s="114">
        <v>0</v>
      </c>
      <c r="AZ98" s="114">
        <v>209</v>
      </c>
      <c r="BA98" s="114">
        <v>9003</v>
      </c>
      <c r="BB98" s="116"/>
      <c r="BC98" s="116"/>
      <c r="BD98" s="116"/>
      <c r="BE98" s="116"/>
      <c r="BF98" s="116"/>
      <c r="BG98" s="116"/>
      <c r="BH98" s="116"/>
      <c r="BI98" s="116"/>
      <c r="BJ98" s="117">
        <v>1622903</v>
      </c>
      <c r="BK98" s="117">
        <v>1586</v>
      </c>
      <c r="BL98" s="117">
        <v>594025</v>
      </c>
      <c r="BM98" s="118">
        <v>2201605</v>
      </c>
      <c r="BN98" s="118"/>
      <c r="BO98" s="120">
        <v>0.735</v>
      </c>
      <c r="BP98" s="120">
        <v>0.265</v>
      </c>
      <c r="BQ98" s="134">
        <v>0</v>
      </c>
      <c r="BR98" s="120">
        <v>0.029</v>
      </c>
      <c r="BS98" s="120">
        <v>0.096</v>
      </c>
      <c r="BT98" s="120">
        <v>0.36</v>
      </c>
      <c r="BU98" s="120">
        <v>0.237</v>
      </c>
      <c r="BV98" s="120">
        <v>0.145</v>
      </c>
      <c r="BW98" s="120">
        <v>0.088</v>
      </c>
      <c r="BX98" s="120">
        <v>0.045</v>
      </c>
    </row>
    <row r="99" s="96" customFormat="1" ht="15.75" customHeight="1" spans="1:76">
      <c r="A99" s="111">
        <v>98</v>
      </c>
      <c r="B99" s="112" t="s">
        <v>46</v>
      </c>
      <c r="C99" s="112" t="s">
        <v>47</v>
      </c>
      <c r="D99" s="111">
        <v>2026</v>
      </c>
      <c r="E99" s="112" t="s">
        <v>33</v>
      </c>
      <c r="F99" s="114">
        <v>2476393</v>
      </c>
      <c r="G99" s="114">
        <v>2428547</v>
      </c>
      <c r="H99" s="114">
        <v>50145.3175</v>
      </c>
      <c r="I99" s="114">
        <v>1049</v>
      </c>
      <c r="J99" s="115">
        <v>0.000856481481481482</v>
      </c>
      <c r="K99" s="114">
        <v>26.73</v>
      </c>
      <c r="L99" s="114">
        <v>234</v>
      </c>
      <c r="M99" s="114">
        <v>29396352</v>
      </c>
      <c r="N99" s="114">
        <v>6.86</v>
      </c>
      <c r="O99" s="114">
        <v>1808427</v>
      </c>
      <c r="P99" s="114">
        <v>988910</v>
      </c>
      <c r="Q99" s="114">
        <v>823806</v>
      </c>
      <c r="R99" s="114">
        <v>753392</v>
      </c>
      <c r="S99" s="114">
        <v>70414</v>
      </c>
      <c r="T99" s="114">
        <v>3049</v>
      </c>
      <c r="U99" s="114">
        <v>2000</v>
      </c>
      <c r="V99" s="114">
        <v>5152</v>
      </c>
      <c r="W99" s="114">
        <v>275</v>
      </c>
      <c r="X99" s="114">
        <v>3529</v>
      </c>
      <c r="Y99" s="114">
        <v>4152</v>
      </c>
      <c r="Z99" s="114">
        <v>4430754.975</v>
      </c>
      <c r="AA99" s="114">
        <v>0</v>
      </c>
      <c r="AB99" s="114">
        <v>0</v>
      </c>
      <c r="AC99" s="114">
        <v>110015.692</v>
      </c>
      <c r="AD99" s="114">
        <v>4313024.19</v>
      </c>
      <c r="AE99" s="114">
        <v>7824632.949</v>
      </c>
      <c r="AF99" s="114">
        <v>954632</v>
      </c>
      <c r="AG99" s="114">
        <v>8196.491</v>
      </c>
      <c r="AH99" s="114">
        <v>849536</v>
      </c>
      <c r="AI99" s="114">
        <v>1823.974</v>
      </c>
      <c r="AJ99" s="114">
        <v>1</v>
      </c>
      <c r="AK99" s="114">
        <v>13</v>
      </c>
      <c r="AL99" s="114">
        <v>0</v>
      </c>
      <c r="AM99" s="114">
        <v>0</v>
      </c>
      <c r="AN99" s="114">
        <v>30287</v>
      </c>
      <c r="AO99" s="114">
        <v>830.6091</v>
      </c>
      <c r="AP99" s="114">
        <v>6.8674</v>
      </c>
      <c r="AQ99" s="114">
        <v>82</v>
      </c>
      <c r="AR99" s="114">
        <v>35</v>
      </c>
      <c r="AS99" s="114">
        <v>468</v>
      </c>
      <c r="AT99" s="114">
        <v>14</v>
      </c>
      <c r="AU99" s="114">
        <v>31018</v>
      </c>
      <c r="AV99" s="114">
        <v>0</v>
      </c>
      <c r="AW99" s="114">
        <v>0</v>
      </c>
      <c r="AX99" s="114">
        <v>0</v>
      </c>
      <c r="AY99" s="114">
        <v>0</v>
      </c>
      <c r="AZ99" s="114">
        <v>45</v>
      </c>
      <c r="BA99" s="114">
        <v>2351</v>
      </c>
      <c r="BB99" s="116"/>
      <c r="BC99" s="116"/>
      <c r="BD99" s="116"/>
      <c r="BE99" s="116"/>
      <c r="BF99" s="116"/>
      <c r="BG99" s="116"/>
      <c r="BH99" s="116"/>
      <c r="BI99" s="116"/>
      <c r="BJ99" s="117">
        <v>1623953</v>
      </c>
      <c r="BK99" s="117">
        <v>1049</v>
      </c>
      <c r="BL99" s="117">
        <v>547147</v>
      </c>
      <c r="BM99" s="118">
        <v>1914797</v>
      </c>
      <c r="BN99" s="118"/>
      <c r="BO99" s="120">
        <v>0.745</v>
      </c>
      <c r="BP99" s="120">
        <v>0.254</v>
      </c>
      <c r="BQ99" s="120">
        <v>0.001</v>
      </c>
      <c r="BR99" s="120">
        <v>0.024</v>
      </c>
      <c r="BS99" s="120">
        <v>0.092</v>
      </c>
      <c r="BT99" s="120">
        <v>0.355</v>
      </c>
      <c r="BU99" s="120">
        <v>0.237</v>
      </c>
      <c r="BV99" s="120">
        <v>0.15</v>
      </c>
      <c r="BW99" s="120">
        <v>0.093</v>
      </c>
      <c r="BX99" s="120">
        <v>0.048</v>
      </c>
    </row>
    <row r="100" s="96" customFormat="1" ht="15.75" customHeight="1" spans="1:76">
      <c r="A100" s="111">
        <v>99</v>
      </c>
      <c r="B100" s="112" t="s">
        <v>46</v>
      </c>
      <c r="C100" s="112" t="s">
        <v>47</v>
      </c>
      <c r="D100" s="111">
        <v>2026</v>
      </c>
      <c r="E100" s="113" t="s">
        <v>34</v>
      </c>
      <c r="F100" s="114">
        <v>4170952</v>
      </c>
      <c r="G100" s="114">
        <v>4054842</v>
      </c>
      <c r="H100" s="114">
        <v>87672.8937</v>
      </c>
      <c r="I100" s="114">
        <v>2868</v>
      </c>
      <c r="J100" s="115">
        <v>0.000891203703703704</v>
      </c>
      <c r="K100" s="114">
        <v>9.41</v>
      </c>
      <c r="L100" s="114">
        <v>215</v>
      </c>
      <c r="M100" s="114">
        <v>41461832</v>
      </c>
      <c r="N100" s="114">
        <v>8.17</v>
      </c>
      <c r="O100" s="114">
        <v>2715198</v>
      </c>
      <c r="P100" s="114">
        <v>1435871</v>
      </c>
      <c r="Q100" s="114">
        <v>1123896</v>
      </c>
      <c r="R100" s="114">
        <v>1030859</v>
      </c>
      <c r="S100" s="114">
        <v>93037</v>
      </c>
      <c r="T100" s="114">
        <v>5087</v>
      </c>
      <c r="U100" s="114">
        <v>2219</v>
      </c>
      <c r="V100" s="114">
        <v>20237</v>
      </c>
      <c r="W100" s="114">
        <v>635</v>
      </c>
      <c r="X100" s="114">
        <v>4409</v>
      </c>
      <c r="Y100" s="114">
        <v>9674</v>
      </c>
      <c r="Z100" s="114">
        <v>6983961.147</v>
      </c>
      <c r="AA100" s="114">
        <v>0</v>
      </c>
      <c r="AB100" s="114">
        <v>0</v>
      </c>
      <c r="AC100" s="114">
        <v>199539.398</v>
      </c>
      <c r="AD100" s="114">
        <v>6767648.151</v>
      </c>
      <c r="AE100" s="114">
        <v>12280009.28</v>
      </c>
      <c r="AF100" s="114">
        <v>1400304</v>
      </c>
      <c r="AG100" s="114">
        <v>8769.531</v>
      </c>
      <c r="AH100" s="114">
        <v>1154142</v>
      </c>
      <c r="AI100" s="114">
        <v>1733.049</v>
      </c>
      <c r="AJ100" s="114">
        <v>0</v>
      </c>
      <c r="AK100" s="114">
        <v>27</v>
      </c>
      <c r="AL100" s="114">
        <v>0</v>
      </c>
      <c r="AM100" s="114">
        <v>0</v>
      </c>
      <c r="AN100" s="114">
        <v>52677</v>
      </c>
      <c r="AO100" s="114">
        <v>1618.9781</v>
      </c>
      <c r="AP100" s="114">
        <v>31.4461</v>
      </c>
      <c r="AQ100" s="114">
        <v>142</v>
      </c>
      <c r="AR100" s="114">
        <v>4544</v>
      </c>
      <c r="AS100" s="114">
        <v>17866</v>
      </c>
      <c r="AT100" s="114">
        <v>15</v>
      </c>
      <c r="AU100" s="114">
        <v>68753</v>
      </c>
      <c r="AV100" s="114">
        <v>0</v>
      </c>
      <c r="AW100" s="114">
        <v>0</v>
      </c>
      <c r="AX100" s="114">
        <v>0</v>
      </c>
      <c r="AY100" s="114">
        <v>0</v>
      </c>
      <c r="AZ100" s="114">
        <v>19</v>
      </c>
      <c r="BA100" s="114">
        <v>1605</v>
      </c>
      <c r="BB100" s="116"/>
      <c r="BC100" s="116"/>
      <c r="BD100" s="116"/>
      <c r="BE100" s="116"/>
      <c r="BF100" s="116"/>
      <c r="BG100" s="116"/>
      <c r="BH100" s="116"/>
      <c r="BI100" s="116"/>
      <c r="BJ100" s="117">
        <v>1626821</v>
      </c>
      <c r="BK100" s="117">
        <v>2868</v>
      </c>
      <c r="BL100" s="117">
        <v>1553726</v>
      </c>
      <c r="BM100" s="118">
        <v>5062578</v>
      </c>
      <c r="BN100" s="118"/>
      <c r="BO100" s="120">
        <v>0.756</v>
      </c>
      <c r="BP100" s="120">
        <v>0.243</v>
      </c>
      <c r="BQ100" s="120">
        <v>0.001</v>
      </c>
      <c r="BR100" s="120">
        <v>0.015</v>
      </c>
      <c r="BS100" s="120">
        <v>0.085</v>
      </c>
      <c r="BT100" s="120">
        <v>0.315</v>
      </c>
      <c r="BU100" s="120">
        <v>0.234</v>
      </c>
      <c r="BV100" s="120">
        <v>0.179</v>
      </c>
      <c r="BW100" s="120">
        <v>0.109</v>
      </c>
      <c r="BX100" s="120">
        <v>0.064</v>
      </c>
    </row>
    <row r="101" s="96" customFormat="1" ht="15.75" customHeight="1" spans="1:76">
      <c r="A101" s="111">
        <v>100</v>
      </c>
      <c r="B101" s="112" t="s">
        <v>46</v>
      </c>
      <c r="C101" s="112" t="s">
        <v>47</v>
      </c>
      <c r="D101" s="111">
        <v>2026</v>
      </c>
      <c r="E101" s="113" t="s">
        <v>35</v>
      </c>
      <c r="F101" s="114">
        <v>3625537</v>
      </c>
      <c r="G101" s="114">
        <v>3528167</v>
      </c>
      <c r="H101" s="114">
        <v>94405.5692</v>
      </c>
      <c r="I101" s="114">
        <v>1777</v>
      </c>
      <c r="J101" s="115">
        <v>0.00111111111111111</v>
      </c>
      <c r="K101" s="114">
        <v>34.27</v>
      </c>
      <c r="L101" s="114">
        <v>103</v>
      </c>
      <c r="M101" s="114">
        <v>34380202</v>
      </c>
      <c r="N101" s="114">
        <v>8.48</v>
      </c>
      <c r="O101" s="114">
        <v>2434073</v>
      </c>
      <c r="P101" s="114">
        <v>1045393</v>
      </c>
      <c r="Q101" s="114">
        <v>1214538</v>
      </c>
      <c r="R101" s="114">
        <v>1105593</v>
      </c>
      <c r="S101" s="114">
        <v>108945</v>
      </c>
      <c r="T101" s="114">
        <v>4402</v>
      </c>
      <c r="U101" s="114">
        <v>2625</v>
      </c>
      <c r="V101" s="114">
        <v>13996</v>
      </c>
      <c r="W101" s="114">
        <v>339</v>
      </c>
      <c r="X101" s="114">
        <v>4497</v>
      </c>
      <c r="Y101" s="114">
        <v>6893</v>
      </c>
      <c r="Z101" s="114">
        <v>6506363.361</v>
      </c>
      <c r="AA101" s="114">
        <v>0</v>
      </c>
      <c r="AB101" s="114">
        <v>0</v>
      </c>
      <c r="AC101" s="114">
        <v>198477.819</v>
      </c>
      <c r="AD101" s="114">
        <v>6292198.445</v>
      </c>
      <c r="AE101" s="114">
        <v>11201402.81</v>
      </c>
      <c r="AF101" s="114">
        <v>1239110</v>
      </c>
      <c r="AG101" s="114">
        <v>9039.878</v>
      </c>
      <c r="AH101" s="114">
        <v>1046489</v>
      </c>
      <c r="AI101" s="114">
        <v>1734.302</v>
      </c>
      <c r="AJ101" s="114">
        <v>0</v>
      </c>
      <c r="AK101" s="114">
        <v>28</v>
      </c>
      <c r="AL101" s="114">
        <v>0</v>
      </c>
      <c r="AM101" s="114">
        <v>0</v>
      </c>
      <c r="AN101" s="114">
        <v>41248</v>
      </c>
      <c r="AO101" s="114">
        <v>1528.9039</v>
      </c>
      <c r="AP101" s="114">
        <v>0</v>
      </c>
      <c r="AQ101" s="114">
        <v>0</v>
      </c>
      <c r="AR101" s="114">
        <v>0</v>
      </c>
      <c r="AS101" s="114">
        <v>0</v>
      </c>
      <c r="AT101" s="114">
        <v>10</v>
      </c>
      <c r="AU101" s="114">
        <v>15992</v>
      </c>
      <c r="AV101" s="114">
        <v>0</v>
      </c>
      <c r="AW101" s="114">
        <v>0</v>
      </c>
      <c r="AX101" s="114">
        <v>0</v>
      </c>
      <c r="AY101" s="114">
        <v>0</v>
      </c>
      <c r="AZ101" s="114">
        <v>30</v>
      </c>
      <c r="BA101" s="114">
        <v>3193</v>
      </c>
      <c r="BB101" s="116"/>
      <c r="BC101" s="116"/>
      <c r="BD101" s="116"/>
      <c r="BE101" s="116"/>
      <c r="BF101" s="116"/>
      <c r="BG101" s="116"/>
      <c r="BH101" s="116"/>
      <c r="BI101" s="116"/>
      <c r="BJ101" s="117">
        <v>1628598</v>
      </c>
      <c r="BK101" s="117">
        <v>1777</v>
      </c>
      <c r="BL101" s="117">
        <v>968368</v>
      </c>
      <c r="BM101" s="118">
        <v>3630981</v>
      </c>
      <c r="BN101" s="118"/>
      <c r="BO101" s="120">
        <v>0.729</v>
      </c>
      <c r="BP101" s="120">
        <v>0.27</v>
      </c>
      <c r="BQ101" s="120">
        <v>0.001</v>
      </c>
      <c r="BR101" s="120">
        <v>0.02</v>
      </c>
      <c r="BS101" s="120">
        <v>0.076</v>
      </c>
      <c r="BT101" s="120">
        <v>0.328</v>
      </c>
      <c r="BU101" s="120">
        <v>0.245</v>
      </c>
      <c r="BV101" s="120">
        <v>0.174</v>
      </c>
      <c r="BW101" s="120">
        <v>0.109</v>
      </c>
      <c r="BX101" s="120">
        <v>0.047</v>
      </c>
    </row>
    <row r="102" s="96" customFormat="1" ht="15.75" customHeight="1" spans="1:76">
      <c r="A102" s="111">
        <v>101</v>
      </c>
      <c r="B102" s="112" t="s">
        <v>46</v>
      </c>
      <c r="C102" s="112" t="s">
        <v>47</v>
      </c>
      <c r="D102" s="111">
        <v>2026</v>
      </c>
      <c r="E102" s="113" t="s">
        <v>36</v>
      </c>
      <c r="F102" s="114">
        <v>3039733</v>
      </c>
      <c r="G102" s="114">
        <v>2842115</v>
      </c>
      <c r="H102" s="114">
        <v>92947.0012</v>
      </c>
      <c r="I102" s="114">
        <v>2119</v>
      </c>
      <c r="J102" s="115">
        <v>0.00135416666666667</v>
      </c>
      <c r="K102" s="114">
        <v>6.32</v>
      </c>
      <c r="L102" s="114">
        <v>263</v>
      </c>
      <c r="M102" s="114">
        <v>28657770</v>
      </c>
      <c r="N102" s="114">
        <v>7.41</v>
      </c>
      <c r="O102" s="114">
        <v>2142935</v>
      </c>
      <c r="P102" s="114">
        <v>1039811</v>
      </c>
      <c r="Q102" s="114">
        <v>982894</v>
      </c>
      <c r="R102" s="114">
        <v>895608</v>
      </c>
      <c r="S102" s="114">
        <v>87286</v>
      </c>
      <c r="T102" s="114">
        <v>4145</v>
      </c>
      <c r="U102" s="114">
        <v>2026</v>
      </c>
      <c r="V102" s="114">
        <v>12426</v>
      </c>
      <c r="W102" s="114">
        <v>684</v>
      </c>
      <c r="X102" s="114">
        <v>10692</v>
      </c>
      <c r="Y102" s="114">
        <v>6352</v>
      </c>
      <c r="Z102" s="114">
        <v>7446464.462</v>
      </c>
      <c r="AA102" s="114">
        <v>0</v>
      </c>
      <c r="AB102" s="114">
        <v>0</v>
      </c>
      <c r="AC102" s="114">
        <v>212604.526</v>
      </c>
      <c r="AD102" s="114">
        <v>7215820.398</v>
      </c>
      <c r="AE102" s="114">
        <v>13035398.45</v>
      </c>
      <c r="AF102" s="114">
        <v>1384989</v>
      </c>
      <c r="AG102" s="114">
        <v>9411.915</v>
      </c>
      <c r="AH102" s="114">
        <v>1154824</v>
      </c>
      <c r="AI102" s="114">
        <v>2640.83</v>
      </c>
      <c r="AJ102" s="114">
        <v>0</v>
      </c>
      <c r="AK102" s="114">
        <v>39</v>
      </c>
      <c r="AL102" s="114">
        <v>0</v>
      </c>
      <c r="AM102" s="114">
        <v>0</v>
      </c>
      <c r="AN102" s="114">
        <v>36074</v>
      </c>
      <c r="AO102" s="114">
        <v>1749.615</v>
      </c>
      <c r="AP102" s="114">
        <v>41.0582</v>
      </c>
      <c r="AQ102" s="114">
        <v>43</v>
      </c>
      <c r="AR102" s="114">
        <v>563</v>
      </c>
      <c r="AS102" s="114">
        <v>3135</v>
      </c>
      <c r="AT102" s="114">
        <v>12</v>
      </c>
      <c r="AU102" s="114">
        <v>25916</v>
      </c>
      <c r="AV102" s="114">
        <v>0</v>
      </c>
      <c r="AW102" s="114">
        <v>0</v>
      </c>
      <c r="AX102" s="114">
        <v>0</v>
      </c>
      <c r="AY102" s="114">
        <v>0</v>
      </c>
      <c r="AZ102" s="114">
        <v>27</v>
      </c>
      <c r="BA102" s="114">
        <v>3806</v>
      </c>
      <c r="BB102" s="116"/>
      <c r="BC102" s="116"/>
      <c r="BD102" s="116"/>
      <c r="BE102" s="116"/>
      <c r="BF102" s="116"/>
      <c r="BG102" s="116"/>
      <c r="BH102" s="116"/>
      <c r="BI102" s="116"/>
      <c r="BJ102" s="117">
        <v>1630716</v>
      </c>
      <c r="BK102" s="117">
        <v>2119</v>
      </c>
      <c r="BL102" s="117">
        <v>1165632</v>
      </c>
      <c r="BM102" s="118">
        <v>4938191</v>
      </c>
      <c r="BN102" s="118"/>
      <c r="BO102" s="120">
        <v>0.69</v>
      </c>
      <c r="BP102" s="120">
        <v>0.31</v>
      </c>
      <c r="BQ102" s="120">
        <v>0</v>
      </c>
      <c r="BR102" s="120">
        <v>0.022</v>
      </c>
      <c r="BS102" s="120">
        <v>0.08</v>
      </c>
      <c r="BT102" s="120">
        <v>0.329</v>
      </c>
      <c r="BU102" s="120">
        <v>0.239</v>
      </c>
      <c r="BV102" s="120">
        <v>0.163</v>
      </c>
      <c r="BW102" s="120">
        <v>0.111</v>
      </c>
      <c r="BX102" s="120">
        <v>0.056</v>
      </c>
    </row>
    <row r="103" s="96" customFormat="1" ht="15.75" customHeight="1" spans="1:76">
      <c r="A103" s="111">
        <v>102</v>
      </c>
      <c r="B103" s="96" t="s">
        <v>46</v>
      </c>
      <c r="C103" s="96" t="s">
        <v>47</v>
      </c>
      <c r="D103" s="122">
        <v>2026</v>
      </c>
      <c r="E103" s="96" t="s">
        <v>37</v>
      </c>
      <c r="F103" s="123">
        <v>3373219</v>
      </c>
      <c r="G103" s="123">
        <v>3160689</v>
      </c>
      <c r="H103" s="123">
        <v>116421</v>
      </c>
      <c r="I103" s="123">
        <v>2070</v>
      </c>
      <c r="J103" s="124">
        <v>0.00152777777777778</v>
      </c>
      <c r="K103" s="125">
        <v>15</v>
      </c>
      <c r="L103" s="125">
        <v>378</v>
      </c>
      <c r="M103" s="123">
        <v>35905261</v>
      </c>
      <c r="N103" s="125">
        <v>7</v>
      </c>
      <c r="O103" s="123">
        <v>2418856</v>
      </c>
      <c r="P103" s="123">
        <v>1266452</v>
      </c>
      <c r="Q103" s="123">
        <v>1031352</v>
      </c>
      <c r="R103" s="123">
        <v>934568</v>
      </c>
      <c r="S103" s="123">
        <v>96784</v>
      </c>
      <c r="T103" s="123">
        <v>4724</v>
      </c>
      <c r="U103" s="123">
        <v>2654</v>
      </c>
      <c r="V103" s="123">
        <v>17108</v>
      </c>
      <c r="W103" s="123">
        <v>1331</v>
      </c>
      <c r="X103" s="123">
        <v>8120</v>
      </c>
      <c r="Y103" s="123">
        <v>11698</v>
      </c>
      <c r="Z103" s="123">
        <v>9911846</v>
      </c>
      <c r="AA103" s="125">
        <v>0</v>
      </c>
      <c r="AB103" s="125">
        <v>0</v>
      </c>
      <c r="AC103" s="123">
        <v>295165</v>
      </c>
      <c r="AD103" s="123">
        <v>9598625</v>
      </c>
      <c r="AE103" s="123">
        <v>17415222</v>
      </c>
      <c r="AF103" s="123">
        <v>1804529</v>
      </c>
      <c r="AG103" s="123">
        <v>9651</v>
      </c>
      <c r="AH103" s="123">
        <v>1546259</v>
      </c>
      <c r="AI103" s="123">
        <v>3118</v>
      </c>
      <c r="AJ103" s="125">
        <v>0</v>
      </c>
      <c r="AK103" s="125">
        <v>31</v>
      </c>
      <c r="AL103" s="125">
        <v>0</v>
      </c>
      <c r="AM103" s="125">
        <v>0</v>
      </c>
      <c r="AN103" s="123">
        <v>53109</v>
      </c>
      <c r="AO103" s="123">
        <v>2311</v>
      </c>
      <c r="AP103" s="125">
        <v>29</v>
      </c>
      <c r="AQ103" s="125">
        <v>198</v>
      </c>
      <c r="AR103" s="123">
        <v>1931</v>
      </c>
      <c r="AS103" s="125">
        <v>340</v>
      </c>
      <c r="AT103" s="125">
        <v>16</v>
      </c>
      <c r="AU103" s="123">
        <v>26756</v>
      </c>
      <c r="AV103" s="125">
        <v>0</v>
      </c>
      <c r="AW103" s="125">
        <v>0</v>
      </c>
      <c r="AX103" s="125">
        <v>0</v>
      </c>
      <c r="AY103" s="125">
        <v>0</v>
      </c>
      <c r="AZ103" s="125">
        <v>21</v>
      </c>
      <c r="BA103" s="123">
        <v>2552</v>
      </c>
      <c r="BB103" s="125"/>
      <c r="BC103" s="125"/>
      <c r="BD103" s="125"/>
      <c r="BE103" s="125"/>
      <c r="BF103" s="125"/>
      <c r="BG103" s="125"/>
      <c r="BH103" s="125"/>
      <c r="BI103" s="125"/>
      <c r="BJ103" s="117">
        <v>1632786</v>
      </c>
      <c r="BK103" s="117">
        <v>2070</v>
      </c>
      <c r="BL103" s="117">
        <v>1503939</v>
      </c>
      <c r="BM103" s="118">
        <v>6688155</v>
      </c>
      <c r="BN103" s="118"/>
      <c r="BO103" s="120">
        <v>0.684</v>
      </c>
      <c r="BP103" s="120">
        <v>0.315</v>
      </c>
      <c r="BQ103" s="120">
        <v>0.001</v>
      </c>
      <c r="BR103" s="120">
        <v>0.026</v>
      </c>
      <c r="BS103" s="120">
        <v>0.091</v>
      </c>
      <c r="BT103" s="120">
        <v>0.332</v>
      </c>
      <c r="BU103" s="120">
        <v>0.228</v>
      </c>
      <c r="BV103" s="120">
        <v>0.151</v>
      </c>
      <c r="BW103" s="120">
        <v>0.112</v>
      </c>
      <c r="BX103" s="120">
        <v>0.062</v>
      </c>
    </row>
    <row r="104" s="96" customFormat="1" ht="15.75" customHeight="1" spans="1:76">
      <c r="A104" s="111">
        <v>103</v>
      </c>
      <c r="B104" s="96" t="s">
        <v>46</v>
      </c>
      <c r="C104" s="96" t="s">
        <v>47</v>
      </c>
      <c r="D104" s="122">
        <v>2026</v>
      </c>
      <c r="E104" s="96" t="s">
        <v>38</v>
      </c>
      <c r="F104" s="126">
        <v>2769871</v>
      </c>
      <c r="G104" s="126">
        <v>2672176</v>
      </c>
      <c r="H104" s="126">
        <v>109293</v>
      </c>
      <c r="I104" s="126">
        <v>1651</v>
      </c>
      <c r="J104" s="127">
        <v>0.00170138888888889</v>
      </c>
      <c r="K104" s="128">
        <v>20</v>
      </c>
      <c r="L104" s="128">
        <v>505</v>
      </c>
      <c r="M104" s="126">
        <v>30096952</v>
      </c>
      <c r="N104" s="128">
        <v>7</v>
      </c>
      <c r="O104" s="126">
        <v>1984553</v>
      </c>
      <c r="P104" s="126">
        <v>728763</v>
      </c>
      <c r="Q104" s="126">
        <v>922103</v>
      </c>
      <c r="R104" s="126">
        <v>815507</v>
      </c>
      <c r="S104" s="126">
        <v>106596</v>
      </c>
      <c r="T104" s="126">
        <v>3798</v>
      </c>
      <c r="U104" s="126">
        <v>2147</v>
      </c>
      <c r="V104" s="126">
        <v>8802</v>
      </c>
      <c r="W104" s="128">
        <v>603</v>
      </c>
      <c r="X104" s="126">
        <v>4379</v>
      </c>
      <c r="Y104" s="126">
        <v>9751</v>
      </c>
      <c r="Z104" s="126">
        <v>8350369</v>
      </c>
      <c r="AA104" s="128">
        <v>0</v>
      </c>
      <c r="AB104" s="128">
        <v>0</v>
      </c>
      <c r="AC104" s="126">
        <v>284673</v>
      </c>
      <c r="AD104" s="126">
        <v>8049234</v>
      </c>
      <c r="AE104" s="126">
        <v>14602460</v>
      </c>
      <c r="AF104" s="126">
        <v>1560158</v>
      </c>
      <c r="AG104" s="126">
        <v>9360</v>
      </c>
      <c r="AH104" s="126">
        <v>1326778</v>
      </c>
      <c r="AI104" s="126">
        <v>3151</v>
      </c>
      <c r="AJ104" s="128">
        <v>0</v>
      </c>
      <c r="AK104" s="128">
        <v>16</v>
      </c>
      <c r="AL104" s="128">
        <v>0</v>
      </c>
      <c r="AM104" s="128">
        <v>0</v>
      </c>
      <c r="AN104" s="126">
        <v>43763</v>
      </c>
      <c r="AO104" s="126">
        <v>2220</v>
      </c>
      <c r="AP104" s="128">
        <v>14</v>
      </c>
      <c r="AQ104" s="128">
        <v>198</v>
      </c>
      <c r="AR104" s="128">
        <v>83</v>
      </c>
      <c r="AS104" s="128">
        <v>65</v>
      </c>
      <c r="AT104" s="128">
        <v>8</v>
      </c>
      <c r="AU104" s="126">
        <v>14429</v>
      </c>
      <c r="AV104" s="128">
        <v>0</v>
      </c>
      <c r="AW104" s="128">
        <v>0</v>
      </c>
      <c r="AX104" s="128">
        <v>0</v>
      </c>
      <c r="AY104" s="128">
        <v>0</v>
      </c>
      <c r="AZ104" s="128">
        <v>41</v>
      </c>
      <c r="BA104" s="126">
        <v>4124</v>
      </c>
      <c r="BB104" s="129"/>
      <c r="BC104" s="129"/>
      <c r="BD104" s="129"/>
      <c r="BE104" s="129"/>
      <c r="BF104" s="129"/>
      <c r="BG104" s="129"/>
      <c r="BH104" s="129"/>
      <c r="BI104" s="129"/>
      <c r="BJ104" s="130">
        <v>1634438</v>
      </c>
      <c r="BK104" s="130">
        <v>1651</v>
      </c>
      <c r="BL104" s="130">
        <v>1457807</v>
      </c>
      <c r="BM104" s="131">
        <v>6132004</v>
      </c>
      <c r="BN104" s="131"/>
      <c r="BO104" s="132">
        <v>0.739</v>
      </c>
      <c r="BP104" s="132">
        <v>0.261</v>
      </c>
      <c r="BQ104" s="132">
        <v>0.001</v>
      </c>
      <c r="BR104" s="132">
        <v>0.017</v>
      </c>
      <c r="BS104" s="132">
        <v>0.068</v>
      </c>
      <c r="BT104" s="132">
        <v>0.3</v>
      </c>
      <c r="BU104" s="132">
        <v>0.229</v>
      </c>
      <c r="BV104" s="132">
        <v>0.168</v>
      </c>
      <c r="BW104" s="132">
        <v>0.137</v>
      </c>
      <c r="BX104" s="119"/>
    </row>
    <row r="105" s="96" customFormat="1" ht="15.75" customHeight="1" spans="1:76">
      <c r="A105" s="111">
        <v>104</v>
      </c>
      <c r="B105" s="96" t="s">
        <v>46</v>
      </c>
      <c r="C105" s="96" t="s">
        <v>47</v>
      </c>
      <c r="D105" s="122">
        <v>2026</v>
      </c>
      <c r="E105" s="96" t="s">
        <v>39</v>
      </c>
      <c r="F105" s="128"/>
      <c r="G105" s="128"/>
      <c r="H105" s="128"/>
      <c r="I105" s="128"/>
      <c r="J105" s="127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9"/>
      <c r="BC105" s="129"/>
      <c r="BD105" s="129"/>
      <c r="BE105" s="129"/>
      <c r="BF105" s="129"/>
      <c r="BG105" s="129"/>
      <c r="BH105" s="129"/>
      <c r="BI105" s="129"/>
      <c r="BJ105" s="119"/>
      <c r="BK105" s="119"/>
      <c r="BL105" s="119"/>
      <c r="BM105" s="131"/>
      <c r="BN105" s="131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</row>
    <row r="106" s="96" customFormat="1" ht="15.75" customHeight="1" spans="1:76">
      <c r="A106" s="111">
        <v>105</v>
      </c>
      <c r="B106" s="96" t="s">
        <v>46</v>
      </c>
      <c r="C106" s="96" t="s">
        <v>47</v>
      </c>
      <c r="D106" s="122">
        <v>2026</v>
      </c>
      <c r="E106" s="96" t="s">
        <v>40</v>
      </c>
      <c r="F106" s="128"/>
      <c r="G106" s="128"/>
      <c r="H106" s="128"/>
      <c r="I106" s="128"/>
      <c r="J106" s="127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9"/>
      <c r="BC106" s="129"/>
      <c r="BD106" s="129"/>
      <c r="BE106" s="129"/>
      <c r="BF106" s="129"/>
      <c r="BG106" s="129"/>
      <c r="BH106" s="129"/>
      <c r="BI106" s="129"/>
      <c r="BJ106" s="119"/>
      <c r="BK106" s="119"/>
      <c r="BL106" s="119"/>
      <c r="BM106" s="131"/>
      <c r="BN106" s="131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</row>
    <row r="107" s="96" customFormat="1" ht="15.75" customHeight="1" spans="1:76">
      <c r="A107" s="111">
        <v>106</v>
      </c>
      <c r="B107" s="96" t="s">
        <v>46</v>
      </c>
      <c r="C107" s="96" t="s">
        <v>47</v>
      </c>
      <c r="D107" s="122">
        <v>2026</v>
      </c>
      <c r="E107" s="96" t="s">
        <v>41</v>
      </c>
      <c r="F107" s="128"/>
      <c r="G107" s="128"/>
      <c r="H107" s="128"/>
      <c r="I107" s="128"/>
      <c r="J107" s="127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9"/>
      <c r="BC107" s="129"/>
      <c r="BD107" s="129"/>
      <c r="BE107" s="129"/>
      <c r="BF107" s="129"/>
      <c r="BG107" s="129"/>
      <c r="BH107" s="129"/>
      <c r="BI107" s="129"/>
      <c r="BJ107" s="119"/>
      <c r="BK107" s="119"/>
      <c r="BL107" s="119"/>
      <c r="BM107" s="131"/>
      <c r="BN107" s="131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</row>
    <row r="108" s="96" customFormat="1" ht="15.75" customHeight="1" spans="1:76">
      <c r="A108" s="111">
        <v>107</v>
      </c>
      <c r="B108" s="96" t="s">
        <v>46</v>
      </c>
      <c r="C108" s="96" t="s">
        <v>47</v>
      </c>
      <c r="D108" s="122">
        <v>2026</v>
      </c>
      <c r="E108" s="96" t="s">
        <v>42</v>
      </c>
      <c r="F108" s="128"/>
      <c r="G108" s="128"/>
      <c r="H108" s="128"/>
      <c r="I108" s="128"/>
      <c r="J108" s="127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9"/>
      <c r="BC108" s="129"/>
      <c r="BD108" s="129"/>
      <c r="BE108" s="129"/>
      <c r="BF108" s="129"/>
      <c r="BG108" s="129"/>
      <c r="BH108" s="129"/>
      <c r="BI108" s="129"/>
      <c r="BJ108" s="119"/>
      <c r="BK108" s="119"/>
      <c r="BL108" s="119"/>
      <c r="BM108" s="131"/>
      <c r="BN108" s="131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</row>
    <row r="109" s="96" customFormat="1" ht="15.75" customHeight="1" spans="1:76">
      <c r="A109" s="111">
        <v>108</v>
      </c>
      <c r="B109" s="96" t="s">
        <v>46</v>
      </c>
      <c r="C109" s="96" t="s">
        <v>47</v>
      </c>
      <c r="D109" s="122">
        <v>2026</v>
      </c>
      <c r="E109" s="96" t="s">
        <v>43</v>
      </c>
      <c r="F109" s="128"/>
      <c r="G109" s="128"/>
      <c r="H109" s="128"/>
      <c r="I109" s="128"/>
      <c r="J109" s="127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9"/>
      <c r="BC109" s="129"/>
      <c r="BD109" s="129"/>
      <c r="BE109" s="129"/>
      <c r="BF109" s="129"/>
      <c r="BG109" s="129"/>
      <c r="BH109" s="129"/>
      <c r="BI109" s="129"/>
      <c r="BJ109" s="119"/>
      <c r="BK109" s="119"/>
      <c r="BL109" s="119"/>
      <c r="BM109" s="131"/>
      <c r="BN109" s="131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</row>
    <row r="110" s="96" customFormat="1" ht="15.75" customHeight="1" spans="1:76">
      <c r="A110" s="111">
        <v>109</v>
      </c>
      <c r="B110" s="112" t="s">
        <v>46</v>
      </c>
      <c r="C110" s="112" t="s">
        <v>133</v>
      </c>
      <c r="D110" s="111">
        <v>2024</v>
      </c>
      <c r="E110" s="113" t="s">
        <v>31</v>
      </c>
      <c r="F110" s="114">
        <v>19741</v>
      </c>
      <c r="G110" s="114">
        <v>19741</v>
      </c>
      <c r="H110" s="114">
        <v>1084.2489</v>
      </c>
      <c r="I110" s="114">
        <v>-27</v>
      </c>
      <c r="J110" s="115">
        <v>0.00228009259259259</v>
      </c>
      <c r="K110" s="114">
        <v>21.76</v>
      </c>
      <c r="L110" s="114"/>
      <c r="M110" s="114">
        <v>289611</v>
      </c>
      <c r="N110" s="114">
        <v>4.8</v>
      </c>
      <c r="O110" s="114">
        <v>12158</v>
      </c>
      <c r="P110" s="114">
        <v>9954</v>
      </c>
      <c r="Q110" s="114">
        <v>2204</v>
      </c>
      <c r="R110" s="114">
        <v>2204</v>
      </c>
      <c r="S110" s="114">
        <v>0</v>
      </c>
      <c r="T110" s="114">
        <v>158</v>
      </c>
      <c r="U110" s="114">
        <v>185</v>
      </c>
      <c r="V110" s="114">
        <v>176</v>
      </c>
      <c r="W110" s="114">
        <v>0</v>
      </c>
      <c r="X110" s="114">
        <v>99</v>
      </c>
      <c r="Y110" s="114">
        <v>19</v>
      </c>
      <c r="Z110" s="114">
        <v>61573.109</v>
      </c>
      <c r="AA110" s="114">
        <v>0</v>
      </c>
      <c r="AB110" s="114">
        <v>0</v>
      </c>
      <c r="AC110" s="114">
        <v>2409.787</v>
      </c>
      <c r="AD110" s="114">
        <v>58943.135</v>
      </c>
      <c r="AE110" s="114">
        <v>107168.694</v>
      </c>
      <c r="AF110" s="114">
        <v>10882</v>
      </c>
      <c r="AG110" s="114">
        <v>9848.253</v>
      </c>
      <c r="AH110" s="114">
        <v>9043</v>
      </c>
      <c r="AI110" s="114">
        <v>3119.047</v>
      </c>
      <c r="AJ110" s="114">
        <v>0</v>
      </c>
      <c r="AK110" s="114">
        <v>0</v>
      </c>
      <c r="AL110" s="114">
        <v>0</v>
      </c>
      <c r="AM110" s="114">
        <v>0</v>
      </c>
      <c r="AN110" s="114">
        <v>409</v>
      </c>
      <c r="AO110" s="114">
        <v>21.9286</v>
      </c>
      <c r="AP110" s="114"/>
      <c r="AQ110" s="114">
        <v>0</v>
      </c>
      <c r="AR110" s="114"/>
      <c r="AS110" s="114"/>
      <c r="AT110" s="114"/>
      <c r="AU110" s="114"/>
      <c r="AV110" s="114">
        <v>0</v>
      </c>
      <c r="AW110" s="114">
        <v>0</v>
      </c>
      <c r="AX110" s="114">
        <v>0</v>
      </c>
      <c r="AY110" s="114">
        <v>0</v>
      </c>
      <c r="AZ110" s="114">
        <v>36</v>
      </c>
      <c r="BA110" s="114">
        <v>461</v>
      </c>
      <c r="BB110" s="116"/>
      <c r="BC110" s="116"/>
      <c r="BD110" s="116"/>
      <c r="BE110" s="116"/>
      <c r="BF110" s="116"/>
      <c r="BG110" s="116"/>
      <c r="BH110" s="116"/>
      <c r="BI110" s="116"/>
      <c r="BJ110" s="117">
        <v>207628</v>
      </c>
      <c r="BK110" s="133">
        <v>-27</v>
      </c>
      <c r="BL110" s="119"/>
      <c r="BM110" s="118">
        <v>0</v>
      </c>
      <c r="BN110" s="131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</row>
    <row r="111" s="96" customFormat="1" ht="15.75" customHeight="1" spans="1:76">
      <c r="A111" s="111">
        <v>110</v>
      </c>
      <c r="B111" s="112" t="s">
        <v>46</v>
      </c>
      <c r="C111" s="112" t="s">
        <v>133</v>
      </c>
      <c r="D111" s="111">
        <v>2024</v>
      </c>
      <c r="E111" s="113" t="s">
        <v>33</v>
      </c>
      <c r="F111" s="114">
        <v>23008</v>
      </c>
      <c r="G111" s="114">
        <v>23008</v>
      </c>
      <c r="H111" s="114">
        <v>1351.5365</v>
      </c>
      <c r="I111" s="114">
        <v>-24</v>
      </c>
      <c r="J111" s="115">
        <v>0.00244212962962963</v>
      </c>
      <c r="K111" s="114">
        <v>24.12</v>
      </c>
      <c r="L111" s="114"/>
      <c r="M111" s="114">
        <v>328302</v>
      </c>
      <c r="N111" s="114">
        <v>5.13</v>
      </c>
      <c r="O111" s="114">
        <v>15344</v>
      </c>
      <c r="P111" s="114">
        <v>12870</v>
      </c>
      <c r="Q111" s="114">
        <v>2444</v>
      </c>
      <c r="R111" s="114">
        <v>2444</v>
      </c>
      <c r="S111" s="114">
        <v>0</v>
      </c>
      <c r="T111" s="114">
        <v>149</v>
      </c>
      <c r="U111" s="114">
        <v>173</v>
      </c>
      <c r="V111" s="114">
        <v>111</v>
      </c>
      <c r="W111" s="114">
        <v>-6</v>
      </c>
      <c r="X111" s="114">
        <v>70</v>
      </c>
      <c r="Y111" s="114">
        <v>19</v>
      </c>
      <c r="Z111" s="114">
        <v>82456.457</v>
      </c>
      <c r="AA111" s="114">
        <v>0</v>
      </c>
      <c r="AB111" s="114">
        <v>0</v>
      </c>
      <c r="AC111" s="114">
        <v>2254.513</v>
      </c>
      <c r="AD111" s="114">
        <v>79872.903</v>
      </c>
      <c r="AE111" s="114">
        <v>145223.357</v>
      </c>
      <c r="AF111" s="114">
        <v>14916</v>
      </c>
      <c r="AG111" s="114">
        <v>9736.079</v>
      </c>
      <c r="AH111" s="114">
        <v>12172</v>
      </c>
      <c r="AI111" s="114">
        <v>3583.817</v>
      </c>
      <c r="AJ111" s="114">
        <v>0</v>
      </c>
      <c r="AK111" s="114">
        <v>0</v>
      </c>
      <c r="AL111" s="114">
        <v>0</v>
      </c>
      <c r="AM111" s="114">
        <v>0</v>
      </c>
      <c r="AN111" s="114">
        <v>383</v>
      </c>
      <c r="AO111" s="114">
        <v>19.8572</v>
      </c>
      <c r="AP111" s="114"/>
      <c r="AQ111" s="114">
        <v>0</v>
      </c>
      <c r="AR111" s="114"/>
      <c r="AS111" s="114"/>
      <c r="AT111" s="114"/>
      <c r="AU111" s="114"/>
      <c r="AV111" s="114">
        <v>0</v>
      </c>
      <c r="AW111" s="114">
        <v>0</v>
      </c>
      <c r="AX111" s="114">
        <v>0</v>
      </c>
      <c r="AY111" s="114">
        <v>0</v>
      </c>
      <c r="AZ111" s="114">
        <v>28</v>
      </c>
      <c r="BA111" s="114">
        <v>356</v>
      </c>
      <c r="BB111" s="116"/>
      <c r="BC111" s="116"/>
      <c r="BD111" s="116"/>
      <c r="BE111" s="116"/>
      <c r="BF111" s="116"/>
      <c r="BG111" s="116"/>
      <c r="BH111" s="116"/>
      <c r="BI111" s="116"/>
      <c r="BJ111" s="117">
        <v>207604</v>
      </c>
      <c r="BK111" s="133">
        <v>-24</v>
      </c>
      <c r="BL111" s="119"/>
      <c r="BM111" s="118">
        <v>0</v>
      </c>
      <c r="BN111" s="131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</row>
    <row r="112" s="96" customFormat="1" ht="15.75" customHeight="1" spans="1:76">
      <c r="A112" s="111">
        <v>111</v>
      </c>
      <c r="B112" s="112" t="s">
        <v>46</v>
      </c>
      <c r="C112" s="112" t="s">
        <v>133</v>
      </c>
      <c r="D112" s="111">
        <v>2024</v>
      </c>
      <c r="E112" s="113" t="s">
        <v>34</v>
      </c>
      <c r="F112" s="114">
        <v>23218</v>
      </c>
      <c r="G112" s="114">
        <v>23218</v>
      </c>
      <c r="H112" s="114">
        <v>1331.835</v>
      </c>
      <c r="I112" s="114">
        <v>-21</v>
      </c>
      <c r="J112" s="115">
        <v>0.00238425925925926</v>
      </c>
      <c r="K112" s="114">
        <v>23.6</v>
      </c>
      <c r="L112" s="114"/>
      <c r="M112" s="114">
        <v>302891</v>
      </c>
      <c r="N112" s="114">
        <v>5.51</v>
      </c>
      <c r="O112" s="114">
        <v>14840</v>
      </c>
      <c r="P112" s="114">
        <v>12605</v>
      </c>
      <c r="Q112" s="114">
        <v>2235</v>
      </c>
      <c r="R112" s="114">
        <v>2235</v>
      </c>
      <c r="S112" s="114">
        <v>0</v>
      </c>
      <c r="T112" s="114">
        <v>170</v>
      </c>
      <c r="U112" s="114">
        <v>191</v>
      </c>
      <c r="V112" s="114">
        <v>104</v>
      </c>
      <c r="W112" s="114">
        <v>-2</v>
      </c>
      <c r="X112" s="114">
        <v>81</v>
      </c>
      <c r="Y112" s="114">
        <v>18</v>
      </c>
      <c r="Z112" s="114">
        <v>108979.93</v>
      </c>
      <c r="AA112" s="114">
        <v>0</v>
      </c>
      <c r="AB112" s="114">
        <v>0</v>
      </c>
      <c r="AC112" s="114">
        <v>2032.537</v>
      </c>
      <c r="AD112" s="114">
        <v>106601.47</v>
      </c>
      <c r="AE112" s="114">
        <v>193821.245</v>
      </c>
      <c r="AF112" s="114">
        <v>17969</v>
      </c>
      <c r="AG112" s="114">
        <v>10786.424</v>
      </c>
      <c r="AH112" s="114">
        <v>13906</v>
      </c>
      <c r="AI112" s="114">
        <v>4693.769</v>
      </c>
      <c r="AJ112" s="114">
        <v>0</v>
      </c>
      <c r="AK112" s="114">
        <v>0</v>
      </c>
      <c r="AL112" s="114">
        <v>0</v>
      </c>
      <c r="AM112" s="114">
        <v>0</v>
      </c>
      <c r="AN112" s="114">
        <v>462</v>
      </c>
      <c r="AO112" s="114">
        <v>22.3372</v>
      </c>
      <c r="AP112" s="114"/>
      <c r="AQ112" s="114">
        <v>0</v>
      </c>
      <c r="AR112" s="114"/>
      <c r="AS112" s="114"/>
      <c r="AT112" s="114"/>
      <c r="AU112" s="114"/>
      <c r="AV112" s="114">
        <v>0</v>
      </c>
      <c r="AW112" s="114">
        <v>0</v>
      </c>
      <c r="AX112" s="114">
        <v>0</v>
      </c>
      <c r="AY112" s="114">
        <v>0</v>
      </c>
      <c r="AZ112" s="114">
        <v>39</v>
      </c>
      <c r="BA112" s="114">
        <v>667</v>
      </c>
      <c r="BB112" s="116"/>
      <c r="BC112" s="116"/>
      <c r="BD112" s="116"/>
      <c r="BE112" s="116"/>
      <c r="BF112" s="116"/>
      <c r="BG112" s="116"/>
      <c r="BH112" s="116"/>
      <c r="BI112" s="116"/>
      <c r="BJ112" s="117">
        <v>207583</v>
      </c>
      <c r="BK112" s="133">
        <v>-21</v>
      </c>
      <c r="BL112" s="119"/>
      <c r="BM112" s="118">
        <v>0</v>
      </c>
      <c r="BN112" s="131"/>
      <c r="BO112" s="119"/>
      <c r="BP112" s="119"/>
      <c r="BQ112" s="119"/>
      <c r="BR112" s="119"/>
      <c r="BS112" s="119"/>
      <c r="BT112" s="119"/>
      <c r="BU112" s="119"/>
      <c r="BV112" s="119"/>
      <c r="BW112" s="119"/>
      <c r="BX112" s="119"/>
    </row>
    <row r="113" s="96" customFormat="1" ht="15.75" customHeight="1" spans="1:76">
      <c r="A113" s="111">
        <v>112</v>
      </c>
      <c r="B113" s="112" t="s">
        <v>46</v>
      </c>
      <c r="C113" s="112" t="s">
        <v>133</v>
      </c>
      <c r="D113" s="111">
        <v>2024</v>
      </c>
      <c r="E113" s="113" t="s">
        <v>35</v>
      </c>
      <c r="F113" s="114">
        <v>35870</v>
      </c>
      <c r="G113" s="114">
        <v>35870</v>
      </c>
      <c r="H113" s="114">
        <v>1432.4755</v>
      </c>
      <c r="I113" s="114">
        <v>27</v>
      </c>
      <c r="J113" s="115">
        <v>0.00165509259259259</v>
      </c>
      <c r="K113" s="114">
        <v>22.23</v>
      </c>
      <c r="L113" s="114">
        <v>1</v>
      </c>
      <c r="M113" s="114">
        <v>399739</v>
      </c>
      <c r="N113" s="114">
        <v>5.47</v>
      </c>
      <c r="O113" s="114">
        <v>26215</v>
      </c>
      <c r="P113" s="114">
        <v>23987</v>
      </c>
      <c r="Q113" s="114">
        <v>2228</v>
      </c>
      <c r="R113" s="114">
        <v>2228</v>
      </c>
      <c r="S113" s="114">
        <v>0</v>
      </c>
      <c r="T113" s="114">
        <v>189</v>
      </c>
      <c r="U113" s="114">
        <v>162</v>
      </c>
      <c r="V113" s="114">
        <v>387</v>
      </c>
      <c r="W113" s="114">
        <v>9</v>
      </c>
      <c r="X113" s="114">
        <v>94</v>
      </c>
      <c r="Y113" s="114">
        <v>18</v>
      </c>
      <c r="Z113" s="114">
        <v>79294.644</v>
      </c>
      <c r="AA113" s="114">
        <v>0</v>
      </c>
      <c r="AB113" s="114">
        <v>0</v>
      </c>
      <c r="AC113" s="114">
        <v>3691.187</v>
      </c>
      <c r="AD113" s="114">
        <v>72783.332</v>
      </c>
      <c r="AE113" s="114">
        <v>132333.246</v>
      </c>
      <c r="AF113" s="114">
        <v>12150</v>
      </c>
      <c r="AG113" s="114">
        <v>10891.625</v>
      </c>
      <c r="AH113" s="114">
        <v>9749</v>
      </c>
      <c r="AI113" s="114">
        <v>2210.617</v>
      </c>
      <c r="AJ113" s="114">
        <v>0</v>
      </c>
      <c r="AK113" s="114">
        <v>0</v>
      </c>
      <c r="AL113" s="114">
        <v>0</v>
      </c>
      <c r="AM113" s="114">
        <v>0</v>
      </c>
      <c r="AN113" s="114">
        <v>717</v>
      </c>
      <c r="AO113" s="114">
        <v>31.6043</v>
      </c>
      <c r="AP113" s="114"/>
      <c r="AQ113" s="114">
        <v>0</v>
      </c>
      <c r="AR113" s="114"/>
      <c r="AS113" s="114"/>
      <c r="AT113" s="114"/>
      <c r="AU113" s="114"/>
      <c r="AV113" s="114">
        <v>6</v>
      </c>
      <c r="AW113" s="114">
        <v>0.0535</v>
      </c>
      <c r="AX113" s="114">
        <v>0</v>
      </c>
      <c r="AY113" s="114">
        <v>0</v>
      </c>
      <c r="AZ113" s="114">
        <v>25</v>
      </c>
      <c r="BA113" s="114">
        <v>553</v>
      </c>
      <c r="BB113" s="116"/>
      <c r="BC113" s="116"/>
      <c r="BD113" s="116"/>
      <c r="BE113" s="116"/>
      <c r="BF113" s="116"/>
      <c r="BG113" s="116"/>
      <c r="BH113" s="116"/>
      <c r="BI113" s="116"/>
      <c r="BJ113" s="117">
        <v>207610</v>
      </c>
      <c r="BK113" s="133">
        <v>27</v>
      </c>
      <c r="BL113" s="119"/>
      <c r="BM113" s="118">
        <v>0</v>
      </c>
      <c r="BN113" s="131"/>
      <c r="BO113" s="119"/>
      <c r="BP113" s="119"/>
      <c r="BQ113" s="119"/>
      <c r="BR113" s="119"/>
      <c r="BS113" s="119"/>
      <c r="BT113" s="119"/>
      <c r="BU113" s="119"/>
      <c r="BV113" s="119"/>
      <c r="BW113" s="119"/>
      <c r="BX113" s="119"/>
    </row>
    <row r="114" s="96" customFormat="1" ht="15.75" customHeight="1" spans="1:76">
      <c r="A114" s="111">
        <v>113</v>
      </c>
      <c r="B114" s="112" t="s">
        <v>46</v>
      </c>
      <c r="C114" s="112" t="s">
        <v>133</v>
      </c>
      <c r="D114" s="111">
        <v>2024</v>
      </c>
      <c r="E114" s="113" t="s">
        <v>36</v>
      </c>
      <c r="F114" s="114">
        <v>50705</v>
      </c>
      <c r="G114" s="114">
        <v>50705</v>
      </c>
      <c r="H114" s="114">
        <v>2743.026</v>
      </c>
      <c r="I114" s="114">
        <v>130</v>
      </c>
      <c r="J114" s="115">
        <v>0.00224537037037037</v>
      </c>
      <c r="K114" s="114">
        <v>27.94</v>
      </c>
      <c r="L114" s="114">
        <v>1</v>
      </c>
      <c r="M114" s="114">
        <v>502176</v>
      </c>
      <c r="N114" s="114">
        <v>6.41</v>
      </c>
      <c r="O114" s="114">
        <v>36027</v>
      </c>
      <c r="P114" s="114">
        <v>32842</v>
      </c>
      <c r="Q114" s="114">
        <v>3185</v>
      </c>
      <c r="R114" s="114">
        <v>3185</v>
      </c>
      <c r="S114" s="114">
        <v>0</v>
      </c>
      <c r="T114" s="114">
        <v>354</v>
      </c>
      <c r="U114" s="114">
        <v>224</v>
      </c>
      <c r="V114" s="114">
        <v>341</v>
      </c>
      <c r="W114" s="114">
        <v>20</v>
      </c>
      <c r="X114" s="114">
        <v>122</v>
      </c>
      <c r="Y114" s="114">
        <v>38</v>
      </c>
      <c r="Z114" s="114">
        <v>139961.498</v>
      </c>
      <c r="AA114" s="114">
        <v>0</v>
      </c>
      <c r="AB114" s="114">
        <v>0</v>
      </c>
      <c r="AC114" s="114">
        <v>9710.072</v>
      </c>
      <c r="AD114" s="114">
        <v>128154.97</v>
      </c>
      <c r="AE114" s="114">
        <v>233009.414</v>
      </c>
      <c r="AF114" s="114">
        <v>21434</v>
      </c>
      <c r="AG114" s="114">
        <v>10871.019</v>
      </c>
      <c r="AH114" s="114">
        <v>17344</v>
      </c>
      <c r="AI114" s="114">
        <v>2760.314</v>
      </c>
      <c r="AJ114" s="114">
        <v>0</v>
      </c>
      <c r="AK114" s="114">
        <v>0</v>
      </c>
      <c r="AL114" s="114">
        <v>0</v>
      </c>
      <c r="AM114" s="114">
        <v>0</v>
      </c>
      <c r="AN114" s="114">
        <v>1362</v>
      </c>
      <c r="AO114" s="114">
        <v>79.7391</v>
      </c>
      <c r="AP114" s="114"/>
      <c r="AQ114" s="114">
        <v>0</v>
      </c>
      <c r="AR114" s="114"/>
      <c r="AS114" s="114"/>
      <c r="AT114" s="114"/>
      <c r="AU114" s="114"/>
      <c r="AV114" s="114">
        <v>6</v>
      </c>
      <c r="AW114" s="114">
        <v>0.0247</v>
      </c>
      <c r="AX114" s="114">
        <v>0</v>
      </c>
      <c r="AY114" s="114">
        <v>0</v>
      </c>
      <c r="AZ114" s="114">
        <v>26</v>
      </c>
      <c r="BA114" s="114">
        <v>647</v>
      </c>
      <c r="BB114" s="116"/>
      <c r="BC114" s="116"/>
      <c r="BD114" s="116"/>
      <c r="BE114" s="116"/>
      <c r="BF114" s="116"/>
      <c r="BG114" s="116"/>
      <c r="BH114" s="116"/>
      <c r="BI114" s="116"/>
      <c r="BJ114" s="117">
        <v>207740</v>
      </c>
      <c r="BK114" s="133">
        <v>130</v>
      </c>
      <c r="BL114" s="119"/>
      <c r="BM114" s="118">
        <v>0</v>
      </c>
      <c r="BN114" s="131"/>
      <c r="BO114" s="119"/>
      <c r="BP114" s="119"/>
      <c r="BQ114" s="119"/>
      <c r="BR114" s="119"/>
      <c r="BS114" s="119"/>
      <c r="BT114" s="119"/>
      <c r="BU114" s="119"/>
      <c r="BV114" s="119"/>
      <c r="BW114" s="119"/>
      <c r="BX114" s="119"/>
    </row>
    <row r="115" s="96" customFormat="1" ht="15.75" customHeight="1" spans="1:76">
      <c r="A115" s="111">
        <v>114</v>
      </c>
      <c r="B115" s="112" t="s">
        <v>46</v>
      </c>
      <c r="C115" s="112" t="s">
        <v>133</v>
      </c>
      <c r="D115" s="111">
        <v>2024</v>
      </c>
      <c r="E115" s="113" t="s">
        <v>37</v>
      </c>
      <c r="F115" s="114">
        <v>44061</v>
      </c>
      <c r="G115" s="114">
        <v>44061</v>
      </c>
      <c r="H115" s="114">
        <v>2623.5387</v>
      </c>
      <c r="I115" s="114">
        <v>112</v>
      </c>
      <c r="J115" s="115">
        <v>0.00247685185185185</v>
      </c>
      <c r="K115" s="114">
        <v>28.37</v>
      </c>
      <c r="L115" s="114"/>
      <c r="M115" s="114">
        <v>417868</v>
      </c>
      <c r="N115" s="114">
        <v>6.1</v>
      </c>
      <c r="O115" s="114">
        <v>33711</v>
      </c>
      <c r="P115" s="114">
        <v>30839</v>
      </c>
      <c r="Q115" s="114">
        <v>2872</v>
      </c>
      <c r="R115" s="114">
        <v>2872</v>
      </c>
      <c r="S115" s="114">
        <v>0</v>
      </c>
      <c r="T115" s="114">
        <v>337</v>
      </c>
      <c r="U115" s="114">
        <v>225</v>
      </c>
      <c r="V115" s="114">
        <v>339</v>
      </c>
      <c r="W115" s="114">
        <v>22</v>
      </c>
      <c r="X115" s="114">
        <v>115</v>
      </c>
      <c r="Y115" s="114">
        <v>38</v>
      </c>
      <c r="Z115" s="114">
        <v>119951.401</v>
      </c>
      <c r="AA115" s="114">
        <v>0</v>
      </c>
      <c r="AB115" s="114">
        <v>0</v>
      </c>
      <c r="AC115" s="114">
        <v>4815.111</v>
      </c>
      <c r="AD115" s="114">
        <v>112487.1</v>
      </c>
      <c r="AE115" s="114">
        <v>204521.969</v>
      </c>
      <c r="AF115" s="114">
        <v>18189</v>
      </c>
      <c r="AG115" s="114">
        <v>11244.267</v>
      </c>
      <c r="AH115" s="114">
        <v>14872</v>
      </c>
      <c r="AI115" s="114">
        <v>2722.395</v>
      </c>
      <c r="AJ115" s="114">
        <v>0</v>
      </c>
      <c r="AK115" s="114">
        <v>0</v>
      </c>
      <c r="AL115" s="114">
        <v>0</v>
      </c>
      <c r="AM115" s="114">
        <v>0</v>
      </c>
      <c r="AN115" s="114">
        <v>796</v>
      </c>
      <c r="AO115" s="114">
        <v>37.222</v>
      </c>
      <c r="AP115" s="114"/>
      <c r="AQ115" s="114">
        <v>0</v>
      </c>
      <c r="AR115" s="114"/>
      <c r="AS115" s="114"/>
      <c r="AT115" s="114"/>
      <c r="AU115" s="114"/>
      <c r="AV115" s="114">
        <v>0</v>
      </c>
      <c r="AW115" s="114">
        <v>0</v>
      </c>
      <c r="AX115" s="114">
        <v>0</v>
      </c>
      <c r="AY115" s="114">
        <v>0</v>
      </c>
      <c r="AZ115" s="114">
        <v>21</v>
      </c>
      <c r="BA115" s="114">
        <v>495</v>
      </c>
      <c r="BB115" s="116"/>
      <c r="BC115" s="116"/>
      <c r="BD115" s="116"/>
      <c r="BE115" s="116"/>
      <c r="BF115" s="116"/>
      <c r="BG115" s="116"/>
      <c r="BH115" s="116"/>
      <c r="BI115" s="116"/>
      <c r="BJ115" s="117">
        <v>207852</v>
      </c>
      <c r="BK115" s="133">
        <v>112</v>
      </c>
      <c r="BL115" s="119"/>
      <c r="BM115" s="118">
        <v>0</v>
      </c>
      <c r="BN115" s="131"/>
      <c r="BO115" s="119"/>
      <c r="BP115" s="119"/>
      <c r="BQ115" s="119"/>
      <c r="BR115" s="119"/>
      <c r="BS115" s="119"/>
      <c r="BT115" s="119"/>
      <c r="BU115" s="119"/>
      <c r="BV115" s="119"/>
      <c r="BW115" s="119"/>
      <c r="BX115" s="119"/>
    </row>
    <row r="116" s="96" customFormat="1" ht="15.75" customHeight="1" spans="1:76">
      <c r="A116" s="111">
        <v>115</v>
      </c>
      <c r="B116" s="112" t="s">
        <v>46</v>
      </c>
      <c r="C116" s="112" t="s">
        <v>133</v>
      </c>
      <c r="D116" s="111">
        <v>2024</v>
      </c>
      <c r="E116" s="113" t="s">
        <v>38</v>
      </c>
      <c r="F116" s="114">
        <v>40386</v>
      </c>
      <c r="G116" s="114">
        <v>40386</v>
      </c>
      <c r="H116" s="114">
        <v>2353.3896</v>
      </c>
      <c r="I116" s="114">
        <v>92</v>
      </c>
      <c r="J116" s="115">
        <v>0.00241898148148148</v>
      </c>
      <c r="K116" s="114">
        <v>27.22</v>
      </c>
      <c r="L116" s="114"/>
      <c r="M116" s="114">
        <v>412806</v>
      </c>
      <c r="N116" s="114">
        <v>5.98</v>
      </c>
      <c r="O116" s="114">
        <v>29202</v>
      </c>
      <c r="P116" s="114">
        <v>26786</v>
      </c>
      <c r="Q116" s="114">
        <v>2416</v>
      </c>
      <c r="R116" s="114">
        <v>2416</v>
      </c>
      <c r="S116" s="114">
        <v>0</v>
      </c>
      <c r="T116" s="114">
        <v>326</v>
      </c>
      <c r="U116" s="114">
        <v>234</v>
      </c>
      <c r="V116" s="114">
        <v>322</v>
      </c>
      <c r="W116" s="114">
        <v>4</v>
      </c>
      <c r="X116" s="114">
        <v>121</v>
      </c>
      <c r="Y116" s="114">
        <v>32</v>
      </c>
      <c r="Z116" s="114">
        <v>114900.885</v>
      </c>
      <c r="AA116" s="114">
        <v>0</v>
      </c>
      <c r="AB116" s="114">
        <v>0</v>
      </c>
      <c r="AC116" s="114">
        <v>3593.209</v>
      </c>
      <c r="AD116" s="114">
        <v>108949.595</v>
      </c>
      <c r="AE116" s="114">
        <v>198090.692</v>
      </c>
      <c r="AF116" s="114">
        <v>22548</v>
      </c>
      <c r="AG116" s="114">
        <v>8785.289</v>
      </c>
      <c r="AH116" s="114">
        <v>18687</v>
      </c>
      <c r="AI116" s="114">
        <v>2845.076</v>
      </c>
      <c r="AJ116" s="114">
        <v>0</v>
      </c>
      <c r="AK116" s="114">
        <v>0</v>
      </c>
      <c r="AL116" s="114">
        <v>0</v>
      </c>
      <c r="AM116" s="114">
        <v>0</v>
      </c>
      <c r="AN116" s="114">
        <v>637</v>
      </c>
      <c r="AO116" s="114">
        <v>33.3291</v>
      </c>
      <c r="AP116" s="114"/>
      <c r="AQ116" s="114">
        <v>0</v>
      </c>
      <c r="AR116" s="114"/>
      <c r="AS116" s="114"/>
      <c r="AT116" s="114"/>
      <c r="AU116" s="114"/>
      <c r="AV116" s="114">
        <v>6</v>
      </c>
      <c r="AW116" s="114">
        <v>0.0124</v>
      </c>
      <c r="AX116" s="114">
        <v>0</v>
      </c>
      <c r="AY116" s="114">
        <v>0</v>
      </c>
      <c r="AZ116" s="114">
        <v>12</v>
      </c>
      <c r="BA116" s="114">
        <v>520</v>
      </c>
      <c r="BB116" s="116"/>
      <c r="BC116" s="116"/>
      <c r="BD116" s="116"/>
      <c r="BE116" s="116"/>
      <c r="BF116" s="116"/>
      <c r="BG116" s="116"/>
      <c r="BH116" s="116"/>
      <c r="BI116" s="116"/>
      <c r="BJ116" s="117">
        <v>207944</v>
      </c>
      <c r="BK116" s="133">
        <v>92</v>
      </c>
      <c r="BL116" s="119"/>
      <c r="BM116" s="118">
        <v>0</v>
      </c>
      <c r="BN116" s="131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</row>
    <row r="117" s="96" customFormat="1" ht="15.75" customHeight="1" spans="1:76">
      <c r="A117" s="111">
        <v>116</v>
      </c>
      <c r="B117" s="112" t="s">
        <v>46</v>
      </c>
      <c r="C117" s="112" t="s">
        <v>133</v>
      </c>
      <c r="D117" s="111">
        <v>2024</v>
      </c>
      <c r="E117" s="113" t="s">
        <v>39</v>
      </c>
      <c r="F117" s="114">
        <v>74061</v>
      </c>
      <c r="G117" s="114">
        <v>74061</v>
      </c>
      <c r="H117" s="114">
        <v>3571.8246</v>
      </c>
      <c r="I117" s="114">
        <v>238</v>
      </c>
      <c r="J117" s="115">
        <v>0.00200231481481481</v>
      </c>
      <c r="K117" s="114">
        <v>31.14</v>
      </c>
      <c r="L117" s="114"/>
      <c r="M117" s="114">
        <v>623166</v>
      </c>
      <c r="N117" s="114">
        <v>6.99</v>
      </c>
      <c r="O117" s="114">
        <v>57561</v>
      </c>
      <c r="P117" s="114">
        <v>54181</v>
      </c>
      <c r="Q117" s="114">
        <v>3380</v>
      </c>
      <c r="R117" s="114">
        <v>3380</v>
      </c>
      <c r="S117" s="114">
        <v>0</v>
      </c>
      <c r="T117" s="114">
        <v>439</v>
      </c>
      <c r="U117" s="114">
        <v>201</v>
      </c>
      <c r="V117" s="114">
        <v>988</v>
      </c>
      <c r="W117" s="114">
        <v>25</v>
      </c>
      <c r="X117" s="114">
        <v>127</v>
      </c>
      <c r="Y117" s="114">
        <v>43</v>
      </c>
      <c r="Z117" s="114">
        <v>174843.341</v>
      </c>
      <c r="AA117" s="114">
        <v>0</v>
      </c>
      <c r="AB117" s="114">
        <v>0</v>
      </c>
      <c r="AC117" s="114">
        <v>4227.385</v>
      </c>
      <c r="AD117" s="114">
        <v>163370.491</v>
      </c>
      <c r="AE117" s="114">
        <v>297037.702</v>
      </c>
      <c r="AF117" s="114">
        <v>33793</v>
      </c>
      <c r="AG117" s="114">
        <v>8789.918</v>
      </c>
      <c r="AH117" s="114">
        <v>27644</v>
      </c>
      <c r="AI117" s="114">
        <v>2360.806</v>
      </c>
      <c r="AJ117" s="114">
        <v>0</v>
      </c>
      <c r="AK117" s="114">
        <v>0</v>
      </c>
      <c r="AL117" s="114">
        <v>0</v>
      </c>
      <c r="AM117" s="114">
        <v>0</v>
      </c>
      <c r="AN117" s="114">
        <v>1091</v>
      </c>
      <c r="AO117" s="114">
        <v>46.9593</v>
      </c>
      <c r="AP117" s="114"/>
      <c r="AQ117" s="114">
        <v>0</v>
      </c>
      <c r="AR117" s="114"/>
      <c r="AS117" s="114"/>
      <c r="AT117" s="114"/>
      <c r="AU117" s="114"/>
      <c r="AV117" s="114">
        <v>1</v>
      </c>
      <c r="AW117" s="114">
        <v>0.0032</v>
      </c>
      <c r="AX117" s="114">
        <v>0</v>
      </c>
      <c r="AY117" s="114">
        <v>0</v>
      </c>
      <c r="AZ117" s="114">
        <v>31</v>
      </c>
      <c r="BA117" s="114">
        <v>540</v>
      </c>
      <c r="BB117" s="116"/>
      <c r="BC117" s="116"/>
      <c r="BD117" s="116"/>
      <c r="BE117" s="116"/>
      <c r="BF117" s="116"/>
      <c r="BG117" s="116"/>
      <c r="BH117" s="116"/>
      <c r="BI117" s="116"/>
      <c r="BJ117" s="117">
        <v>208182</v>
      </c>
      <c r="BK117" s="133">
        <v>238</v>
      </c>
      <c r="BL117" s="119"/>
      <c r="BM117" s="118">
        <v>0</v>
      </c>
      <c r="BN117" s="131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</row>
    <row r="118" s="96" customFormat="1" ht="15.75" customHeight="1" spans="1:76">
      <c r="A118" s="111">
        <v>117</v>
      </c>
      <c r="B118" s="112" t="s">
        <v>46</v>
      </c>
      <c r="C118" s="112" t="s">
        <v>133</v>
      </c>
      <c r="D118" s="111">
        <v>2024</v>
      </c>
      <c r="E118" s="113" t="s">
        <v>40</v>
      </c>
      <c r="F118" s="114">
        <v>45118</v>
      </c>
      <c r="G118" s="114">
        <v>45118</v>
      </c>
      <c r="H118" s="114">
        <v>2307.0141</v>
      </c>
      <c r="I118" s="114">
        <v>59</v>
      </c>
      <c r="J118" s="115">
        <v>0.00212962962962963</v>
      </c>
      <c r="K118" s="114">
        <v>24.52</v>
      </c>
      <c r="L118" s="114"/>
      <c r="M118" s="114">
        <v>457817</v>
      </c>
      <c r="N118" s="114">
        <v>6.28</v>
      </c>
      <c r="O118" s="114">
        <v>33596</v>
      </c>
      <c r="P118" s="114">
        <v>31161</v>
      </c>
      <c r="Q118" s="114">
        <v>2435</v>
      </c>
      <c r="R118" s="114">
        <v>2435</v>
      </c>
      <c r="S118" s="114">
        <v>0</v>
      </c>
      <c r="T118" s="114">
        <v>252</v>
      </c>
      <c r="U118" s="114">
        <v>193</v>
      </c>
      <c r="V118" s="114">
        <v>494</v>
      </c>
      <c r="W118" s="114">
        <v>2</v>
      </c>
      <c r="X118" s="114">
        <v>96</v>
      </c>
      <c r="Y118" s="114">
        <v>24</v>
      </c>
      <c r="Z118" s="114">
        <v>124191.688</v>
      </c>
      <c r="AA118" s="114">
        <v>0</v>
      </c>
      <c r="AB118" s="114">
        <v>0</v>
      </c>
      <c r="AC118" s="114">
        <v>5157.723</v>
      </c>
      <c r="AD118" s="114">
        <v>115738.244</v>
      </c>
      <c r="AE118" s="114">
        <v>210432.305</v>
      </c>
      <c r="AF118" s="114">
        <v>23226</v>
      </c>
      <c r="AG118" s="114">
        <v>9060.204</v>
      </c>
      <c r="AH118" s="114">
        <v>18546</v>
      </c>
      <c r="AI118" s="114">
        <v>2752.591</v>
      </c>
      <c r="AJ118" s="114">
        <v>0</v>
      </c>
      <c r="AK118" s="114">
        <v>0</v>
      </c>
      <c r="AL118" s="114">
        <v>0</v>
      </c>
      <c r="AM118" s="114">
        <v>0</v>
      </c>
      <c r="AN118" s="114">
        <v>952</v>
      </c>
      <c r="AO118" s="114">
        <v>52.8179</v>
      </c>
      <c r="AP118" s="114"/>
      <c r="AQ118" s="114">
        <v>0</v>
      </c>
      <c r="AR118" s="114"/>
      <c r="AS118" s="114"/>
      <c r="AT118" s="114"/>
      <c r="AU118" s="114"/>
      <c r="AV118" s="114">
        <v>0</v>
      </c>
      <c r="AW118" s="114">
        <v>0</v>
      </c>
      <c r="AX118" s="114">
        <v>0</v>
      </c>
      <c r="AY118" s="114">
        <v>0</v>
      </c>
      <c r="AZ118" s="114">
        <v>17</v>
      </c>
      <c r="BA118" s="114">
        <v>356</v>
      </c>
      <c r="BB118" s="116"/>
      <c r="BC118" s="116"/>
      <c r="BD118" s="116"/>
      <c r="BE118" s="116"/>
      <c r="BF118" s="116"/>
      <c r="BG118" s="116"/>
      <c r="BH118" s="116"/>
      <c r="BI118" s="116"/>
      <c r="BJ118" s="117">
        <v>208241</v>
      </c>
      <c r="BK118" s="133">
        <v>59</v>
      </c>
      <c r="BL118" s="119"/>
      <c r="BM118" s="118">
        <v>0</v>
      </c>
      <c r="BN118" s="131"/>
      <c r="BO118" s="119"/>
      <c r="BP118" s="119"/>
      <c r="BQ118" s="119"/>
      <c r="BR118" s="119"/>
      <c r="BS118" s="119"/>
      <c r="BT118" s="119"/>
      <c r="BU118" s="119"/>
      <c r="BV118" s="119"/>
      <c r="BW118" s="119"/>
      <c r="BX118" s="119"/>
    </row>
    <row r="119" s="96" customFormat="1" ht="15.75" customHeight="1" spans="1:76">
      <c r="A119" s="111">
        <v>118</v>
      </c>
      <c r="B119" s="112" t="s">
        <v>46</v>
      </c>
      <c r="C119" s="112" t="s">
        <v>133</v>
      </c>
      <c r="D119" s="111">
        <v>2024</v>
      </c>
      <c r="E119" s="113" t="s">
        <v>41</v>
      </c>
      <c r="F119" s="114">
        <v>192823</v>
      </c>
      <c r="G119" s="114">
        <v>192823</v>
      </c>
      <c r="H119" s="114">
        <v>18342.9514</v>
      </c>
      <c r="I119" s="114">
        <v>1262</v>
      </c>
      <c r="J119" s="115">
        <v>0.00395833333333333</v>
      </c>
      <c r="K119" s="114">
        <v>36.8</v>
      </c>
      <c r="L119" s="114"/>
      <c r="M119" s="114">
        <v>1865289</v>
      </c>
      <c r="N119" s="114">
        <v>6.92</v>
      </c>
      <c r="O119" s="114">
        <v>153747</v>
      </c>
      <c r="P119" s="114">
        <v>146630</v>
      </c>
      <c r="Q119" s="114">
        <v>7117</v>
      </c>
      <c r="R119" s="114">
        <v>7117</v>
      </c>
      <c r="S119" s="114">
        <v>0</v>
      </c>
      <c r="T119" s="114">
        <v>1502</v>
      </c>
      <c r="U119" s="114">
        <v>240</v>
      </c>
      <c r="V119" s="114">
        <v>1730</v>
      </c>
      <c r="W119" s="114">
        <v>87</v>
      </c>
      <c r="X119" s="114">
        <v>289</v>
      </c>
      <c r="Y119" s="114">
        <v>161</v>
      </c>
      <c r="Z119" s="114">
        <v>880141.643</v>
      </c>
      <c r="AA119" s="114">
        <v>0</v>
      </c>
      <c r="AB119" s="114">
        <v>0</v>
      </c>
      <c r="AC119" s="114">
        <v>24261.493</v>
      </c>
      <c r="AD119" s="114">
        <v>853181.533</v>
      </c>
      <c r="AE119" s="114">
        <v>1551240.401</v>
      </c>
      <c r="AF119" s="114">
        <v>185470</v>
      </c>
      <c r="AG119" s="114">
        <v>8363.835</v>
      </c>
      <c r="AH119" s="114">
        <v>146439</v>
      </c>
      <c r="AI119" s="114">
        <v>4564.508</v>
      </c>
      <c r="AJ119" s="114">
        <v>0</v>
      </c>
      <c r="AK119" s="114">
        <v>0</v>
      </c>
      <c r="AL119" s="114">
        <v>0</v>
      </c>
      <c r="AM119" s="114">
        <v>0</v>
      </c>
      <c r="AN119" s="114">
        <v>2217</v>
      </c>
      <c r="AO119" s="114">
        <v>211.5759</v>
      </c>
      <c r="AP119" s="114"/>
      <c r="AQ119" s="114">
        <v>0</v>
      </c>
      <c r="AR119" s="114"/>
      <c r="AS119" s="114"/>
      <c r="AT119" s="114"/>
      <c r="AU119" s="114"/>
      <c r="AV119" s="114">
        <v>1</v>
      </c>
      <c r="AW119" s="114">
        <v>0.0022</v>
      </c>
      <c r="AX119" s="114">
        <v>0</v>
      </c>
      <c r="AY119" s="114">
        <v>0</v>
      </c>
      <c r="AZ119" s="114">
        <v>6</v>
      </c>
      <c r="BA119" s="114">
        <v>248</v>
      </c>
      <c r="BB119" s="116"/>
      <c r="BC119" s="116"/>
      <c r="BD119" s="116"/>
      <c r="BE119" s="116"/>
      <c r="BF119" s="116"/>
      <c r="BG119" s="116"/>
      <c r="BH119" s="116"/>
      <c r="BI119" s="116"/>
      <c r="BJ119" s="117">
        <v>209503</v>
      </c>
      <c r="BK119" s="117">
        <v>1262</v>
      </c>
      <c r="BL119" s="119"/>
      <c r="BM119" s="118">
        <v>0</v>
      </c>
      <c r="BN119" s="131"/>
      <c r="BO119" s="119"/>
      <c r="BP119" s="119"/>
      <c r="BQ119" s="119"/>
      <c r="BR119" s="119"/>
      <c r="BS119" s="119"/>
      <c r="BT119" s="119"/>
      <c r="BU119" s="119"/>
      <c r="BV119" s="119"/>
      <c r="BW119" s="119"/>
      <c r="BX119" s="119"/>
    </row>
    <row r="120" s="96" customFormat="1" ht="15.75" customHeight="1" spans="1:76">
      <c r="A120" s="111">
        <v>119</v>
      </c>
      <c r="B120" s="112" t="s">
        <v>46</v>
      </c>
      <c r="C120" s="112" t="s">
        <v>133</v>
      </c>
      <c r="D120" s="111">
        <v>2024</v>
      </c>
      <c r="E120" s="113" t="s">
        <v>42</v>
      </c>
      <c r="F120" s="114">
        <v>71482</v>
      </c>
      <c r="G120" s="114">
        <v>71482</v>
      </c>
      <c r="H120" s="114">
        <v>5290.0993</v>
      </c>
      <c r="I120" s="114">
        <v>269</v>
      </c>
      <c r="J120" s="115">
        <v>0.0030787037037037</v>
      </c>
      <c r="K120" s="114">
        <v>32.49</v>
      </c>
      <c r="L120" s="114"/>
      <c r="M120" s="114">
        <v>673993</v>
      </c>
      <c r="N120" s="114">
        <v>7.11</v>
      </c>
      <c r="O120" s="114">
        <v>58840</v>
      </c>
      <c r="P120" s="114">
        <v>54879</v>
      </c>
      <c r="Q120" s="114">
        <v>3961</v>
      </c>
      <c r="R120" s="114">
        <v>3961</v>
      </c>
      <c r="S120" s="114">
        <v>0</v>
      </c>
      <c r="T120" s="114">
        <v>447</v>
      </c>
      <c r="U120" s="114">
        <v>178</v>
      </c>
      <c r="V120" s="114">
        <v>534</v>
      </c>
      <c r="W120" s="114">
        <v>13</v>
      </c>
      <c r="X120" s="114">
        <v>108</v>
      </c>
      <c r="Y120" s="114">
        <v>48</v>
      </c>
      <c r="Z120" s="114">
        <v>277953.399</v>
      </c>
      <c r="AA120" s="114">
        <v>0</v>
      </c>
      <c r="AB120" s="114">
        <v>0</v>
      </c>
      <c r="AC120" s="114">
        <v>10946.886</v>
      </c>
      <c r="AD120" s="114">
        <v>264567.871</v>
      </c>
      <c r="AE120" s="114">
        <v>481032.101</v>
      </c>
      <c r="AF120" s="114">
        <v>57882</v>
      </c>
      <c r="AG120" s="114">
        <v>8310.565</v>
      </c>
      <c r="AH120" s="114">
        <v>48545</v>
      </c>
      <c r="AI120" s="114">
        <v>3888.428</v>
      </c>
      <c r="AJ120" s="114">
        <v>0</v>
      </c>
      <c r="AK120" s="114">
        <v>0</v>
      </c>
      <c r="AL120" s="114">
        <v>0</v>
      </c>
      <c r="AM120" s="114">
        <v>0</v>
      </c>
      <c r="AN120" s="114">
        <v>1023</v>
      </c>
      <c r="AO120" s="114">
        <v>76.0721</v>
      </c>
      <c r="AP120" s="114"/>
      <c r="AQ120" s="114">
        <v>0</v>
      </c>
      <c r="AR120" s="114"/>
      <c r="AS120" s="114"/>
      <c r="AT120" s="114"/>
      <c r="AU120" s="114"/>
      <c r="AV120" s="114">
        <v>1</v>
      </c>
      <c r="AW120" s="114">
        <v>0.0013</v>
      </c>
      <c r="AX120" s="114">
        <v>0</v>
      </c>
      <c r="AY120" s="114">
        <v>0</v>
      </c>
      <c r="AZ120" s="114">
        <v>18</v>
      </c>
      <c r="BA120" s="114">
        <v>394</v>
      </c>
      <c r="BB120" s="116"/>
      <c r="BC120" s="116"/>
      <c r="BD120" s="116"/>
      <c r="BE120" s="116"/>
      <c r="BF120" s="116"/>
      <c r="BG120" s="116"/>
      <c r="BH120" s="116"/>
      <c r="BI120" s="116"/>
      <c r="BJ120" s="117">
        <v>209772</v>
      </c>
      <c r="BK120" s="133">
        <v>269</v>
      </c>
      <c r="BL120" s="119"/>
      <c r="BM120" s="118">
        <v>0</v>
      </c>
      <c r="BN120" s="131"/>
      <c r="BO120" s="119"/>
      <c r="BP120" s="119"/>
      <c r="BQ120" s="119"/>
      <c r="BR120" s="119"/>
      <c r="BS120" s="119"/>
      <c r="BT120" s="119"/>
      <c r="BU120" s="119"/>
      <c r="BV120" s="119"/>
      <c r="BW120" s="119"/>
      <c r="BX120" s="119"/>
    </row>
    <row r="121" s="96" customFormat="1" ht="15.75" customHeight="1" spans="1:76">
      <c r="A121" s="111">
        <v>120</v>
      </c>
      <c r="B121" s="112" t="s">
        <v>46</v>
      </c>
      <c r="C121" s="112" t="s">
        <v>133</v>
      </c>
      <c r="D121" s="111">
        <v>2024</v>
      </c>
      <c r="E121" s="113" t="s">
        <v>43</v>
      </c>
      <c r="F121" s="114">
        <v>41224</v>
      </c>
      <c r="G121" s="114">
        <v>41224</v>
      </c>
      <c r="H121" s="114">
        <v>1798.1775</v>
      </c>
      <c r="I121" s="114">
        <v>52</v>
      </c>
      <c r="J121" s="115">
        <v>0.00181712962962963</v>
      </c>
      <c r="K121" s="114">
        <v>27.73</v>
      </c>
      <c r="L121" s="114"/>
      <c r="M121" s="114">
        <v>344168</v>
      </c>
      <c r="N121" s="114">
        <v>6.24</v>
      </c>
      <c r="O121" s="114">
        <v>31643</v>
      </c>
      <c r="P121" s="114">
        <v>29103</v>
      </c>
      <c r="Q121" s="114">
        <v>2540</v>
      </c>
      <c r="R121" s="114">
        <v>2540</v>
      </c>
      <c r="S121" s="114">
        <v>0</v>
      </c>
      <c r="T121" s="114">
        <v>250</v>
      </c>
      <c r="U121" s="114">
        <v>198</v>
      </c>
      <c r="V121" s="114">
        <v>527</v>
      </c>
      <c r="W121" s="114">
        <v>13</v>
      </c>
      <c r="X121" s="114">
        <v>83</v>
      </c>
      <c r="Y121" s="114">
        <v>19</v>
      </c>
      <c r="Z121" s="114">
        <v>94806.216</v>
      </c>
      <c r="AA121" s="114">
        <v>0</v>
      </c>
      <c r="AB121" s="114">
        <v>0</v>
      </c>
      <c r="AC121" s="114">
        <v>4480.623</v>
      </c>
      <c r="AD121" s="114">
        <v>85775.486</v>
      </c>
      <c r="AE121" s="114">
        <v>155954.918</v>
      </c>
      <c r="AF121" s="114">
        <v>15885</v>
      </c>
      <c r="AG121" s="114">
        <v>9817.747</v>
      </c>
      <c r="AH121" s="114">
        <v>13127</v>
      </c>
      <c r="AI121" s="114">
        <v>2299.782</v>
      </c>
      <c r="AJ121" s="114">
        <v>0</v>
      </c>
      <c r="AK121" s="114">
        <v>0</v>
      </c>
      <c r="AL121" s="114">
        <v>0</v>
      </c>
      <c r="AM121" s="114">
        <v>0</v>
      </c>
      <c r="AN121" s="114">
        <v>592</v>
      </c>
      <c r="AO121" s="114">
        <v>29.8375</v>
      </c>
      <c r="AP121" s="114"/>
      <c r="AQ121" s="114">
        <v>0</v>
      </c>
      <c r="AR121" s="114"/>
      <c r="AS121" s="114"/>
      <c r="AT121" s="114"/>
      <c r="AU121" s="114"/>
      <c r="AV121" s="114">
        <v>0</v>
      </c>
      <c r="AW121" s="114">
        <v>0</v>
      </c>
      <c r="AX121" s="114">
        <v>0</v>
      </c>
      <c r="AY121" s="114">
        <v>0</v>
      </c>
      <c r="AZ121" s="114">
        <v>10</v>
      </c>
      <c r="BA121" s="114">
        <v>435</v>
      </c>
      <c r="BB121" s="116"/>
      <c r="BC121" s="116"/>
      <c r="BD121" s="116"/>
      <c r="BE121" s="116"/>
      <c r="BF121" s="116"/>
      <c r="BG121" s="116"/>
      <c r="BH121" s="116"/>
      <c r="BI121" s="116"/>
      <c r="BJ121" s="117">
        <v>209824</v>
      </c>
      <c r="BK121" s="133">
        <v>52</v>
      </c>
      <c r="BL121" s="119"/>
      <c r="BM121" s="118">
        <v>0</v>
      </c>
      <c r="BN121" s="131"/>
      <c r="BO121" s="119"/>
      <c r="BP121" s="119"/>
      <c r="BQ121" s="119"/>
      <c r="BR121" s="119"/>
      <c r="BS121" s="119"/>
      <c r="BT121" s="119"/>
      <c r="BU121" s="119"/>
      <c r="BV121" s="119"/>
      <c r="BW121" s="119"/>
      <c r="BX121" s="119"/>
    </row>
    <row r="122" s="96" customFormat="1" ht="15.75" customHeight="1" spans="1:76">
      <c r="A122" s="111">
        <v>121</v>
      </c>
      <c r="B122" s="112" t="s">
        <v>46</v>
      </c>
      <c r="C122" s="112" t="s">
        <v>133</v>
      </c>
      <c r="D122" s="111">
        <v>2025</v>
      </c>
      <c r="E122" s="113" t="s">
        <v>31</v>
      </c>
      <c r="F122" s="114">
        <v>27684</v>
      </c>
      <c r="G122" s="114">
        <v>27684</v>
      </c>
      <c r="H122" s="114">
        <v>1385.4731</v>
      </c>
      <c r="I122" s="114">
        <v>-40</v>
      </c>
      <c r="J122" s="115">
        <v>0.00208333333333333</v>
      </c>
      <c r="K122" s="114">
        <v>21.61</v>
      </c>
      <c r="L122" s="114"/>
      <c r="M122" s="114">
        <v>283538</v>
      </c>
      <c r="N122" s="114">
        <v>5.64</v>
      </c>
      <c r="O122" s="114">
        <v>18498</v>
      </c>
      <c r="P122" s="114">
        <v>16219</v>
      </c>
      <c r="Q122" s="114">
        <v>2279</v>
      </c>
      <c r="R122" s="114">
        <v>2279</v>
      </c>
      <c r="S122" s="114">
        <v>0</v>
      </c>
      <c r="T122" s="114">
        <v>145</v>
      </c>
      <c r="U122" s="114">
        <v>185</v>
      </c>
      <c r="V122" s="114">
        <v>226</v>
      </c>
      <c r="W122" s="114">
        <v>3</v>
      </c>
      <c r="X122" s="114">
        <v>61</v>
      </c>
      <c r="Y122" s="114">
        <v>15</v>
      </c>
      <c r="Z122" s="114">
        <v>59824.583</v>
      </c>
      <c r="AA122" s="114">
        <v>0</v>
      </c>
      <c r="AB122" s="114">
        <v>0</v>
      </c>
      <c r="AC122" s="114">
        <v>8851.07</v>
      </c>
      <c r="AD122" s="114">
        <v>49473.664</v>
      </c>
      <c r="AE122" s="114">
        <v>89951.84</v>
      </c>
      <c r="AF122" s="114">
        <v>10579</v>
      </c>
      <c r="AG122" s="114">
        <v>8502.868</v>
      </c>
      <c r="AH122" s="114">
        <v>9003</v>
      </c>
      <c r="AI122" s="114">
        <v>2160.964</v>
      </c>
      <c r="AJ122" s="114">
        <v>0</v>
      </c>
      <c r="AK122" s="114">
        <v>0</v>
      </c>
      <c r="AL122" s="114">
        <v>0</v>
      </c>
      <c r="AM122" s="114">
        <v>0</v>
      </c>
      <c r="AN122" s="114">
        <v>623</v>
      </c>
      <c r="AO122" s="114">
        <v>52.0034</v>
      </c>
      <c r="AP122" s="114"/>
      <c r="AQ122" s="114">
        <v>0</v>
      </c>
      <c r="AR122" s="114"/>
      <c r="AS122" s="114"/>
      <c r="AT122" s="114"/>
      <c r="AU122" s="114"/>
      <c r="AV122" s="114">
        <v>0</v>
      </c>
      <c r="AW122" s="114">
        <v>0</v>
      </c>
      <c r="AX122" s="114">
        <v>0</v>
      </c>
      <c r="AY122" s="114">
        <v>0</v>
      </c>
      <c r="AZ122" s="114">
        <v>17</v>
      </c>
      <c r="BA122" s="114">
        <v>443</v>
      </c>
      <c r="BB122" s="116"/>
      <c r="BC122" s="116"/>
      <c r="BD122" s="116"/>
      <c r="BE122" s="116"/>
      <c r="BF122" s="116"/>
      <c r="BG122" s="116"/>
      <c r="BH122" s="116"/>
      <c r="BI122" s="116"/>
      <c r="BJ122" s="117">
        <v>209784</v>
      </c>
      <c r="BK122" s="133">
        <v>-40</v>
      </c>
      <c r="BL122" s="133">
        <v>0</v>
      </c>
      <c r="BM122" s="118">
        <v>0</v>
      </c>
      <c r="BN122" s="118">
        <v>0</v>
      </c>
      <c r="BO122" s="119"/>
      <c r="BP122" s="119"/>
      <c r="BQ122" s="119"/>
      <c r="BR122" s="119"/>
      <c r="BS122" s="119"/>
      <c r="BT122" s="119"/>
      <c r="BU122" s="119"/>
      <c r="BV122" s="119"/>
      <c r="BW122" s="119"/>
      <c r="BX122" s="119"/>
    </row>
    <row r="123" s="96" customFormat="1" ht="15.75" customHeight="1" spans="1:76">
      <c r="A123" s="111">
        <v>122</v>
      </c>
      <c r="B123" s="112" t="s">
        <v>46</v>
      </c>
      <c r="C123" s="112" t="s">
        <v>133</v>
      </c>
      <c r="D123" s="111">
        <v>2025</v>
      </c>
      <c r="E123" s="113" t="s">
        <v>33</v>
      </c>
      <c r="F123" s="114">
        <v>22683</v>
      </c>
      <c r="G123" s="114">
        <v>22683</v>
      </c>
      <c r="H123" s="114">
        <v>1098.6435</v>
      </c>
      <c r="I123" s="114">
        <v>12</v>
      </c>
      <c r="J123" s="115">
        <v>0.00201388888888889</v>
      </c>
      <c r="K123" s="114">
        <v>18.25</v>
      </c>
      <c r="L123" s="114"/>
      <c r="M123" s="114">
        <v>248195</v>
      </c>
      <c r="N123" s="114">
        <v>5.27</v>
      </c>
      <c r="O123" s="114">
        <v>13921</v>
      </c>
      <c r="P123" s="114">
        <v>12036</v>
      </c>
      <c r="Q123" s="114">
        <v>1885</v>
      </c>
      <c r="R123" s="114">
        <v>1885</v>
      </c>
      <c r="S123" s="114">
        <v>0</v>
      </c>
      <c r="T123" s="114">
        <v>117</v>
      </c>
      <c r="U123" s="114">
        <v>105</v>
      </c>
      <c r="V123" s="114">
        <v>168</v>
      </c>
      <c r="W123" s="114">
        <v>5</v>
      </c>
      <c r="X123" s="114">
        <v>40</v>
      </c>
      <c r="Y123" s="114">
        <v>15</v>
      </c>
      <c r="Z123" s="114">
        <v>63779.483</v>
      </c>
      <c r="AA123" s="114">
        <v>0</v>
      </c>
      <c r="AB123" s="114">
        <v>0</v>
      </c>
      <c r="AC123" s="114">
        <v>2866.139</v>
      </c>
      <c r="AD123" s="114">
        <v>59615.164</v>
      </c>
      <c r="AE123" s="114">
        <v>108391.033</v>
      </c>
      <c r="AF123" s="114">
        <v>9510</v>
      </c>
      <c r="AG123" s="114">
        <v>11397.585</v>
      </c>
      <c r="AH123" s="114">
        <v>7662</v>
      </c>
      <c r="AI123" s="114">
        <v>2811.772</v>
      </c>
      <c r="AJ123" s="114">
        <v>0</v>
      </c>
      <c r="AK123" s="114">
        <v>0</v>
      </c>
      <c r="AL123" s="114">
        <v>0</v>
      </c>
      <c r="AM123" s="114">
        <v>0</v>
      </c>
      <c r="AN123" s="114">
        <v>368</v>
      </c>
      <c r="AO123" s="114">
        <v>17.7958</v>
      </c>
      <c r="AP123" s="114"/>
      <c r="AQ123" s="114">
        <v>0</v>
      </c>
      <c r="AR123" s="114"/>
      <c r="AS123" s="114"/>
      <c r="AT123" s="114"/>
      <c r="AU123" s="114"/>
      <c r="AV123" s="114">
        <v>1</v>
      </c>
      <c r="AW123" s="114">
        <v>0.0105</v>
      </c>
      <c r="AX123" s="114">
        <v>0</v>
      </c>
      <c r="AY123" s="114">
        <v>0</v>
      </c>
      <c r="AZ123" s="114">
        <v>22</v>
      </c>
      <c r="BA123" s="114">
        <v>395</v>
      </c>
      <c r="BB123" s="116"/>
      <c r="BC123" s="116"/>
      <c r="BD123" s="116"/>
      <c r="BE123" s="116"/>
      <c r="BF123" s="116"/>
      <c r="BG123" s="116"/>
      <c r="BH123" s="116"/>
      <c r="BI123" s="116"/>
      <c r="BJ123" s="117">
        <v>209796</v>
      </c>
      <c r="BK123" s="133">
        <v>12</v>
      </c>
      <c r="BL123" s="133">
        <v>0</v>
      </c>
      <c r="BM123" s="118">
        <v>0</v>
      </c>
      <c r="BN123" s="118">
        <v>0</v>
      </c>
      <c r="BO123" s="119"/>
      <c r="BP123" s="119"/>
      <c r="BQ123" s="119"/>
      <c r="BR123" s="119"/>
      <c r="BS123" s="119"/>
      <c r="BT123" s="119"/>
      <c r="BU123" s="119"/>
      <c r="BV123" s="119"/>
      <c r="BW123" s="119"/>
      <c r="BX123" s="119"/>
    </row>
    <row r="124" s="96" customFormat="1" ht="15.75" customHeight="1" spans="1:76">
      <c r="A124" s="111">
        <v>123</v>
      </c>
      <c r="B124" s="112" t="s">
        <v>46</v>
      </c>
      <c r="C124" s="112" t="s">
        <v>133</v>
      </c>
      <c r="D124" s="111">
        <v>2025</v>
      </c>
      <c r="E124" s="113" t="s">
        <v>34</v>
      </c>
      <c r="F124" s="114">
        <v>24947</v>
      </c>
      <c r="G124" s="114">
        <v>24863</v>
      </c>
      <c r="H124" s="114">
        <v>1289.4851</v>
      </c>
      <c r="I124" s="114">
        <v>-61</v>
      </c>
      <c r="J124" s="115">
        <v>0.00215277777777778</v>
      </c>
      <c r="K124" s="114">
        <v>21.34</v>
      </c>
      <c r="L124" s="114"/>
      <c r="M124" s="114">
        <v>269822</v>
      </c>
      <c r="N124" s="114">
        <v>5.69</v>
      </c>
      <c r="O124" s="114">
        <v>16438</v>
      </c>
      <c r="P124" s="114">
        <v>14203</v>
      </c>
      <c r="Q124" s="114">
        <v>2237</v>
      </c>
      <c r="R124" s="114">
        <v>2176</v>
      </c>
      <c r="S124" s="114">
        <v>61</v>
      </c>
      <c r="T124" s="114">
        <v>154</v>
      </c>
      <c r="U124" s="114">
        <v>215</v>
      </c>
      <c r="V124" s="114">
        <v>101</v>
      </c>
      <c r="W124" s="114">
        <v>5</v>
      </c>
      <c r="X124" s="114">
        <v>54</v>
      </c>
      <c r="Y124" s="114">
        <v>24</v>
      </c>
      <c r="Z124" s="114">
        <v>91799.295</v>
      </c>
      <c r="AA124" s="114">
        <v>0</v>
      </c>
      <c r="AB124" s="114">
        <v>0</v>
      </c>
      <c r="AC124" s="114">
        <v>2729.206</v>
      </c>
      <c r="AD124" s="114">
        <v>87839.988</v>
      </c>
      <c r="AE124" s="114">
        <v>159709.333</v>
      </c>
      <c r="AF124" s="114">
        <v>14194</v>
      </c>
      <c r="AG124" s="114">
        <v>11251.89</v>
      </c>
      <c r="AH124" s="114">
        <v>11067</v>
      </c>
      <c r="AI124" s="114">
        <v>3692.216</v>
      </c>
      <c r="AJ124" s="114">
        <v>0</v>
      </c>
      <c r="AK124" s="114">
        <v>0</v>
      </c>
      <c r="AL124" s="114">
        <v>0</v>
      </c>
      <c r="AM124" s="114">
        <v>0</v>
      </c>
      <c r="AN124" s="114">
        <v>442</v>
      </c>
      <c r="AO124" s="114">
        <v>21.5179</v>
      </c>
      <c r="AP124" s="114"/>
      <c r="AQ124" s="114">
        <v>0</v>
      </c>
      <c r="AR124" s="114"/>
      <c r="AS124" s="114"/>
      <c r="AT124" s="114"/>
      <c r="AU124" s="114"/>
      <c r="AV124" s="114">
        <v>1</v>
      </c>
      <c r="AW124" s="114">
        <v>0.0016</v>
      </c>
      <c r="AX124" s="114">
        <v>0</v>
      </c>
      <c r="AY124" s="114">
        <v>0</v>
      </c>
      <c r="AZ124" s="114">
        <v>23</v>
      </c>
      <c r="BA124" s="114">
        <v>271</v>
      </c>
      <c r="BB124" s="116"/>
      <c r="BC124" s="116"/>
      <c r="BD124" s="116"/>
      <c r="BE124" s="116"/>
      <c r="BF124" s="116"/>
      <c r="BG124" s="116"/>
      <c r="BH124" s="116"/>
      <c r="BI124" s="116"/>
      <c r="BJ124" s="117">
        <v>209735</v>
      </c>
      <c r="BK124" s="133">
        <v>-61</v>
      </c>
      <c r="BL124" s="133">
        <v>0</v>
      </c>
      <c r="BM124" s="118">
        <v>0</v>
      </c>
      <c r="BN124" s="118">
        <v>0</v>
      </c>
      <c r="BO124" s="119"/>
      <c r="BP124" s="119"/>
      <c r="BQ124" s="119"/>
      <c r="BR124" s="119"/>
      <c r="BS124" s="119"/>
      <c r="BT124" s="119"/>
      <c r="BU124" s="119"/>
      <c r="BV124" s="119"/>
      <c r="BW124" s="119"/>
      <c r="BX124" s="119"/>
    </row>
    <row r="125" s="96" customFormat="1" ht="15.75" customHeight="1" spans="1:76">
      <c r="A125" s="111">
        <v>124</v>
      </c>
      <c r="B125" s="112" t="s">
        <v>46</v>
      </c>
      <c r="C125" s="112" t="s">
        <v>133</v>
      </c>
      <c r="D125" s="111">
        <v>2025</v>
      </c>
      <c r="E125" s="113" t="s">
        <v>35</v>
      </c>
      <c r="F125" s="114">
        <v>21293</v>
      </c>
      <c r="G125" s="114">
        <v>17799</v>
      </c>
      <c r="H125" s="114">
        <v>740.7339</v>
      </c>
      <c r="I125" s="114">
        <v>-52</v>
      </c>
      <c r="J125" s="115">
        <v>0.00172453703703704</v>
      </c>
      <c r="K125" s="114">
        <v>16.26</v>
      </c>
      <c r="L125" s="114"/>
      <c r="M125" s="114">
        <v>199086</v>
      </c>
      <c r="N125" s="114">
        <v>5.11</v>
      </c>
      <c r="O125" s="114">
        <v>10913</v>
      </c>
      <c r="P125" s="114">
        <v>9437</v>
      </c>
      <c r="Q125" s="114">
        <v>1460</v>
      </c>
      <c r="R125" s="114">
        <v>1362</v>
      </c>
      <c r="S125" s="114">
        <v>98</v>
      </c>
      <c r="T125" s="114">
        <v>125</v>
      </c>
      <c r="U125" s="114">
        <v>177</v>
      </c>
      <c r="V125" s="114">
        <v>22</v>
      </c>
      <c r="W125" s="114">
        <v>-8</v>
      </c>
      <c r="X125" s="114">
        <v>52</v>
      </c>
      <c r="Y125" s="114">
        <v>13</v>
      </c>
      <c r="Z125" s="114">
        <v>48735.35</v>
      </c>
      <c r="AA125" s="114">
        <v>0</v>
      </c>
      <c r="AB125" s="114">
        <v>0</v>
      </c>
      <c r="AC125" s="114">
        <v>5161.363</v>
      </c>
      <c r="AD125" s="114">
        <v>42488.749</v>
      </c>
      <c r="AE125" s="114">
        <v>77251.66</v>
      </c>
      <c r="AF125" s="114">
        <v>6912</v>
      </c>
      <c r="AG125" s="114">
        <v>11176.455</v>
      </c>
      <c r="AH125" s="114">
        <v>5568</v>
      </c>
      <c r="AI125" s="114">
        <v>2738.08</v>
      </c>
      <c r="AJ125" s="114">
        <v>0</v>
      </c>
      <c r="AK125" s="114">
        <v>0</v>
      </c>
      <c r="AL125" s="114">
        <v>0</v>
      </c>
      <c r="AM125" s="114">
        <v>0</v>
      </c>
      <c r="AN125" s="114">
        <v>499</v>
      </c>
      <c r="AO125" s="114">
        <v>33.3592</v>
      </c>
      <c r="AP125" s="114"/>
      <c r="AQ125" s="114">
        <v>0</v>
      </c>
      <c r="AR125" s="114"/>
      <c r="AS125" s="114"/>
      <c r="AT125" s="114"/>
      <c r="AU125" s="114"/>
      <c r="AV125" s="114">
        <v>0</v>
      </c>
      <c r="AW125" s="114">
        <v>0</v>
      </c>
      <c r="AX125" s="114">
        <v>0</v>
      </c>
      <c r="AY125" s="114">
        <v>0</v>
      </c>
      <c r="AZ125" s="114">
        <v>11</v>
      </c>
      <c r="BA125" s="114">
        <v>292</v>
      </c>
      <c r="BB125" s="116"/>
      <c r="BC125" s="116"/>
      <c r="BD125" s="116"/>
      <c r="BE125" s="116"/>
      <c r="BF125" s="116"/>
      <c r="BG125" s="116"/>
      <c r="BH125" s="116"/>
      <c r="BI125" s="116"/>
      <c r="BJ125" s="117">
        <v>209683</v>
      </c>
      <c r="BK125" s="133">
        <v>-52</v>
      </c>
      <c r="BL125" s="133">
        <v>0</v>
      </c>
      <c r="BM125" s="118">
        <v>0</v>
      </c>
      <c r="BN125" s="118">
        <v>0</v>
      </c>
      <c r="BO125" s="119"/>
      <c r="BP125" s="119"/>
      <c r="BQ125" s="119"/>
      <c r="BR125" s="119"/>
      <c r="BS125" s="119"/>
      <c r="BT125" s="119"/>
      <c r="BU125" s="119"/>
      <c r="BV125" s="119"/>
      <c r="BW125" s="119"/>
      <c r="BX125" s="119"/>
    </row>
    <row r="126" s="96" customFormat="1" ht="15.75" customHeight="1" spans="1:76">
      <c r="A126" s="111">
        <v>125</v>
      </c>
      <c r="B126" s="112" t="s">
        <v>46</v>
      </c>
      <c r="C126" s="112" t="s">
        <v>133</v>
      </c>
      <c r="D126" s="111">
        <v>2025</v>
      </c>
      <c r="E126" s="113" t="s">
        <v>36</v>
      </c>
      <c r="F126" s="114">
        <v>18998</v>
      </c>
      <c r="G126" s="114">
        <v>16424</v>
      </c>
      <c r="H126" s="114">
        <v>725.2091</v>
      </c>
      <c r="I126" s="114">
        <v>-83</v>
      </c>
      <c r="J126" s="115">
        <v>0.0018287037037037</v>
      </c>
      <c r="K126" s="114">
        <v>17.04</v>
      </c>
      <c r="L126" s="114"/>
      <c r="M126" s="114">
        <v>196670</v>
      </c>
      <c r="N126" s="114">
        <v>4.91</v>
      </c>
      <c r="O126" s="114">
        <v>10215</v>
      </c>
      <c r="P126" s="114">
        <v>8924</v>
      </c>
      <c r="Q126" s="114">
        <v>1291</v>
      </c>
      <c r="R126" s="114">
        <v>1179</v>
      </c>
      <c r="S126" s="114">
        <v>112</v>
      </c>
      <c r="T126" s="114">
        <v>109</v>
      </c>
      <c r="U126" s="114">
        <v>192</v>
      </c>
      <c r="V126" s="114">
        <v>26</v>
      </c>
      <c r="W126" s="114">
        <v>-5</v>
      </c>
      <c r="X126" s="114">
        <v>45</v>
      </c>
      <c r="Y126" s="114">
        <v>7</v>
      </c>
      <c r="Z126" s="114">
        <v>38709.188</v>
      </c>
      <c r="AA126" s="114">
        <v>0</v>
      </c>
      <c r="AB126" s="114">
        <v>0</v>
      </c>
      <c r="AC126" s="114">
        <v>2473.181</v>
      </c>
      <c r="AD126" s="114">
        <v>35435.56</v>
      </c>
      <c r="AE126" s="114">
        <v>64427.683</v>
      </c>
      <c r="AF126" s="114">
        <v>6459</v>
      </c>
      <c r="AG126" s="114">
        <v>9974.87</v>
      </c>
      <c r="AH126" s="114">
        <v>5377</v>
      </c>
      <c r="AI126" s="114">
        <v>2356.873</v>
      </c>
      <c r="AJ126" s="114">
        <v>0</v>
      </c>
      <c r="AK126" s="114">
        <v>0</v>
      </c>
      <c r="AL126" s="114">
        <v>0</v>
      </c>
      <c r="AM126" s="114">
        <v>0</v>
      </c>
      <c r="AN126" s="114">
        <v>309</v>
      </c>
      <c r="AO126" s="114">
        <v>18.2133</v>
      </c>
      <c r="AP126" s="114"/>
      <c r="AQ126" s="114">
        <v>0</v>
      </c>
      <c r="AR126" s="114"/>
      <c r="AS126" s="114"/>
      <c r="AT126" s="114">
        <v>1</v>
      </c>
      <c r="AU126" s="114">
        <v>7</v>
      </c>
      <c r="AV126" s="114">
        <v>0</v>
      </c>
      <c r="AW126" s="114">
        <v>0</v>
      </c>
      <c r="AX126" s="114">
        <v>0</v>
      </c>
      <c r="AY126" s="114">
        <v>0</v>
      </c>
      <c r="AZ126" s="114">
        <v>27</v>
      </c>
      <c r="BA126" s="114">
        <v>341</v>
      </c>
      <c r="BB126" s="116"/>
      <c r="BC126" s="116"/>
      <c r="BD126" s="116"/>
      <c r="BE126" s="116"/>
      <c r="BF126" s="116"/>
      <c r="BG126" s="116"/>
      <c r="BH126" s="116"/>
      <c r="BI126" s="116"/>
      <c r="BJ126" s="117">
        <v>209600</v>
      </c>
      <c r="BK126" s="133">
        <v>-83</v>
      </c>
      <c r="BL126" s="133">
        <v>0</v>
      </c>
      <c r="BM126" s="118">
        <v>0</v>
      </c>
      <c r="BN126" s="118">
        <v>0</v>
      </c>
      <c r="BO126" s="119"/>
      <c r="BP126" s="119"/>
      <c r="BQ126" s="119"/>
      <c r="BR126" s="119"/>
      <c r="BS126" s="119"/>
      <c r="BT126" s="119"/>
      <c r="BU126" s="119"/>
      <c r="BV126" s="119"/>
      <c r="BW126" s="119"/>
      <c r="BX126" s="119"/>
    </row>
    <row r="127" s="96" customFormat="1" ht="15.75" customHeight="1" spans="1:76">
      <c r="A127" s="111">
        <v>126</v>
      </c>
      <c r="B127" s="112" t="s">
        <v>46</v>
      </c>
      <c r="C127" s="112" t="s">
        <v>133</v>
      </c>
      <c r="D127" s="111">
        <v>2025</v>
      </c>
      <c r="E127" s="113" t="s">
        <v>37</v>
      </c>
      <c r="F127" s="114">
        <v>20944</v>
      </c>
      <c r="G127" s="114">
        <v>17332</v>
      </c>
      <c r="H127" s="114">
        <v>672.1997</v>
      </c>
      <c r="I127" s="114">
        <v>-57</v>
      </c>
      <c r="J127" s="115">
        <v>0.0016087962962963</v>
      </c>
      <c r="K127" s="114">
        <v>12.64</v>
      </c>
      <c r="L127" s="114"/>
      <c r="M127" s="114">
        <v>212262</v>
      </c>
      <c r="N127" s="114">
        <v>4.69</v>
      </c>
      <c r="O127" s="114">
        <v>10009</v>
      </c>
      <c r="P127" s="114">
        <v>8768</v>
      </c>
      <c r="Q127" s="114">
        <v>1241</v>
      </c>
      <c r="R127" s="114">
        <v>1138</v>
      </c>
      <c r="S127" s="114">
        <v>103</v>
      </c>
      <c r="T127" s="114">
        <v>107</v>
      </c>
      <c r="U127" s="114">
        <v>164</v>
      </c>
      <c r="V127" s="114">
        <v>83</v>
      </c>
      <c r="W127" s="114">
        <v>-10</v>
      </c>
      <c r="X127" s="114">
        <v>37</v>
      </c>
      <c r="Y127" s="114">
        <v>11</v>
      </c>
      <c r="Z127" s="114">
        <v>40056.341</v>
      </c>
      <c r="AA127" s="114">
        <v>0</v>
      </c>
      <c r="AB127" s="114">
        <v>0</v>
      </c>
      <c r="AC127" s="114">
        <v>2243.306</v>
      </c>
      <c r="AD127" s="114">
        <v>36664.826</v>
      </c>
      <c r="AE127" s="114">
        <v>66663.555</v>
      </c>
      <c r="AF127" s="114">
        <v>5925</v>
      </c>
      <c r="AG127" s="114">
        <v>11251.233</v>
      </c>
      <c r="AH127" s="114">
        <v>4867</v>
      </c>
      <c r="AI127" s="114">
        <v>2311.131</v>
      </c>
      <c r="AJ127" s="114">
        <v>0</v>
      </c>
      <c r="AK127" s="114">
        <v>0</v>
      </c>
      <c r="AL127" s="114">
        <v>0</v>
      </c>
      <c r="AM127" s="114">
        <v>0</v>
      </c>
      <c r="AN127" s="114">
        <v>309</v>
      </c>
      <c r="AO127" s="114">
        <v>14.8641</v>
      </c>
      <c r="AP127" s="114"/>
      <c r="AQ127" s="114">
        <v>0</v>
      </c>
      <c r="AR127" s="114"/>
      <c r="AS127" s="114"/>
      <c r="AT127" s="114"/>
      <c r="AU127" s="114">
        <v>22</v>
      </c>
      <c r="AV127" s="114">
        <v>0</v>
      </c>
      <c r="AW127" s="114">
        <v>0</v>
      </c>
      <c r="AX127" s="114">
        <v>0</v>
      </c>
      <c r="AY127" s="114">
        <v>0</v>
      </c>
      <c r="AZ127" s="114">
        <v>16</v>
      </c>
      <c r="BA127" s="114">
        <v>286</v>
      </c>
      <c r="BB127" s="116"/>
      <c r="BC127" s="116"/>
      <c r="BD127" s="116"/>
      <c r="BE127" s="116"/>
      <c r="BF127" s="116"/>
      <c r="BG127" s="116"/>
      <c r="BH127" s="116"/>
      <c r="BI127" s="116"/>
      <c r="BJ127" s="117">
        <v>209543</v>
      </c>
      <c r="BK127" s="133">
        <v>-57</v>
      </c>
      <c r="BL127" s="133">
        <v>0</v>
      </c>
      <c r="BM127" s="118">
        <v>0</v>
      </c>
      <c r="BN127" s="118">
        <v>0</v>
      </c>
      <c r="BO127" s="119"/>
      <c r="BP127" s="119"/>
      <c r="BQ127" s="119"/>
      <c r="BR127" s="119"/>
      <c r="BS127" s="119"/>
      <c r="BT127" s="119"/>
      <c r="BU127" s="119"/>
      <c r="BV127" s="119"/>
      <c r="BW127" s="119"/>
      <c r="BX127" s="119"/>
    </row>
    <row r="128" s="96" customFormat="1" ht="15.75" customHeight="1" spans="1:76">
      <c r="A128" s="111">
        <v>127</v>
      </c>
      <c r="B128" s="112" t="s">
        <v>46</v>
      </c>
      <c r="C128" s="112" t="s">
        <v>133</v>
      </c>
      <c r="D128" s="111">
        <v>2025</v>
      </c>
      <c r="E128" s="113" t="s">
        <v>38</v>
      </c>
      <c r="F128" s="114">
        <v>23038</v>
      </c>
      <c r="G128" s="114">
        <v>18728</v>
      </c>
      <c r="H128" s="114">
        <v>727.2344</v>
      </c>
      <c r="I128" s="114">
        <v>-90</v>
      </c>
      <c r="J128" s="115">
        <v>0.0016087962962963</v>
      </c>
      <c r="K128" s="114">
        <v>14.02</v>
      </c>
      <c r="L128" s="114"/>
      <c r="M128" s="114">
        <v>225723</v>
      </c>
      <c r="N128" s="114">
        <v>4.86</v>
      </c>
      <c r="O128" s="114">
        <v>11393</v>
      </c>
      <c r="P128" s="114">
        <v>10002</v>
      </c>
      <c r="Q128" s="114">
        <v>1391</v>
      </c>
      <c r="R128" s="114">
        <v>1278</v>
      </c>
      <c r="S128" s="114">
        <v>113</v>
      </c>
      <c r="T128" s="114">
        <v>119</v>
      </c>
      <c r="U128" s="114">
        <v>209</v>
      </c>
      <c r="V128" s="114">
        <v>14</v>
      </c>
      <c r="W128" s="114">
        <v>-2</v>
      </c>
      <c r="X128" s="114">
        <v>44</v>
      </c>
      <c r="Y128" s="114">
        <v>5</v>
      </c>
      <c r="Z128" s="114">
        <v>42888.525</v>
      </c>
      <c r="AA128" s="114">
        <v>0</v>
      </c>
      <c r="AB128" s="114">
        <v>0</v>
      </c>
      <c r="AC128" s="114">
        <v>1971.105</v>
      </c>
      <c r="AD128" s="114">
        <v>39648.618</v>
      </c>
      <c r="AE128" s="114">
        <v>72089.354</v>
      </c>
      <c r="AF128" s="114">
        <v>6934</v>
      </c>
      <c r="AG128" s="114">
        <v>10396.503</v>
      </c>
      <c r="AH128" s="114">
        <v>5802</v>
      </c>
      <c r="AI128" s="114">
        <v>2290.093</v>
      </c>
      <c r="AJ128" s="114">
        <v>0</v>
      </c>
      <c r="AK128" s="114">
        <v>0</v>
      </c>
      <c r="AL128" s="114">
        <v>0</v>
      </c>
      <c r="AM128" s="114">
        <v>0</v>
      </c>
      <c r="AN128" s="114">
        <v>316</v>
      </c>
      <c r="AO128" s="114">
        <v>14.7292</v>
      </c>
      <c r="AP128" s="114"/>
      <c r="AQ128" s="114">
        <v>0</v>
      </c>
      <c r="AR128" s="114"/>
      <c r="AS128" s="114"/>
      <c r="AT128" s="114"/>
      <c r="AU128" s="114">
        <v>20</v>
      </c>
      <c r="AV128" s="114">
        <v>0</v>
      </c>
      <c r="AW128" s="114">
        <v>0</v>
      </c>
      <c r="AX128" s="114">
        <v>0</v>
      </c>
      <c r="AY128" s="114">
        <v>0</v>
      </c>
      <c r="AZ128" s="114">
        <v>14</v>
      </c>
      <c r="BA128" s="114">
        <v>286</v>
      </c>
      <c r="BB128" s="116"/>
      <c r="BC128" s="116"/>
      <c r="BD128" s="116"/>
      <c r="BE128" s="116"/>
      <c r="BF128" s="116"/>
      <c r="BG128" s="116"/>
      <c r="BH128" s="116"/>
      <c r="BI128" s="116"/>
      <c r="BJ128" s="117">
        <v>209453</v>
      </c>
      <c r="BK128" s="133">
        <v>-90</v>
      </c>
      <c r="BL128" s="133">
        <v>0</v>
      </c>
      <c r="BM128" s="118">
        <v>0</v>
      </c>
      <c r="BN128" s="118">
        <v>0</v>
      </c>
      <c r="BO128" s="120">
        <v>0.679</v>
      </c>
      <c r="BP128" s="120">
        <v>0.321</v>
      </c>
      <c r="BQ128" s="119"/>
      <c r="BR128" s="120">
        <v>0.002</v>
      </c>
      <c r="BS128" s="120">
        <v>0.136</v>
      </c>
      <c r="BT128" s="120">
        <v>0.424</v>
      </c>
      <c r="BU128" s="120">
        <v>0.204</v>
      </c>
      <c r="BV128" s="120">
        <v>0.126</v>
      </c>
      <c r="BW128" s="120">
        <v>0.08</v>
      </c>
      <c r="BX128" s="120">
        <v>0.028</v>
      </c>
    </row>
    <row r="129" s="96" customFormat="1" ht="15.75" customHeight="1" spans="1:76">
      <c r="A129" s="111">
        <v>128</v>
      </c>
      <c r="B129" s="112" t="s">
        <v>46</v>
      </c>
      <c r="C129" s="112" t="s">
        <v>133</v>
      </c>
      <c r="D129" s="111">
        <v>2025</v>
      </c>
      <c r="E129" s="113" t="s">
        <v>39</v>
      </c>
      <c r="F129" s="114">
        <v>604381</v>
      </c>
      <c r="G129" s="114">
        <v>602170</v>
      </c>
      <c r="H129" s="114">
        <v>47322.4473</v>
      </c>
      <c r="I129" s="114">
        <v>2756</v>
      </c>
      <c r="J129" s="115">
        <v>0.00326388888888889</v>
      </c>
      <c r="K129" s="114">
        <v>27.38</v>
      </c>
      <c r="L129" s="114">
        <v>106</v>
      </c>
      <c r="M129" s="114">
        <v>6114757</v>
      </c>
      <c r="N129" s="114">
        <v>7.64</v>
      </c>
      <c r="O129" s="114">
        <v>515675</v>
      </c>
      <c r="P129" s="114">
        <v>498503</v>
      </c>
      <c r="Q129" s="114">
        <v>17172</v>
      </c>
      <c r="R129" s="114">
        <v>17080</v>
      </c>
      <c r="S129" s="114">
        <v>92</v>
      </c>
      <c r="T129" s="114">
        <v>3070</v>
      </c>
      <c r="U129" s="114">
        <v>314</v>
      </c>
      <c r="V129" s="114">
        <v>3192</v>
      </c>
      <c r="W129" s="114">
        <v>286</v>
      </c>
      <c r="X129" s="114">
        <v>532</v>
      </c>
      <c r="Y129" s="114">
        <v>5964</v>
      </c>
      <c r="Z129" s="114">
        <v>2430786.925</v>
      </c>
      <c r="AA129" s="114">
        <v>0</v>
      </c>
      <c r="AB129" s="114">
        <v>0</v>
      </c>
      <c r="AC129" s="114">
        <v>65357.811</v>
      </c>
      <c r="AD129" s="114">
        <v>2364807.46</v>
      </c>
      <c r="AE129" s="114">
        <v>4299360.627</v>
      </c>
      <c r="AF129" s="114">
        <v>534899</v>
      </c>
      <c r="AG129" s="114">
        <v>8037.705</v>
      </c>
      <c r="AH129" s="114">
        <v>474138</v>
      </c>
      <c r="AI129" s="114">
        <v>4036.713</v>
      </c>
      <c r="AJ129" s="114">
        <v>0</v>
      </c>
      <c r="AK129" s="114">
        <v>0</v>
      </c>
      <c r="AL129" s="114">
        <v>0</v>
      </c>
      <c r="AM129" s="114">
        <v>0</v>
      </c>
      <c r="AN129" s="114">
        <v>6972</v>
      </c>
      <c r="AO129" s="114">
        <v>496.5592</v>
      </c>
      <c r="AP129" s="114">
        <v>22.5962</v>
      </c>
      <c r="AQ129" s="114">
        <v>0</v>
      </c>
      <c r="AR129" s="114">
        <v>1707</v>
      </c>
      <c r="AS129" s="114">
        <v>78</v>
      </c>
      <c r="AT129" s="114">
        <v>1</v>
      </c>
      <c r="AU129" s="114">
        <v>7609</v>
      </c>
      <c r="AV129" s="114">
        <v>7</v>
      </c>
      <c r="AW129" s="114">
        <v>0.1441</v>
      </c>
      <c r="AX129" s="114">
        <v>0</v>
      </c>
      <c r="AY129" s="114">
        <v>0</v>
      </c>
      <c r="AZ129" s="114">
        <v>13</v>
      </c>
      <c r="BA129" s="114">
        <v>236</v>
      </c>
      <c r="BB129" s="116"/>
      <c r="BC129" s="116"/>
      <c r="BD129" s="116"/>
      <c r="BE129" s="116"/>
      <c r="BF129" s="116"/>
      <c r="BG129" s="116"/>
      <c r="BH129" s="116"/>
      <c r="BI129" s="116"/>
      <c r="BJ129" s="117">
        <v>212299</v>
      </c>
      <c r="BK129" s="117">
        <v>2756</v>
      </c>
      <c r="BL129" s="117">
        <v>588173</v>
      </c>
      <c r="BM129" s="118">
        <v>2541500</v>
      </c>
      <c r="BN129" s="118">
        <v>149.5</v>
      </c>
      <c r="BO129" s="120">
        <v>0.783</v>
      </c>
      <c r="BP129" s="120">
        <v>0.217</v>
      </c>
      <c r="BQ129" s="134">
        <v>0</v>
      </c>
      <c r="BR129" s="120">
        <v>0.011</v>
      </c>
      <c r="BS129" s="120">
        <v>0.06</v>
      </c>
      <c r="BT129" s="120">
        <v>0.259</v>
      </c>
      <c r="BU129" s="120">
        <v>0.203</v>
      </c>
      <c r="BV129" s="120">
        <v>0.189</v>
      </c>
      <c r="BW129" s="120">
        <v>0.181</v>
      </c>
      <c r="BX129" s="120">
        <v>0.097</v>
      </c>
    </row>
    <row r="130" s="96" customFormat="1" ht="15.75" customHeight="1" spans="1:76">
      <c r="A130" s="111">
        <v>129</v>
      </c>
      <c r="B130" s="112" t="s">
        <v>46</v>
      </c>
      <c r="C130" s="112" t="s">
        <v>133</v>
      </c>
      <c r="D130" s="111">
        <v>2025</v>
      </c>
      <c r="E130" s="113" t="s">
        <v>40</v>
      </c>
      <c r="F130" s="114">
        <v>2705592</v>
      </c>
      <c r="G130" s="114">
        <v>2698155</v>
      </c>
      <c r="H130" s="114">
        <v>284779.4235</v>
      </c>
      <c r="I130" s="114">
        <v>12997</v>
      </c>
      <c r="J130" s="115">
        <v>0.00438657407407407</v>
      </c>
      <c r="K130" s="114">
        <v>27.48</v>
      </c>
      <c r="L130" s="114">
        <v>178</v>
      </c>
      <c r="M130" s="114">
        <v>26952527</v>
      </c>
      <c r="N130" s="114">
        <v>7.37</v>
      </c>
      <c r="O130" s="114">
        <v>2035674</v>
      </c>
      <c r="P130" s="114">
        <v>1829104</v>
      </c>
      <c r="Q130" s="114">
        <v>206570</v>
      </c>
      <c r="R130" s="114">
        <v>206445</v>
      </c>
      <c r="S130" s="114">
        <v>125</v>
      </c>
      <c r="T130" s="114">
        <v>13839</v>
      </c>
      <c r="U130" s="114">
        <v>842</v>
      </c>
      <c r="V130" s="114">
        <v>22387</v>
      </c>
      <c r="W130" s="114">
        <v>873</v>
      </c>
      <c r="X130" s="114">
        <v>4128</v>
      </c>
      <c r="Y130" s="114">
        <v>7438</v>
      </c>
      <c r="Z130" s="114">
        <v>20123908.39</v>
      </c>
      <c r="AA130" s="114">
        <v>0</v>
      </c>
      <c r="AB130" s="114">
        <v>0</v>
      </c>
      <c r="AC130" s="114">
        <v>859622.194</v>
      </c>
      <c r="AD130" s="114">
        <v>19261025.34</v>
      </c>
      <c r="AE130" s="114">
        <v>35020662.51</v>
      </c>
      <c r="AF130" s="114">
        <v>3293705</v>
      </c>
      <c r="AG130" s="114">
        <v>10632.604</v>
      </c>
      <c r="AH130" s="114">
        <v>2295933</v>
      </c>
      <c r="AI130" s="114">
        <v>7458.396</v>
      </c>
      <c r="AJ130" s="114">
        <v>0</v>
      </c>
      <c r="AK130" s="114">
        <v>2</v>
      </c>
      <c r="AL130" s="114">
        <v>0</v>
      </c>
      <c r="AM130" s="114">
        <v>0</v>
      </c>
      <c r="AN130" s="114">
        <v>60436</v>
      </c>
      <c r="AO130" s="114">
        <v>6443.1937</v>
      </c>
      <c r="AP130" s="114">
        <v>462.5501</v>
      </c>
      <c r="AQ130" s="114">
        <v>4</v>
      </c>
      <c r="AR130" s="114">
        <v>434</v>
      </c>
      <c r="AS130" s="114">
        <v>64</v>
      </c>
      <c r="AT130" s="114">
        <v>6</v>
      </c>
      <c r="AU130" s="114">
        <v>58621</v>
      </c>
      <c r="AV130" s="114">
        <v>13</v>
      </c>
      <c r="AW130" s="114">
        <v>0.1331</v>
      </c>
      <c r="AX130" s="114">
        <v>0</v>
      </c>
      <c r="AY130" s="114">
        <v>0</v>
      </c>
      <c r="AZ130" s="114">
        <v>27</v>
      </c>
      <c r="BA130" s="114">
        <v>498</v>
      </c>
      <c r="BB130" s="116"/>
      <c r="BC130" s="116"/>
      <c r="BD130" s="116"/>
      <c r="BE130" s="116"/>
      <c r="BF130" s="116"/>
      <c r="BG130" s="116"/>
      <c r="BH130" s="116"/>
      <c r="BI130" s="116"/>
      <c r="BJ130" s="117">
        <v>225247</v>
      </c>
      <c r="BK130" s="117">
        <v>12997</v>
      </c>
      <c r="BL130" s="117">
        <v>2522109</v>
      </c>
      <c r="BM130" s="118">
        <v>18919810</v>
      </c>
      <c r="BN130" s="118">
        <v>1112.93</v>
      </c>
      <c r="BO130" s="120">
        <v>0.751</v>
      </c>
      <c r="BP130" s="120">
        <v>0.248</v>
      </c>
      <c r="BQ130" s="120">
        <v>0.001</v>
      </c>
      <c r="BR130" s="120">
        <v>0.009</v>
      </c>
      <c r="BS130" s="120">
        <v>0.073</v>
      </c>
      <c r="BT130" s="120">
        <v>0.312</v>
      </c>
      <c r="BU130" s="120">
        <v>0.21</v>
      </c>
      <c r="BV130" s="120">
        <v>0.163</v>
      </c>
      <c r="BW130" s="120">
        <v>0.144</v>
      </c>
      <c r="BX130" s="120">
        <v>0.089</v>
      </c>
    </row>
    <row r="131" s="96" customFormat="1" ht="15.75" customHeight="1" spans="1:76">
      <c r="A131" s="111">
        <v>130</v>
      </c>
      <c r="B131" s="112" t="s">
        <v>46</v>
      </c>
      <c r="C131" s="112" t="s">
        <v>133</v>
      </c>
      <c r="D131" s="111">
        <v>2025</v>
      </c>
      <c r="E131" s="113" t="s">
        <v>41</v>
      </c>
      <c r="F131" s="114">
        <v>968605</v>
      </c>
      <c r="G131" s="114">
        <v>956238</v>
      </c>
      <c r="H131" s="114">
        <v>73802.5505</v>
      </c>
      <c r="I131" s="114">
        <v>3609</v>
      </c>
      <c r="J131" s="115">
        <v>0.00320601851851852</v>
      </c>
      <c r="K131" s="114">
        <v>12.41</v>
      </c>
      <c r="L131" s="114">
        <v>200</v>
      </c>
      <c r="M131" s="114">
        <v>10262909</v>
      </c>
      <c r="N131" s="114">
        <v>7.25</v>
      </c>
      <c r="O131" s="114">
        <v>759679</v>
      </c>
      <c r="P131" s="114">
        <v>499848</v>
      </c>
      <c r="Q131" s="114">
        <v>259831</v>
      </c>
      <c r="R131" s="114">
        <v>259713</v>
      </c>
      <c r="S131" s="114">
        <v>118</v>
      </c>
      <c r="T131" s="114">
        <v>4082</v>
      </c>
      <c r="U131" s="114">
        <v>473</v>
      </c>
      <c r="V131" s="114">
        <v>7888</v>
      </c>
      <c r="W131" s="114">
        <v>294</v>
      </c>
      <c r="X131" s="114">
        <v>1798</v>
      </c>
      <c r="Y131" s="114">
        <v>6254</v>
      </c>
      <c r="Z131" s="114">
        <v>4500023.699</v>
      </c>
      <c r="AA131" s="114">
        <v>0</v>
      </c>
      <c r="AB131" s="114">
        <v>0</v>
      </c>
      <c r="AC131" s="114">
        <v>223112.311</v>
      </c>
      <c r="AD131" s="114">
        <v>4272681.024</v>
      </c>
      <c r="AE131" s="114">
        <v>7768576.186</v>
      </c>
      <c r="AF131" s="114">
        <v>894164</v>
      </c>
      <c r="AG131" s="114">
        <v>8688.089</v>
      </c>
      <c r="AH131" s="114">
        <v>724702</v>
      </c>
      <c r="AI131" s="114">
        <v>4705.967</v>
      </c>
      <c r="AJ131" s="114">
        <v>0</v>
      </c>
      <c r="AK131" s="114">
        <v>2</v>
      </c>
      <c r="AL131" s="114">
        <v>0</v>
      </c>
      <c r="AM131" s="114">
        <v>0</v>
      </c>
      <c r="AN131" s="114">
        <v>18278</v>
      </c>
      <c r="AO131" s="114">
        <v>1669.9939</v>
      </c>
      <c r="AP131" s="114">
        <v>704.044</v>
      </c>
      <c r="AQ131" s="114">
        <v>4</v>
      </c>
      <c r="AR131" s="114">
        <v>297</v>
      </c>
      <c r="AS131" s="114">
        <v>640</v>
      </c>
      <c r="AT131" s="114">
        <v>6</v>
      </c>
      <c r="AU131" s="114">
        <v>42430</v>
      </c>
      <c r="AV131" s="114">
        <v>0</v>
      </c>
      <c r="AW131" s="114">
        <v>0</v>
      </c>
      <c r="AX131" s="114">
        <v>0</v>
      </c>
      <c r="AY131" s="114">
        <v>0</v>
      </c>
      <c r="AZ131" s="114">
        <v>30</v>
      </c>
      <c r="BA131" s="114">
        <v>660</v>
      </c>
      <c r="BB131" s="116"/>
      <c r="BC131" s="116"/>
      <c r="BD131" s="116"/>
      <c r="BE131" s="116"/>
      <c r="BF131" s="116"/>
      <c r="BG131" s="116"/>
      <c r="BH131" s="116"/>
      <c r="BI131" s="116"/>
      <c r="BJ131" s="117">
        <v>228856</v>
      </c>
      <c r="BK131" s="117">
        <v>3609</v>
      </c>
      <c r="BL131" s="117">
        <v>651127</v>
      </c>
      <c r="BM131" s="118">
        <v>2320670</v>
      </c>
      <c r="BN131" s="118">
        <v>136.51</v>
      </c>
      <c r="BO131" s="120">
        <v>0.768</v>
      </c>
      <c r="BP131" s="120">
        <v>0.232</v>
      </c>
      <c r="BQ131" s="120">
        <v>0.001</v>
      </c>
      <c r="BR131" s="120">
        <v>0.01</v>
      </c>
      <c r="BS131" s="120">
        <v>0.057</v>
      </c>
      <c r="BT131" s="120">
        <v>0.267</v>
      </c>
      <c r="BU131" s="120">
        <v>0.219</v>
      </c>
      <c r="BV131" s="120">
        <v>0.181</v>
      </c>
      <c r="BW131" s="120">
        <v>0.166</v>
      </c>
      <c r="BX131" s="120">
        <v>0.1</v>
      </c>
    </row>
    <row r="132" s="96" customFormat="1" ht="15.75" customHeight="1" spans="1:76">
      <c r="A132" s="111">
        <v>131</v>
      </c>
      <c r="B132" s="112" t="s">
        <v>46</v>
      </c>
      <c r="C132" s="112" t="s">
        <v>133</v>
      </c>
      <c r="D132" s="111">
        <v>2025</v>
      </c>
      <c r="E132" s="113" t="s">
        <v>42</v>
      </c>
      <c r="F132" s="114">
        <v>583066</v>
      </c>
      <c r="G132" s="114">
        <v>582001</v>
      </c>
      <c r="H132" s="114">
        <v>51996.9521</v>
      </c>
      <c r="I132" s="114">
        <v>1373</v>
      </c>
      <c r="J132" s="115">
        <v>0.00371527777777778</v>
      </c>
      <c r="K132" s="114">
        <v>32.8</v>
      </c>
      <c r="L132" s="114">
        <v>159</v>
      </c>
      <c r="M132" s="114">
        <v>4418800</v>
      </c>
      <c r="N132" s="114">
        <v>10.58</v>
      </c>
      <c r="O132" s="114">
        <v>464481</v>
      </c>
      <c r="P132" s="114">
        <v>297005</v>
      </c>
      <c r="Q132" s="114">
        <v>167869</v>
      </c>
      <c r="R132" s="114">
        <v>167740</v>
      </c>
      <c r="S132" s="114">
        <v>129</v>
      </c>
      <c r="T132" s="114">
        <v>1755</v>
      </c>
      <c r="U132" s="114">
        <v>382</v>
      </c>
      <c r="V132" s="114">
        <v>3175</v>
      </c>
      <c r="W132" s="114">
        <v>171</v>
      </c>
      <c r="X132" s="114">
        <v>957</v>
      </c>
      <c r="Y132" s="114">
        <v>1441</v>
      </c>
      <c r="Z132" s="114">
        <v>3523973.065</v>
      </c>
      <c r="AA132" s="114">
        <v>0</v>
      </c>
      <c r="AB132" s="114">
        <v>0</v>
      </c>
      <c r="AC132" s="114">
        <v>160773.861</v>
      </c>
      <c r="AD132" s="114">
        <v>3362854.563</v>
      </c>
      <c r="AE132" s="114">
        <v>6114280.945</v>
      </c>
      <c r="AF132" s="114">
        <v>532089</v>
      </c>
      <c r="AG132" s="114">
        <v>11491.087</v>
      </c>
      <c r="AH132" s="114">
        <v>436087</v>
      </c>
      <c r="AI132" s="114">
        <v>6054.927</v>
      </c>
      <c r="AJ132" s="114">
        <v>0</v>
      </c>
      <c r="AK132" s="114">
        <v>1</v>
      </c>
      <c r="AL132" s="114">
        <v>0</v>
      </c>
      <c r="AM132" s="114">
        <v>0</v>
      </c>
      <c r="AN132" s="114">
        <v>9638</v>
      </c>
      <c r="AO132" s="114">
        <v>1145.9235</v>
      </c>
      <c r="AP132" s="114">
        <v>316.2644</v>
      </c>
      <c r="AQ132" s="114">
        <v>1</v>
      </c>
      <c r="AR132" s="114">
        <v>722</v>
      </c>
      <c r="AS132" s="114">
        <v>246</v>
      </c>
      <c r="AT132" s="114">
        <v>3</v>
      </c>
      <c r="AU132" s="114">
        <v>23759</v>
      </c>
      <c r="AV132" s="114">
        <v>0</v>
      </c>
      <c r="AW132" s="114">
        <v>0</v>
      </c>
      <c r="AX132" s="114">
        <v>0</v>
      </c>
      <c r="AY132" s="114">
        <v>0</v>
      </c>
      <c r="AZ132" s="114">
        <v>14</v>
      </c>
      <c r="BA132" s="114">
        <v>240</v>
      </c>
      <c r="BB132" s="116"/>
      <c r="BC132" s="116"/>
      <c r="BD132" s="116"/>
      <c r="BE132" s="116"/>
      <c r="BF132" s="116"/>
      <c r="BG132" s="116"/>
      <c r="BH132" s="116"/>
      <c r="BI132" s="116"/>
      <c r="BJ132" s="117">
        <v>230229</v>
      </c>
      <c r="BK132" s="117">
        <v>1373</v>
      </c>
      <c r="BL132" s="117">
        <v>386073</v>
      </c>
      <c r="BM132" s="118">
        <v>1862180</v>
      </c>
      <c r="BN132" s="118">
        <v>109.54</v>
      </c>
      <c r="BO132" s="120">
        <v>0.759</v>
      </c>
      <c r="BP132" s="120">
        <v>0.24</v>
      </c>
      <c r="BQ132" s="120">
        <v>0.001</v>
      </c>
      <c r="BR132" s="120">
        <v>0.01</v>
      </c>
      <c r="BS132" s="120">
        <v>0.052</v>
      </c>
      <c r="BT132" s="120">
        <v>0.256</v>
      </c>
      <c r="BU132" s="120">
        <v>0.21</v>
      </c>
      <c r="BV132" s="120">
        <v>0.184</v>
      </c>
      <c r="BW132" s="120">
        <v>0.171</v>
      </c>
      <c r="BX132" s="120">
        <v>0.117</v>
      </c>
    </row>
    <row r="133" s="96" customFormat="1" ht="15.75" customHeight="1" spans="1:76">
      <c r="A133" s="111">
        <v>132</v>
      </c>
      <c r="B133" s="112" t="s">
        <v>46</v>
      </c>
      <c r="C133" s="112" t="s">
        <v>133</v>
      </c>
      <c r="D133" s="111">
        <v>2025</v>
      </c>
      <c r="E133" s="113" t="s">
        <v>43</v>
      </c>
      <c r="F133" s="114">
        <v>755811</v>
      </c>
      <c r="G133" s="114">
        <v>754787</v>
      </c>
      <c r="H133" s="114">
        <v>79120.9914</v>
      </c>
      <c r="I133" s="114">
        <v>2299</v>
      </c>
      <c r="J133" s="115">
        <v>0.00436342592592593</v>
      </c>
      <c r="K133" s="114">
        <v>6.96</v>
      </c>
      <c r="L133" s="114">
        <v>178</v>
      </c>
      <c r="M133" s="114">
        <v>5957607</v>
      </c>
      <c r="N133" s="114">
        <v>10</v>
      </c>
      <c r="O133" s="114">
        <v>620338</v>
      </c>
      <c r="P133" s="114">
        <v>427922</v>
      </c>
      <c r="Q133" s="114">
        <v>191932</v>
      </c>
      <c r="R133" s="114">
        <v>191768</v>
      </c>
      <c r="S133" s="114">
        <v>164</v>
      </c>
      <c r="T133" s="114">
        <v>2732</v>
      </c>
      <c r="U133" s="114">
        <v>433</v>
      </c>
      <c r="V133" s="114">
        <v>4344</v>
      </c>
      <c r="W133" s="114">
        <v>266</v>
      </c>
      <c r="X133" s="114">
        <v>1491</v>
      </c>
      <c r="Y133" s="114">
        <v>1558</v>
      </c>
      <c r="Z133" s="114">
        <v>5741458.875</v>
      </c>
      <c r="AA133" s="114">
        <v>0</v>
      </c>
      <c r="AB133" s="114">
        <v>0</v>
      </c>
      <c r="AC133" s="114">
        <v>168501.981</v>
      </c>
      <c r="AD133" s="114">
        <v>5572543.359</v>
      </c>
      <c r="AE133" s="114">
        <v>10131896.39</v>
      </c>
      <c r="AF133" s="114">
        <v>877647</v>
      </c>
      <c r="AG133" s="114">
        <v>11544.387</v>
      </c>
      <c r="AH133" s="114">
        <v>705148</v>
      </c>
      <c r="AI133" s="114">
        <v>7606.728</v>
      </c>
      <c r="AJ133" s="114">
        <v>0</v>
      </c>
      <c r="AK133" s="114">
        <v>0</v>
      </c>
      <c r="AL133" s="114">
        <v>0</v>
      </c>
      <c r="AM133" s="114">
        <v>0</v>
      </c>
      <c r="AN133" s="114">
        <v>10932</v>
      </c>
      <c r="AO133" s="114">
        <v>1291.9074</v>
      </c>
      <c r="AP133" s="114">
        <v>36.4024</v>
      </c>
      <c r="AQ133" s="114">
        <v>0</v>
      </c>
      <c r="AR133" s="114">
        <v>159</v>
      </c>
      <c r="AS133" s="114">
        <v>0</v>
      </c>
      <c r="AT133" s="114"/>
      <c r="AU133" s="114">
        <v>18527</v>
      </c>
      <c r="AV133" s="114">
        <v>0</v>
      </c>
      <c r="AW133" s="114">
        <v>0</v>
      </c>
      <c r="AX133" s="114">
        <v>0</v>
      </c>
      <c r="AY133" s="114">
        <v>0</v>
      </c>
      <c r="AZ133" s="114">
        <v>12</v>
      </c>
      <c r="BA133" s="114">
        <v>270</v>
      </c>
      <c r="BB133" s="116"/>
      <c r="BC133" s="116"/>
      <c r="BD133" s="116"/>
      <c r="BE133" s="116"/>
      <c r="BF133" s="116"/>
      <c r="BG133" s="116"/>
      <c r="BH133" s="116"/>
      <c r="BI133" s="116"/>
      <c r="BJ133" s="117">
        <v>232528</v>
      </c>
      <c r="BK133" s="117">
        <v>2299</v>
      </c>
      <c r="BL133" s="117">
        <v>132561</v>
      </c>
      <c r="BM133" s="118">
        <v>947240</v>
      </c>
      <c r="BN133" s="118">
        <v>55.72</v>
      </c>
      <c r="BO133" s="120">
        <v>0.785</v>
      </c>
      <c r="BP133" s="120">
        <v>0.215</v>
      </c>
      <c r="BQ133" s="134">
        <v>0</v>
      </c>
      <c r="BR133" s="120">
        <v>0.01</v>
      </c>
      <c r="BS133" s="120">
        <v>0.048</v>
      </c>
      <c r="BT133" s="120">
        <v>0.246</v>
      </c>
      <c r="BU133" s="120">
        <v>0.205</v>
      </c>
      <c r="BV133" s="120">
        <v>0.186</v>
      </c>
      <c r="BW133" s="120">
        <v>0.181</v>
      </c>
      <c r="BX133" s="120">
        <v>0.124</v>
      </c>
    </row>
    <row r="134" s="96" customFormat="1" ht="15.75" customHeight="1" spans="1:76">
      <c r="A134" s="111">
        <v>133</v>
      </c>
      <c r="B134" s="112" t="s">
        <v>46</v>
      </c>
      <c r="C134" s="112" t="s">
        <v>133</v>
      </c>
      <c r="D134" s="111">
        <v>2026</v>
      </c>
      <c r="E134" s="112" t="s">
        <v>31</v>
      </c>
      <c r="F134" s="121">
        <v>457181</v>
      </c>
      <c r="G134" s="114">
        <v>448604</v>
      </c>
      <c r="H134" s="114">
        <v>63382.8993</v>
      </c>
      <c r="I134" s="114">
        <v>1014</v>
      </c>
      <c r="J134" s="115">
        <v>0.00587962962962963</v>
      </c>
      <c r="K134" s="114">
        <v>14.64</v>
      </c>
      <c r="L134" s="114">
        <v>197</v>
      </c>
      <c r="M134" s="114">
        <v>3584541</v>
      </c>
      <c r="N134" s="114">
        <v>9.65</v>
      </c>
      <c r="O134" s="114">
        <v>347154</v>
      </c>
      <c r="P134" s="114">
        <v>213955</v>
      </c>
      <c r="Q134" s="114">
        <v>133364</v>
      </c>
      <c r="R134" s="114">
        <v>132654</v>
      </c>
      <c r="S134" s="114">
        <v>710</v>
      </c>
      <c r="T134" s="114">
        <v>1378</v>
      </c>
      <c r="U134" s="114">
        <v>364</v>
      </c>
      <c r="V134" s="114">
        <v>1907</v>
      </c>
      <c r="W134" s="114">
        <v>253</v>
      </c>
      <c r="X134" s="114">
        <v>568</v>
      </c>
      <c r="Y134" s="114">
        <v>1317</v>
      </c>
      <c r="Z134" s="121">
        <v>3195290</v>
      </c>
      <c r="AA134" s="114">
        <v>0</v>
      </c>
      <c r="AB134" s="114">
        <v>0</v>
      </c>
      <c r="AC134" s="114">
        <v>76854.286</v>
      </c>
      <c r="AD134" s="114">
        <v>3025623.357</v>
      </c>
      <c r="AE134" s="114">
        <v>5504937.59</v>
      </c>
      <c r="AF134" s="114">
        <v>569672</v>
      </c>
      <c r="AG134" s="114">
        <v>9663.346</v>
      </c>
      <c r="AH134" s="114">
        <v>403157</v>
      </c>
      <c r="AI134" s="114">
        <v>6920.406</v>
      </c>
      <c r="AJ134" s="114">
        <v>0</v>
      </c>
      <c r="AK134" s="114">
        <v>0</v>
      </c>
      <c r="AL134" s="114">
        <v>0</v>
      </c>
      <c r="AM134" s="114">
        <v>0</v>
      </c>
      <c r="AN134" s="114">
        <v>4400</v>
      </c>
      <c r="AO134" s="114">
        <v>623.3705</v>
      </c>
      <c r="AP134" s="114">
        <v>0.9363</v>
      </c>
      <c r="AQ134" s="114">
        <v>0</v>
      </c>
      <c r="AR134" s="114">
        <v>1</v>
      </c>
      <c r="AS134" s="114">
        <v>0</v>
      </c>
      <c r="AT134" s="114">
        <v>2</v>
      </c>
      <c r="AU134" s="114">
        <v>1140</v>
      </c>
      <c r="AV134" s="114">
        <v>0</v>
      </c>
      <c r="AW134" s="114">
        <v>0</v>
      </c>
      <c r="AX134" s="114">
        <v>0</v>
      </c>
      <c r="AY134" s="114">
        <v>0</v>
      </c>
      <c r="AZ134" s="114">
        <v>22</v>
      </c>
      <c r="BA134" s="114">
        <v>320</v>
      </c>
      <c r="BB134" s="116"/>
      <c r="BC134" s="116"/>
      <c r="BD134" s="116"/>
      <c r="BE134" s="116"/>
      <c r="BF134" s="116"/>
      <c r="BG134" s="116"/>
      <c r="BH134" s="116"/>
      <c r="BI134" s="116"/>
      <c r="BJ134" s="117">
        <v>233542</v>
      </c>
      <c r="BK134" s="117">
        <v>1014</v>
      </c>
      <c r="BL134" s="117">
        <v>230358</v>
      </c>
      <c r="BM134" s="118">
        <v>1220815</v>
      </c>
      <c r="BN134" s="118"/>
      <c r="BO134" s="120">
        <v>0.766</v>
      </c>
      <c r="BP134" s="120">
        <v>0.234</v>
      </c>
      <c r="BQ134" s="120">
        <v>0</v>
      </c>
      <c r="BR134" s="120">
        <v>0.014</v>
      </c>
      <c r="BS134" s="120">
        <v>0.059</v>
      </c>
      <c r="BT134" s="120">
        <v>0.279</v>
      </c>
      <c r="BU134" s="120">
        <v>0.195</v>
      </c>
      <c r="BV134" s="120">
        <v>0.163</v>
      </c>
      <c r="BW134" s="120">
        <v>0.169</v>
      </c>
      <c r="BX134" s="120">
        <v>0.121</v>
      </c>
    </row>
    <row r="135" s="96" customFormat="1" ht="15.75" customHeight="1" spans="1:76">
      <c r="A135" s="111">
        <v>134</v>
      </c>
      <c r="B135" s="112" t="s">
        <v>46</v>
      </c>
      <c r="C135" s="112" t="s">
        <v>133</v>
      </c>
      <c r="D135" s="111">
        <v>2026</v>
      </c>
      <c r="E135" s="112" t="s">
        <v>33</v>
      </c>
      <c r="F135" s="114">
        <v>1050769</v>
      </c>
      <c r="G135" s="114">
        <v>1023347</v>
      </c>
      <c r="H135" s="114">
        <v>133895.5503</v>
      </c>
      <c r="I135" s="114">
        <v>2284</v>
      </c>
      <c r="J135" s="115">
        <v>0.00545138888888889</v>
      </c>
      <c r="K135" s="114">
        <v>13.08</v>
      </c>
      <c r="L135" s="114">
        <v>341</v>
      </c>
      <c r="M135" s="114">
        <v>7283642</v>
      </c>
      <c r="N135" s="114">
        <v>11.21</v>
      </c>
      <c r="O135" s="114">
        <v>737751</v>
      </c>
      <c r="P135" s="114">
        <v>383800</v>
      </c>
      <c r="Q135" s="114">
        <v>353218</v>
      </c>
      <c r="R135" s="114">
        <v>349041</v>
      </c>
      <c r="S135" s="114">
        <v>4177</v>
      </c>
      <c r="T135" s="114">
        <v>2719</v>
      </c>
      <c r="U135" s="114">
        <v>435</v>
      </c>
      <c r="V135" s="114">
        <v>6488</v>
      </c>
      <c r="W135" s="114">
        <v>561</v>
      </c>
      <c r="X135" s="114">
        <v>1121</v>
      </c>
      <c r="Y135" s="114">
        <v>4289</v>
      </c>
      <c r="Z135" s="114">
        <v>6881090.828</v>
      </c>
      <c r="AA135" s="114">
        <v>0</v>
      </c>
      <c r="AB135" s="114">
        <v>0</v>
      </c>
      <c r="AC135" s="114">
        <v>217162.995</v>
      </c>
      <c r="AD135" s="114">
        <v>6653481.282</v>
      </c>
      <c r="AE135" s="114">
        <v>12096381.73</v>
      </c>
      <c r="AF135" s="114">
        <v>1347067</v>
      </c>
      <c r="AG135" s="114">
        <v>8979.792</v>
      </c>
      <c r="AH135" s="114">
        <v>949323</v>
      </c>
      <c r="AI135" s="114">
        <v>6723.007</v>
      </c>
      <c r="AJ135" s="114">
        <v>0</v>
      </c>
      <c r="AK135" s="114">
        <v>0</v>
      </c>
      <c r="AL135" s="114">
        <v>0</v>
      </c>
      <c r="AM135" s="114">
        <v>0</v>
      </c>
      <c r="AN135" s="114">
        <v>9973</v>
      </c>
      <c r="AO135" s="114">
        <v>1593.4569</v>
      </c>
      <c r="AP135" s="114">
        <v>12.1223</v>
      </c>
      <c r="AQ135" s="114">
        <v>7</v>
      </c>
      <c r="AR135" s="114">
        <v>887</v>
      </c>
      <c r="AS135" s="114">
        <v>829</v>
      </c>
      <c r="AT135" s="114">
        <v>0</v>
      </c>
      <c r="AU135" s="114">
        <v>43</v>
      </c>
      <c r="AV135" s="114">
        <v>4</v>
      </c>
      <c r="AW135" s="114">
        <v>0.0257</v>
      </c>
      <c r="AX135" s="114">
        <v>0</v>
      </c>
      <c r="AY135" s="114">
        <v>0</v>
      </c>
      <c r="AZ135" s="114">
        <v>7</v>
      </c>
      <c r="BA135" s="114">
        <v>191</v>
      </c>
      <c r="BB135" s="116"/>
      <c r="BC135" s="116"/>
      <c r="BD135" s="116"/>
      <c r="BE135" s="116"/>
      <c r="BF135" s="116"/>
      <c r="BG135" s="116"/>
      <c r="BH135" s="116"/>
      <c r="BI135" s="116"/>
      <c r="BJ135" s="117">
        <v>235826</v>
      </c>
      <c r="BK135" s="117">
        <v>2284</v>
      </c>
      <c r="BL135" s="117">
        <v>799044</v>
      </c>
      <c r="BM135" s="118">
        <v>4964157</v>
      </c>
      <c r="BN135" s="118"/>
      <c r="BO135" s="120">
        <v>0.774</v>
      </c>
      <c r="BP135" s="120">
        <v>0.225</v>
      </c>
      <c r="BQ135" s="120">
        <v>0</v>
      </c>
      <c r="BR135" s="120">
        <v>0.012</v>
      </c>
      <c r="BS135" s="120">
        <v>0.052</v>
      </c>
      <c r="BT135" s="120">
        <v>0.258</v>
      </c>
      <c r="BU135" s="120">
        <v>0.181</v>
      </c>
      <c r="BV135" s="120">
        <v>0.169</v>
      </c>
      <c r="BW135" s="120">
        <v>0.193</v>
      </c>
      <c r="BX135" s="120">
        <v>0.134</v>
      </c>
    </row>
    <row r="136" s="96" customFormat="1" ht="15.75" customHeight="1" spans="1:76">
      <c r="A136" s="111">
        <v>135</v>
      </c>
      <c r="B136" s="112" t="s">
        <v>46</v>
      </c>
      <c r="C136" s="112" t="s">
        <v>133</v>
      </c>
      <c r="D136" s="111">
        <v>2026</v>
      </c>
      <c r="E136" s="113" t="s">
        <v>34</v>
      </c>
      <c r="F136" s="114">
        <v>482849</v>
      </c>
      <c r="G136" s="114">
        <v>481677</v>
      </c>
      <c r="H136" s="114">
        <v>104585.0263</v>
      </c>
      <c r="I136" s="114">
        <v>901</v>
      </c>
      <c r="J136" s="115">
        <v>0.00903935185185185</v>
      </c>
      <c r="K136" s="114">
        <v>13.81</v>
      </c>
      <c r="L136" s="114">
        <v>315</v>
      </c>
      <c r="M136" s="114">
        <v>4783254</v>
      </c>
      <c r="N136" s="114">
        <v>8.35</v>
      </c>
      <c r="O136" s="114">
        <v>376082</v>
      </c>
      <c r="P136" s="114">
        <v>209234</v>
      </c>
      <c r="Q136" s="114">
        <v>148757</v>
      </c>
      <c r="R136" s="114">
        <v>145559</v>
      </c>
      <c r="S136" s="114">
        <v>3198</v>
      </c>
      <c r="T136" s="114">
        <v>1307</v>
      </c>
      <c r="U136" s="114">
        <v>406</v>
      </c>
      <c r="V136" s="114">
        <v>2520</v>
      </c>
      <c r="W136" s="114">
        <v>262</v>
      </c>
      <c r="X136" s="114">
        <v>700</v>
      </c>
      <c r="Y136" s="114">
        <v>2686</v>
      </c>
      <c r="Z136" s="114">
        <v>6429711.191</v>
      </c>
      <c r="AA136" s="114">
        <v>0</v>
      </c>
      <c r="AB136" s="114">
        <v>0</v>
      </c>
      <c r="AC136" s="114">
        <v>299029.376</v>
      </c>
      <c r="AD136" s="114">
        <v>6130267.265</v>
      </c>
      <c r="AE136" s="114">
        <v>11109661.28</v>
      </c>
      <c r="AF136" s="114">
        <v>930103</v>
      </c>
      <c r="AG136" s="114">
        <v>11944.549</v>
      </c>
      <c r="AH136" s="114">
        <v>482284</v>
      </c>
      <c r="AI136" s="114">
        <v>13849.171</v>
      </c>
      <c r="AJ136" s="114">
        <v>0</v>
      </c>
      <c r="AK136" s="114">
        <v>0</v>
      </c>
      <c r="AL136" s="114">
        <v>0</v>
      </c>
      <c r="AM136" s="114">
        <v>0</v>
      </c>
      <c r="AN136" s="114">
        <v>8100</v>
      </c>
      <c r="AO136" s="114">
        <v>2483.9678</v>
      </c>
      <c r="AP136" s="114">
        <v>23.7519</v>
      </c>
      <c r="AQ136" s="114">
        <v>7</v>
      </c>
      <c r="AR136" s="114">
        <v>34</v>
      </c>
      <c r="AS136" s="114">
        <v>185</v>
      </c>
      <c r="AT136" s="114">
        <v>0</v>
      </c>
      <c r="AU136" s="114">
        <v>37</v>
      </c>
      <c r="AV136" s="114">
        <v>0</v>
      </c>
      <c r="AW136" s="114">
        <v>0</v>
      </c>
      <c r="AX136" s="114">
        <v>0</v>
      </c>
      <c r="AY136" s="114">
        <v>0</v>
      </c>
      <c r="AZ136" s="114">
        <v>18</v>
      </c>
      <c r="BA136" s="114">
        <v>266</v>
      </c>
      <c r="BB136" s="116"/>
      <c r="BC136" s="116"/>
      <c r="BD136" s="116"/>
      <c r="BE136" s="116"/>
      <c r="BF136" s="116"/>
      <c r="BG136" s="116"/>
      <c r="BH136" s="116"/>
      <c r="BI136" s="116"/>
      <c r="BJ136" s="117">
        <v>236727</v>
      </c>
      <c r="BK136" s="133">
        <v>901</v>
      </c>
      <c r="BL136" s="117">
        <v>368748</v>
      </c>
      <c r="BM136" s="118">
        <v>5203722</v>
      </c>
      <c r="BN136" s="118"/>
      <c r="BO136" s="120">
        <v>0.782</v>
      </c>
      <c r="BP136" s="120">
        <v>0.218</v>
      </c>
      <c r="BQ136" s="120">
        <v>0.001</v>
      </c>
      <c r="BR136" s="120">
        <v>0.011</v>
      </c>
      <c r="BS136" s="120">
        <v>0.061</v>
      </c>
      <c r="BT136" s="120">
        <v>0.311</v>
      </c>
      <c r="BU136" s="120">
        <v>0.236</v>
      </c>
      <c r="BV136" s="120">
        <v>0.166</v>
      </c>
      <c r="BW136" s="120">
        <v>0.13</v>
      </c>
      <c r="BX136" s="120">
        <v>0.086</v>
      </c>
    </row>
    <row r="137" s="96" customFormat="1" ht="15.75" customHeight="1" spans="1:76">
      <c r="A137" s="111">
        <v>136</v>
      </c>
      <c r="B137" s="112" t="s">
        <v>46</v>
      </c>
      <c r="C137" s="112" t="s">
        <v>133</v>
      </c>
      <c r="D137" s="111">
        <v>2026</v>
      </c>
      <c r="E137" s="113" t="s">
        <v>35</v>
      </c>
      <c r="F137" s="114">
        <v>1061049</v>
      </c>
      <c r="G137" s="114">
        <v>1059458</v>
      </c>
      <c r="H137" s="114">
        <v>143149.706</v>
      </c>
      <c r="I137" s="114">
        <v>1870</v>
      </c>
      <c r="J137" s="115">
        <v>0.005625</v>
      </c>
      <c r="K137" s="114">
        <v>14.1</v>
      </c>
      <c r="L137" s="114">
        <v>178</v>
      </c>
      <c r="M137" s="114">
        <v>9705637</v>
      </c>
      <c r="N137" s="114">
        <v>8.82</v>
      </c>
      <c r="O137" s="114">
        <v>774450</v>
      </c>
      <c r="P137" s="114">
        <v>351921</v>
      </c>
      <c r="Q137" s="114">
        <v>322873</v>
      </c>
      <c r="R137" s="114">
        <v>313459</v>
      </c>
      <c r="S137" s="114">
        <v>9414</v>
      </c>
      <c r="T137" s="114">
        <v>2322</v>
      </c>
      <c r="U137" s="114">
        <v>452</v>
      </c>
      <c r="V137" s="114">
        <v>4493</v>
      </c>
      <c r="W137" s="114">
        <v>435</v>
      </c>
      <c r="X137" s="114">
        <v>1026</v>
      </c>
      <c r="Y137" s="114">
        <v>4602</v>
      </c>
      <c r="Z137" s="114">
        <v>6703054.51</v>
      </c>
      <c r="AA137" s="114">
        <v>0</v>
      </c>
      <c r="AB137" s="114">
        <v>0</v>
      </c>
      <c r="AC137" s="114">
        <v>354098.231</v>
      </c>
      <c r="AD137" s="114">
        <v>6348506.355</v>
      </c>
      <c r="AE137" s="114">
        <v>11529275.16</v>
      </c>
      <c r="AF137" s="114">
        <v>1225651</v>
      </c>
      <c r="AG137" s="114">
        <v>9406.654</v>
      </c>
      <c r="AH137" s="114">
        <v>857308</v>
      </c>
      <c r="AI137" s="114">
        <v>6568.955</v>
      </c>
      <c r="AJ137" s="114">
        <v>0</v>
      </c>
      <c r="AK137" s="114">
        <v>0</v>
      </c>
      <c r="AL137" s="114">
        <v>0</v>
      </c>
      <c r="AM137" s="114">
        <v>0</v>
      </c>
      <c r="AN137" s="114">
        <v>15633</v>
      </c>
      <c r="AO137" s="114">
        <v>2755.5382</v>
      </c>
      <c r="AP137" s="114">
        <v>76.1488</v>
      </c>
      <c r="AQ137" s="114">
        <v>24</v>
      </c>
      <c r="AR137" s="114">
        <v>662</v>
      </c>
      <c r="AS137" s="114">
        <v>256</v>
      </c>
      <c r="AT137" s="114">
        <v>0</v>
      </c>
      <c r="AU137" s="114">
        <v>10</v>
      </c>
      <c r="AV137" s="114">
        <v>8</v>
      </c>
      <c r="AW137" s="114">
        <v>0.0792</v>
      </c>
      <c r="AX137" s="114">
        <v>0</v>
      </c>
      <c r="AY137" s="114">
        <v>0</v>
      </c>
      <c r="AZ137" s="114">
        <v>19</v>
      </c>
      <c r="BA137" s="114">
        <v>402</v>
      </c>
      <c r="BB137" s="116"/>
      <c r="BC137" s="116"/>
      <c r="BD137" s="116"/>
      <c r="BE137" s="116"/>
      <c r="BF137" s="116"/>
      <c r="BG137" s="116"/>
      <c r="BH137" s="116"/>
      <c r="BI137" s="116"/>
      <c r="BJ137" s="117">
        <v>238597</v>
      </c>
      <c r="BK137" s="117">
        <v>1870</v>
      </c>
      <c r="BL137" s="117">
        <v>771185</v>
      </c>
      <c r="BM137" s="118">
        <v>5136372</v>
      </c>
      <c r="BN137" s="118"/>
      <c r="BO137" s="120">
        <v>0.767</v>
      </c>
      <c r="BP137" s="120">
        <v>0.233</v>
      </c>
      <c r="BQ137" s="134">
        <v>0</v>
      </c>
      <c r="BR137" s="120">
        <v>0.012</v>
      </c>
      <c r="BS137" s="120">
        <v>0.053</v>
      </c>
      <c r="BT137" s="120">
        <v>0.269</v>
      </c>
      <c r="BU137" s="120">
        <v>0.206</v>
      </c>
      <c r="BV137" s="120">
        <v>0.179</v>
      </c>
      <c r="BW137" s="120">
        <v>0.173</v>
      </c>
      <c r="BX137" s="120">
        <v>0.107</v>
      </c>
    </row>
    <row r="138" s="96" customFormat="1" ht="15.75" customHeight="1" spans="1:76">
      <c r="A138" s="111">
        <v>137</v>
      </c>
      <c r="B138" s="112" t="s">
        <v>46</v>
      </c>
      <c r="C138" s="112" t="s">
        <v>133</v>
      </c>
      <c r="D138" s="111">
        <v>2026</v>
      </c>
      <c r="E138" s="113" t="s">
        <v>36</v>
      </c>
      <c r="F138" s="114">
        <v>1261927</v>
      </c>
      <c r="G138" s="114">
        <v>1259740</v>
      </c>
      <c r="H138" s="114">
        <v>171383.8547</v>
      </c>
      <c r="I138" s="114">
        <v>2012</v>
      </c>
      <c r="J138" s="115">
        <v>0.00565972222222222</v>
      </c>
      <c r="K138" s="114">
        <v>15.5</v>
      </c>
      <c r="L138" s="114">
        <v>449</v>
      </c>
      <c r="M138" s="114">
        <v>11331966</v>
      </c>
      <c r="N138" s="114">
        <v>8.85</v>
      </c>
      <c r="O138" s="114">
        <v>833610</v>
      </c>
      <c r="P138" s="114">
        <v>376036</v>
      </c>
      <c r="Q138" s="114">
        <v>420955</v>
      </c>
      <c r="R138" s="114">
        <v>401018</v>
      </c>
      <c r="S138" s="114">
        <v>19937</v>
      </c>
      <c r="T138" s="114">
        <v>2547</v>
      </c>
      <c r="U138" s="114">
        <v>535</v>
      </c>
      <c r="V138" s="114">
        <v>5140</v>
      </c>
      <c r="W138" s="114">
        <v>494</v>
      </c>
      <c r="X138" s="114">
        <v>988</v>
      </c>
      <c r="Y138" s="114">
        <v>4654</v>
      </c>
      <c r="Z138" s="114">
        <v>8968316.642</v>
      </c>
      <c r="AA138" s="114">
        <v>0</v>
      </c>
      <c r="AB138" s="114">
        <v>0</v>
      </c>
      <c r="AC138" s="114">
        <v>403864.418</v>
      </c>
      <c r="AD138" s="114">
        <v>8563457.753</v>
      </c>
      <c r="AE138" s="114">
        <v>15301917.9</v>
      </c>
      <c r="AF138" s="114">
        <v>1462255</v>
      </c>
      <c r="AG138" s="114">
        <v>10464.603</v>
      </c>
      <c r="AH138" s="114">
        <v>1050587</v>
      </c>
      <c r="AI138" s="114">
        <v>6989.838</v>
      </c>
      <c r="AJ138" s="114">
        <v>0</v>
      </c>
      <c r="AK138" s="114">
        <v>0</v>
      </c>
      <c r="AL138" s="114">
        <v>0</v>
      </c>
      <c r="AM138" s="114">
        <v>0</v>
      </c>
      <c r="AN138" s="114">
        <v>17573</v>
      </c>
      <c r="AO138" s="114">
        <v>3188.912</v>
      </c>
      <c r="AP138" s="114">
        <v>334.1355</v>
      </c>
      <c r="AQ138" s="114">
        <v>20</v>
      </c>
      <c r="AR138" s="114">
        <v>827</v>
      </c>
      <c r="AS138" s="114">
        <v>398</v>
      </c>
      <c r="AT138" s="114">
        <v>1</v>
      </c>
      <c r="AU138" s="114">
        <v>965</v>
      </c>
      <c r="AV138" s="114">
        <v>1</v>
      </c>
      <c r="AW138" s="114">
        <v>0.005</v>
      </c>
      <c r="AX138" s="114">
        <v>0</v>
      </c>
      <c r="AY138" s="114">
        <v>0</v>
      </c>
      <c r="AZ138" s="114">
        <v>12</v>
      </c>
      <c r="BA138" s="114">
        <v>237</v>
      </c>
      <c r="BB138" s="116"/>
      <c r="BC138" s="116"/>
      <c r="BD138" s="116"/>
      <c r="BE138" s="116"/>
      <c r="BF138" s="116"/>
      <c r="BG138" s="116"/>
      <c r="BH138" s="116"/>
      <c r="BI138" s="116"/>
      <c r="BJ138" s="117">
        <v>240609</v>
      </c>
      <c r="BK138" s="117">
        <v>2012</v>
      </c>
      <c r="BL138" s="117">
        <v>847402</v>
      </c>
      <c r="BM138" s="118">
        <v>5671016</v>
      </c>
      <c r="BN138" s="118"/>
      <c r="BO138" s="120">
        <v>0.787</v>
      </c>
      <c r="BP138" s="120">
        <v>0.213</v>
      </c>
      <c r="BQ138" s="120">
        <v>0</v>
      </c>
      <c r="BR138" s="120">
        <v>0.011</v>
      </c>
      <c r="BS138" s="120">
        <v>0.051</v>
      </c>
      <c r="BT138" s="120">
        <v>0.266</v>
      </c>
      <c r="BU138" s="120">
        <v>0.201</v>
      </c>
      <c r="BV138" s="120">
        <v>0.174</v>
      </c>
      <c r="BW138" s="120">
        <v>0.175</v>
      </c>
      <c r="BX138" s="120">
        <v>0.122</v>
      </c>
    </row>
    <row r="139" s="96" customFormat="1" ht="15.75" customHeight="1" spans="1:76">
      <c r="A139" s="111">
        <v>138</v>
      </c>
      <c r="B139" s="96" t="s">
        <v>46</v>
      </c>
      <c r="C139" s="96" t="s">
        <v>133</v>
      </c>
      <c r="D139" s="122">
        <v>2026</v>
      </c>
      <c r="E139" s="96" t="s">
        <v>37</v>
      </c>
      <c r="F139" s="123">
        <v>802891</v>
      </c>
      <c r="G139" s="123">
        <v>800902</v>
      </c>
      <c r="H139" s="123">
        <v>133105</v>
      </c>
      <c r="I139" s="123">
        <v>1160</v>
      </c>
      <c r="J139" s="124">
        <v>0.0069212962962963</v>
      </c>
      <c r="K139" s="125">
        <v>8</v>
      </c>
      <c r="L139" s="125">
        <v>492</v>
      </c>
      <c r="M139" s="123">
        <v>5956116</v>
      </c>
      <c r="N139" s="125">
        <v>11</v>
      </c>
      <c r="O139" s="123">
        <v>567081</v>
      </c>
      <c r="P139" s="123">
        <v>220382</v>
      </c>
      <c r="Q139" s="123">
        <v>308759</v>
      </c>
      <c r="R139" s="123">
        <v>285777</v>
      </c>
      <c r="S139" s="123">
        <v>22982</v>
      </c>
      <c r="T139" s="123">
        <v>1560</v>
      </c>
      <c r="U139" s="125">
        <v>400</v>
      </c>
      <c r="V139" s="123">
        <v>3316</v>
      </c>
      <c r="W139" s="125">
        <v>418</v>
      </c>
      <c r="X139" s="125">
        <v>734</v>
      </c>
      <c r="Y139" s="123">
        <v>3126</v>
      </c>
      <c r="Z139" s="123">
        <v>6766361</v>
      </c>
      <c r="AA139" s="125">
        <v>0</v>
      </c>
      <c r="AB139" s="125">
        <v>0</v>
      </c>
      <c r="AC139" s="123">
        <v>431898</v>
      </c>
      <c r="AD139" s="123">
        <v>6333426</v>
      </c>
      <c r="AE139" s="123">
        <v>11479333</v>
      </c>
      <c r="AF139" s="123">
        <v>1015301</v>
      </c>
      <c r="AG139" s="123">
        <v>11306</v>
      </c>
      <c r="AH139" s="123">
        <v>674749</v>
      </c>
      <c r="AI139" s="123">
        <v>8568</v>
      </c>
      <c r="AJ139" s="125">
        <v>0</v>
      </c>
      <c r="AK139" s="125">
        <v>0</v>
      </c>
      <c r="AL139" s="125">
        <v>0</v>
      </c>
      <c r="AM139" s="125">
        <v>0</v>
      </c>
      <c r="AN139" s="123">
        <v>12977</v>
      </c>
      <c r="AO139" s="123">
        <v>3142</v>
      </c>
      <c r="AP139" s="125">
        <v>476</v>
      </c>
      <c r="AQ139" s="125">
        <v>23</v>
      </c>
      <c r="AR139" s="123">
        <v>1670</v>
      </c>
      <c r="AS139" s="125">
        <v>377</v>
      </c>
      <c r="AT139" s="125">
        <v>1</v>
      </c>
      <c r="AU139" s="125">
        <v>596</v>
      </c>
      <c r="AV139" s="125">
        <v>2</v>
      </c>
      <c r="AW139" s="125">
        <v>0</v>
      </c>
      <c r="AX139" s="125">
        <v>0</v>
      </c>
      <c r="AY139" s="125">
        <v>0</v>
      </c>
      <c r="AZ139" s="125">
        <v>16</v>
      </c>
      <c r="BA139" s="125">
        <v>312</v>
      </c>
      <c r="BB139" s="125"/>
      <c r="BC139" s="125"/>
      <c r="BD139" s="125"/>
      <c r="BE139" s="125"/>
      <c r="BF139" s="125"/>
      <c r="BG139" s="125"/>
      <c r="BH139" s="125"/>
      <c r="BI139" s="125"/>
      <c r="BJ139" s="117">
        <v>241769</v>
      </c>
      <c r="BK139" s="117">
        <v>1160</v>
      </c>
      <c r="BL139" s="117">
        <v>471355</v>
      </c>
      <c r="BM139" s="118">
        <v>4054860</v>
      </c>
      <c r="BN139" s="118"/>
      <c r="BO139" s="120">
        <v>0.786</v>
      </c>
      <c r="BP139" s="120">
        <v>0.214</v>
      </c>
      <c r="BQ139" s="120">
        <v>0</v>
      </c>
      <c r="BR139" s="120">
        <v>0.009</v>
      </c>
      <c r="BS139" s="120">
        <v>0.052</v>
      </c>
      <c r="BT139" s="120">
        <v>0.267</v>
      </c>
      <c r="BU139" s="120">
        <v>0.199</v>
      </c>
      <c r="BV139" s="120">
        <v>0.172</v>
      </c>
      <c r="BW139" s="120">
        <v>0.174</v>
      </c>
      <c r="BX139" s="120">
        <v>0.127</v>
      </c>
    </row>
    <row r="140" s="96" customFormat="1" ht="15.75" customHeight="1" spans="1:76">
      <c r="A140" s="111">
        <v>139</v>
      </c>
      <c r="B140" s="96" t="s">
        <v>46</v>
      </c>
      <c r="C140" s="96" t="s">
        <v>133</v>
      </c>
      <c r="D140" s="122">
        <v>2026</v>
      </c>
      <c r="E140" s="96" t="s">
        <v>38</v>
      </c>
      <c r="F140" s="126">
        <v>738269</v>
      </c>
      <c r="G140" s="126">
        <v>736836</v>
      </c>
      <c r="H140" s="126">
        <v>108813</v>
      </c>
      <c r="I140" s="126">
        <v>1297</v>
      </c>
      <c r="J140" s="127">
        <v>0.00614583333333333</v>
      </c>
      <c r="K140" s="128">
        <v>16</v>
      </c>
      <c r="L140" s="128">
        <v>986</v>
      </c>
      <c r="M140" s="126">
        <v>5302102</v>
      </c>
      <c r="N140" s="128">
        <v>11</v>
      </c>
      <c r="O140" s="126">
        <v>546017</v>
      </c>
      <c r="P140" s="126">
        <v>211172</v>
      </c>
      <c r="Q140" s="126">
        <v>304713</v>
      </c>
      <c r="R140" s="126">
        <v>276121</v>
      </c>
      <c r="S140" s="126">
        <v>28592</v>
      </c>
      <c r="T140" s="126">
        <v>1685</v>
      </c>
      <c r="U140" s="128">
        <v>388</v>
      </c>
      <c r="V140" s="126">
        <v>3279</v>
      </c>
      <c r="W140" s="128">
        <v>397</v>
      </c>
      <c r="X140" s="128">
        <v>761</v>
      </c>
      <c r="Y140" s="126">
        <v>2683</v>
      </c>
      <c r="Z140" s="126">
        <v>5807753</v>
      </c>
      <c r="AA140" s="128">
        <v>0</v>
      </c>
      <c r="AB140" s="128">
        <v>0</v>
      </c>
      <c r="AC140" s="126">
        <v>196569</v>
      </c>
      <c r="AD140" s="126">
        <v>5610703</v>
      </c>
      <c r="AE140" s="126">
        <v>10189703</v>
      </c>
      <c r="AF140" s="126">
        <v>927412</v>
      </c>
      <c r="AG140" s="126">
        <v>10987</v>
      </c>
      <c r="AH140" s="126">
        <v>664463</v>
      </c>
      <c r="AI140" s="126">
        <v>7920</v>
      </c>
      <c r="AJ140" s="128">
        <v>0</v>
      </c>
      <c r="AK140" s="128">
        <v>0</v>
      </c>
      <c r="AL140" s="128">
        <v>0</v>
      </c>
      <c r="AM140" s="128">
        <v>0</v>
      </c>
      <c r="AN140" s="126">
        <v>8169</v>
      </c>
      <c r="AO140" s="126">
        <v>1611</v>
      </c>
      <c r="AP140" s="128">
        <v>13</v>
      </c>
      <c r="AQ140" s="128">
        <v>0</v>
      </c>
      <c r="AR140" s="128">
        <v>91</v>
      </c>
      <c r="AS140" s="128">
        <v>12</v>
      </c>
      <c r="AT140" s="128"/>
      <c r="AU140" s="128">
        <v>19</v>
      </c>
      <c r="AV140" s="128">
        <v>0</v>
      </c>
      <c r="AW140" s="128">
        <v>0</v>
      </c>
      <c r="AX140" s="128">
        <v>0</v>
      </c>
      <c r="AY140" s="128">
        <v>0</v>
      </c>
      <c r="AZ140" s="128">
        <v>12</v>
      </c>
      <c r="BA140" s="128">
        <v>305</v>
      </c>
      <c r="BB140" s="129"/>
      <c r="BC140" s="129"/>
      <c r="BD140" s="129"/>
      <c r="BE140" s="129"/>
      <c r="BF140" s="129"/>
      <c r="BG140" s="129"/>
      <c r="BH140" s="129"/>
      <c r="BI140" s="129"/>
      <c r="BJ140" s="130">
        <v>243066</v>
      </c>
      <c r="BK140" s="130">
        <v>1297</v>
      </c>
      <c r="BL140" s="130">
        <v>597829</v>
      </c>
      <c r="BM140" s="131">
        <v>4735464.63</v>
      </c>
      <c r="BN140" s="131"/>
      <c r="BO140" s="132">
        <v>0.763</v>
      </c>
      <c r="BP140" s="132">
        <v>0.236</v>
      </c>
      <c r="BQ140" s="132">
        <v>0</v>
      </c>
      <c r="BR140" s="132">
        <v>0.009</v>
      </c>
      <c r="BS140" s="132">
        <v>0.049</v>
      </c>
      <c r="BT140" s="132">
        <v>0.253</v>
      </c>
      <c r="BU140" s="132">
        <v>0.174</v>
      </c>
      <c r="BV140" s="132">
        <v>0.162</v>
      </c>
      <c r="BW140" s="132">
        <v>0.196</v>
      </c>
      <c r="BX140" s="119"/>
    </row>
    <row r="141" s="96" customFormat="1" ht="15.75" customHeight="1" spans="1:76">
      <c r="A141" s="111">
        <v>140</v>
      </c>
      <c r="B141" s="96" t="s">
        <v>46</v>
      </c>
      <c r="C141" s="96" t="s">
        <v>133</v>
      </c>
      <c r="D141" s="122">
        <v>2026</v>
      </c>
      <c r="E141" s="96" t="s">
        <v>39</v>
      </c>
      <c r="F141" s="128"/>
      <c r="G141" s="128"/>
      <c r="H141" s="128"/>
      <c r="I141" s="128"/>
      <c r="J141" s="127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9"/>
      <c r="BC141" s="129"/>
      <c r="BD141" s="129"/>
      <c r="BE141" s="129"/>
      <c r="BF141" s="129"/>
      <c r="BG141" s="129"/>
      <c r="BH141" s="129"/>
      <c r="BI141" s="129"/>
      <c r="BJ141" s="119"/>
      <c r="BK141" s="119"/>
      <c r="BL141" s="119"/>
      <c r="BM141" s="131"/>
      <c r="BN141" s="131"/>
      <c r="BO141" s="119"/>
      <c r="BP141" s="119"/>
      <c r="BQ141" s="119"/>
      <c r="BR141" s="119"/>
      <c r="BS141" s="119"/>
      <c r="BT141" s="119"/>
      <c r="BU141" s="119"/>
      <c r="BV141" s="119"/>
      <c r="BW141" s="119"/>
      <c r="BX141" s="119"/>
    </row>
    <row r="142" s="96" customFormat="1" ht="15.75" customHeight="1" spans="1:76">
      <c r="A142" s="111">
        <v>141</v>
      </c>
      <c r="B142" s="96" t="s">
        <v>46</v>
      </c>
      <c r="C142" s="96" t="s">
        <v>133</v>
      </c>
      <c r="D142" s="122">
        <v>2026</v>
      </c>
      <c r="E142" s="96" t="s">
        <v>40</v>
      </c>
      <c r="F142" s="128"/>
      <c r="G142" s="128"/>
      <c r="H142" s="128"/>
      <c r="I142" s="128"/>
      <c r="J142" s="127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9"/>
      <c r="BC142" s="129"/>
      <c r="BD142" s="129"/>
      <c r="BE142" s="129"/>
      <c r="BF142" s="129"/>
      <c r="BG142" s="129"/>
      <c r="BH142" s="129"/>
      <c r="BI142" s="129"/>
      <c r="BJ142" s="119"/>
      <c r="BK142" s="119"/>
      <c r="BL142" s="119"/>
      <c r="BM142" s="131"/>
      <c r="BN142" s="131"/>
      <c r="BO142" s="119"/>
      <c r="BP142" s="119"/>
      <c r="BQ142" s="119"/>
      <c r="BR142" s="119"/>
      <c r="BS142" s="119"/>
      <c r="BT142" s="119"/>
      <c r="BU142" s="119"/>
      <c r="BV142" s="119"/>
      <c r="BW142" s="119"/>
      <c r="BX142" s="119"/>
    </row>
    <row r="143" s="96" customFormat="1" ht="15.75" customHeight="1" spans="1:76">
      <c r="A143" s="111">
        <v>142</v>
      </c>
      <c r="B143" s="96" t="s">
        <v>46</v>
      </c>
      <c r="C143" s="96" t="s">
        <v>133</v>
      </c>
      <c r="D143" s="122">
        <v>2026</v>
      </c>
      <c r="E143" s="96" t="s">
        <v>41</v>
      </c>
      <c r="F143" s="128"/>
      <c r="G143" s="128"/>
      <c r="H143" s="128"/>
      <c r="I143" s="128"/>
      <c r="J143" s="127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9"/>
      <c r="BC143" s="129"/>
      <c r="BD143" s="129"/>
      <c r="BE143" s="129"/>
      <c r="BF143" s="129"/>
      <c r="BG143" s="129"/>
      <c r="BH143" s="129"/>
      <c r="BI143" s="129"/>
      <c r="BJ143" s="119"/>
      <c r="BK143" s="119"/>
      <c r="BL143" s="119"/>
      <c r="BM143" s="131"/>
      <c r="BN143" s="131"/>
      <c r="BO143" s="119"/>
      <c r="BP143" s="119"/>
      <c r="BQ143" s="119"/>
      <c r="BR143" s="119"/>
      <c r="BS143" s="119"/>
      <c r="BT143" s="119"/>
      <c r="BU143" s="119"/>
      <c r="BV143" s="119"/>
      <c r="BW143" s="119"/>
      <c r="BX143" s="119"/>
    </row>
    <row r="144" s="96" customFormat="1" ht="15.75" customHeight="1" spans="1:76">
      <c r="A144" s="111">
        <v>143</v>
      </c>
      <c r="B144" s="96" t="s">
        <v>46</v>
      </c>
      <c r="C144" s="96" t="s">
        <v>133</v>
      </c>
      <c r="D144" s="122">
        <v>2026</v>
      </c>
      <c r="E144" s="96" t="s">
        <v>42</v>
      </c>
      <c r="F144" s="128"/>
      <c r="G144" s="128"/>
      <c r="H144" s="128"/>
      <c r="I144" s="128"/>
      <c r="J144" s="127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9"/>
      <c r="BC144" s="129"/>
      <c r="BD144" s="129"/>
      <c r="BE144" s="129"/>
      <c r="BF144" s="129"/>
      <c r="BG144" s="129"/>
      <c r="BH144" s="129"/>
      <c r="BI144" s="129"/>
      <c r="BJ144" s="119"/>
      <c r="BK144" s="119"/>
      <c r="BL144" s="119"/>
      <c r="BM144" s="131"/>
      <c r="BN144" s="131"/>
      <c r="BO144" s="119"/>
      <c r="BP144" s="119"/>
      <c r="BQ144" s="119"/>
      <c r="BR144" s="119"/>
      <c r="BS144" s="119"/>
      <c r="BT144" s="119"/>
      <c r="BU144" s="119"/>
      <c r="BV144" s="119"/>
      <c r="BW144" s="119"/>
      <c r="BX144" s="119"/>
    </row>
    <row r="145" s="96" customFormat="1" ht="15.75" customHeight="1" spans="1:76">
      <c r="A145" s="111">
        <v>144</v>
      </c>
      <c r="B145" s="96" t="s">
        <v>46</v>
      </c>
      <c r="C145" s="96" t="s">
        <v>133</v>
      </c>
      <c r="D145" s="122">
        <v>2026</v>
      </c>
      <c r="E145" s="96" t="s">
        <v>43</v>
      </c>
      <c r="F145" s="128"/>
      <c r="G145" s="128"/>
      <c r="H145" s="128"/>
      <c r="I145" s="128"/>
      <c r="J145" s="127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9"/>
      <c r="BC145" s="129"/>
      <c r="BD145" s="129"/>
      <c r="BE145" s="129"/>
      <c r="BF145" s="129"/>
      <c r="BG145" s="129"/>
      <c r="BH145" s="129"/>
      <c r="BI145" s="129"/>
      <c r="BJ145" s="119"/>
      <c r="BK145" s="119"/>
      <c r="BL145" s="119"/>
      <c r="BM145" s="131"/>
      <c r="BN145" s="131"/>
      <c r="BO145" s="119"/>
      <c r="BP145" s="119"/>
      <c r="BQ145" s="119"/>
      <c r="BR145" s="119"/>
      <c r="BS145" s="119"/>
      <c r="BT145" s="119"/>
      <c r="BU145" s="119"/>
      <c r="BV145" s="119"/>
      <c r="BW145" s="119"/>
      <c r="BX145" s="119"/>
    </row>
    <row r="146" s="96" customFormat="1" ht="15.75" customHeight="1" spans="1:76">
      <c r="A146" s="111">
        <v>145</v>
      </c>
      <c r="B146" s="112" t="s">
        <v>46</v>
      </c>
      <c r="C146" s="112" t="s">
        <v>134</v>
      </c>
      <c r="D146" s="111">
        <v>2024</v>
      </c>
      <c r="E146" s="113" t="s">
        <v>31</v>
      </c>
      <c r="F146" s="114">
        <v>82061</v>
      </c>
      <c r="G146" s="114">
        <v>82061</v>
      </c>
      <c r="H146" s="114">
        <v>4659.0775</v>
      </c>
      <c r="I146" s="114">
        <v>152</v>
      </c>
      <c r="J146" s="115">
        <v>0.00236111111111111</v>
      </c>
      <c r="K146" s="114">
        <v>21.28</v>
      </c>
      <c r="L146" s="114"/>
      <c r="M146" s="114">
        <v>834159</v>
      </c>
      <c r="N146" s="114">
        <v>8.62</v>
      </c>
      <c r="O146" s="114">
        <v>67993</v>
      </c>
      <c r="P146" s="114">
        <v>63648</v>
      </c>
      <c r="Q146" s="114">
        <v>4345</v>
      </c>
      <c r="R146" s="114">
        <v>4345</v>
      </c>
      <c r="S146" s="114">
        <v>0</v>
      </c>
      <c r="T146" s="114">
        <v>273</v>
      </c>
      <c r="U146" s="114">
        <v>121</v>
      </c>
      <c r="V146" s="114">
        <v>296</v>
      </c>
      <c r="W146" s="114">
        <v>20</v>
      </c>
      <c r="X146" s="114">
        <v>72</v>
      </c>
      <c r="Y146" s="114">
        <v>71</v>
      </c>
      <c r="Z146" s="114">
        <v>249728.405</v>
      </c>
      <c r="AA146" s="114">
        <v>0</v>
      </c>
      <c r="AB146" s="114">
        <v>0</v>
      </c>
      <c r="AC146" s="114">
        <v>7566.338</v>
      </c>
      <c r="AD146" s="114">
        <v>242162.066</v>
      </c>
      <c r="AE146" s="114">
        <v>440292.221</v>
      </c>
      <c r="AF146" s="114">
        <v>46292</v>
      </c>
      <c r="AG146" s="114">
        <v>9511.195</v>
      </c>
      <c r="AH146" s="114">
        <v>39105</v>
      </c>
      <c r="AI146" s="114">
        <v>3043.205</v>
      </c>
      <c r="AJ146" s="114">
        <v>0</v>
      </c>
      <c r="AK146" s="114">
        <v>0</v>
      </c>
      <c r="AL146" s="114">
        <v>0</v>
      </c>
      <c r="AM146" s="114">
        <v>0</v>
      </c>
      <c r="AN146" s="114">
        <v>1381</v>
      </c>
      <c r="AO146" s="114">
        <v>83.7473</v>
      </c>
      <c r="AP146" s="114"/>
      <c r="AQ146" s="114">
        <v>0</v>
      </c>
      <c r="AR146" s="114"/>
      <c r="AS146" s="114"/>
      <c r="AT146" s="114"/>
      <c r="AU146" s="114"/>
      <c r="AV146" s="114">
        <v>0</v>
      </c>
      <c r="AW146" s="114">
        <v>0</v>
      </c>
      <c r="AX146" s="114">
        <v>0</v>
      </c>
      <c r="AY146" s="114">
        <v>0</v>
      </c>
      <c r="AZ146" s="114">
        <v>249</v>
      </c>
      <c r="BA146" s="114">
        <v>7185</v>
      </c>
      <c r="BB146" s="116"/>
      <c r="BC146" s="116"/>
      <c r="BD146" s="116"/>
      <c r="BE146" s="116"/>
      <c r="BF146" s="116"/>
      <c r="BG146" s="116"/>
      <c r="BH146" s="116"/>
      <c r="BI146" s="116"/>
      <c r="BJ146" s="117">
        <v>148578</v>
      </c>
      <c r="BK146" s="133">
        <v>152</v>
      </c>
      <c r="BL146" s="119"/>
      <c r="BM146" s="118">
        <v>0</v>
      </c>
      <c r="BN146" s="131"/>
      <c r="BO146" s="119"/>
      <c r="BP146" s="119"/>
      <c r="BQ146" s="119"/>
      <c r="BR146" s="119"/>
      <c r="BS146" s="119"/>
      <c r="BT146" s="119"/>
      <c r="BU146" s="119"/>
      <c r="BV146" s="119"/>
      <c r="BW146" s="119"/>
      <c r="BX146" s="119"/>
    </row>
    <row r="147" s="96" customFormat="1" ht="15.75" customHeight="1" spans="1:76">
      <c r="A147" s="111">
        <v>146</v>
      </c>
      <c r="B147" s="112" t="s">
        <v>46</v>
      </c>
      <c r="C147" s="112" t="s">
        <v>134</v>
      </c>
      <c r="D147" s="111">
        <v>2024</v>
      </c>
      <c r="E147" s="113" t="s">
        <v>33</v>
      </c>
      <c r="F147" s="114">
        <v>58665</v>
      </c>
      <c r="G147" s="114">
        <v>58665</v>
      </c>
      <c r="H147" s="114">
        <v>3606.6508</v>
      </c>
      <c r="I147" s="114">
        <v>112</v>
      </c>
      <c r="J147" s="115">
        <v>0.00255787037037037</v>
      </c>
      <c r="K147" s="114">
        <v>23.25</v>
      </c>
      <c r="L147" s="114"/>
      <c r="M147" s="114">
        <v>608538</v>
      </c>
      <c r="N147" s="114">
        <v>8.46</v>
      </c>
      <c r="O147" s="114">
        <v>48950</v>
      </c>
      <c r="P147" s="114">
        <v>45460</v>
      </c>
      <c r="Q147" s="114">
        <v>3412</v>
      </c>
      <c r="R147" s="114">
        <v>3412</v>
      </c>
      <c r="S147" s="114">
        <v>0</v>
      </c>
      <c r="T147" s="114">
        <v>262</v>
      </c>
      <c r="U147" s="114">
        <v>150</v>
      </c>
      <c r="V147" s="114">
        <v>235</v>
      </c>
      <c r="W147" s="114">
        <v>7</v>
      </c>
      <c r="X147" s="114">
        <v>65</v>
      </c>
      <c r="Y147" s="114">
        <v>34</v>
      </c>
      <c r="Z147" s="114">
        <v>208268.462</v>
      </c>
      <c r="AA147" s="114">
        <v>0</v>
      </c>
      <c r="AB147" s="114">
        <v>0</v>
      </c>
      <c r="AC147" s="114">
        <v>5903.698</v>
      </c>
      <c r="AD147" s="114">
        <v>202364.765</v>
      </c>
      <c r="AE147" s="114">
        <v>367935.449</v>
      </c>
      <c r="AF147" s="114">
        <v>40561</v>
      </c>
      <c r="AG147" s="114">
        <v>9071.163</v>
      </c>
      <c r="AH147" s="114">
        <v>33947</v>
      </c>
      <c r="AI147" s="114">
        <v>3550.131</v>
      </c>
      <c r="AJ147" s="114">
        <v>0</v>
      </c>
      <c r="AK147" s="114">
        <v>0</v>
      </c>
      <c r="AL147" s="114">
        <v>0</v>
      </c>
      <c r="AM147" s="114">
        <v>0</v>
      </c>
      <c r="AN147" s="114">
        <v>928</v>
      </c>
      <c r="AO147" s="114">
        <v>60.1505</v>
      </c>
      <c r="AP147" s="114"/>
      <c r="AQ147" s="114">
        <v>0</v>
      </c>
      <c r="AR147" s="114"/>
      <c r="AS147" s="114"/>
      <c r="AT147" s="114"/>
      <c r="AU147" s="114"/>
      <c r="AV147" s="114">
        <v>0</v>
      </c>
      <c r="AW147" s="114">
        <v>0</v>
      </c>
      <c r="AX147" s="114">
        <v>0</v>
      </c>
      <c r="AY147" s="114">
        <v>0</v>
      </c>
      <c r="AZ147" s="114">
        <v>238</v>
      </c>
      <c r="BA147" s="114">
        <v>5291</v>
      </c>
      <c r="BB147" s="116"/>
      <c r="BC147" s="116"/>
      <c r="BD147" s="116"/>
      <c r="BE147" s="116"/>
      <c r="BF147" s="116"/>
      <c r="BG147" s="116"/>
      <c r="BH147" s="116"/>
      <c r="BI147" s="116"/>
      <c r="BJ147" s="117">
        <v>148690</v>
      </c>
      <c r="BK147" s="133">
        <v>112</v>
      </c>
      <c r="BL147" s="119"/>
      <c r="BM147" s="118">
        <v>0</v>
      </c>
      <c r="BN147" s="131"/>
      <c r="BO147" s="119"/>
      <c r="BP147" s="119"/>
      <c r="BQ147" s="119"/>
      <c r="BR147" s="119"/>
      <c r="BS147" s="119"/>
      <c r="BT147" s="119"/>
      <c r="BU147" s="119"/>
      <c r="BV147" s="119"/>
      <c r="BW147" s="119"/>
      <c r="BX147" s="119"/>
    </row>
    <row r="148" s="96" customFormat="1" ht="15.75" customHeight="1" spans="1:76">
      <c r="A148" s="111">
        <v>147</v>
      </c>
      <c r="B148" s="112" t="s">
        <v>46</v>
      </c>
      <c r="C148" s="112" t="s">
        <v>134</v>
      </c>
      <c r="D148" s="111">
        <v>2024</v>
      </c>
      <c r="E148" s="113" t="s">
        <v>34</v>
      </c>
      <c r="F148" s="114">
        <v>45604</v>
      </c>
      <c r="G148" s="114">
        <v>45604</v>
      </c>
      <c r="H148" s="114">
        <v>2594.7003</v>
      </c>
      <c r="I148" s="114">
        <v>48</v>
      </c>
      <c r="J148" s="115">
        <v>0.00236111111111111</v>
      </c>
      <c r="K148" s="114">
        <v>23.11</v>
      </c>
      <c r="L148" s="114"/>
      <c r="M148" s="114">
        <v>486134</v>
      </c>
      <c r="N148" s="114">
        <v>8</v>
      </c>
      <c r="O148" s="114">
        <v>36613</v>
      </c>
      <c r="P148" s="114">
        <v>33702</v>
      </c>
      <c r="Q148" s="114">
        <v>2911</v>
      </c>
      <c r="R148" s="114">
        <v>2911</v>
      </c>
      <c r="S148" s="114">
        <v>0</v>
      </c>
      <c r="T148" s="114">
        <v>156</v>
      </c>
      <c r="U148" s="114">
        <v>108</v>
      </c>
      <c r="V148" s="114">
        <v>108</v>
      </c>
      <c r="W148" s="114">
        <v>-1</v>
      </c>
      <c r="X148" s="114">
        <v>42</v>
      </c>
      <c r="Y148" s="114">
        <v>29</v>
      </c>
      <c r="Z148" s="114">
        <v>207842.13</v>
      </c>
      <c r="AA148" s="114">
        <v>0</v>
      </c>
      <c r="AB148" s="114">
        <v>0</v>
      </c>
      <c r="AC148" s="114">
        <v>3866.9</v>
      </c>
      <c r="AD148" s="114">
        <v>203975.23</v>
      </c>
      <c r="AE148" s="114">
        <v>370861.436</v>
      </c>
      <c r="AF148" s="114">
        <v>36301</v>
      </c>
      <c r="AG148" s="114">
        <v>10216.287</v>
      </c>
      <c r="AH148" s="114">
        <v>29276</v>
      </c>
      <c r="AI148" s="114">
        <v>4557.542</v>
      </c>
      <c r="AJ148" s="114">
        <v>0</v>
      </c>
      <c r="AK148" s="114">
        <v>0</v>
      </c>
      <c r="AL148" s="114">
        <v>0</v>
      </c>
      <c r="AM148" s="114">
        <v>0</v>
      </c>
      <c r="AN148" s="114">
        <v>815</v>
      </c>
      <c r="AO148" s="114">
        <v>54.8652</v>
      </c>
      <c r="AP148" s="114"/>
      <c r="AQ148" s="114">
        <v>0</v>
      </c>
      <c r="AR148" s="114"/>
      <c r="AS148" s="114"/>
      <c r="AT148" s="114"/>
      <c r="AU148" s="114"/>
      <c r="AV148" s="114">
        <v>0</v>
      </c>
      <c r="AW148" s="114">
        <v>0</v>
      </c>
      <c r="AX148" s="114">
        <v>0</v>
      </c>
      <c r="AY148" s="114">
        <v>0</v>
      </c>
      <c r="AZ148" s="114">
        <v>241</v>
      </c>
      <c r="BA148" s="114">
        <v>12861</v>
      </c>
      <c r="BB148" s="116"/>
      <c r="BC148" s="116"/>
      <c r="BD148" s="116"/>
      <c r="BE148" s="116"/>
      <c r="BF148" s="116"/>
      <c r="BG148" s="116"/>
      <c r="BH148" s="116"/>
      <c r="BI148" s="116"/>
      <c r="BJ148" s="117">
        <v>148738</v>
      </c>
      <c r="BK148" s="133">
        <v>48</v>
      </c>
      <c r="BL148" s="119"/>
      <c r="BM148" s="118">
        <v>0</v>
      </c>
      <c r="BN148" s="131"/>
      <c r="BO148" s="119"/>
      <c r="BP148" s="119"/>
      <c r="BQ148" s="119"/>
      <c r="BR148" s="119"/>
      <c r="BS148" s="119"/>
      <c r="BT148" s="119"/>
      <c r="BU148" s="119"/>
      <c r="BV148" s="119"/>
      <c r="BW148" s="119"/>
      <c r="BX148" s="119"/>
    </row>
    <row r="149" s="96" customFormat="1" ht="15.75" customHeight="1" spans="1:76">
      <c r="A149" s="111">
        <v>148</v>
      </c>
      <c r="B149" s="112" t="s">
        <v>46</v>
      </c>
      <c r="C149" s="112" t="s">
        <v>134</v>
      </c>
      <c r="D149" s="111">
        <v>2024</v>
      </c>
      <c r="E149" s="113" t="s">
        <v>35</v>
      </c>
      <c r="F149" s="114">
        <v>52250</v>
      </c>
      <c r="G149" s="114">
        <v>52250</v>
      </c>
      <c r="H149" s="114">
        <v>2773.4351</v>
      </c>
      <c r="I149" s="114">
        <v>56</v>
      </c>
      <c r="J149" s="115">
        <v>0.00221064814814815</v>
      </c>
      <c r="K149" s="114">
        <v>20.63</v>
      </c>
      <c r="L149" s="114">
        <v>1</v>
      </c>
      <c r="M149" s="114">
        <v>575328</v>
      </c>
      <c r="N149" s="114">
        <v>7.78</v>
      </c>
      <c r="O149" s="114">
        <v>41926</v>
      </c>
      <c r="P149" s="114">
        <v>38442</v>
      </c>
      <c r="Q149" s="114">
        <v>3484</v>
      </c>
      <c r="R149" s="114">
        <v>3484</v>
      </c>
      <c r="S149" s="114">
        <v>0</v>
      </c>
      <c r="T149" s="114">
        <v>174</v>
      </c>
      <c r="U149" s="114">
        <v>118</v>
      </c>
      <c r="V149" s="114">
        <v>209</v>
      </c>
      <c r="W149" s="114">
        <v>9</v>
      </c>
      <c r="X149" s="114">
        <v>43</v>
      </c>
      <c r="Y149" s="114">
        <v>46</v>
      </c>
      <c r="Z149" s="114">
        <v>197225.986</v>
      </c>
      <c r="AA149" s="114">
        <v>0</v>
      </c>
      <c r="AB149" s="114">
        <v>0</v>
      </c>
      <c r="AC149" s="114">
        <v>5784.468</v>
      </c>
      <c r="AD149" s="114">
        <v>191441.519</v>
      </c>
      <c r="AE149" s="114">
        <v>348075.259</v>
      </c>
      <c r="AF149" s="114">
        <v>33132</v>
      </c>
      <c r="AG149" s="114">
        <v>10505.712</v>
      </c>
      <c r="AH149" s="114">
        <v>27553</v>
      </c>
      <c r="AI149" s="114">
        <v>3774.66</v>
      </c>
      <c r="AJ149" s="114">
        <v>0</v>
      </c>
      <c r="AK149" s="114">
        <v>0</v>
      </c>
      <c r="AL149" s="114">
        <v>0</v>
      </c>
      <c r="AM149" s="114">
        <v>0</v>
      </c>
      <c r="AN149" s="114">
        <v>955</v>
      </c>
      <c r="AO149" s="114">
        <v>55.7831</v>
      </c>
      <c r="AP149" s="114"/>
      <c r="AQ149" s="114">
        <v>0</v>
      </c>
      <c r="AR149" s="114"/>
      <c r="AS149" s="114"/>
      <c r="AT149" s="114"/>
      <c r="AU149" s="114"/>
      <c r="AV149" s="114">
        <v>6</v>
      </c>
      <c r="AW149" s="114">
        <v>0.1026</v>
      </c>
      <c r="AX149" s="114">
        <v>0</v>
      </c>
      <c r="AY149" s="114">
        <v>0</v>
      </c>
      <c r="AZ149" s="114">
        <v>215</v>
      </c>
      <c r="BA149" s="114">
        <v>7453</v>
      </c>
      <c r="BB149" s="116"/>
      <c r="BC149" s="116"/>
      <c r="BD149" s="116"/>
      <c r="BE149" s="116"/>
      <c r="BF149" s="116"/>
      <c r="BG149" s="116"/>
      <c r="BH149" s="116"/>
      <c r="BI149" s="116"/>
      <c r="BJ149" s="117">
        <v>148794</v>
      </c>
      <c r="BK149" s="133">
        <v>56</v>
      </c>
      <c r="BL149" s="119"/>
      <c r="BM149" s="118">
        <v>0</v>
      </c>
      <c r="BN149" s="131"/>
      <c r="BO149" s="119"/>
      <c r="BP149" s="119"/>
      <c r="BQ149" s="119"/>
      <c r="BR149" s="119"/>
      <c r="BS149" s="119"/>
      <c r="BT149" s="119"/>
      <c r="BU149" s="119"/>
      <c r="BV149" s="119"/>
      <c r="BW149" s="119"/>
      <c r="BX149" s="119"/>
    </row>
    <row r="150" s="96" customFormat="1" ht="15.75" customHeight="1" spans="1:76">
      <c r="A150" s="111">
        <v>149</v>
      </c>
      <c r="B150" s="112" t="s">
        <v>46</v>
      </c>
      <c r="C150" s="112" t="s">
        <v>134</v>
      </c>
      <c r="D150" s="111">
        <v>2024</v>
      </c>
      <c r="E150" s="113" t="s">
        <v>36</v>
      </c>
      <c r="F150" s="114">
        <v>47199</v>
      </c>
      <c r="G150" s="114">
        <v>47199</v>
      </c>
      <c r="H150" s="114">
        <v>2407.0921</v>
      </c>
      <c r="I150" s="114">
        <v>64</v>
      </c>
      <c r="J150" s="115">
        <v>0.00211805555555556</v>
      </c>
      <c r="K150" s="114">
        <v>21.32</v>
      </c>
      <c r="L150" s="114">
        <v>3</v>
      </c>
      <c r="M150" s="114">
        <v>474333</v>
      </c>
      <c r="N150" s="114">
        <v>8.16</v>
      </c>
      <c r="O150" s="114">
        <v>34693</v>
      </c>
      <c r="P150" s="114">
        <v>31283</v>
      </c>
      <c r="Q150" s="114">
        <v>3410</v>
      </c>
      <c r="R150" s="114">
        <v>3410</v>
      </c>
      <c r="S150" s="114">
        <v>0</v>
      </c>
      <c r="T150" s="114">
        <v>189</v>
      </c>
      <c r="U150" s="114">
        <v>125</v>
      </c>
      <c r="V150" s="114">
        <v>186</v>
      </c>
      <c r="W150" s="114">
        <v>9</v>
      </c>
      <c r="X150" s="114">
        <v>59</v>
      </c>
      <c r="Y150" s="114">
        <v>40</v>
      </c>
      <c r="Z150" s="114">
        <v>138830.08</v>
      </c>
      <c r="AA150" s="114">
        <v>0</v>
      </c>
      <c r="AB150" s="114">
        <v>0</v>
      </c>
      <c r="AC150" s="114">
        <v>3808.518</v>
      </c>
      <c r="AD150" s="114">
        <v>134910.08</v>
      </c>
      <c r="AE150" s="114">
        <v>245290.828</v>
      </c>
      <c r="AF150" s="114">
        <v>24076</v>
      </c>
      <c r="AG150" s="114">
        <v>10188.189</v>
      </c>
      <c r="AH150" s="114">
        <v>20446</v>
      </c>
      <c r="AI150" s="114">
        <v>2941.377</v>
      </c>
      <c r="AJ150" s="114">
        <v>0</v>
      </c>
      <c r="AK150" s="114">
        <v>0</v>
      </c>
      <c r="AL150" s="114">
        <v>0</v>
      </c>
      <c r="AM150" s="114">
        <v>0</v>
      </c>
      <c r="AN150" s="114">
        <v>715</v>
      </c>
      <c r="AO150" s="114">
        <v>48.0973</v>
      </c>
      <c r="AP150" s="114"/>
      <c r="AQ150" s="114">
        <v>0</v>
      </c>
      <c r="AR150" s="114"/>
      <c r="AS150" s="114"/>
      <c r="AT150" s="114"/>
      <c r="AU150" s="114"/>
      <c r="AV150" s="114">
        <v>0</v>
      </c>
      <c r="AW150" s="114">
        <v>0</v>
      </c>
      <c r="AX150" s="114">
        <v>0</v>
      </c>
      <c r="AY150" s="114">
        <v>0</v>
      </c>
      <c r="AZ150" s="114">
        <v>412</v>
      </c>
      <c r="BA150" s="114">
        <v>8953</v>
      </c>
      <c r="BB150" s="116"/>
      <c r="BC150" s="116"/>
      <c r="BD150" s="116"/>
      <c r="BE150" s="116"/>
      <c r="BF150" s="116"/>
      <c r="BG150" s="116"/>
      <c r="BH150" s="116"/>
      <c r="BI150" s="116"/>
      <c r="BJ150" s="117">
        <v>148858</v>
      </c>
      <c r="BK150" s="133">
        <v>64</v>
      </c>
      <c r="BL150" s="119"/>
      <c r="BM150" s="118">
        <v>0</v>
      </c>
      <c r="BN150" s="131"/>
      <c r="BO150" s="119"/>
      <c r="BP150" s="119"/>
      <c r="BQ150" s="119"/>
      <c r="BR150" s="119"/>
      <c r="BS150" s="119"/>
      <c r="BT150" s="119"/>
      <c r="BU150" s="119"/>
      <c r="BV150" s="119"/>
      <c r="BW150" s="119"/>
      <c r="BX150" s="119"/>
    </row>
    <row r="151" s="96" customFormat="1" ht="15.75" customHeight="1" spans="1:76">
      <c r="A151" s="111">
        <v>150</v>
      </c>
      <c r="B151" s="112" t="s">
        <v>46</v>
      </c>
      <c r="C151" s="112" t="s">
        <v>134</v>
      </c>
      <c r="D151" s="111">
        <v>2024</v>
      </c>
      <c r="E151" s="113" t="s">
        <v>37</v>
      </c>
      <c r="F151" s="114">
        <v>36351</v>
      </c>
      <c r="G151" s="114">
        <v>36351</v>
      </c>
      <c r="H151" s="114">
        <v>1742.4348</v>
      </c>
      <c r="I151" s="114">
        <v>27</v>
      </c>
      <c r="J151" s="115">
        <v>0.00199074074074074</v>
      </c>
      <c r="K151" s="114">
        <v>18.98</v>
      </c>
      <c r="L151" s="114"/>
      <c r="M151" s="114">
        <v>414438</v>
      </c>
      <c r="N151" s="114">
        <v>7.16</v>
      </c>
      <c r="O151" s="114">
        <v>24833</v>
      </c>
      <c r="P151" s="114">
        <v>22088</v>
      </c>
      <c r="Q151" s="114">
        <v>2745</v>
      </c>
      <c r="R151" s="114">
        <v>2745</v>
      </c>
      <c r="S151" s="114">
        <v>0</v>
      </c>
      <c r="T151" s="114">
        <v>158</v>
      </c>
      <c r="U151" s="114">
        <v>131</v>
      </c>
      <c r="V151" s="114">
        <v>88</v>
      </c>
      <c r="W151" s="114">
        <v>1</v>
      </c>
      <c r="X151" s="114">
        <v>45</v>
      </c>
      <c r="Y151" s="114">
        <v>19</v>
      </c>
      <c r="Z151" s="114">
        <v>110068.417</v>
      </c>
      <c r="AA151" s="114">
        <v>0</v>
      </c>
      <c r="AB151" s="114">
        <v>0</v>
      </c>
      <c r="AC151" s="114">
        <v>2631.183</v>
      </c>
      <c r="AD151" s="114">
        <v>107399.607</v>
      </c>
      <c r="AE151" s="114">
        <v>195271.947</v>
      </c>
      <c r="AF151" s="114">
        <v>19873</v>
      </c>
      <c r="AG151" s="114">
        <v>9825.992</v>
      </c>
      <c r="AH151" s="114">
        <v>16812</v>
      </c>
      <c r="AI151" s="114">
        <v>3027.932</v>
      </c>
      <c r="AJ151" s="114">
        <v>0</v>
      </c>
      <c r="AK151" s="114">
        <v>0</v>
      </c>
      <c r="AL151" s="114">
        <v>0</v>
      </c>
      <c r="AM151" s="114">
        <v>0</v>
      </c>
      <c r="AN151" s="114">
        <v>620</v>
      </c>
      <c r="AO151" s="114">
        <v>37.3376</v>
      </c>
      <c r="AP151" s="114"/>
      <c r="AQ151" s="114">
        <v>0</v>
      </c>
      <c r="AR151" s="114"/>
      <c r="AS151" s="114"/>
      <c r="AT151" s="114"/>
      <c r="AU151" s="114"/>
      <c r="AV151" s="114">
        <v>0</v>
      </c>
      <c r="AW151" s="114">
        <v>0</v>
      </c>
      <c r="AX151" s="114">
        <v>0</v>
      </c>
      <c r="AY151" s="114">
        <v>0</v>
      </c>
      <c r="AZ151" s="114">
        <v>327</v>
      </c>
      <c r="BA151" s="114">
        <v>7547</v>
      </c>
      <c r="BB151" s="116"/>
      <c r="BC151" s="116"/>
      <c r="BD151" s="116"/>
      <c r="BE151" s="116"/>
      <c r="BF151" s="116"/>
      <c r="BG151" s="116"/>
      <c r="BH151" s="116"/>
      <c r="BI151" s="116"/>
      <c r="BJ151" s="117">
        <v>148885</v>
      </c>
      <c r="BK151" s="133">
        <v>27</v>
      </c>
      <c r="BL151" s="119"/>
      <c r="BM151" s="118">
        <v>0</v>
      </c>
      <c r="BN151" s="131"/>
      <c r="BO151" s="119"/>
      <c r="BP151" s="119"/>
      <c r="BQ151" s="119"/>
      <c r="BR151" s="119"/>
      <c r="BS151" s="119"/>
      <c r="BT151" s="119"/>
      <c r="BU151" s="119"/>
      <c r="BV151" s="119"/>
      <c r="BW151" s="119"/>
      <c r="BX151" s="119"/>
    </row>
    <row r="152" s="96" customFormat="1" ht="15.75" customHeight="1" spans="1:76">
      <c r="A152" s="111">
        <v>151</v>
      </c>
      <c r="B152" s="112" t="s">
        <v>46</v>
      </c>
      <c r="C152" s="112" t="s">
        <v>134</v>
      </c>
      <c r="D152" s="111">
        <v>2024</v>
      </c>
      <c r="E152" s="113" t="s">
        <v>38</v>
      </c>
      <c r="F152" s="114">
        <v>44107</v>
      </c>
      <c r="G152" s="114">
        <v>44107</v>
      </c>
      <c r="H152" s="114">
        <v>2303.1535</v>
      </c>
      <c r="I152" s="114">
        <v>50</v>
      </c>
      <c r="J152" s="115">
        <v>0.00216435185185185</v>
      </c>
      <c r="K152" s="114">
        <v>21.83</v>
      </c>
      <c r="L152" s="114">
        <v>2</v>
      </c>
      <c r="M152" s="114">
        <v>482905</v>
      </c>
      <c r="N152" s="114">
        <v>7.49</v>
      </c>
      <c r="O152" s="114">
        <v>32828</v>
      </c>
      <c r="P152" s="114">
        <v>29545</v>
      </c>
      <c r="Q152" s="114">
        <v>3283</v>
      </c>
      <c r="R152" s="114">
        <v>3283</v>
      </c>
      <c r="S152" s="114">
        <v>0</v>
      </c>
      <c r="T152" s="114">
        <v>186</v>
      </c>
      <c r="U152" s="114">
        <v>136</v>
      </c>
      <c r="V152" s="114">
        <v>179</v>
      </c>
      <c r="W152" s="114">
        <v>0</v>
      </c>
      <c r="X152" s="114">
        <v>60</v>
      </c>
      <c r="Y152" s="114">
        <v>37</v>
      </c>
      <c r="Z152" s="114">
        <v>165969.683</v>
      </c>
      <c r="AA152" s="114">
        <v>0</v>
      </c>
      <c r="AB152" s="114">
        <v>0</v>
      </c>
      <c r="AC152" s="114">
        <v>2951.461</v>
      </c>
      <c r="AD152" s="114">
        <v>163017.248</v>
      </c>
      <c r="AE152" s="114">
        <v>296395.107</v>
      </c>
      <c r="AF152" s="114">
        <v>28349</v>
      </c>
      <c r="AG152" s="114">
        <v>10455.223</v>
      </c>
      <c r="AH152" s="114">
        <v>23631</v>
      </c>
      <c r="AI152" s="114">
        <v>3762.89</v>
      </c>
      <c r="AJ152" s="114">
        <v>0</v>
      </c>
      <c r="AK152" s="114">
        <v>0</v>
      </c>
      <c r="AL152" s="114">
        <v>0</v>
      </c>
      <c r="AM152" s="114">
        <v>0</v>
      </c>
      <c r="AN152" s="114">
        <v>726</v>
      </c>
      <c r="AO152" s="114">
        <v>32.8159</v>
      </c>
      <c r="AP152" s="114"/>
      <c r="AQ152" s="114">
        <v>0</v>
      </c>
      <c r="AR152" s="114"/>
      <c r="AS152" s="114"/>
      <c r="AT152" s="114"/>
      <c r="AU152" s="114"/>
      <c r="AV152" s="114">
        <v>0</v>
      </c>
      <c r="AW152" s="114">
        <v>0</v>
      </c>
      <c r="AX152" s="114">
        <v>0</v>
      </c>
      <c r="AY152" s="114">
        <v>0</v>
      </c>
      <c r="AZ152" s="114">
        <v>385</v>
      </c>
      <c r="BA152" s="114">
        <v>14999</v>
      </c>
      <c r="BB152" s="116"/>
      <c r="BC152" s="116"/>
      <c r="BD152" s="116"/>
      <c r="BE152" s="116"/>
      <c r="BF152" s="116"/>
      <c r="BG152" s="116"/>
      <c r="BH152" s="116"/>
      <c r="BI152" s="116"/>
      <c r="BJ152" s="117">
        <v>148935</v>
      </c>
      <c r="BK152" s="133">
        <v>50</v>
      </c>
      <c r="BL152" s="119"/>
      <c r="BM152" s="118">
        <v>0</v>
      </c>
      <c r="BN152" s="131"/>
      <c r="BO152" s="119"/>
      <c r="BP152" s="119"/>
      <c r="BQ152" s="119"/>
      <c r="BR152" s="119"/>
      <c r="BS152" s="119"/>
      <c r="BT152" s="119"/>
      <c r="BU152" s="119"/>
      <c r="BV152" s="119"/>
      <c r="BW152" s="119"/>
      <c r="BX152" s="119"/>
    </row>
    <row r="153" s="96" customFormat="1" ht="15.75" customHeight="1" spans="1:76">
      <c r="A153" s="111">
        <v>152</v>
      </c>
      <c r="B153" s="112" t="s">
        <v>46</v>
      </c>
      <c r="C153" s="112" t="s">
        <v>134</v>
      </c>
      <c r="D153" s="111">
        <v>2024</v>
      </c>
      <c r="E153" s="113" t="s">
        <v>39</v>
      </c>
      <c r="F153" s="114">
        <v>58203</v>
      </c>
      <c r="G153" s="114">
        <v>58203</v>
      </c>
      <c r="H153" s="114">
        <v>3147.3196</v>
      </c>
      <c r="I153" s="114">
        <v>114</v>
      </c>
      <c r="J153" s="115">
        <v>0.00224537037037037</v>
      </c>
      <c r="K153" s="114">
        <v>21.53</v>
      </c>
      <c r="L153" s="114"/>
      <c r="M153" s="114">
        <v>662086</v>
      </c>
      <c r="N153" s="114">
        <v>7.5</v>
      </c>
      <c r="O153" s="114">
        <v>44614</v>
      </c>
      <c r="P153" s="114">
        <v>39957</v>
      </c>
      <c r="Q153" s="114">
        <v>4657</v>
      </c>
      <c r="R153" s="114">
        <v>4657</v>
      </c>
      <c r="S153" s="114">
        <v>0</v>
      </c>
      <c r="T153" s="114">
        <v>229</v>
      </c>
      <c r="U153" s="114">
        <v>115</v>
      </c>
      <c r="V153" s="114">
        <v>214</v>
      </c>
      <c r="W153" s="114">
        <v>4</v>
      </c>
      <c r="X153" s="114">
        <v>80</v>
      </c>
      <c r="Y153" s="114">
        <v>47</v>
      </c>
      <c r="Z153" s="114">
        <v>188045.444</v>
      </c>
      <c r="AA153" s="114">
        <v>0</v>
      </c>
      <c r="AB153" s="114">
        <v>0</v>
      </c>
      <c r="AC153" s="114">
        <v>3413.769</v>
      </c>
      <c r="AD153" s="114">
        <v>184624.999</v>
      </c>
      <c r="AE153" s="114">
        <v>335682.315</v>
      </c>
      <c r="AF153" s="114">
        <v>38037</v>
      </c>
      <c r="AG153" s="114">
        <v>8825.152</v>
      </c>
      <c r="AH153" s="114">
        <v>32764</v>
      </c>
      <c r="AI153" s="114">
        <v>3230.858</v>
      </c>
      <c r="AJ153" s="114">
        <v>0</v>
      </c>
      <c r="AK153" s="114">
        <v>0</v>
      </c>
      <c r="AL153" s="114">
        <v>0</v>
      </c>
      <c r="AM153" s="114">
        <v>0</v>
      </c>
      <c r="AN153" s="114">
        <v>890</v>
      </c>
      <c r="AO153" s="114">
        <v>51.5574</v>
      </c>
      <c r="AP153" s="114"/>
      <c r="AQ153" s="114">
        <v>0</v>
      </c>
      <c r="AR153" s="114"/>
      <c r="AS153" s="114"/>
      <c r="AT153" s="114"/>
      <c r="AU153" s="114"/>
      <c r="AV153" s="114">
        <v>0</v>
      </c>
      <c r="AW153" s="114">
        <v>0</v>
      </c>
      <c r="AX153" s="114">
        <v>0</v>
      </c>
      <c r="AY153" s="114">
        <v>0</v>
      </c>
      <c r="AZ153" s="114">
        <v>407</v>
      </c>
      <c r="BA153" s="114">
        <v>11880</v>
      </c>
      <c r="BB153" s="116"/>
      <c r="BC153" s="116"/>
      <c r="BD153" s="116"/>
      <c r="BE153" s="116"/>
      <c r="BF153" s="116"/>
      <c r="BG153" s="116"/>
      <c r="BH153" s="116"/>
      <c r="BI153" s="116"/>
      <c r="BJ153" s="117">
        <v>149049</v>
      </c>
      <c r="BK153" s="133">
        <v>114</v>
      </c>
      <c r="BL153" s="119"/>
      <c r="BM153" s="118">
        <v>0</v>
      </c>
      <c r="BN153" s="131"/>
      <c r="BO153" s="119"/>
      <c r="BP153" s="119"/>
      <c r="BQ153" s="119"/>
      <c r="BR153" s="119"/>
      <c r="BS153" s="119"/>
      <c r="BT153" s="119"/>
      <c r="BU153" s="119"/>
      <c r="BV153" s="119"/>
      <c r="BW153" s="119"/>
      <c r="BX153" s="119"/>
    </row>
    <row r="154" s="96" customFormat="1" ht="15.75" customHeight="1" spans="1:76">
      <c r="A154" s="111">
        <v>153</v>
      </c>
      <c r="B154" s="112" t="s">
        <v>46</v>
      </c>
      <c r="C154" s="112" t="s">
        <v>134</v>
      </c>
      <c r="D154" s="111">
        <v>2024</v>
      </c>
      <c r="E154" s="113" t="s">
        <v>40</v>
      </c>
      <c r="F154" s="114">
        <v>45744</v>
      </c>
      <c r="G154" s="114">
        <v>45744</v>
      </c>
      <c r="H154" s="114">
        <v>2332.3919</v>
      </c>
      <c r="I154" s="114">
        <v>77</v>
      </c>
      <c r="J154" s="115">
        <v>0.00211805555555556</v>
      </c>
      <c r="K154" s="114">
        <v>21.87</v>
      </c>
      <c r="L154" s="114">
        <v>1</v>
      </c>
      <c r="M154" s="114">
        <v>494028</v>
      </c>
      <c r="N154" s="114">
        <v>7.54</v>
      </c>
      <c r="O154" s="114">
        <v>32726</v>
      </c>
      <c r="P154" s="114">
        <v>29174</v>
      </c>
      <c r="Q154" s="114">
        <v>3552</v>
      </c>
      <c r="R154" s="114">
        <v>3552</v>
      </c>
      <c r="S154" s="114">
        <v>0</v>
      </c>
      <c r="T154" s="114">
        <v>198</v>
      </c>
      <c r="U154" s="114">
        <v>121</v>
      </c>
      <c r="V154" s="114">
        <v>168</v>
      </c>
      <c r="W154" s="114">
        <v>1</v>
      </c>
      <c r="X154" s="114">
        <v>79</v>
      </c>
      <c r="Y154" s="114">
        <v>19</v>
      </c>
      <c r="Z154" s="114">
        <v>138908.8</v>
      </c>
      <c r="AA154" s="114">
        <v>0</v>
      </c>
      <c r="AB154" s="114">
        <v>0</v>
      </c>
      <c r="AC154" s="114">
        <v>2977.528</v>
      </c>
      <c r="AD154" s="114">
        <v>135927.961</v>
      </c>
      <c r="AE154" s="114">
        <v>247141.577</v>
      </c>
      <c r="AF154" s="114">
        <v>27908</v>
      </c>
      <c r="AG154" s="114">
        <v>8855.582</v>
      </c>
      <c r="AH154" s="114">
        <v>23752</v>
      </c>
      <c r="AI154" s="114">
        <v>3036.657</v>
      </c>
      <c r="AJ154" s="114">
        <v>0</v>
      </c>
      <c r="AK154" s="114">
        <v>0</v>
      </c>
      <c r="AL154" s="114">
        <v>0</v>
      </c>
      <c r="AM154" s="114">
        <v>0</v>
      </c>
      <c r="AN154" s="114">
        <v>658</v>
      </c>
      <c r="AO154" s="114">
        <v>33.4654</v>
      </c>
      <c r="AP154" s="114"/>
      <c r="AQ154" s="114">
        <v>0</v>
      </c>
      <c r="AR154" s="114"/>
      <c r="AS154" s="114"/>
      <c r="AT154" s="114"/>
      <c r="AU154" s="114"/>
      <c r="AV154" s="114">
        <v>0</v>
      </c>
      <c r="AW154" s="114">
        <v>0</v>
      </c>
      <c r="AX154" s="114">
        <v>0</v>
      </c>
      <c r="AY154" s="114">
        <v>0</v>
      </c>
      <c r="AZ154" s="114">
        <v>336</v>
      </c>
      <c r="BA154" s="114">
        <v>11002</v>
      </c>
      <c r="BB154" s="116"/>
      <c r="BC154" s="116"/>
      <c r="BD154" s="116"/>
      <c r="BE154" s="116"/>
      <c r="BF154" s="116"/>
      <c r="BG154" s="116"/>
      <c r="BH154" s="116"/>
      <c r="BI154" s="116"/>
      <c r="BJ154" s="117">
        <v>149126</v>
      </c>
      <c r="BK154" s="133">
        <v>77</v>
      </c>
      <c r="BL154" s="119"/>
      <c r="BM154" s="118">
        <v>0</v>
      </c>
      <c r="BN154" s="131"/>
      <c r="BO154" s="119"/>
      <c r="BP154" s="119"/>
      <c r="BQ154" s="119"/>
      <c r="BR154" s="119"/>
      <c r="BS154" s="119"/>
      <c r="BT154" s="119"/>
      <c r="BU154" s="119"/>
      <c r="BV154" s="119"/>
      <c r="BW154" s="119"/>
      <c r="BX154" s="119"/>
    </row>
    <row r="155" s="96" customFormat="1" ht="15.75" customHeight="1" spans="1:76">
      <c r="A155" s="111">
        <v>154</v>
      </c>
      <c r="B155" s="112" t="s">
        <v>46</v>
      </c>
      <c r="C155" s="112" t="s">
        <v>134</v>
      </c>
      <c r="D155" s="111">
        <v>2024</v>
      </c>
      <c r="E155" s="113" t="s">
        <v>41</v>
      </c>
      <c r="F155" s="114">
        <v>55210</v>
      </c>
      <c r="G155" s="114">
        <v>55210</v>
      </c>
      <c r="H155" s="114">
        <v>3165.8699</v>
      </c>
      <c r="I155" s="114">
        <v>173</v>
      </c>
      <c r="J155" s="115">
        <v>0.00238425925925926</v>
      </c>
      <c r="K155" s="114">
        <v>21.03</v>
      </c>
      <c r="L155" s="114"/>
      <c r="M155" s="114">
        <v>518653</v>
      </c>
      <c r="N155" s="114">
        <v>9.01</v>
      </c>
      <c r="O155" s="114">
        <v>42839</v>
      </c>
      <c r="P155" s="114">
        <v>38104</v>
      </c>
      <c r="Q155" s="114">
        <v>4735</v>
      </c>
      <c r="R155" s="114">
        <v>4735</v>
      </c>
      <c r="S155" s="114">
        <v>0</v>
      </c>
      <c r="T155" s="114">
        <v>284</v>
      </c>
      <c r="U155" s="114">
        <v>111</v>
      </c>
      <c r="V155" s="114">
        <v>240</v>
      </c>
      <c r="W155" s="114">
        <v>4</v>
      </c>
      <c r="X155" s="114">
        <v>82</v>
      </c>
      <c r="Y155" s="114">
        <v>59</v>
      </c>
      <c r="Z155" s="114">
        <v>163356.084</v>
      </c>
      <c r="AA155" s="114">
        <v>0</v>
      </c>
      <c r="AB155" s="114">
        <v>0</v>
      </c>
      <c r="AC155" s="114">
        <v>5854.244</v>
      </c>
      <c r="AD155" s="114">
        <v>157497.585</v>
      </c>
      <c r="AE155" s="114">
        <v>286360.227</v>
      </c>
      <c r="AF155" s="114">
        <v>31821</v>
      </c>
      <c r="AG155" s="114">
        <v>8999.096</v>
      </c>
      <c r="AH155" s="114">
        <v>27394</v>
      </c>
      <c r="AI155" s="114">
        <v>2958.825</v>
      </c>
      <c r="AJ155" s="114">
        <v>0</v>
      </c>
      <c r="AK155" s="114">
        <v>0</v>
      </c>
      <c r="AL155" s="114">
        <v>0</v>
      </c>
      <c r="AM155" s="114">
        <v>0</v>
      </c>
      <c r="AN155" s="114">
        <v>941</v>
      </c>
      <c r="AO155" s="114">
        <v>58.9178</v>
      </c>
      <c r="AP155" s="114"/>
      <c r="AQ155" s="114">
        <v>0</v>
      </c>
      <c r="AR155" s="114"/>
      <c r="AS155" s="114"/>
      <c r="AT155" s="114"/>
      <c r="AU155" s="114"/>
      <c r="AV155" s="114">
        <v>2</v>
      </c>
      <c r="AW155" s="114">
        <v>0.1161</v>
      </c>
      <c r="AX155" s="114">
        <v>0</v>
      </c>
      <c r="AY155" s="114">
        <v>0</v>
      </c>
      <c r="AZ155" s="114">
        <v>247</v>
      </c>
      <c r="BA155" s="114">
        <v>7931</v>
      </c>
      <c r="BB155" s="116"/>
      <c r="BC155" s="116"/>
      <c r="BD155" s="116"/>
      <c r="BE155" s="116"/>
      <c r="BF155" s="116"/>
      <c r="BG155" s="116"/>
      <c r="BH155" s="116"/>
      <c r="BI155" s="116"/>
      <c r="BJ155" s="117">
        <v>149299</v>
      </c>
      <c r="BK155" s="133">
        <v>173</v>
      </c>
      <c r="BL155" s="119"/>
      <c r="BM155" s="118">
        <v>0</v>
      </c>
      <c r="BN155" s="131"/>
      <c r="BO155" s="119"/>
      <c r="BP155" s="119"/>
      <c r="BQ155" s="119"/>
      <c r="BR155" s="119"/>
      <c r="BS155" s="119"/>
      <c r="BT155" s="119"/>
      <c r="BU155" s="119"/>
      <c r="BV155" s="119"/>
      <c r="BW155" s="119"/>
      <c r="BX155" s="119"/>
    </row>
    <row r="156" s="96" customFormat="1" ht="15.75" customHeight="1" spans="1:76">
      <c r="A156" s="111">
        <v>155</v>
      </c>
      <c r="B156" s="112" t="s">
        <v>46</v>
      </c>
      <c r="C156" s="112" t="s">
        <v>134</v>
      </c>
      <c r="D156" s="111">
        <v>2024</v>
      </c>
      <c r="E156" s="113" t="s">
        <v>42</v>
      </c>
      <c r="F156" s="114">
        <v>120162</v>
      </c>
      <c r="G156" s="114">
        <v>120162</v>
      </c>
      <c r="H156" s="114">
        <v>4573.6386</v>
      </c>
      <c r="I156" s="114">
        <v>350</v>
      </c>
      <c r="J156" s="115">
        <v>0.00158564814814815</v>
      </c>
      <c r="K156" s="114">
        <v>19.97</v>
      </c>
      <c r="L156" s="114">
        <v>62</v>
      </c>
      <c r="M156" s="114">
        <v>1539094</v>
      </c>
      <c r="N156" s="114">
        <v>7.07</v>
      </c>
      <c r="O156" s="114">
        <v>97968</v>
      </c>
      <c r="P156" s="114">
        <v>92541</v>
      </c>
      <c r="Q156" s="114">
        <v>5427</v>
      </c>
      <c r="R156" s="114">
        <v>5427</v>
      </c>
      <c r="S156" s="114">
        <v>0</v>
      </c>
      <c r="T156" s="114">
        <v>503</v>
      </c>
      <c r="U156" s="114">
        <v>153</v>
      </c>
      <c r="V156" s="114">
        <v>481</v>
      </c>
      <c r="W156" s="114">
        <v>22</v>
      </c>
      <c r="X156" s="114">
        <v>84</v>
      </c>
      <c r="Y156" s="114">
        <v>113</v>
      </c>
      <c r="Z156" s="114">
        <v>428890.002</v>
      </c>
      <c r="AA156" s="114">
        <v>0</v>
      </c>
      <c r="AB156" s="114">
        <v>0</v>
      </c>
      <c r="AC156" s="114">
        <v>7806.598</v>
      </c>
      <c r="AD156" s="114">
        <v>421035.145</v>
      </c>
      <c r="AE156" s="114">
        <v>765692.236</v>
      </c>
      <c r="AF156" s="114">
        <v>77750</v>
      </c>
      <c r="AG156" s="114">
        <v>9848.132</v>
      </c>
      <c r="AH156" s="114">
        <v>67883</v>
      </c>
      <c r="AI156" s="114">
        <v>3569.265</v>
      </c>
      <c r="AJ156" s="114">
        <v>0</v>
      </c>
      <c r="AK156" s="114">
        <v>0</v>
      </c>
      <c r="AL156" s="114">
        <v>0</v>
      </c>
      <c r="AM156" s="114">
        <v>0</v>
      </c>
      <c r="AN156" s="114">
        <v>1117</v>
      </c>
      <c r="AO156" s="114">
        <v>60.3585</v>
      </c>
      <c r="AP156" s="114"/>
      <c r="AQ156" s="114">
        <v>0</v>
      </c>
      <c r="AR156" s="114"/>
      <c r="AS156" s="114"/>
      <c r="AT156" s="114"/>
      <c r="AU156" s="114"/>
      <c r="AV156" s="114">
        <v>0</v>
      </c>
      <c r="AW156" s="114">
        <v>0</v>
      </c>
      <c r="AX156" s="114">
        <v>0</v>
      </c>
      <c r="AY156" s="114">
        <v>0</v>
      </c>
      <c r="AZ156" s="114">
        <v>203</v>
      </c>
      <c r="BA156" s="114">
        <v>7106</v>
      </c>
      <c r="BB156" s="116"/>
      <c r="BC156" s="116"/>
      <c r="BD156" s="116"/>
      <c r="BE156" s="116"/>
      <c r="BF156" s="116"/>
      <c r="BG156" s="116"/>
      <c r="BH156" s="116"/>
      <c r="BI156" s="116"/>
      <c r="BJ156" s="117">
        <v>149649</v>
      </c>
      <c r="BK156" s="133">
        <v>350</v>
      </c>
      <c r="BL156" s="119"/>
      <c r="BM156" s="118">
        <v>0</v>
      </c>
      <c r="BN156" s="131"/>
      <c r="BO156" s="119"/>
      <c r="BP156" s="119"/>
      <c r="BQ156" s="119"/>
      <c r="BR156" s="119"/>
      <c r="BS156" s="119"/>
      <c r="BT156" s="119"/>
      <c r="BU156" s="119"/>
      <c r="BV156" s="119"/>
      <c r="BW156" s="119"/>
      <c r="BX156" s="119"/>
    </row>
    <row r="157" s="96" customFormat="1" ht="15.75" customHeight="1" spans="1:76">
      <c r="A157" s="111">
        <v>156</v>
      </c>
      <c r="B157" s="112" t="s">
        <v>46</v>
      </c>
      <c r="C157" s="112" t="s">
        <v>134</v>
      </c>
      <c r="D157" s="111">
        <v>2024</v>
      </c>
      <c r="E157" s="113" t="s">
        <v>43</v>
      </c>
      <c r="F157" s="114">
        <v>76379</v>
      </c>
      <c r="G157" s="114">
        <v>76379</v>
      </c>
      <c r="H157" s="114">
        <v>2898.7141</v>
      </c>
      <c r="I157" s="114">
        <v>155</v>
      </c>
      <c r="J157" s="115">
        <v>0.00157407407407407</v>
      </c>
      <c r="K157" s="114">
        <v>22.15</v>
      </c>
      <c r="L157" s="114">
        <v>32</v>
      </c>
      <c r="M157" s="114">
        <v>845926</v>
      </c>
      <c r="N157" s="114">
        <v>7.93</v>
      </c>
      <c r="O157" s="114">
        <v>60014</v>
      </c>
      <c r="P157" s="114">
        <v>54440</v>
      </c>
      <c r="Q157" s="114">
        <v>5574</v>
      </c>
      <c r="R157" s="114">
        <v>5574</v>
      </c>
      <c r="S157" s="114">
        <v>0</v>
      </c>
      <c r="T157" s="114">
        <v>285</v>
      </c>
      <c r="U157" s="114">
        <v>130</v>
      </c>
      <c r="V157" s="114">
        <v>308</v>
      </c>
      <c r="W157" s="114">
        <v>12</v>
      </c>
      <c r="X157" s="114">
        <v>72</v>
      </c>
      <c r="Y157" s="114">
        <v>82</v>
      </c>
      <c r="Z157" s="114">
        <v>257144.324</v>
      </c>
      <c r="AA157" s="114">
        <v>0</v>
      </c>
      <c r="AB157" s="114">
        <v>0</v>
      </c>
      <c r="AC157" s="114">
        <v>4292.801</v>
      </c>
      <c r="AD157" s="114">
        <v>252809.973</v>
      </c>
      <c r="AE157" s="114">
        <v>459655.692</v>
      </c>
      <c r="AF157" s="114">
        <v>46109</v>
      </c>
      <c r="AG157" s="114">
        <v>9968.893</v>
      </c>
      <c r="AH157" s="114">
        <v>39413</v>
      </c>
      <c r="AI157" s="114">
        <v>3366.697</v>
      </c>
      <c r="AJ157" s="114">
        <v>0</v>
      </c>
      <c r="AK157" s="114">
        <v>0</v>
      </c>
      <c r="AL157" s="114">
        <v>0</v>
      </c>
      <c r="AM157" s="114">
        <v>0</v>
      </c>
      <c r="AN157" s="114">
        <v>730</v>
      </c>
      <c r="AO157" s="114">
        <v>35.7206</v>
      </c>
      <c r="AP157" s="114"/>
      <c r="AQ157" s="114">
        <v>0</v>
      </c>
      <c r="AR157" s="114"/>
      <c r="AS157" s="114"/>
      <c r="AT157" s="114"/>
      <c r="AU157" s="114"/>
      <c r="AV157" s="114">
        <v>0</v>
      </c>
      <c r="AW157" s="114">
        <v>0</v>
      </c>
      <c r="AX157" s="114">
        <v>0</v>
      </c>
      <c r="AY157" s="114">
        <v>0</v>
      </c>
      <c r="AZ157" s="114">
        <v>250</v>
      </c>
      <c r="BA157" s="114">
        <v>9117</v>
      </c>
      <c r="BB157" s="116"/>
      <c r="BC157" s="116"/>
      <c r="BD157" s="116"/>
      <c r="BE157" s="116"/>
      <c r="BF157" s="116"/>
      <c r="BG157" s="116"/>
      <c r="BH157" s="116"/>
      <c r="BI157" s="116"/>
      <c r="BJ157" s="117">
        <v>149804</v>
      </c>
      <c r="BK157" s="133">
        <v>155</v>
      </c>
      <c r="BL157" s="119"/>
      <c r="BM157" s="118">
        <v>0</v>
      </c>
      <c r="BN157" s="131"/>
      <c r="BO157" s="119"/>
      <c r="BP157" s="119"/>
      <c r="BQ157" s="119"/>
      <c r="BR157" s="119"/>
      <c r="BS157" s="119"/>
      <c r="BT157" s="119"/>
      <c r="BU157" s="119"/>
      <c r="BV157" s="119"/>
      <c r="BW157" s="119"/>
      <c r="BX157" s="119"/>
    </row>
    <row r="158" s="96" customFormat="1" ht="15.75" customHeight="1" spans="1:76">
      <c r="A158" s="111">
        <v>157</v>
      </c>
      <c r="B158" s="112" t="s">
        <v>46</v>
      </c>
      <c r="C158" s="112" t="s">
        <v>134</v>
      </c>
      <c r="D158" s="111">
        <v>2025</v>
      </c>
      <c r="E158" s="113" t="s">
        <v>31</v>
      </c>
      <c r="F158" s="114">
        <v>41904</v>
      </c>
      <c r="G158" s="114">
        <v>41904</v>
      </c>
      <c r="H158" s="114">
        <v>2426.7957</v>
      </c>
      <c r="I158" s="114">
        <v>70</v>
      </c>
      <c r="J158" s="115">
        <v>0.00240740740740741</v>
      </c>
      <c r="K158" s="114">
        <v>22.97</v>
      </c>
      <c r="L158" s="114">
        <v>0</v>
      </c>
      <c r="M158" s="114">
        <v>417664</v>
      </c>
      <c r="N158" s="114">
        <v>8.32</v>
      </c>
      <c r="O158" s="114">
        <v>29571</v>
      </c>
      <c r="P158" s="114">
        <v>26214</v>
      </c>
      <c r="Q158" s="114">
        <v>3357</v>
      </c>
      <c r="R158" s="114">
        <v>3357</v>
      </c>
      <c r="S158" s="114">
        <v>0</v>
      </c>
      <c r="T158" s="114">
        <v>193</v>
      </c>
      <c r="U158" s="114">
        <v>123</v>
      </c>
      <c r="V158" s="114">
        <v>142</v>
      </c>
      <c r="W158" s="114">
        <v>5</v>
      </c>
      <c r="X158" s="114">
        <v>39</v>
      </c>
      <c r="Y158" s="114">
        <v>40</v>
      </c>
      <c r="Z158" s="114">
        <v>123193.037</v>
      </c>
      <c r="AA158" s="114">
        <v>0</v>
      </c>
      <c r="AB158" s="114">
        <v>0</v>
      </c>
      <c r="AC158" s="114">
        <v>4782.385</v>
      </c>
      <c r="AD158" s="114">
        <v>118402.617</v>
      </c>
      <c r="AE158" s="114">
        <v>215277.894</v>
      </c>
      <c r="AF158" s="114">
        <v>22003</v>
      </c>
      <c r="AG158" s="114">
        <v>9784.025</v>
      </c>
      <c r="AH158" s="114">
        <v>18768</v>
      </c>
      <c r="AI158" s="114">
        <v>2939.887</v>
      </c>
      <c r="AJ158" s="114">
        <v>0</v>
      </c>
      <c r="AK158" s="114">
        <v>0</v>
      </c>
      <c r="AL158" s="114">
        <v>0</v>
      </c>
      <c r="AM158" s="114">
        <v>0</v>
      </c>
      <c r="AN158" s="114">
        <v>674</v>
      </c>
      <c r="AO158" s="114">
        <v>63.259</v>
      </c>
      <c r="AP158" s="114"/>
      <c r="AQ158" s="114">
        <v>0</v>
      </c>
      <c r="AR158" s="114"/>
      <c r="AS158" s="114"/>
      <c r="AT158" s="114"/>
      <c r="AU158" s="114"/>
      <c r="AV158" s="114">
        <v>0</v>
      </c>
      <c r="AW158" s="114">
        <v>0</v>
      </c>
      <c r="AX158" s="114">
        <v>0</v>
      </c>
      <c r="AY158" s="114">
        <v>0</v>
      </c>
      <c r="AZ158" s="114">
        <v>271</v>
      </c>
      <c r="BA158" s="114">
        <v>9450</v>
      </c>
      <c r="BB158" s="116"/>
      <c r="BC158" s="116"/>
      <c r="BD158" s="116"/>
      <c r="BE158" s="116"/>
      <c r="BF158" s="116"/>
      <c r="BG158" s="116"/>
      <c r="BH158" s="116"/>
      <c r="BI158" s="116"/>
      <c r="BJ158" s="117">
        <v>149874</v>
      </c>
      <c r="BK158" s="133">
        <v>70</v>
      </c>
      <c r="BL158" s="133">
        <v>0</v>
      </c>
      <c r="BM158" s="118">
        <v>0</v>
      </c>
      <c r="BN158" s="118">
        <v>0</v>
      </c>
      <c r="BO158" s="119"/>
      <c r="BP158" s="119"/>
      <c r="BQ158" s="119"/>
      <c r="BR158" s="119"/>
      <c r="BS158" s="119"/>
      <c r="BT158" s="119"/>
      <c r="BU158" s="119"/>
      <c r="BV158" s="119"/>
      <c r="BW158" s="119"/>
      <c r="BX158" s="119"/>
    </row>
    <row r="159" s="96" customFormat="1" ht="15.75" customHeight="1" spans="1:76">
      <c r="A159" s="111">
        <v>158</v>
      </c>
      <c r="B159" s="112" t="s">
        <v>46</v>
      </c>
      <c r="C159" s="112" t="s">
        <v>134</v>
      </c>
      <c r="D159" s="111">
        <v>2025</v>
      </c>
      <c r="E159" s="113" t="s">
        <v>33</v>
      </c>
      <c r="F159" s="114">
        <v>39356</v>
      </c>
      <c r="G159" s="114">
        <v>39356</v>
      </c>
      <c r="H159" s="114">
        <v>2296.8834</v>
      </c>
      <c r="I159" s="114">
        <v>85</v>
      </c>
      <c r="J159" s="115">
        <v>0.00243055555555556</v>
      </c>
      <c r="K159" s="114">
        <v>20.99</v>
      </c>
      <c r="L159" s="114"/>
      <c r="M159" s="114">
        <v>413258</v>
      </c>
      <c r="N159" s="114">
        <v>7.95</v>
      </c>
      <c r="O159" s="114">
        <v>28926</v>
      </c>
      <c r="P159" s="114">
        <v>25954</v>
      </c>
      <c r="Q159" s="114">
        <v>2972</v>
      </c>
      <c r="R159" s="114">
        <v>2972</v>
      </c>
      <c r="S159" s="114">
        <v>0</v>
      </c>
      <c r="T159" s="114">
        <v>148</v>
      </c>
      <c r="U159" s="114">
        <v>63</v>
      </c>
      <c r="V159" s="114">
        <v>121</v>
      </c>
      <c r="W159" s="114">
        <v>6</v>
      </c>
      <c r="X159" s="114">
        <v>61</v>
      </c>
      <c r="Y159" s="114">
        <v>29</v>
      </c>
      <c r="Z159" s="114">
        <v>140273.712</v>
      </c>
      <c r="AA159" s="114">
        <v>0</v>
      </c>
      <c r="AB159" s="114">
        <v>0</v>
      </c>
      <c r="AC159" s="114">
        <v>4493.672</v>
      </c>
      <c r="AD159" s="114">
        <v>135778.651</v>
      </c>
      <c r="AE159" s="114">
        <v>246869.675</v>
      </c>
      <c r="AF159" s="114">
        <v>23645</v>
      </c>
      <c r="AG159" s="114">
        <v>10440.671</v>
      </c>
      <c r="AH159" s="114">
        <v>19444</v>
      </c>
      <c r="AI159" s="114">
        <v>3564.233</v>
      </c>
      <c r="AJ159" s="114">
        <v>0</v>
      </c>
      <c r="AK159" s="114">
        <v>0</v>
      </c>
      <c r="AL159" s="114">
        <v>0</v>
      </c>
      <c r="AM159" s="114">
        <v>0</v>
      </c>
      <c r="AN159" s="114">
        <v>579</v>
      </c>
      <c r="AO159" s="114">
        <v>53.3566</v>
      </c>
      <c r="AP159" s="114"/>
      <c r="AQ159" s="114">
        <v>0</v>
      </c>
      <c r="AR159" s="114"/>
      <c r="AS159" s="114"/>
      <c r="AT159" s="114"/>
      <c r="AU159" s="114"/>
      <c r="AV159" s="114">
        <v>0</v>
      </c>
      <c r="AW159" s="114">
        <v>0</v>
      </c>
      <c r="AX159" s="114">
        <v>0</v>
      </c>
      <c r="AY159" s="114">
        <v>0</v>
      </c>
      <c r="AZ159" s="114">
        <v>202</v>
      </c>
      <c r="BA159" s="114">
        <v>6358</v>
      </c>
      <c r="BB159" s="116"/>
      <c r="BC159" s="116"/>
      <c r="BD159" s="116"/>
      <c r="BE159" s="116"/>
      <c r="BF159" s="116"/>
      <c r="BG159" s="116"/>
      <c r="BH159" s="116"/>
      <c r="BI159" s="116"/>
      <c r="BJ159" s="117">
        <v>149959</v>
      </c>
      <c r="BK159" s="133">
        <v>85</v>
      </c>
      <c r="BL159" s="133">
        <v>0</v>
      </c>
      <c r="BM159" s="118">
        <v>0</v>
      </c>
      <c r="BN159" s="118">
        <v>0</v>
      </c>
      <c r="BO159" s="119"/>
      <c r="BP159" s="119"/>
      <c r="BQ159" s="119"/>
      <c r="BR159" s="119"/>
      <c r="BS159" s="119"/>
      <c r="BT159" s="119"/>
      <c r="BU159" s="119"/>
      <c r="BV159" s="119"/>
      <c r="BW159" s="119"/>
      <c r="BX159" s="119"/>
    </row>
    <row r="160" s="96" customFormat="1" ht="15.75" customHeight="1" spans="1:76">
      <c r="A160" s="111">
        <v>159</v>
      </c>
      <c r="B160" s="112" t="s">
        <v>46</v>
      </c>
      <c r="C160" s="112" t="s">
        <v>134</v>
      </c>
      <c r="D160" s="111">
        <v>2025</v>
      </c>
      <c r="E160" s="113" t="s">
        <v>34</v>
      </c>
      <c r="F160" s="114">
        <v>32821</v>
      </c>
      <c r="G160" s="114">
        <v>32821</v>
      </c>
      <c r="H160" s="114">
        <v>1742.546</v>
      </c>
      <c r="I160" s="114">
        <v>-7</v>
      </c>
      <c r="J160" s="115">
        <v>0.00221064814814815</v>
      </c>
      <c r="K160" s="114">
        <v>20.42</v>
      </c>
      <c r="L160" s="114"/>
      <c r="M160" s="114">
        <v>329504</v>
      </c>
      <c r="N160" s="114">
        <v>7.77</v>
      </c>
      <c r="O160" s="114">
        <v>22454</v>
      </c>
      <c r="P160" s="114">
        <v>20116</v>
      </c>
      <c r="Q160" s="114">
        <v>2348</v>
      </c>
      <c r="R160" s="114">
        <v>2265</v>
      </c>
      <c r="S160" s="114">
        <v>83</v>
      </c>
      <c r="T160" s="114">
        <v>135</v>
      </c>
      <c r="U160" s="114">
        <v>142</v>
      </c>
      <c r="V160" s="114">
        <v>46</v>
      </c>
      <c r="W160" s="114">
        <v>-1</v>
      </c>
      <c r="X160" s="114">
        <v>27</v>
      </c>
      <c r="Y160" s="114">
        <v>15</v>
      </c>
      <c r="Z160" s="114">
        <v>123782.71</v>
      </c>
      <c r="AA160" s="114">
        <v>0</v>
      </c>
      <c r="AB160" s="114">
        <v>0</v>
      </c>
      <c r="AC160" s="114">
        <v>2552.902</v>
      </c>
      <c r="AD160" s="114">
        <v>121227.739</v>
      </c>
      <c r="AE160" s="114">
        <v>220413.397</v>
      </c>
      <c r="AF160" s="114">
        <v>20809</v>
      </c>
      <c r="AG160" s="114">
        <v>10592.215</v>
      </c>
      <c r="AH160" s="114">
        <v>16750</v>
      </c>
      <c r="AI160" s="114">
        <v>3771.454</v>
      </c>
      <c r="AJ160" s="114">
        <v>0</v>
      </c>
      <c r="AK160" s="114">
        <v>0</v>
      </c>
      <c r="AL160" s="114">
        <v>0</v>
      </c>
      <c r="AM160" s="114">
        <v>0</v>
      </c>
      <c r="AN160" s="114">
        <v>370</v>
      </c>
      <c r="AO160" s="114">
        <v>23.8613</v>
      </c>
      <c r="AP160" s="114"/>
      <c r="AQ160" s="114">
        <v>0</v>
      </c>
      <c r="AR160" s="114"/>
      <c r="AS160" s="114"/>
      <c r="AT160" s="114">
        <v>4</v>
      </c>
      <c r="AU160" s="114">
        <v>4232</v>
      </c>
      <c r="AV160" s="114">
        <v>0</v>
      </c>
      <c r="AW160" s="114">
        <v>0</v>
      </c>
      <c r="AX160" s="114">
        <v>0</v>
      </c>
      <c r="AY160" s="114">
        <v>0</v>
      </c>
      <c r="AZ160" s="114">
        <v>134</v>
      </c>
      <c r="BA160" s="114">
        <v>5008</v>
      </c>
      <c r="BB160" s="116"/>
      <c r="BC160" s="116"/>
      <c r="BD160" s="116"/>
      <c r="BE160" s="116"/>
      <c r="BF160" s="116"/>
      <c r="BG160" s="116"/>
      <c r="BH160" s="116"/>
      <c r="BI160" s="116"/>
      <c r="BJ160" s="117">
        <v>149952</v>
      </c>
      <c r="BK160" s="133">
        <v>-7</v>
      </c>
      <c r="BL160" s="133">
        <v>0</v>
      </c>
      <c r="BM160" s="118">
        <v>0</v>
      </c>
      <c r="BN160" s="118">
        <v>0</v>
      </c>
      <c r="BO160" s="119"/>
      <c r="BP160" s="119"/>
      <c r="BQ160" s="119"/>
      <c r="BR160" s="119"/>
      <c r="BS160" s="119"/>
      <c r="BT160" s="119"/>
      <c r="BU160" s="119"/>
      <c r="BV160" s="119"/>
      <c r="BW160" s="119"/>
      <c r="BX160" s="119"/>
    </row>
    <row r="161" s="96" customFormat="1" ht="15.75" customHeight="1" spans="1:76">
      <c r="A161" s="111">
        <v>160</v>
      </c>
      <c r="B161" s="112" t="s">
        <v>46</v>
      </c>
      <c r="C161" s="112" t="s">
        <v>134</v>
      </c>
      <c r="D161" s="111">
        <v>2025</v>
      </c>
      <c r="E161" s="113" t="s">
        <v>35</v>
      </c>
      <c r="F161" s="114">
        <v>21246</v>
      </c>
      <c r="G161" s="114">
        <v>21244</v>
      </c>
      <c r="H161" s="114">
        <v>1140.6951</v>
      </c>
      <c r="I161" s="114">
        <v>-26</v>
      </c>
      <c r="J161" s="115">
        <v>0.0022337962962963</v>
      </c>
      <c r="K161" s="114">
        <v>21.71</v>
      </c>
      <c r="L161" s="114"/>
      <c r="M161" s="114">
        <v>224558</v>
      </c>
      <c r="N161" s="114">
        <v>6.79</v>
      </c>
      <c r="O161" s="114">
        <v>11527</v>
      </c>
      <c r="P161" s="114">
        <v>9801</v>
      </c>
      <c r="Q161" s="114">
        <v>1712</v>
      </c>
      <c r="R161" s="114">
        <v>1568</v>
      </c>
      <c r="S161" s="114">
        <v>144</v>
      </c>
      <c r="T161" s="114">
        <v>83</v>
      </c>
      <c r="U161" s="114">
        <v>109</v>
      </c>
      <c r="V161" s="114">
        <v>-15</v>
      </c>
      <c r="W161" s="114">
        <v>0</v>
      </c>
      <c r="X161" s="114">
        <v>46</v>
      </c>
      <c r="Y161" s="114">
        <v>10</v>
      </c>
      <c r="Z161" s="114">
        <v>58415.366</v>
      </c>
      <c r="AA161" s="114">
        <v>0</v>
      </c>
      <c r="AB161" s="114">
        <v>0</v>
      </c>
      <c r="AC161" s="114">
        <v>2446.067</v>
      </c>
      <c r="AD161" s="114">
        <v>55968.49</v>
      </c>
      <c r="AE161" s="114">
        <v>101760.387</v>
      </c>
      <c r="AF161" s="114">
        <v>10008</v>
      </c>
      <c r="AG161" s="114">
        <v>10167.904</v>
      </c>
      <c r="AH161" s="114">
        <v>7977</v>
      </c>
      <c r="AI161" s="114">
        <v>2749.736</v>
      </c>
      <c r="AJ161" s="114">
        <v>0</v>
      </c>
      <c r="AK161" s="114">
        <v>0</v>
      </c>
      <c r="AL161" s="114">
        <v>0</v>
      </c>
      <c r="AM161" s="114">
        <v>0</v>
      </c>
      <c r="AN161" s="114">
        <v>314</v>
      </c>
      <c r="AO161" s="114">
        <v>24.6295</v>
      </c>
      <c r="AP161" s="114"/>
      <c r="AQ161" s="114">
        <v>0</v>
      </c>
      <c r="AR161" s="114"/>
      <c r="AS161" s="114"/>
      <c r="AT161" s="114"/>
      <c r="AU161" s="114">
        <v>4</v>
      </c>
      <c r="AV161" s="114">
        <v>0</v>
      </c>
      <c r="AW161" s="114">
        <v>0</v>
      </c>
      <c r="AX161" s="114">
        <v>0</v>
      </c>
      <c r="AY161" s="114">
        <v>0</v>
      </c>
      <c r="AZ161" s="114">
        <v>73</v>
      </c>
      <c r="BA161" s="114">
        <v>4735</v>
      </c>
      <c r="BB161" s="116"/>
      <c r="BC161" s="116"/>
      <c r="BD161" s="116"/>
      <c r="BE161" s="116"/>
      <c r="BF161" s="116"/>
      <c r="BG161" s="116"/>
      <c r="BH161" s="116"/>
      <c r="BI161" s="116"/>
      <c r="BJ161" s="117">
        <v>149926</v>
      </c>
      <c r="BK161" s="133">
        <v>-26</v>
      </c>
      <c r="BL161" s="133">
        <v>0</v>
      </c>
      <c r="BM161" s="118">
        <v>0</v>
      </c>
      <c r="BN161" s="118">
        <v>0</v>
      </c>
      <c r="BO161" s="119"/>
      <c r="BP161" s="119"/>
      <c r="BQ161" s="119"/>
      <c r="BR161" s="119"/>
      <c r="BS161" s="119"/>
      <c r="BT161" s="119"/>
      <c r="BU161" s="119"/>
      <c r="BV161" s="119"/>
      <c r="BW161" s="119"/>
      <c r="BX161" s="119"/>
    </row>
    <row r="162" s="96" customFormat="1" ht="15.75" customHeight="1" spans="1:76">
      <c r="A162" s="111">
        <v>161</v>
      </c>
      <c r="B162" s="112" t="s">
        <v>46</v>
      </c>
      <c r="C162" s="112" t="s">
        <v>134</v>
      </c>
      <c r="D162" s="111">
        <v>2025</v>
      </c>
      <c r="E162" s="113" t="s">
        <v>36</v>
      </c>
      <c r="F162" s="114">
        <v>53849</v>
      </c>
      <c r="G162" s="114">
        <v>53849</v>
      </c>
      <c r="H162" s="114">
        <v>3230.1675</v>
      </c>
      <c r="I162" s="114">
        <v>123</v>
      </c>
      <c r="J162" s="115">
        <v>0.00248842592592593</v>
      </c>
      <c r="K162" s="114">
        <v>23.41</v>
      </c>
      <c r="L162" s="114"/>
      <c r="M162" s="114">
        <v>480104</v>
      </c>
      <c r="N162" s="114">
        <v>9.3</v>
      </c>
      <c r="O162" s="114">
        <v>42180</v>
      </c>
      <c r="P162" s="114">
        <v>38766</v>
      </c>
      <c r="Q162" s="114">
        <v>3414</v>
      </c>
      <c r="R162" s="114">
        <v>3284</v>
      </c>
      <c r="S162" s="114">
        <v>130</v>
      </c>
      <c r="T162" s="114">
        <v>244</v>
      </c>
      <c r="U162" s="114">
        <v>121</v>
      </c>
      <c r="V162" s="114">
        <v>323</v>
      </c>
      <c r="W162" s="114">
        <v>7</v>
      </c>
      <c r="X162" s="114">
        <v>39</v>
      </c>
      <c r="Y162" s="114">
        <v>48</v>
      </c>
      <c r="Z162" s="114">
        <v>152969.48</v>
      </c>
      <c r="AA162" s="114">
        <v>0</v>
      </c>
      <c r="AB162" s="114">
        <v>0</v>
      </c>
      <c r="AC162" s="114">
        <v>3810.681</v>
      </c>
      <c r="AD162" s="114">
        <v>149158.799</v>
      </c>
      <c r="AE162" s="114">
        <v>271198.352</v>
      </c>
      <c r="AF162" s="114">
        <v>32625</v>
      </c>
      <c r="AG162" s="114">
        <v>8312.593</v>
      </c>
      <c r="AH162" s="114">
        <v>28426</v>
      </c>
      <c r="AI162" s="114">
        <v>2840.72</v>
      </c>
      <c r="AJ162" s="114">
        <v>0</v>
      </c>
      <c r="AK162" s="114">
        <v>0</v>
      </c>
      <c r="AL162" s="114">
        <v>0</v>
      </c>
      <c r="AM162" s="114">
        <v>0</v>
      </c>
      <c r="AN162" s="114">
        <v>571</v>
      </c>
      <c r="AO162" s="114">
        <v>35.6652</v>
      </c>
      <c r="AP162" s="114"/>
      <c r="AQ162" s="114">
        <v>0</v>
      </c>
      <c r="AR162" s="114"/>
      <c r="AS162" s="114"/>
      <c r="AT162" s="114"/>
      <c r="AU162" s="114">
        <v>19</v>
      </c>
      <c r="AV162" s="114">
        <v>1</v>
      </c>
      <c r="AW162" s="114">
        <v>0.0564</v>
      </c>
      <c r="AX162" s="114">
        <v>0</v>
      </c>
      <c r="AY162" s="114">
        <v>1</v>
      </c>
      <c r="AZ162" s="114">
        <v>130</v>
      </c>
      <c r="BA162" s="114">
        <v>5738</v>
      </c>
      <c r="BB162" s="116"/>
      <c r="BC162" s="116"/>
      <c r="BD162" s="116"/>
      <c r="BE162" s="116"/>
      <c r="BF162" s="116"/>
      <c r="BG162" s="116"/>
      <c r="BH162" s="116"/>
      <c r="BI162" s="116"/>
      <c r="BJ162" s="117">
        <v>150049</v>
      </c>
      <c r="BK162" s="133">
        <v>123</v>
      </c>
      <c r="BL162" s="133">
        <v>0</v>
      </c>
      <c r="BM162" s="118">
        <v>0</v>
      </c>
      <c r="BN162" s="118">
        <v>0</v>
      </c>
      <c r="BO162" s="119"/>
      <c r="BP162" s="119"/>
      <c r="BQ162" s="119"/>
      <c r="BR162" s="119"/>
      <c r="BS162" s="119"/>
      <c r="BT162" s="119"/>
      <c r="BU162" s="119"/>
      <c r="BV162" s="119"/>
      <c r="BW162" s="119"/>
      <c r="BX162" s="119"/>
    </row>
    <row r="163" s="96" customFormat="1" ht="15.75" customHeight="1" spans="1:76">
      <c r="A163" s="111">
        <v>162</v>
      </c>
      <c r="B163" s="112" t="s">
        <v>46</v>
      </c>
      <c r="C163" s="112" t="s">
        <v>134</v>
      </c>
      <c r="D163" s="111">
        <v>2025</v>
      </c>
      <c r="E163" s="113" t="s">
        <v>37</v>
      </c>
      <c r="F163" s="114">
        <v>101646</v>
      </c>
      <c r="G163" s="114">
        <v>101646</v>
      </c>
      <c r="H163" s="114">
        <v>5356.0775</v>
      </c>
      <c r="I163" s="114">
        <v>209</v>
      </c>
      <c r="J163" s="115">
        <v>0.0021875</v>
      </c>
      <c r="K163" s="114">
        <v>24.59</v>
      </c>
      <c r="L163" s="114"/>
      <c r="M163" s="114">
        <v>953993</v>
      </c>
      <c r="N163" s="114">
        <v>9.15</v>
      </c>
      <c r="O163" s="114">
        <v>85802</v>
      </c>
      <c r="P163" s="114">
        <v>80616</v>
      </c>
      <c r="Q163" s="114">
        <v>5186</v>
      </c>
      <c r="R163" s="114">
        <v>5048</v>
      </c>
      <c r="S163" s="114">
        <v>138</v>
      </c>
      <c r="T163" s="114">
        <v>338</v>
      </c>
      <c r="U163" s="114">
        <v>129</v>
      </c>
      <c r="V163" s="114">
        <v>497</v>
      </c>
      <c r="W163" s="114">
        <v>30</v>
      </c>
      <c r="X163" s="114">
        <v>51</v>
      </c>
      <c r="Y163" s="114">
        <v>95</v>
      </c>
      <c r="Z163" s="114">
        <v>284224.502</v>
      </c>
      <c r="AA163" s="114">
        <v>0</v>
      </c>
      <c r="AB163" s="114">
        <v>0</v>
      </c>
      <c r="AC163" s="114">
        <v>10958.737</v>
      </c>
      <c r="AD163" s="114">
        <v>273265.765</v>
      </c>
      <c r="AE163" s="114">
        <v>496847.202</v>
      </c>
      <c r="AF163" s="114">
        <v>56764</v>
      </c>
      <c r="AG163" s="114">
        <v>8752.857</v>
      </c>
      <c r="AH163" s="114">
        <v>49682</v>
      </c>
      <c r="AI163" s="114">
        <v>2796.219</v>
      </c>
      <c r="AJ163" s="114">
        <v>0</v>
      </c>
      <c r="AK163" s="114">
        <v>0</v>
      </c>
      <c r="AL163" s="114">
        <v>0</v>
      </c>
      <c r="AM163" s="114">
        <v>0</v>
      </c>
      <c r="AN163" s="114">
        <v>2007</v>
      </c>
      <c r="AO163" s="114">
        <v>85.8347</v>
      </c>
      <c r="AP163" s="114"/>
      <c r="AQ163" s="114">
        <v>0</v>
      </c>
      <c r="AR163" s="114"/>
      <c r="AS163" s="114"/>
      <c r="AT163" s="114"/>
      <c r="AU163" s="114">
        <v>32</v>
      </c>
      <c r="AV163" s="114">
        <v>0</v>
      </c>
      <c r="AW163" s="114">
        <v>0</v>
      </c>
      <c r="AX163" s="114">
        <v>0</v>
      </c>
      <c r="AY163" s="114">
        <v>1</v>
      </c>
      <c r="AZ163" s="114">
        <v>158</v>
      </c>
      <c r="BA163" s="114">
        <v>4852</v>
      </c>
      <c r="BB163" s="116"/>
      <c r="BC163" s="116"/>
      <c r="BD163" s="116"/>
      <c r="BE163" s="116"/>
      <c r="BF163" s="116"/>
      <c r="BG163" s="116"/>
      <c r="BH163" s="116"/>
      <c r="BI163" s="116"/>
      <c r="BJ163" s="117">
        <v>150258</v>
      </c>
      <c r="BK163" s="133">
        <v>209</v>
      </c>
      <c r="BL163" s="133">
        <v>0</v>
      </c>
      <c r="BM163" s="118">
        <v>0</v>
      </c>
      <c r="BN163" s="118">
        <v>0</v>
      </c>
      <c r="BO163" s="119"/>
      <c r="BP163" s="119"/>
      <c r="BQ163" s="119"/>
      <c r="BR163" s="119"/>
      <c r="BS163" s="119"/>
      <c r="BT163" s="119"/>
      <c r="BU163" s="119"/>
      <c r="BV163" s="119"/>
      <c r="BW163" s="119"/>
      <c r="BX163" s="119"/>
    </row>
    <row r="164" s="96" customFormat="1" ht="15.75" customHeight="1" spans="1:76">
      <c r="A164" s="111">
        <v>163</v>
      </c>
      <c r="B164" s="112" t="s">
        <v>46</v>
      </c>
      <c r="C164" s="112" t="s">
        <v>134</v>
      </c>
      <c r="D164" s="111">
        <v>2025</v>
      </c>
      <c r="E164" s="113" t="s">
        <v>38</v>
      </c>
      <c r="F164" s="114">
        <v>133298</v>
      </c>
      <c r="G164" s="114">
        <v>133297</v>
      </c>
      <c r="H164" s="114">
        <v>8566.8741</v>
      </c>
      <c r="I164" s="114">
        <v>531</v>
      </c>
      <c r="J164" s="115">
        <v>0.00267361111111111</v>
      </c>
      <c r="K164" s="114">
        <v>29.61</v>
      </c>
      <c r="L164" s="114">
        <v>7</v>
      </c>
      <c r="M164" s="114">
        <v>1316083</v>
      </c>
      <c r="N164" s="114">
        <v>8.45</v>
      </c>
      <c r="O164" s="114">
        <v>117058</v>
      </c>
      <c r="P164" s="114">
        <v>111077</v>
      </c>
      <c r="Q164" s="114">
        <v>5981</v>
      </c>
      <c r="R164" s="114">
        <v>5843</v>
      </c>
      <c r="S164" s="114">
        <v>138</v>
      </c>
      <c r="T164" s="114">
        <v>697</v>
      </c>
      <c r="U164" s="114">
        <v>166</v>
      </c>
      <c r="V164" s="114">
        <v>700</v>
      </c>
      <c r="W164" s="114">
        <v>36</v>
      </c>
      <c r="X164" s="114">
        <v>129</v>
      </c>
      <c r="Y164" s="114">
        <v>389</v>
      </c>
      <c r="Z164" s="114">
        <v>504135.652</v>
      </c>
      <c r="AA164" s="114">
        <v>0</v>
      </c>
      <c r="AB164" s="114">
        <v>0</v>
      </c>
      <c r="AC164" s="114">
        <v>12861.723</v>
      </c>
      <c r="AD164" s="114">
        <v>491273.716</v>
      </c>
      <c r="AE164" s="114">
        <v>893224.986</v>
      </c>
      <c r="AF164" s="114">
        <v>106809</v>
      </c>
      <c r="AG164" s="114">
        <v>8362.825</v>
      </c>
      <c r="AH164" s="114">
        <v>96667</v>
      </c>
      <c r="AI164" s="114">
        <v>3782.046</v>
      </c>
      <c r="AJ164" s="114">
        <v>0</v>
      </c>
      <c r="AK164" s="114">
        <v>0</v>
      </c>
      <c r="AL164" s="114">
        <v>0</v>
      </c>
      <c r="AM164" s="114">
        <v>0</v>
      </c>
      <c r="AN164" s="114">
        <v>1732</v>
      </c>
      <c r="AO164" s="114">
        <v>108.1765</v>
      </c>
      <c r="AP164" s="114"/>
      <c r="AQ164" s="114">
        <v>0</v>
      </c>
      <c r="AR164" s="114"/>
      <c r="AS164" s="114"/>
      <c r="AT164" s="114"/>
      <c r="AU164" s="114">
        <v>39</v>
      </c>
      <c r="AV164" s="114">
        <v>0</v>
      </c>
      <c r="AW164" s="114">
        <v>0</v>
      </c>
      <c r="AX164" s="114">
        <v>0</v>
      </c>
      <c r="AY164" s="114">
        <v>2</v>
      </c>
      <c r="AZ164" s="114">
        <v>160</v>
      </c>
      <c r="BA164" s="114">
        <v>4467</v>
      </c>
      <c r="BB164" s="116"/>
      <c r="BC164" s="116"/>
      <c r="BD164" s="116"/>
      <c r="BE164" s="116"/>
      <c r="BF164" s="116"/>
      <c r="BG164" s="116"/>
      <c r="BH164" s="116"/>
      <c r="BI164" s="116"/>
      <c r="BJ164" s="117">
        <v>150789</v>
      </c>
      <c r="BK164" s="133">
        <v>531</v>
      </c>
      <c r="BL164" s="117">
        <v>50016</v>
      </c>
      <c r="BM164" s="118">
        <v>201450</v>
      </c>
      <c r="BN164" s="118">
        <v>11.85</v>
      </c>
      <c r="BO164" s="120">
        <v>0.778</v>
      </c>
      <c r="BP164" s="120">
        <v>0.222</v>
      </c>
      <c r="BQ164" s="119"/>
      <c r="BR164" s="120">
        <v>0.007</v>
      </c>
      <c r="BS164" s="120">
        <v>0.069</v>
      </c>
      <c r="BT164" s="120">
        <v>0.366</v>
      </c>
      <c r="BU164" s="120">
        <v>0.332</v>
      </c>
      <c r="BV164" s="120">
        <v>0.156</v>
      </c>
      <c r="BW164" s="120">
        <v>0.057</v>
      </c>
      <c r="BX164" s="120">
        <v>0.013</v>
      </c>
    </row>
    <row r="165" s="96" customFormat="1" ht="15.75" customHeight="1" spans="1:76">
      <c r="A165" s="111">
        <v>164</v>
      </c>
      <c r="B165" s="112" t="s">
        <v>46</v>
      </c>
      <c r="C165" s="112" t="s">
        <v>134</v>
      </c>
      <c r="D165" s="111">
        <v>2025</v>
      </c>
      <c r="E165" s="113" t="s">
        <v>39</v>
      </c>
      <c r="F165" s="114">
        <v>380078</v>
      </c>
      <c r="G165" s="114">
        <v>364467</v>
      </c>
      <c r="H165" s="114">
        <v>44944.4885</v>
      </c>
      <c r="I165" s="114">
        <v>1632</v>
      </c>
      <c r="J165" s="115">
        <v>0.00512731481481481</v>
      </c>
      <c r="K165" s="114">
        <v>5.45</v>
      </c>
      <c r="L165" s="114">
        <v>252</v>
      </c>
      <c r="M165" s="114">
        <v>2905991</v>
      </c>
      <c r="N165" s="114">
        <v>9.2</v>
      </c>
      <c r="O165" s="114">
        <v>280059</v>
      </c>
      <c r="P165" s="114">
        <v>264118</v>
      </c>
      <c r="Q165" s="114">
        <v>15941</v>
      </c>
      <c r="R165" s="114">
        <v>15800</v>
      </c>
      <c r="S165" s="114">
        <v>141</v>
      </c>
      <c r="T165" s="114">
        <v>1849</v>
      </c>
      <c r="U165" s="114">
        <v>217</v>
      </c>
      <c r="V165" s="114">
        <v>2466</v>
      </c>
      <c r="W165" s="114">
        <v>134</v>
      </c>
      <c r="X165" s="114">
        <v>412</v>
      </c>
      <c r="Y165" s="114">
        <v>1067</v>
      </c>
      <c r="Z165" s="114">
        <v>3136906.996</v>
      </c>
      <c r="AA165" s="114">
        <v>0</v>
      </c>
      <c r="AB165" s="114">
        <v>0</v>
      </c>
      <c r="AC165" s="114">
        <v>162557.829</v>
      </c>
      <c r="AD165" s="114">
        <v>2967262.417</v>
      </c>
      <c r="AE165" s="114">
        <v>5394724.222</v>
      </c>
      <c r="AF165" s="114">
        <v>396334</v>
      </c>
      <c r="AG165" s="114">
        <v>13611.561</v>
      </c>
      <c r="AH165" s="114">
        <v>257409</v>
      </c>
      <c r="AI165" s="114">
        <v>8606.832</v>
      </c>
      <c r="AJ165" s="114">
        <v>0</v>
      </c>
      <c r="AK165" s="114">
        <v>0</v>
      </c>
      <c r="AL165" s="114">
        <v>0</v>
      </c>
      <c r="AM165" s="114">
        <v>0</v>
      </c>
      <c r="AN165" s="114">
        <v>5676</v>
      </c>
      <c r="AO165" s="114">
        <v>1107.7641</v>
      </c>
      <c r="AP165" s="114">
        <v>110.733</v>
      </c>
      <c r="AQ165" s="114">
        <v>8</v>
      </c>
      <c r="AR165" s="114">
        <v>4411</v>
      </c>
      <c r="AS165" s="114">
        <v>2203</v>
      </c>
      <c r="AT165" s="114"/>
      <c r="AU165" s="114">
        <v>26</v>
      </c>
      <c r="AV165" s="114">
        <v>0</v>
      </c>
      <c r="AW165" s="114">
        <v>0</v>
      </c>
      <c r="AX165" s="114">
        <v>1</v>
      </c>
      <c r="AY165" s="114">
        <v>23</v>
      </c>
      <c r="AZ165" s="114">
        <v>112</v>
      </c>
      <c r="BA165" s="114">
        <v>3754</v>
      </c>
      <c r="BB165" s="116"/>
      <c r="BC165" s="116"/>
      <c r="BD165" s="116"/>
      <c r="BE165" s="116"/>
      <c r="BF165" s="116"/>
      <c r="BG165" s="116"/>
      <c r="BH165" s="116"/>
      <c r="BI165" s="116"/>
      <c r="BJ165" s="117">
        <v>152308</v>
      </c>
      <c r="BK165" s="117">
        <v>1632</v>
      </c>
      <c r="BL165" s="117">
        <v>276945</v>
      </c>
      <c r="BM165" s="118">
        <v>2847500</v>
      </c>
      <c r="BN165" s="118">
        <v>167.5</v>
      </c>
      <c r="BO165" s="120">
        <v>0.593</v>
      </c>
      <c r="BP165" s="120">
        <v>0.407</v>
      </c>
      <c r="BQ165" s="134">
        <v>0</v>
      </c>
      <c r="BR165" s="120">
        <v>0.009</v>
      </c>
      <c r="BS165" s="120">
        <v>0.074</v>
      </c>
      <c r="BT165" s="120">
        <v>0.318</v>
      </c>
      <c r="BU165" s="120">
        <v>0.233</v>
      </c>
      <c r="BV165" s="120">
        <v>0.166</v>
      </c>
      <c r="BW165" s="120">
        <v>0.132</v>
      </c>
      <c r="BX165" s="120">
        <v>0.067</v>
      </c>
    </row>
    <row r="166" s="96" customFormat="1" ht="15.75" customHeight="1" spans="1:76">
      <c r="A166" s="111">
        <v>165</v>
      </c>
      <c r="B166" s="112" t="s">
        <v>46</v>
      </c>
      <c r="C166" s="112" t="s">
        <v>134</v>
      </c>
      <c r="D166" s="111">
        <v>2025</v>
      </c>
      <c r="E166" s="113" t="s">
        <v>40</v>
      </c>
      <c r="F166" s="114">
        <v>343500</v>
      </c>
      <c r="G166" s="114">
        <v>336741</v>
      </c>
      <c r="H166" s="114">
        <v>17841.0146</v>
      </c>
      <c r="I166" s="114">
        <v>964</v>
      </c>
      <c r="J166" s="115">
        <v>0.00219907407407407</v>
      </c>
      <c r="K166" s="114">
        <v>13.6</v>
      </c>
      <c r="L166" s="114">
        <v>217</v>
      </c>
      <c r="M166" s="114">
        <v>2630163</v>
      </c>
      <c r="N166" s="114">
        <v>11.07</v>
      </c>
      <c r="O166" s="114">
        <v>262619</v>
      </c>
      <c r="P166" s="114">
        <v>237518</v>
      </c>
      <c r="Q166" s="114">
        <v>25101</v>
      </c>
      <c r="R166" s="114">
        <v>24954</v>
      </c>
      <c r="S166" s="114">
        <v>147</v>
      </c>
      <c r="T166" s="114">
        <v>1152</v>
      </c>
      <c r="U166" s="114">
        <v>188</v>
      </c>
      <c r="V166" s="114">
        <v>1926</v>
      </c>
      <c r="W166" s="114">
        <v>97</v>
      </c>
      <c r="X166" s="114">
        <v>394</v>
      </c>
      <c r="Y166" s="114">
        <v>1681</v>
      </c>
      <c r="Z166" s="114">
        <v>900398</v>
      </c>
      <c r="AA166" s="114">
        <v>0</v>
      </c>
      <c r="AB166" s="114">
        <v>0</v>
      </c>
      <c r="AC166" s="114">
        <v>27006.825</v>
      </c>
      <c r="AD166" s="114">
        <v>870837.559</v>
      </c>
      <c r="AE166" s="114">
        <v>1604380.496</v>
      </c>
      <c r="AF166" s="114">
        <v>172174</v>
      </c>
      <c r="AG166" s="114">
        <v>9318.367</v>
      </c>
      <c r="AH166" s="114">
        <v>138002</v>
      </c>
      <c r="AI166" s="114">
        <v>2673.859</v>
      </c>
      <c r="AJ166" s="114">
        <v>0</v>
      </c>
      <c r="AK166" s="114">
        <v>0</v>
      </c>
      <c r="AL166" s="114">
        <v>0</v>
      </c>
      <c r="AM166" s="114">
        <v>0</v>
      </c>
      <c r="AN166" s="114">
        <v>2745</v>
      </c>
      <c r="AO166" s="114">
        <v>213.445</v>
      </c>
      <c r="AP166" s="114">
        <v>545.5559</v>
      </c>
      <c r="AQ166" s="114">
        <v>8</v>
      </c>
      <c r="AR166" s="114">
        <v>425</v>
      </c>
      <c r="AS166" s="114">
        <v>283</v>
      </c>
      <c r="AT166" s="114"/>
      <c r="AU166" s="114">
        <v>3</v>
      </c>
      <c r="AV166" s="114">
        <v>0</v>
      </c>
      <c r="AW166" s="114">
        <v>0</v>
      </c>
      <c r="AX166" s="114">
        <v>0</v>
      </c>
      <c r="AY166" s="114">
        <v>20</v>
      </c>
      <c r="AZ166" s="114">
        <v>137</v>
      </c>
      <c r="BA166" s="114">
        <v>3628</v>
      </c>
      <c r="BB166" s="116"/>
      <c r="BC166" s="116"/>
      <c r="BD166" s="116"/>
      <c r="BE166" s="116"/>
      <c r="BF166" s="116"/>
      <c r="BG166" s="116"/>
      <c r="BH166" s="116"/>
      <c r="BI166" s="116"/>
      <c r="BJ166" s="117">
        <v>153262</v>
      </c>
      <c r="BK166" s="133">
        <v>964</v>
      </c>
      <c r="BL166" s="117">
        <v>300955</v>
      </c>
      <c r="BM166" s="118">
        <v>752420</v>
      </c>
      <c r="BN166" s="118">
        <v>44.26</v>
      </c>
      <c r="BO166" s="120">
        <v>0.759</v>
      </c>
      <c r="BP166" s="120">
        <v>0.241</v>
      </c>
      <c r="BQ166" s="134">
        <v>0</v>
      </c>
      <c r="BR166" s="120">
        <v>0.01</v>
      </c>
      <c r="BS166" s="120">
        <v>0.059</v>
      </c>
      <c r="BT166" s="120">
        <v>0.308</v>
      </c>
      <c r="BU166" s="120">
        <v>0.308</v>
      </c>
      <c r="BV166" s="120">
        <v>0.181</v>
      </c>
      <c r="BW166" s="120">
        <v>0.096</v>
      </c>
      <c r="BX166" s="120">
        <v>0.037</v>
      </c>
    </row>
    <row r="167" s="96" customFormat="1" ht="15.75" customHeight="1" spans="1:76">
      <c r="A167" s="111">
        <v>166</v>
      </c>
      <c r="B167" s="112" t="s">
        <v>46</v>
      </c>
      <c r="C167" s="112" t="s">
        <v>134</v>
      </c>
      <c r="D167" s="111">
        <v>2025</v>
      </c>
      <c r="E167" s="113" t="s">
        <v>41</v>
      </c>
      <c r="F167" s="114">
        <v>422147</v>
      </c>
      <c r="G167" s="114">
        <v>416688</v>
      </c>
      <c r="H167" s="114">
        <v>16374.7092</v>
      </c>
      <c r="I167" s="114">
        <v>987</v>
      </c>
      <c r="J167" s="115">
        <v>0.00163194444444444</v>
      </c>
      <c r="K167" s="114">
        <v>17.17</v>
      </c>
      <c r="L167" s="114">
        <v>259</v>
      </c>
      <c r="M167" s="114">
        <v>2922965</v>
      </c>
      <c r="N167" s="114">
        <v>12.73</v>
      </c>
      <c r="O167" s="114">
        <v>331914</v>
      </c>
      <c r="P167" s="114">
        <v>275809</v>
      </c>
      <c r="Q167" s="114">
        <v>56105</v>
      </c>
      <c r="R167" s="114">
        <v>55971</v>
      </c>
      <c r="S167" s="114">
        <v>134</v>
      </c>
      <c r="T167" s="114">
        <v>1168</v>
      </c>
      <c r="U167" s="114">
        <v>181</v>
      </c>
      <c r="V167" s="114">
        <v>1977</v>
      </c>
      <c r="W167" s="114">
        <v>54</v>
      </c>
      <c r="X167" s="114">
        <v>530</v>
      </c>
      <c r="Y167" s="114">
        <v>1427</v>
      </c>
      <c r="Z167" s="114">
        <v>610899.051</v>
      </c>
      <c r="AA167" s="114">
        <v>0</v>
      </c>
      <c r="AB167" s="114">
        <v>0</v>
      </c>
      <c r="AC167" s="114">
        <v>28320.675</v>
      </c>
      <c r="AD167" s="114">
        <v>580949.347</v>
      </c>
      <c r="AE167" s="114">
        <v>1058699.125</v>
      </c>
      <c r="AF167" s="114">
        <v>107881</v>
      </c>
      <c r="AG167" s="114">
        <v>9813.583</v>
      </c>
      <c r="AH167" s="114">
        <v>85865</v>
      </c>
      <c r="AI167" s="114">
        <v>1466.083</v>
      </c>
      <c r="AJ167" s="114">
        <v>0</v>
      </c>
      <c r="AK167" s="114">
        <v>0</v>
      </c>
      <c r="AL167" s="114">
        <v>0</v>
      </c>
      <c r="AM167" s="114">
        <v>0</v>
      </c>
      <c r="AN167" s="114">
        <v>3950</v>
      </c>
      <c r="AO167" s="114">
        <v>209.6446</v>
      </c>
      <c r="AP167" s="114">
        <v>917.0546</v>
      </c>
      <c r="AQ167" s="114">
        <v>6</v>
      </c>
      <c r="AR167" s="114">
        <v>16</v>
      </c>
      <c r="AS167" s="114">
        <v>179</v>
      </c>
      <c r="AT167" s="114"/>
      <c r="AU167" s="114">
        <v>13</v>
      </c>
      <c r="AV167" s="114">
        <v>0</v>
      </c>
      <c r="AW167" s="114">
        <v>0</v>
      </c>
      <c r="AX167" s="114">
        <v>2</v>
      </c>
      <c r="AY167" s="114">
        <v>14</v>
      </c>
      <c r="AZ167" s="114">
        <v>133</v>
      </c>
      <c r="BA167" s="114">
        <v>3088</v>
      </c>
      <c r="BB167" s="116"/>
      <c r="BC167" s="116"/>
      <c r="BD167" s="116"/>
      <c r="BE167" s="116"/>
      <c r="BF167" s="116"/>
      <c r="BG167" s="116"/>
      <c r="BH167" s="116"/>
      <c r="BI167" s="116"/>
      <c r="BJ167" s="117">
        <v>154249</v>
      </c>
      <c r="BK167" s="133">
        <v>987</v>
      </c>
      <c r="BL167" s="117">
        <v>288135</v>
      </c>
      <c r="BM167" s="118">
        <v>306000</v>
      </c>
      <c r="BN167" s="118">
        <v>18</v>
      </c>
      <c r="BO167" s="120">
        <v>0.689</v>
      </c>
      <c r="BP167" s="120">
        <v>0.31</v>
      </c>
      <c r="BQ167" s="120">
        <v>0</v>
      </c>
      <c r="BR167" s="120">
        <v>0.011</v>
      </c>
      <c r="BS167" s="120">
        <v>0.051</v>
      </c>
      <c r="BT167" s="120">
        <v>0.302</v>
      </c>
      <c r="BU167" s="120">
        <v>0.314</v>
      </c>
      <c r="BV167" s="120">
        <v>0.187</v>
      </c>
      <c r="BW167" s="120">
        <v>0.099</v>
      </c>
      <c r="BX167" s="120">
        <v>0.036</v>
      </c>
    </row>
    <row r="168" s="96" customFormat="1" ht="15.75" customHeight="1" spans="1:76">
      <c r="A168" s="111">
        <v>167</v>
      </c>
      <c r="B168" s="112" t="s">
        <v>46</v>
      </c>
      <c r="C168" s="112" t="s">
        <v>134</v>
      </c>
      <c r="D168" s="111">
        <v>2025</v>
      </c>
      <c r="E168" s="113" t="s">
        <v>42</v>
      </c>
      <c r="F168" s="114">
        <v>312244</v>
      </c>
      <c r="G168" s="114">
        <v>312011</v>
      </c>
      <c r="H168" s="114">
        <v>16045.2452</v>
      </c>
      <c r="I168" s="114">
        <v>519</v>
      </c>
      <c r="J168" s="115">
        <v>0.0021412037037037</v>
      </c>
      <c r="K168" s="114">
        <v>22.58</v>
      </c>
      <c r="L168" s="114">
        <v>174</v>
      </c>
      <c r="M168" s="114">
        <v>2297333</v>
      </c>
      <c r="N168" s="114">
        <v>11.49</v>
      </c>
      <c r="O168" s="114">
        <v>245656</v>
      </c>
      <c r="P168" s="114">
        <v>184112</v>
      </c>
      <c r="Q168" s="114">
        <v>61783</v>
      </c>
      <c r="R168" s="114">
        <v>61637</v>
      </c>
      <c r="S168" s="114">
        <v>146</v>
      </c>
      <c r="T168" s="114">
        <v>701</v>
      </c>
      <c r="U168" s="114">
        <v>182</v>
      </c>
      <c r="V168" s="114">
        <v>1456</v>
      </c>
      <c r="W168" s="114">
        <v>64</v>
      </c>
      <c r="X168" s="114">
        <v>405</v>
      </c>
      <c r="Y168" s="114">
        <v>1870</v>
      </c>
      <c r="Z168" s="114">
        <v>962010.092</v>
      </c>
      <c r="AA168" s="114">
        <v>0</v>
      </c>
      <c r="AB168" s="114">
        <v>0</v>
      </c>
      <c r="AC168" s="114">
        <v>25309.878</v>
      </c>
      <c r="AD168" s="114">
        <v>936522.674</v>
      </c>
      <c r="AE168" s="114">
        <v>1702837.612</v>
      </c>
      <c r="AF168" s="114">
        <v>209358</v>
      </c>
      <c r="AG168" s="114">
        <v>8133.616</v>
      </c>
      <c r="AH168" s="114">
        <v>173765</v>
      </c>
      <c r="AI168" s="114">
        <v>3083.257</v>
      </c>
      <c r="AJ168" s="114">
        <v>0</v>
      </c>
      <c r="AK168" s="114">
        <v>0</v>
      </c>
      <c r="AL168" s="114">
        <v>0</v>
      </c>
      <c r="AM168" s="114">
        <v>0</v>
      </c>
      <c r="AN168" s="114">
        <v>3461</v>
      </c>
      <c r="AO168" s="114">
        <v>193.0542</v>
      </c>
      <c r="AP168" s="114">
        <v>459.9303</v>
      </c>
      <c r="AQ168" s="114">
        <v>0</v>
      </c>
      <c r="AR168" s="114">
        <v>3</v>
      </c>
      <c r="AS168" s="114">
        <v>0</v>
      </c>
      <c r="AT168" s="114"/>
      <c r="AU168" s="114"/>
      <c r="AV168" s="114">
        <v>0</v>
      </c>
      <c r="AW168" s="114">
        <v>0</v>
      </c>
      <c r="AX168" s="114">
        <v>0</v>
      </c>
      <c r="AY168" s="114">
        <v>2</v>
      </c>
      <c r="AZ168" s="114">
        <v>143</v>
      </c>
      <c r="BA168" s="114">
        <v>3591</v>
      </c>
      <c r="BB168" s="116"/>
      <c r="BC168" s="116"/>
      <c r="BD168" s="116"/>
      <c r="BE168" s="116"/>
      <c r="BF168" s="116"/>
      <c r="BG168" s="116"/>
      <c r="BH168" s="116"/>
      <c r="BI168" s="116"/>
      <c r="BJ168" s="117">
        <v>154768</v>
      </c>
      <c r="BK168" s="133">
        <v>519</v>
      </c>
      <c r="BL168" s="117">
        <v>183938</v>
      </c>
      <c r="BM168" s="118">
        <v>568480</v>
      </c>
      <c r="BN168" s="118">
        <v>33.44</v>
      </c>
      <c r="BO168" s="120">
        <v>0.759</v>
      </c>
      <c r="BP168" s="120">
        <v>0.241</v>
      </c>
      <c r="BQ168" s="134">
        <v>0</v>
      </c>
      <c r="BR168" s="120">
        <v>0.011</v>
      </c>
      <c r="BS168" s="120">
        <v>0.053</v>
      </c>
      <c r="BT168" s="120">
        <v>0.261</v>
      </c>
      <c r="BU168" s="120">
        <v>0.251</v>
      </c>
      <c r="BV168" s="120">
        <v>0.209</v>
      </c>
      <c r="BW168" s="120">
        <v>0.148</v>
      </c>
      <c r="BX168" s="120">
        <v>0.068</v>
      </c>
    </row>
    <row r="169" s="96" customFormat="1" ht="15.75" customHeight="1" spans="1:76">
      <c r="A169" s="111">
        <v>168</v>
      </c>
      <c r="B169" s="112" t="s">
        <v>46</v>
      </c>
      <c r="C169" s="112" t="s">
        <v>134</v>
      </c>
      <c r="D169" s="111">
        <v>2025</v>
      </c>
      <c r="E169" s="113" t="s">
        <v>43</v>
      </c>
      <c r="F169" s="114">
        <v>96864</v>
      </c>
      <c r="G169" s="114">
        <v>96695</v>
      </c>
      <c r="H169" s="114">
        <v>5871.8108</v>
      </c>
      <c r="I169" s="114">
        <v>96</v>
      </c>
      <c r="J169" s="115">
        <v>0.00252314814814815</v>
      </c>
      <c r="K169" s="114">
        <v>15.23</v>
      </c>
      <c r="L169" s="114">
        <v>203</v>
      </c>
      <c r="M169" s="114">
        <v>820117</v>
      </c>
      <c r="N169" s="114">
        <v>10.02</v>
      </c>
      <c r="O169" s="114">
        <v>77387</v>
      </c>
      <c r="P169" s="114">
        <v>58276</v>
      </c>
      <c r="Q169" s="114">
        <v>19108</v>
      </c>
      <c r="R169" s="114">
        <v>18967</v>
      </c>
      <c r="S169" s="114">
        <v>141</v>
      </c>
      <c r="T169" s="114">
        <v>227</v>
      </c>
      <c r="U169" s="114">
        <v>131</v>
      </c>
      <c r="V169" s="114">
        <v>487</v>
      </c>
      <c r="W169" s="114">
        <v>27</v>
      </c>
      <c r="X169" s="114">
        <v>188</v>
      </c>
      <c r="Y169" s="114">
        <v>833</v>
      </c>
      <c r="Z169" s="114">
        <v>365175.983</v>
      </c>
      <c r="AA169" s="114">
        <v>0</v>
      </c>
      <c r="AB169" s="114">
        <v>0</v>
      </c>
      <c r="AC169" s="114">
        <v>10840.908</v>
      </c>
      <c r="AD169" s="114">
        <v>354269.151</v>
      </c>
      <c r="AE169" s="114">
        <v>644125.589</v>
      </c>
      <c r="AF169" s="114">
        <v>75333</v>
      </c>
      <c r="AG169" s="114">
        <v>8550.378</v>
      </c>
      <c r="AH169" s="114">
        <v>58860</v>
      </c>
      <c r="AI169" s="114">
        <v>3776.574</v>
      </c>
      <c r="AJ169" s="114">
        <v>0</v>
      </c>
      <c r="AK169" s="114">
        <v>0</v>
      </c>
      <c r="AL169" s="114">
        <v>0</v>
      </c>
      <c r="AM169" s="114">
        <v>0</v>
      </c>
      <c r="AN169" s="114">
        <v>1267</v>
      </c>
      <c r="AO169" s="114">
        <v>124.2107</v>
      </c>
      <c r="AP169" s="114">
        <v>2.7868</v>
      </c>
      <c r="AQ169" s="114">
        <v>0</v>
      </c>
      <c r="AR169" s="114">
        <v>1</v>
      </c>
      <c r="AS169" s="114">
        <v>1</v>
      </c>
      <c r="AT169" s="114"/>
      <c r="AU169" s="114">
        <v>20</v>
      </c>
      <c r="AV169" s="114">
        <v>0</v>
      </c>
      <c r="AW169" s="114">
        <v>0</v>
      </c>
      <c r="AX169" s="114">
        <v>0</v>
      </c>
      <c r="AY169" s="114">
        <v>2</v>
      </c>
      <c r="AZ169" s="114">
        <v>172</v>
      </c>
      <c r="BA169" s="114">
        <v>3905</v>
      </c>
      <c r="BB169" s="116"/>
      <c r="BC169" s="116"/>
      <c r="BD169" s="116"/>
      <c r="BE169" s="116"/>
      <c r="BF169" s="116"/>
      <c r="BG169" s="116"/>
      <c r="BH169" s="116"/>
      <c r="BI169" s="116"/>
      <c r="BJ169" s="117">
        <v>154864</v>
      </c>
      <c r="BK169" s="133">
        <v>96</v>
      </c>
      <c r="BL169" s="117">
        <v>55856</v>
      </c>
      <c r="BM169" s="118">
        <v>222530</v>
      </c>
      <c r="BN169" s="118">
        <v>13.09</v>
      </c>
      <c r="BO169" s="120">
        <v>0.801</v>
      </c>
      <c r="BP169" s="120">
        <v>0.199</v>
      </c>
      <c r="BQ169" s="134">
        <v>0</v>
      </c>
      <c r="BR169" s="120">
        <v>0.015</v>
      </c>
      <c r="BS169" s="120">
        <v>0.066</v>
      </c>
      <c r="BT169" s="120">
        <v>0.326</v>
      </c>
      <c r="BU169" s="120">
        <v>0.298</v>
      </c>
      <c r="BV169" s="120">
        <v>0.188</v>
      </c>
      <c r="BW169" s="120">
        <v>0.08</v>
      </c>
      <c r="BX169" s="120">
        <v>0.028</v>
      </c>
    </row>
    <row r="170" s="96" customFormat="1" ht="15.75" customHeight="1" spans="1:76">
      <c r="A170" s="111">
        <v>169</v>
      </c>
      <c r="B170" s="112" t="s">
        <v>46</v>
      </c>
      <c r="C170" s="112" t="s">
        <v>134</v>
      </c>
      <c r="D170" s="111">
        <v>2026</v>
      </c>
      <c r="E170" s="112" t="s">
        <v>31</v>
      </c>
      <c r="F170" s="121">
        <v>287973</v>
      </c>
      <c r="G170" s="114">
        <v>280474</v>
      </c>
      <c r="H170" s="114">
        <v>19087.9983</v>
      </c>
      <c r="I170" s="114">
        <v>725</v>
      </c>
      <c r="J170" s="115">
        <v>0.00282407407407407</v>
      </c>
      <c r="K170" s="114">
        <v>39</v>
      </c>
      <c r="L170" s="114">
        <v>277</v>
      </c>
      <c r="M170" s="114">
        <v>2389263</v>
      </c>
      <c r="N170" s="114">
        <v>9.5</v>
      </c>
      <c r="O170" s="114">
        <v>216255</v>
      </c>
      <c r="P170" s="114">
        <v>170388</v>
      </c>
      <c r="Q170" s="114">
        <v>45836</v>
      </c>
      <c r="R170" s="114">
        <v>45613</v>
      </c>
      <c r="S170" s="114">
        <v>223</v>
      </c>
      <c r="T170" s="114">
        <v>924</v>
      </c>
      <c r="U170" s="114">
        <v>199</v>
      </c>
      <c r="V170" s="114">
        <v>1828</v>
      </c>
      <c r="W170" s="114">
        <v>63</v>
      </c>
      <c r="X170" s="114">
        <v>529</v>
      </c>
      <c r="Y170" s="114">
        <v>1002</v>
      </c>
      <c r="Z170" s="121">
        <v>985269</v>
      </c>
      <c r="AA170" s="114">
        <v>0</v>
      </c>
      <c r="AB170" s="114">
        <v>0</v>
      </c>
      <c r="AC170" s="114">
        <v>59093.471</v>
      </c>
      <c r="AD170" s="114">
        <v>895934.11</v>
      </c>
      <c r="AE170" s="114">
        <v>1629797.732</v>
      </c>
      <c r="AF170" s="114">
        <v>188786</v>
      </c>
      <c r="AG170" s="114">
        <v>8633.043</v>
      </c>
      <c r="AH170" s="114">
        <v>145720</v>
      </c>
      <c r="AI170" s="114">
        <v>3415.751</v>
      </c>
      <c r="AJ170" s="114">
        <v>0</v>
      </c>
      <c r="AK170" s="114">
        <v>5</v>
      </c>
      <c r="AL170" s="114">
        <v>0</v>
      </c>
      <c r="AM170" s="114">
        <v>0</v>
      </c>
      <c r="AN170" s="114">
        <v>3741</v>
      </c>
      <c r="AO170" s="114">
        <v>504.3244</v>
      </c>
      <c r="AP170" s="114">
        <v>165.1123</v>
      </c>
      <c r="AQ170" s="114">
        <v>0</v>
      </c>
      <c r="AR170" s="114">
        <v>158</v>
      </c>
      <c r="AS170" s="114">
        <v>738</v>
      </c>
      <c r="AT170" s="114"/>
      <c r="AU170" s="114">
        <v>45</v>
      </c>
      <c r="AV170" s="114">
        <v>0</v>
      </c>
      <c r="AW170" s="114">
        <v>0</v>
      </c>
      <c r="AX170" s="114">
        <v>0</v>
      </c>
      <c r="AY170" s="114">
        <v>4</v>
      </c>
      <c r="AZ170" s="114">
        <v>150</v>
      </c>
      <c r="BA170" s="114">
        <v>3845</v>
      </c>
      <c r="BB170" s="116"/>
      <c r="BC170" s="116"/>
      <c r="BD170" s="116"/>
      <c r="BE170" s="116"/>
      <c r="BF170" s="116"/>
      <c r="BG170" s="116"/>
      <c r="BH170" s="116"/>
      <c r="BI170" s="116"/>
      <c r="BJ170" s="117">
        <v>155589</v>
      </c>
      <c r="BK170" s="133">
        <v>725</v>
      </c>
      <c r="BL170" s="117">
        <v>189061</v>
      </c>
      <c r="BM170" s="118">
        <v>430616</v>
      </c>
      <c r="BN170" s="118"/>
      <c r="BO170" s="120">
        <v>0.698</v>
      </c>
      <c r="BP170" s="120">
        <v>0.302</v>
      </c>
      <c r="BQ170" s="134">
        <v>0</v>
      </c>
      <c r="BR170" s="120">
        <v>0.018</v>
      </c>
      <c r="BS170" s="120">
        <v>0.071</v>
      </c>
      <c r="BT170" s="120">
        <v>0.296</v>
      </c>
      <c r="BU170" s="120">
        <v>0.25</v>
      </c>
      <c r="BV170" s="120">
        <v>0.192</v>
      </c>
      <c r="BW170" s="120">
        <v>0.121</v>
      </c>
      <c r="BX170" s="120">
        <v>0.052</v>
      </c>
    </row>
    <row r="171" s="96" customFormat="1" ht="15.75" customHeight="1" spans="1:76">
      <c r="A171" s="111">
        <v>170</v>
      </c>
      <c r="B171" s="112" t="s">
        <v>46</v>
      </c>
      <c r="C171" s="112" t="s">
        <v>134</v>
      </c>
      <c r="D171" s="111">
        <v>2026</v>
      </c>
      <c r="E171" s="112" t="s">
        <v>33</v>
      </c>
      <c r="F171" s="114">
        <v>170249</v>
      </c>
      <c r="G171" s="114">
        <v>161702</v>
      </c>
      <c r="H171" s="114">
        <v>8215.8904</v>
      </c>
      <c r="I171" s="114">
        <v>281</v>
      </c>
      <c r="J171" s="115">
        <v>0.00210648148148148</v>
      </c>
      <c r="K171" s="114">
        <v>3.32</v>
      </c>
      <c r="L171" s="114">
        <v>343</v>
      </c>
      <c r="M171" s="114">
        <v>1338378</v>
      </c>
      <c r="N171" s="114">
        <v>8.85</v>
      </c>
      <c r="O171" s="114">
        <v>128849</v>
      </c>
      <c r="P171" s="114">
        <v>105627</v>
      </c>
      <c r="Q171" s="114">
        <v>23420</v>
      </c>
      <c r="R171" s="114">
        <v>23200</v>
      </c>
      <c r="S171" s="114">
        <v>220</v>
      </c>
      <c r="T171" s="114">
        <v>466</v>
      </c>
      <c r="U171" s="114">
        <v>185</v>
      </c>
      <c r="V171" s="114">
        <v>1250</v>
      </c>
      <c r="W171" s="114">
        <v>45</v>
      </c>
      <c r="X171" s="114">
        <v>266</v>
      </c>
      <c r="Y171" s="114">
        <v>356</v>
      </c>
      <c r="Z171" s="114">
        <v>539004.508</v>
      </c>
      <c r="AA171" s="114">
        <v>0</v>
      </c>
      <c r="AB171" s="114">
        <v>0</v>
      </c>
      <c r="AC171" s="114">
        <v>20521.927</v>
      </c>
      <c r="AD171" s="114">
        <v>514523.227</v>
      </c>
      <c r="AE171" s="114">
        <v>935533.521</v>
      </c>
      <c r="AF171" s="114">
        <v>110317</v>
      </c>
      <c r="AG171" s="114">
        <v>8480.411</v>
      </c>
      <c r="AH171" s="114">
        <v>87201</v>
      </c>
      <c r="AI171" s="114">
        <v>3332.062</v>
      </c>
      <c r="AJ171" s="114">
        <v>0</v>
      </c>
      <c r="AK171" s="114">
        <v>0</v>
      </c>
      <c r="AL171" s="114">
        <v>0</v>
      </c>
      <c r="AM171" s="114">
        <v>0</v>
      </c>
      <c r="AN171" s="114">
        <v>3283</v>
      </c>
      <c r="AO171" s="114">
        <v>184.9649</v>
      </c>
      <c r="AP171" s="114">
        <v>13.9064</v>
      </c>
      <c r="AQ171" s="114">
        <v>0</v>
      </c>
      <c r="AR171" s="114">
        <v>1363</v>
      </c>
      <c r="AS171" s="114">
        <v>4877</v>
      </c>
      <c r="AT171" s="114">
        <v>0</v>
      </c>
      <c r="AU171" s="114">
        <v>47</v>
      </c>
      <c r="AV171" s="114">
        <v>0</v>
      </c>
      <c r="AW171" s="114">
        <v>0</v>
      </c>
      <c r="AX171" s="114">
        <v>0</v>
      </c>
      <c r="AY171" s="114">
        <v>4</v>
      </c>
      <c r="AZ171" s="114">
        <v>205</v>
      </c>
      <c r="BA171" s="114">
        <v>3709</v>
      </c>
      <c r="BB171" s="116"/>
      <c r="BC171" s="116"/>
      <c r="BD171" s="116"/>
      <c r="BE171" s="116"/>
      <c r="BF171" s="116"/>
      <c r="BG171" s="116"/>
      <c r="BH171" s="116"/>
      <c r="BI171" s="116"/>
      <c r="BJ171" s="117">
        <v>155869</v>
      </c>
      <c r="BK171" s="133">
        <v>280</v>
      </c>
      <c r="BL171" s="117">
        <v>92822</v>
      </c>
      <c r="BM171" s="118">
        <v>267478</v>
      </c>
      <c r="BN171" s="118"/>
      <c r="BO171" s="120">
        <v>0.751</v>
      </c>
      <c r="BP171" s="120">
        <v>0.2495</v>
      </c>
      <c r="BQ171" s="120">
        <v>0</v>
      </c>
      <c r="BR171" s="120">
        <v>0.017</v>
      </c>
      <c r="BS171" s="120">
        <v>0.08</v>
      </c>
      <c r="BT171" s="120">
        <v>0.31</v>
      </c>
      <c r="BU171" s="120">
        <v>0.236</v>
      </c>
      <c r="BV171" s="120">
        <v>0.175</v>
      </c>
      <c r="BW171" s="120">
        <v>0.127</v>
      </c>
      <c r="BX171" s="120">
        <v>0.056</v>
      </c>
    </row>
    <row r="172" s="96" customFormat="1" ht="15.75" customHeight="1" spans="1:76">
      <c r="A172" s="111">
        <v>171</v>
      </c>
      <c r="B172" s="112" t="s">
        <v>46</v>
      </c>
      <c r="C172" s="112" t="s">
        <v>134</v>
      </c>
      <c r="D172" s="111">
        <v>2026</v>
      </c>
      <c r="E172" s="113" t="s">
        <v>34</v>
      </c>
      <c r="F172" s="114">
        <v>436557</v>
      </c>
      <c r="G172" s="114">
        <v>436347</v>
      </c>
      <c r="H172" s="114">
        <v>20534.3082</v>
      </c>
      <c r="I172" s="114">
        <v>505</v>
      </c>
      <c r="J172" s="115">
        <v>0.00195601851851852</v>
      </c>
      <c r="K172" s="114">
        <v>18.77</v>
      </c>
      <c r="L172" s="114">
        <v>333</v>
      </c>
      <c r="M172" s="114">
        <v>3930454</v>
      </c>
      <c r="N172" s="114">
        <v>9.35</v>
      </c>
      <c r="O172" s="114">
        <v>355044</v>
      </c>
      <c r="P172" s="114">
        <v>268677</v>
      </c>
      <c r="Q172" s="114">
        <v>78496</v>
      </c>
      <c r="R172" s="114">
        <v>78106</v>
      </c>
      <c r="S172" s="114">
        <v>390</v>
      </c>
      <c r="T172" s="114">
        <v>711</v>
      </c>
      <c r="U172" s="114">
        <v>206</v>
      </c>
      <c r="V172" s="114">
        <v>1817</v>
      </c>
      <c r="W172" s="114">
        <v>87</v>
      </c>
      <c r="X172" s="114">
        <v>304</v>
      </c>
      <c r="Y172" s="114">
        <v>1408</v>
      </c>
      <c r="Z172" s="114">
        <v>1286927.704</v>
      </c>
      <c r="AA172" s="114">
        <v>0</v>
      </c>
      <c r="AB172" s="114">
        <v>0</v>
      </c>
      <c r="AC172" s="114">
        <v>32687.074</v>
      </c>
      <c r="AD172" s="114">
        <v>1254164.278</v>
      </c>
      <c r="AE172" s="114">
        <v>2281695.677</v>
      </c>
      <c r="AF172" s="114">
        <v>278605</v>
      </c>
      <c r="AG172" s="114">
        <v>8189.715</v>
      </c>
      <c r="AH172" s="114">
        <v>215968</v>
      </c>
      <c r="AI172" s="114">
        <v>2964.234</v>
      </c>
      <c r="AJ172" s="114">
        <v>0</v>
      </c>
      <c r="AK172" s="114">
        <v>0</v>
      </c>
      <c r="AL172" s="114">
        <v>0</v>
      </c>
      <c r="AM172" s="114">
        <v>0</v>
      </c>
      <c r="AN172" s="114">
        <v>5214</v>
      </c>
      <c r="AO172" s="114">
        <v>270.1532</v>
      </c>
      <c r="AP172" s="114">
        <v>22.641</v>
      </c>
      <c r="AQ172" s="114">
        <v>5</v>
      </c>
      <c r="AR172" s="114">
        <v>13</v>
      </c>
      <c r="AS172" s="114">
        <v>2</v>
      </c>
      <c r="AT172" s="114">
        <v>0</v>
      </c>
      <c r="AU172" s="114">
        <v>99</v>
      </c>
      <c r="AV172" s="114">
        <v>0</v>
      </c>
      <c r="AW172" s="114">
        <v>0</v>
      </c>
      <c r="AX172" s="114">
        <v>0</v>
      </c>
      <c r="AY172" s="114">
        <v>0</v>
      </c>
      <c r="AZ172" s="114">
        <v>116</v>
      </c>
      <c r="BA172" s="114">
        <v>4149</v>
      </c>
      <c r="BB172" s="116"/>
      <c r="BC172" s="116"/>
      <c r="BD172" s="116"/>
      <c r="BE172" s="116"/>
      <c r="BF172" s="116"/>
      <c r="BG172" s="116"/>
      <c r="BH172" s="116"/>
      <c r="BI172" s="116"/>
      <c r="BJ172" s="117">
        <v>156374</v>
      </c>
      <c r="BK172" s="133">
        <v>505</v>
      </c>
      <c r="BL172" s="117">
        <v>358175</v>
      </c>
      <c r="BM172" s="118">
        <v>959988</v>
      </c>
      <c r="BN172" s="118"/>
      <c r="BO172" s="120">
        <v>0.745</v>
      </c>
      <c r="BP172" s="120">
        <v>0.255</v>
      </c>
      <c r="BQ172" s="120">
        <v>0</v>
      </c>
      <c r="BR172" s="120">
        <v>0.014</v>
      </c>
      <c r="BS172" s="120">
        <v>0.058</v>
      </c>
      <c r="BT172" s="120">
        <v>0.282</v>
      </c>
      <c r="BU172" s="120">
        <v>0.26</v>
      </c>
      <c r="BV172" s="120">
        <v>0.212</v>
      </c>
      <c r="BW172" s="120">
        <v>0.127</v>
      </c>
      <c r="BX172" s="120">
        <v>0.046</v>
      </c>
    </row>
    <row r="173" s="96" customFormat="1" ht="15.75" customHeight="1" spans="1:76">
      <c r="A173" s="111">
        <v>172</v>
      </c>
      <c r="B173" s="112" t="s">
        <v>46</v>
      </c>
      <c r="C173" s="112" t="s">
        <v>134</v>
      </c>
      <c r="D173" s="111">
        <v>2026</v>
      </c>
      <c r="E173" s="113" t="s">
        <v>35</v>
      </c>
      <c r="F173" s="114">
        <v>635903</v>
      </c>
      <c r="G173" s="114">
        <v>635745</v>
      </c>
      <c r="H173" s="114">
        <v>58143.9538</v>
      </c>
      <c r="I173" s="114">
        <v>1575</v>
      </c>
      <c r="J173" s="115">
        <v>0.00380787037037037</v>
      </c>
      <c r="K173" s="114">
        <v>21.32</v>
      </c>
      <c r="L173" s="114">
        <v>183</v>
      </c>
      <c r="M173" s="114">
        <v>4884211</v>
      </c>
      <c r="N173" s="114">
        <v>10.96</v>
      </c>
      <c r="O173" s="114">
        <v>482252</v>
      </c>
      <c r="P173" s="114">
        <v>388776</v>
      </c>
      <c r="Q173" s="114">
        <v>73387</v>
      </c>
      <c r="R173" s="114">
        <v>73012</v>
      </c>
      <c r="S173" s="114">
        <v>375</v>
      </c>
      <c r="T173" s="114">
        <v>1830</v>
      </c>
      <c r="U173" s="114">
        <v>255</v>
      </c>
      <c r="V173" s="114">
        <v>4777</v>
      </c>
      <c r="W173" s="114">
        <v>232</v>
      </c>
      <c r="X173" s="114">
        <v>583</v>
      </c>
      <c r="Y173" s="114">
        <v>2157</v>
      </c>
      <c r="Z173" s="114">
        <v>3016608.939</v>
      </c>
      <c r="AA173" s="114">
        <v>0</v>
      </c>
      <c r="AB173" s="114">
        <v>0</v>
      </c>
      <c r="AC173" s="114">
        <v>109255.45</v>
      </c>
      <c r="AD173" s="114">
        <v>2907279</v>
      </c>
      <c r="AE173" s="114">
        <v>5259464.08</v>
      </c>
      <c r="AF173" s="114">
        <v>535244</v>
      </c>
      <c r="AG173" s="114">
        <v>9826.292</v>
      </c>
      <c r="AH173" s="114">
        <v>422454</v>
      </c>
      <c r="AI173" s="114">
        <v>4710.839</v>
      </c>
      <c r="AJ173" s="114">
        <v>0</v>
      </c>
      <c r="AK173" s="114">
        <v>0</v>
      </c>
      <c r="AL173" s="114">
        <v>0</v>
      </c>
      <c r="AM173" s="114">
        <v>0</v>
      </c>
      <c r="AN173" s="114">
        <v>7795</v>
      </c>
      <c r="AO173" s="114">
        <v>825.6138</v>
      </c>
      <c r="AP173" s="114">
        <v>3.368</v>
      </c>
      <c r="AQ173" s="114">
        <v>1</v>
      </c>
      <c r="AR173" s="114">
        <v>11</v>
      </c>
      <c r="AS173" s="114">
        <v>0</v>
      </c>
      <c r="AT173" s="114">
        <v>0</v>
      </c>
      <c r="AU173" s="114">
        <v>17</v>
      </c>
      <c r="AV173" s="114">
        <v>0</v>
      </c>
      <c r="AW173" s="114">
        <v>0</v>
      </c>
      <c r="AX173" s="114">
        <v>0</v>
      </c>
      <c r="AY173" s="114">
        <v>1</v>
      </c>
      <c r="AZ173" s="114">
        <v>53</v>
      </c>
      <c r="BA173" s="114">
        <v>2967</v>
      </c>
      <c r="BB173" s="116"/>
      <c r="BC173" s="116"/>
      <c r="BD173" s="116"/>
      <c r="BE173" s="116"/>
      <c r="BF173" s="116"/>
      <c r="BG173" s="116"/>
      <c r="BH173" s="116"/>
      <c r="BI173" s="116"/>
      <c r="BJ173" s="117">
        <v>157950</v>
      </c>
      <c r="BK173" s="117">
        <v>1575</v>
      </c>
      <c r="BL173" s="117">
        <v>586559</v>
      </c>
      <c r="BM173" s="118">
        <v>2865390</v>
      </c>
      <c r="BN173" s="118"/>
      <c r="BO173" s="120">
        <v>0.8</v>
      </c>
      <c r="BP173" s="120">
        <v>0.199</v>
      </c>
      <c r="BQ173" s="120">
        <v>0.001</v>
      </c>
      <c r="BR173" s="120">
        <v>0.015</v>
      </c>
      <c r="BS173" s="120">
        <v>0.058</v>
      </c>
      <c r="BT173" s="120">
        <v>0.269</v>
      </c>
      <c r="BU173" s="120">
        <v>0.222</v>
      </c>
      <c r="BV173" s="120">
        <v>0.194</v>
      </c>
      <c r="BW173" s="120">
        <v>0.158</v>
      </c>
      <c r="BX173" s="120">
        <v>0.084</v>
      </c>
    </row>
    <row r="174" s="96" customFormat="1" ht="15.75" customHeight="1" spans="1:76">
      <c r="A174" s="111">
        <v>173</v>
      </c>
      <c r="B174" s="112" t="s">
        <v>46</v>
      </c>
      <c r="C174" s="112" t="s">
        <v>134</v>
      </c>
      <c r="D174" s="111">
        <v>2026</v>
      </c>
      <c r="E174" s="113" t="s">
        <v>36</v>
      </c>
      <c r="F174" s="114">
        <v>849913</v>
      </c>
      <c r="G174" s="114">
        <v>849703</v>
      </c>
      <c r="H174" s="114">
        <v>97263.1401</v>
      </c>
      <c r="I174" s="114">
        <v>1834</v>
      </c>
      <c r="J174" s="115">
        <v>0.00476851851851852</v>
      </c>
      <c r="K174" s="114">
        <v>5.94</v>
      </c>
      <c r="L174" s="114">
        <v>435</v>
      </c>
      <c r="M174" s="114">
        <v>6911774</v>
      </c>
      <c r="N174" s="114">
        <v>10.38</v>
      </c>
      <c r="O174" s="114">
        <v>665942</v>
      </c>
      <c r="P174" s="114">
        <v>534254</v>
      </c>
      <c r="Q174" s="114">
        <v>105084</v>
      </c>
      <c r="R174" s="114">
        <v>104514</v>
      </c>
      <c r="S174" s="114">
        <v>570</v>
      </c>
      <c r="T174" s="114">
        <v>2105</v>
      </c>
      <c r="U174" s="114">
        <v>271</v>
      </c>
      <c r="V174" s="114">
        <v>5127</v>
      </c>
      <c r="W174" s="114">
        <v>198</v>
      </c>
      <c r="X174" s="114">
        <v>986</v>
      </c>
      <c r="Y174" s="114">
        <v>1985</v>
      </c>
      <c r="Z174" s="114">
        <v>6838686.636</v>
      </c>
      <c r="AA174" s="114">
        <v>0</v>
      </c>
      <c r="AB174" s="114">
        <v>0</v>
      </c>
      <c r="AC174" s="114">
        <v>239471.007</v>
      </c>
      <c r="AD174" s="114">
        <v>6599111.11</v>
      </c>
      <c r="AE174" s="114">
        <v>11985016.48</v>
      </c>
      <c r="AF174" s="114">
        <v>1022544</v>
      </c>
      <c r="AG174" s="114">
        <v>11720.783</v>
      </c>
      <c r="AH174" s="114">
        <v>627377</v>
      </c>
      <c r="AI174" s="114">
        <v>7903.868</v>
      </c>
      <c r="AJ174" s="114">
        <v>0</v>
      </c>
      <c r="AK174" s="114">
        <v>0</v>
      </c>
      <c r="AL174" s="114">
        <v>0</v>
      </c>
      <c r="AM174" s="114">
        <v>0</v>
      </c>
      <c r="AN174" s="114">
        <v>15340</v>
      </c>
      <c r="AO174" s="114">
        <v>2088.8017</v>
      </c>
      <c r="AP174" s="114">
        <v>21.4214</v>
      </c>
      <c r="AQ174" s="114">
        <v>1</v>
      </c>
      <c r="AR174" s="114">
        <v>2621</v>
      </c>
      <c r="AS174" s="114">
        <v>10371</v>
      </c>
      <c r="AT174" s="114"/>
      <c r="AU174" s="114">
        <v>4</v>
      </c>
      <c r="AV174" s="114">
        <v>0</v>
      </c>
      <c r="AW174" s="114">
        <v>0</v>
      </c>
      <c r="AX174" s="114">
        <v>0</v>
      </c>
      <c r="AY174" s="114">
        <v>1</v>
      </c>
      <c r="AZ174" s="114">
        <v>67</v>
      </c>
      <c r="BA174" s="114">
        <v>3155</v>
      </c>
      <c r="BB174" s="116"/>
      <c r="BC174" s="116"/>
      <c r="BD174" s="116"/>
      <c r="BE174" s="116"/>
      <c r="BF174" s="116"/>
      <c r="BG174" s="116"/>
      <c r="BH174" s="116"/>
      <c r="BI174" s="116"/>
      <c r="BJ174" s="117">
        <v>159784</v>
      </c>
      <c r="BK174" s="117">
        <v>1834</v>
      </c>
      <c r="BL174" s="117">
        <v>722446</v>
      </c>
      <c r="BM174" s="118">
        <v>6164138</v>
      </c>
      <c r="BN174" s="118"/>
      <c r="BO174" s="120">
        <v>0.749</v>
      </c>
      <c r="BP174" s="120">
        <v>0.251</v>
      </c>
      <c r="BQ174" s="120">
        <v>0</v>
      </c>
      <c r="BR174" s="120">
        <v>0.014</v>
      </c>
      <c r="BS174" s="120">
        <v>0.072</v>
      </c>
      <c r="BT174" s="120">
        <v>0.334</v>
      </c>
      <c r="BU174" s="120">
        <v>0.253</v>
      </c>
      <c r="BV174" s="120">
        <v>0.17</v>
      </c>
      <c r="BW174" s="120">
        <v>0.103</v>
      </c>
      <c r="BX174" s="120">
        <v>0.055</v>
      </c>
    </row>
    <row r="175" s="96" customFormat="1" ht="15.75" customHeight="1" spans="1:76">
      <c r="A175" s="111">
        <v>174</v>
      </c>
      <c r="B175" s="96" t="s">
        <v>46</v>
      </c>
      <c r="C175" s="96" t="s">
        <v>134</v>
      </c>
      <c r="D175" s="122">
        <v>2026</v>
      </c>
      <c r="E175" s="96" t="s">
        <v>37</v>
      </c>
      <c r="F175" s="123">
        <v>601890</v>
      </c>
      <c r="G175" s="123">
        <v>600084</v>
      </c>
      <c r="H175" s="123">
        <v>86035</v>
      </c>
      <c r="I175" s="123">
        <v>1197</v>
      </c>
      <c r="J175" s="124">
        <v>0.00596064814814815</v>
      </c>
      <c r="K175" s="125">
        <v>14</v>
      </c>
      <c r="L175" s="125">
        <v>490</v>
      </c>
      <c r="M175" s="123">
        <v>5115360</v>
      </c>
      <c r="N175" s="125">
        <v>9</v>
      </c>
      <c r="O175" s="123">
        <v>467775</v>
      </c>
      <c r="P175" s="123">
        <v>325394</v>
      </c>
      <c r="Q175" s="123">
        <v>125510</v>
      </c>
      <c r="R175" s="123">
        <v>124731</v>
      </c>
      <c r="S175" s="125">
        <v>779</v>
      </c>
      <c r="T175" s="123">
        <v>1432</v>
      </c>
      <c r="U175" s="125">
        <v>235</v>
      </c>
      <c r="V175" s="123">
        <v>2852</v>
      </c>
      <c r="W175" s="125">
        <v>273</v>
      </c>
      <c r="X175" s="125">
        <v>808</v>
      </c>
      <c r="Y175" s="123">
        <v>1880</v>
      </c>
      <c r="Z175" s="123">
        <v>4972312</v>
      </c>
      <c r="AA175" s="125">
        <v>0</v>
      </c>
      <c r="AB175" s="125">
        <v>0</v>
      </c>
      <c r="AC175" s="123">
        <v>208224</v>
      </c>
      <c r="AD175" s="123">
        <v>4763572</v>
      </c>
      <c r="AE175" s="123">
        <v>8659896</v>
      </c>
      <c r="AF175" s="123">
        <v>761484</v>
      </c>
      <c r="AG175" s="123">
        <v>11372</v>
      </c>
      <c r="AH175" s="123">
        <v>502119</v>
      </c>
      <c r="AI175" s="123">
        <v>8329</v>
      </c>
      <c r="AJ175" s="125">
        <v>0</v>
      </c>
      <c r="AK175" s="125">
        <v>0</v>
      </c>
      <c r="AL175" s="125">
        <v>0</v>
      </c>
      <c r="AM175" s="125">
        <v>0</v>
      </c>
      <c r="AN175" s="123">
        <v>9638</v>
      </c>
      <c r="AO175" s="123">
        <v>1805</v>
      </c>
      <c r="AP175" s="125">
        <v>29</v>
      </c>
      <c r="AQ175" s="125">
        <v>5</v>
      </c>
      <c r="AR175" s="125">
        <v>724</v>
      </c>
      <c r="AS175" s="125">
        <v>212</v>
      </c>
      <c r="AT175" s="125"/>
      <c r="AU175" s="125">
        <v>8</v>
      </c>
      <c r="AV175" s="125">
        <v>0</v>
      </c>
      <c r="AW175" s="125">
        <v>0</v>
      </c>
      <c r="AX175" s="125">
        <v>0</v>
      </c>
      <c r="AY175" s="125">
        <v>0</v>
      </c>
      <c r="AZ175" s="125">
        <v>72</v>
      </c>
      <c r="BA175" s="123">
        <v>2524</v>
      </c>
      <c r="BB175" s="125"/>
      <c r="BC175" s="125"/>
      <c r="BD175" s="125"/>
      <c r="BE175" s="125"/>
      <c r="BF175" s="125"/>
      <c r="BG175" s="125"/>
      <c r="BH175" s="125"/>
      <c r="BI175" s="125"/>
      <c r="BJ175" s="117">
        <v>160981</v>
      </c>
      <c r="BK175" s="117">
        <v>1197</v>
      </c>
      <c r="BL175" s="117">
        <v>443519</v>
      </c>
      <c r="BM175" s="118">
        <v>3432795</v>
      </c>
      <c r="BN175" s="118"/>
      <c r="BO175" s="120">
        <v>0.759</v>
      </c>
      <c r="BP175" s="120">
        <v>0.241</v>
      </c>
      <c r="BQ175" s="120">
        <v>0</v>
      </c>
      <c r="BR175" s="120">
        <v>0.011</v>
      </c>
      <c r="BS175" s="120">
        <v>0.059</v>
      </c>
      <c r="BT175" s="120">
        <v>0.285</v>
      </c>
      <c r="BU175" s="120">
        <v>0.208</v>
      </c>
      <c r="BV175" s="120">
        <v>0.176</v>
      </c>
      <c r="BW175" s="120">
        <v>0.161</v>
      </c>
      <c r="BX175" s="120">
        <v>0.1</v>
      </c>
    </row>
    <row r="176" s="96" customFormat="1" ht="15.75" customHeight="1" spans="1:76">
      <c r="A176" s="111">
        <v>175</v>
      </c>
      <c r="B176" s="96" t="s">
        <v>46</v>
      </c>
      <c r="C176" s="96" t="s">
        <v>134</v>
      </c>
      <c r="D176" s="122">
        <v>2026</v>
      </c>
      <c r="E176" s="96" t="s">
        <v>38</v>
      </c>
      <c r="F176" s="126">
        <v>441742</v>
      </c>
      <c r="G176" s="126">
        <v>441142</v>
      </c>
      <c r="H176" s="126">
        <v>58034</v>
      </c>
      <c r="I176" s="128">
        <v>840</v>
      </c>
      <c r="J176" s="127">
        <v>0.00547453703703704</v>
      </c>
      <c r="K176" s="128">
        <v>10</v>
      </c>
      <c r="L176" s="128">
        <v>974</v>
      </c>
      <c r="M176" s="126">
        <v>3601196</v>
      </c>
      <c r="N176" s="128">
        <v>10</v>
      </c>
      <c r="O176" s="126">
        <v>349444</v>
      </c>
      <c r="P176" s="126">
        <v>194028</v>
      </c>
      <c r="Q176" s="126">
        <v>114392</v>
      </c>
      <c r="R176" s="126">
        <v>113259</v>
      </c>
      <c r="S176" s="126">
        <v>1133</v>
      </c>
      <c r="T176" s="126">
        <v>1043</v>
      </c>
      <c r="U176" s="128">
        <v>203</v>
      </c>
      <c r="V176" s="126">
        <v>2046</v>
      </c>
      <c r="W176" s="128">
        <v>167</v>
      </c>
      <c r="X176" s="128">
        <v>627</v>
      </c>
      <c r="Y176" s="126">
        <v>1170</v>
      </c>
      <c r="Z176" s="126">
        <v>3641889</v>
      </c>
      <c r="AA176" s="128">
        <v>0</v>
      </c>
      <c r="AB176" s="128">
        <v>0</v>
      </c>
      <c r="AC176" s="126">
        <v>214382</v>
      </c>
      <c r="AD176" s="126">
        <v>3427381</v>
      </c>
      <c r="AE176" s="126">
        <v>6227116</v>
      </c>
      <c r="AF176" s="126">
        <v>508531</v>
      </c>
      <c r="AG176" s="126">
        <v>12245</v>
      </c>
      <c r="AH176" s="126">
        <v>336278</v>
      </c>
      <c r="AI176" s="126">
        <v>8036</v>
      </c>
      <c r="AJ176" s="128">
        <v>0</v>
      </c>
      <c r="AK176" s="128">
        <v>0</v>
      </c>
      <c r="AL176" s="128">
        <v>0</v>
      </c>
      <c r="AM176" s="128">
        <v>0</v>
      </c>
      <c r="AN176" s="126">
        <v>8593</v>
      </c>
      <c r="AO176" s="126">
        <v>1618</v>
      </c>
      <c r="AP176" s="128">
        <v>33</v>
      </c>
      <c r="AQ176" s="128">
        <v>19</v>
      </c>
      <c r="AR176" s="128">
        <v>513</v>
      </c>
      <c r="AS176" s="128">
        <v>148</v>
      </c>
      <c r="AT176" s="128"/>
      <c r="AU176" s="128">
        <v>16</v>
      </c>
      <c r="AV176" s="128">
        <v>0</v>
      </c>
      <c r="AW176" s="128">
        <v>0</v>
      </c>
      <c r="AX176" s="128">
        <v>0</v>
      </c>
      <c r="AY176" s="128">
        <v>0</v>
      </c>
      <c r="AZ176" s="128">
        <v>57</v>
      </c>
      <c r="BA176" s="126">
        <v>2709</v>
      </c>
      <c r="BB176" s="129"/>
      <c r="BC176" s="129"/>
      <c r="BD176" s="129"/>
      <c r="BE176" s="129"/>
      <c r="BF176" s="129"/>
      <c r="BG176" s="129"/>
      <c r="BH176" s="129"/>
      <c r="BI176" s="129"/>
      <c r="BJ176" s="130">
        <v>161821</v>
      </c>
      <c r="BK176" s="119">
        <v>840</v>
      </c>
      <c r="BL176" s="130">
        <v>322500</v>
      </c>
      <c r="BM176" s="131">
        <v>2772812.43</v>
      </c>
      <c r="BN176" s="131"/>
      <c r="BO176" s="132">
        <v>0.759</v>
      </c>
      <c r="BP176" s="132">
        <v>0.241</v>
      </c>
      <c r="BQ176" s="132">
        <v>0</v>
      </c>
      <c r="BR176" s="132">
        <v>0.009</v>
      </c>
      <c r="BS176" s="132">
        <v>0.05</v>
      </c>
      <c r="BT176" s="132">
        <v>0.255</v>
      </c>
      <c r="BU176" s="132">
        <v>0.208</v>
      </c>
      <c r="BV176" s="132">
        <v>0.187</v>
      </c>
      <c r="BW176" s="132">
        <v>0.176</v>
      </c>
      <c r="BX176" s="119"/>
    </row>
    <row r="177" s="96" customFormat="1" ht="15.75" customHeight="1" spans="1:76">
      <c r="A177" s="111">
        <v>176</v>
      </c>
      <c r="B177" s="96" t="s">
        <v>46</v>
      </c>
      <c r="C177" s="96" t="s">
        <v>134</v>
      </c>
      <c r="D177" s="122">
        <v>2026</v>
      </c>
      <c r="E177" s="96" t="s">
        <v>39</v>
      </c>
      <c r="F177" s="128"/>
      <c r="G177" s="128"/>
      <c r="H177" s="128"/>
      <c r="I177" s="128"/>
      <c r="J177" s="127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9"/>
      <c r="BC177" s="129"/>
      <c r="BD177" s="129"/>
      <c r="BE177" s="129"/>
      <c r="BF177" s="129"/>
      <c r="BG177" s="129"/>
      <c r="BH177" s="129"/>
      <c r="BI177" s="129"/>
      <c r="BJ177" s="119"/>
      <c r="BK177" s="119"/>
      <c r="BL177" s="119"/>
      <c r="BM177" s="131"/>
      <c r="BN177" s="131"/>
      <c r="BO177" s="119"/>
      <c r="BP177" s="119"/>
      <c r="BQ177" s="119"/>
      <c r="BR177" s="119"/>
      <c r="BS177" s="119"/>
      <c r="BT177" s="119"/>
      <c r="BU177" s="119"/>
      <c r="BV177" s="119"/>
      <c r="BW177" s="119"/>
      <c r="BX177" s="119"/>
    </row>
    <row r="178" s="96" customFormat="1" ht="15.75" customHeight="1" spans="1:76">
      <c r="A178" s="111">
        <v>177</v>
      </c>
      <c r="B178" s="96" t="s">
        <v>46</v>
      </c>
      <c r="C178" s="96" t="s">
        <v>134</v>
      </c>
      <c r="D178" s="122">
        <v>2026</v>
      </c>
      <c r="E178" s="96" t="s">
        <v>40</v>
      </c>
      <c r="F178" s="128"/>
      <c r="G178" s="128"/>
      <c r="H178" s="128"/>
      <c r="I178" s="128"/>
      <c r="J178" s="127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9"/>
      <c r="BC178" s="129"/>
      <c r="BD178" s="129"/>
      <c r="BE178" s="129"/>
      <c r="BF178" s="129"/>
      <c r="BG178" s="129"/>
      <c r="BH178" s="129"/>
      <c r="BI178" s="129"/>
      <c r="BJ178" s="119"/>
      <c r="BK178" s="119"/>
      <c r="BL178" s="119"/>
      <c r="BM178" s="131"/>
      <c r="BN178" s="131"/>
      <c r="BO178" s="119"/>
      <c r="BP178" s="119"/>
      <c r="BQ178" s="119"/>
      <c r="BR178" s="119"/>
      <c r="BS178" s="119"/>
      <c r="BT178" s="119"/>
      <c r="BU178" s="119"/>
      <c r="BV178" s="119"/>
      <c r="BW178" s="119"/>
      <c r="BX178" s="119"/>
    </row>
    <row r="179" s="96" customFormat="1" ht="15.75" customHeight="1" spans="1:76">
      <c r="A179" s="111">
        <v>178</v>
      </c>
      <c r="B179" s="96" t="s">
        <v>46</v>
      </c>
      <c r="C179" s="96" t="s">
        <v>134</v>
      </c>
      <c r="D179" s="122">
        <v>2026</v>
      </c>
      <c r="E179" s="96" t="s">
        <v>41</v>
      </c>
      <c r="F179" s="128"/>
      <c r="G179" s="128"/>
      <c r="H179" s="128"/>
      <c r="I179" s="128"/>
      <c r="J179" s="127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9"/>
      <c r="BC179" s="129"/>
      <c r="BD179" s="129"/>
      <c r="BE179" s="129"/>
      <c r="BF179" s="129"/>
      <c r="BG179" s="129"/>
      <c r="BH179" s="129"/>
      <c r="BI179" s="129"/>
      <c r="BJ179" s="119"/>
      <c r="BK179" s="119"/>
      <c r="BL179" s="119"/>
      <c r="BM179" s="131"/>
      <c r="BN179" s="131"/>
      <c r="BO179" s="119"/>
      <c r="BP179" s="119"/>
      <c r="BQ179" s="119"/>
      <c r="BR179" s="119"/>
      <c r="BS179" s="119"/>
      <c r="BT179" s="119"/>
      <c r="BU179" s="119"/>
      <c r="BV179" s="119"/>
      <c r="BW179" s="119"/>
      <c r="BX179" s="119"/>
    </row>
    <row r="180" s="96" customFormat="1" ht="15.75" customHeight="1" spans="1:76">
      <c r="A180" s="111">
        <v>179</v>
      </c>
      <c r="B180" s="96" t="s">
        <v>46</v>
      </c>
      <c r="C180" s="96" t="s">
        <v>134</v>
      </c>
      <c r="D180" s="122">
        <v>2026</v>
      </c>
      <c r="E180" s="96" t="s">
        <v>42</v>
      </c>
      <c r="F180" s="128"/>
      <c r="G180" s="128"/>
      <c r="H180" s="128"/>
      <c r="I180" s="128"/>
      <c r="J180" s="127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9"/>
      <c r="BC180" s="129"/>
      <c r="BD180" s="129"/>
      <c r="BE180" s="129"/>
      <c r="BF180" s="129"/>
      <c r="BG180" s="129"/>
      <c r="BH180" s="129"/>
      <c r="BI180" s="129"/>
      <c r="BJ180" s="119"/>
      <c r="BK180" s="119"/>
      <c r="BL180" s="119"/>
      <c r="BM180" s="131"/>
      <c r="BN180" s="131"/>
      <c r="BO180" s="119"/>
      <c r="BP180" s="119"/>
      <c r="BQ180" s="119"/>
      <c r="BR180" s="119"/>
      <c r="BS180" s="119"/>
      <c r="BT180" s="119"/>
      <c r="BU180" s="119"/>
      <c r="BV180" s="119"/>
      <c r="BW180" s="119"/>
      <c r="BX180" s="119"/>
    </row>
    <row r="181" s="96" customFormat="1" ht="15.75" customHeight="1" spans="1:76">
      <c r="A181" s="111">
        <v>180</v>
      </c>
      <c r="B181" s="96" t="s">
        <v>46</v>
      </c>
      <c r="C181" s="96" t="s">
        <v>134</v>
      </c>
      <c r="D181" s="122">
        <v>2026</v>
      </c>
      <c r="E181" s="96" t="s">
        <v>43</v>
      </c>
      <c r="F181" s="128"/>
      <c r="G181" s="128"/>
      <c r="H181" s="128"/>
      <c r="I181" s="128"/>
      <c r="J181" s="127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9"/>
      <c r="BC181" s="129"/>
      <c r="BD181" s="129"/>
      <c r="BE181" s="129"/>
      <c r="BF181" s="129"/>
      <c r="BG181" s="129"/>
      <c r="BH181" s="129"/>
      <c r="BI181" s="129"/>
      <c r="BJ181" s="119"/>
      <c r="BK181" s="119"/>
      <c r="BL181" s="119"/>
      <c r="BM181" s="131"/>
      <c r="BN181" s="131"/>
      <c r="BO181" s="119"/>
      <c r="BP181" s="119"/>
      <c r="BQ181" s="119"/>
      <c r="BR181" s="119"/>
      <c r="BS181" s="119"/>
      <c r="BT181" s="119"/>
      <c r="BU181" s="119"/>
      <c r="BV181" s="119"/>
      <c r="BW181" s="119"/>
      <c r="BX181" s="119"/>
    </row>
    <row r="182" s="96" customFormat="1" ht="15.75" customHeight="1" spans="1:76">
      <c r="A182" s="111">
        <v>181</v>
      </c>
      <c r="B182" s="112" t="s">
        <v>46</v>
      </c>
      <c r="C182" s="112" t="s">
        <v>135</v>
      </c>
      <c r="D182" s="111">
        <v>2024</v>
      </c>
      <c r="E182" s="113" t="s">
        <v>31</v>
      </c>
      <c r="F182" s="114">
        <v>16183</v>
      </c>
      <c r="G182" s="114">
        <v>16183</v>
      </c>
      <c r="H182" s="114">
        <v>880.2664</v>
      </c>
      <c r="I182" s="114">
        <v>-93</v>
      </c>
      <c r="J182" s="115">
        <v>0.00225694444444444</v>
      </c>
      <c r="K182" s="114">
        <v>24.36</v>
      </c>
      <c r="L182" s="114"/>
      <c r="M182" s="114">
        <v>195593</v>
      </c>
      <c r="N182" s="114">
        <v>7.11</v>
      </c>
      <c r="O182" s="114">
        <v>12646</v>
      </c>
      <c r="P182" s="114">
        <v>11051</v>
      </c>
      <c r="Q182" s="114">
        <v>1595</v>
      </c>
      <c r="R182" s="114">
        <v>1595</v>
      </c>
      <c r="S182" s="114">
        <v>0</v>
      </c>
      <c r="T182" s="114">
        <v>136</v>
      </c>
      <c r="U182" s="114">
        <v>229</v>
      </c>
      <c r="V182" s="114">
        <v>-93</v>
      </c>
      <c r="W182" s="114">
        <v>-11</v>
      </c>
      <c r="X182" s="114">
        <v>63</v>
      </c>
      <c r="Y182" s="114">
        <v>20</v>
      </c>
      <c r="Z182" s="114">
        <v>43687.682</v>
      </c>
      <c r="AA182" s="114">
        <v>0</v>
      </c>
      <c r="AB182" s="114">
        <v>0</v>
      </c>
      <c r="AC182" s="114">
        <v>561.282</v>
      </c>
      <c r="AD182" s="114">
        <v>43096.604</v>
      </c>
      <c r="AE182" s="114">
        <v>78357.88</v>
      </c>
      <c r="AF182" s="114">
        <v>9899</v>
      </c>
      <c r="AG182" s="114">
        <v>7915.737</v>
      </c>
      <c r="AH182" s="114">
        <v>8908</v>
      </c>
      <c r="AI182" s="114">
        <v>2699.603</v>
      </c>
      <c r="AJ182" s="114">
        <v>0</v>
      </c>
      <c r="AK182" s="114">
        <v>0</v>
      </c>
      <c r="AL182" s="114">
        <v>0</v>
      </c>
      <c r="AM182" s="114">
        <v>0</v>
      </c>
      <c r="AN182" s="114">
        <v>159</v>
      </c>
      <c r="AO182" s="114">
        <v>6.5817</v>
      </c>
      <c r="AP182" s="114"/>
      <c r="AQ182" s="114">
        <v>0</v>
      </c>
      <c r="AR182" s="114"/>
      <c r="AS182" s="114"/>
      <c r="AT182" s="114"/>
      <c r="AU182" s="114"/>
      <c r="AV182" s="114">
        <v>0</v>
      </c>
      <c r="AW182" s="114">
        <v>0</v>
      </c>
      <c r="AX182" s="114">
        <v>0</v>
      </c>
      <c r="AY182" s="114">
        <v>0</v>
      </c>
      <c r="AZ182" s="114">
        <v>0</v>
      </c>
      <c r="BA182" s="114">
        <v>8</v>
      </c>
      <c r="BB182" s="116"/>
      <c r="BC182" s="116"/>
      <c r="BD182" s="116"/>
      <c r="BE182" s="116"/>
      <c r="BF182" s="116"/>
      <c r="BG182" s="116"/>
      <c r="BH182" s="116"/>
      <c r="BI182" s="116"/>
      <c r="BJ182" s="117">
        <v>275745</v>
      </c>
      <c r="BK182" s="133">
        <v>-93</v>
      </c>
      <c r="BL182" s="119"/>
      <c r="BM182" s="118">
        <v>0</v>
      </c>
      <c r="BN182" s="131"/>
      <c r="BO182" s="119"/>
      <c r="BP182" s="119"/>
      <c r="BQ182" s="119"/>
      <c r="BR182" s="119"/>
      <c r="BS182" s="119"/>
      <c r="BT182" s="119"/>
      <c r="BU182" s="119"/>
      <c r="BV182" s="119"/>
      <c r="BW182" s="119"/>
      <c r="BX182" s="119"/>
    </row>
    <row r="183" s="96" customFormat="1" ht="15.75" customHeight="1" spans="1:76">
      <c r="A183" s="111">
        <v>182</v>
      </c>
      <c r="B183" s="112" t="s">
        <v>46</v>
      </c>
      <c r="C183" s="112" t="s">
        <v>135</v>
      </c>
      <c r="D183" s="111">
        <v>2024</v>
      </c>
      <c r="E183" s="113" t="s">
        <v>33</v>
      </c>
      <c r="F183" s="114">
        <v>16406</v>
      </c>
      <c r="G183" s="114">
        <v>16406</v>
      </c>
      <c r="H183" s="114">
        <v>888.827</v>
      </c>
      <c r="I183" s="114">
        <v>-54</v>
      </c>
      <c r="J183" s="115">
        <v>0.00225694444444444</v>
      </c>
      <c r="K183" s="114">
        <v>22.85</v>
      </c>
      <c r="L183" s="114"/>
      <c r="M183" s="114">
        <v>194603</v>
      </c>
      <c r="N183" s="114">
        <v>7.38</v>
      </c>
      <c r="O183" s="114">
        <v>13366</v>
      </c>
      <c r="P183" s="114">
        <v>11879</v>
      </c>
      <c r="Q183" s="114">
        <v>1487</v>
      </c>
      <c r="R183" s="114">
        <v>1487</v>
      </c>
      <c r="S183" s="114">
        <v>0</v>
      </c>
      <c r="T183" s="114">
        <v>158</v>
      </c>
      <c r="U183" s="114">
        <v>212</v>
      </c>
      <c r="V183" s="114">
        <v>-145</v>
      </c>
      <c r="W183" s="114">
        <v>-26</v>
      </c>
      <c r="X183" s="114">
        <v>50</v>
      </c>
      <c r="Y183" s="114">
        <v>17</v>
      </c>
      <c r="Z183" s="114">
        <v>47287.853</v>
      </c>
      <c r="AA183" s="114">
        <v>0</v>
      </c>
      <c r="AB183" s="114">
        <v>0</v>
      </c>
      <c r="AC183" s="114">
        <v>804.495</v>
      </c>
      <c r="AD183" s="114">
        <v>46468.866</v>
      </c>
      <c r="AE183" s="114">
        <v>84489.569</v>
      </c>
      <c r="AF183" s="114">
        <v>11319</v>
      </c>
      <c r="AG183" s="114">
        <v>7464.402</v>
      </c>
      <c r="AH183" s="114">
        <v>10172</v>
      </c>
      <c r="AI183" s="114">
        <v>2882.351</v>
      </c>
      <c r="AJ183" s="114">
        <v>0</v>
      </c>
      <c r="AK183" s="114">
        <v>0</v>
      </c>
      <c r="AL183" s="114">
        <v>0</v>
      </c>
      <c r="AM183" s="114">
        <v>0</v>
      </c>
      <c r="AN183" s="114">
        <v>182</v>
      </c>
      <c r="AO183" s="114">
        <v>7.9244</v>
      </c>
      <c r="AP183" s="114"/>
      <c r="AQ183" s="114">
        <v>0</v>
      </c>
      <c r="AR183" s="114"/>
      <c r="AS183" s="114"/>
      <c r="AT183" s="114"/>
      <c r="AU183" s="114"/>
      <c r="AV183" s="114">
        <v>0</v>
      </c>
      <c r="AW183" s="114">
        <v>0</v>
      </c>
      <c r="AX183" s="114">
        <v>0</v>
      </c>
      <c r="AY183" s="114">
        <v>0</v>
      </c>
      <c r="AZ183" s="114">
        <v>1</v>
      </c>
      <c r="BA183" s="114">
        <v>5</v>
      </c>
      <c r="BB183" s="116"/>
      <c r="BC183" s="116"/>
      <c r="BD183" s="116"/>
      <c r="BE183" s="116"/>
      <c r="BF183" s="116"/>
      <c r="BG183" s="116"/>
      <c r="BH183" s="116"/>
      <c r="BI183" s="116"/>
      <c r="BJ183" s="117">
        <v>275691</v>
      </c>
      <c r="BK183" s="133">
        <v>-54</v>
      </c>
      <c r="BL183" s="119"/>
      <c r="BM183" s="118">
        <v>0</v>
      </c>
      <c r="BN183" s="131"/>
      <c r="BO183" s="119"/>
      <c r="BP183" s="119"/>
      <c r="BQ183" s="119"/>
      <c r="BR183" s="119"/>
      <c r="BS183" s="119"/>
      <c r="BT183" s="119"/>
      <c r="BU183" s="119"/>
      <c r="BV183" s="119"/>
      <c r="BW183" s="119"/>
      <c r="BX183" s="119"/>
    </row>
    <row r="184" s="96" customFormat="1" ht="15.75" customHeight="1" spans="1:76">
      <c r="A184" s="111">
        <v>183</v>
      </c>
      <c r="B184" s="112" t="s">
        <v>46</v>
      </c>
      <c r="C184" s="112" t="s">
        <v>135</v>
      </c>
      <c r="D184" s="111">
        <v>2024</v>
      </c>
      <c r="E184" s="113" t="s">
        <v>34</v>
      </c>
      <c r="F184" s="114">
        <v>23051</v>
      </c>
      <c r="G184" s="114">
        <v>23051</v>
      </c>
      <c r="H184" s="114">
        <v>1443.9958</v>
      </c>
      <c r="I184" s="114">
        <v>-15</v>
      </c>
      <c r="J184" s="115">
        <v>0.00260416666666667</v>
      </c>
      <c r="K184" s="114">
        <v>24</v>
      </c>
      <c r="L184" s="114"/>
      <c r="M184" s="114">
        <v>235408</v>
      </c>
      <c r="N184" s="114">
        <v>8.52</v>
      </c>
      <c r="O184" s="114">
        <v>19297</v>
      </c>
      <c r="P184" s="114">
        <v>17189</v>
      </c>
      <c r="Q184" s="114">
        <v>2108</v>
      </c>
      <c r="R184" s="114">
        <v>2108</v>
      </c>
      <c r="S184" s="114">
        <v>0</v>
      </c>
      <c r="T184" s="114">
        <v>187</v>
      </c>
      <c r="U184" s="114">
        <v>202</v>
      </c>
      <c r="V184" s="114">
        <v>-56</v>
      </c>
      <c r="W184" s="114">
        <v>-14</v>
      </c>
      <c r="X184" s="114">
        <v>75</v>
      </c>
      <c r="Y184" s="114">
        <v>27</v>
      </c>
      <c r="Z184" s="114">
        <v>80542.353</v>
      </c>
      <c r="AA184" s="114">
        <v>0</v>
      </c>
      <c r="AB184" s="114">
        <v>0</v>
      </c>
      <c r="AC184" s="114">
        <v>746.153</v>
      </c>
      <c r="AD184" s="114">
        <v>79740.536</v>
      </c>
      <c r="AE184" s="114">
        <v>144982.54</v>
      </c>
      <c r="AF184" s="114">
        <v>19049</v>
      </c>
      <c r="AG184" s="114">
        <v>7611.032</v>
      </c>
      <c r="AH184" s="114">
        <v>16986</v>
      </c>
      <c r="AI184" s="114">
        <v>3494.094</v>
      </c>
      <c r="AJ184" s="114">
        <v>0</v>
      </c>
      <c r="AK184" s="114">
        <v>0</v>
      </c>
      <c r="AL184" s="114">
        <v>0</v>
      </c>
      <c r="AM184" s="114">
        <v>0</v>
      </c>
      <c r="AN184" s="114">
        <v>224</v>
      </c>
      <c r="AO184" s="114">
        <v>10.2821</v>
      </c>
      <c r="AP184" s="114"/>
      <c r="AQ184" s="114">
        <v>0</v>
      </c>
      <c r="AR184" s="114"/>
      <c r="AS184" s="114"/>
      <c r="AT184" s="114"/>
      <c r="AU184" s="114"/>
      <c r="AV184" s="114">
        <v>0</v>
      </c>
      <c r="AW184" s="114">
        <v>0</v>
      </c>
      <c r="AX184" s="114">
        <v>0</v>
      </c>
      <c r="AY184" s="114">
        <v>0</v>
      </c>
      <c r="AZ184" s="114">
        <v>0</v>
      </c>
      <c r="BA184" s="114">
        <v>1</v>
      </c>
      <c r="BB184" s="116"/>
      <c r="BC184" s="116"/>
      <c r="BD184" s="116"/>
      <c r="BE184" s="116"/>
      <c r="BF184" s="116"/>
      <c r="BG184" s="116"/>
      <c r="BH184" s="116"/>
      <c r="BI184" s="116"/>
      <c r="BJ184" s="117">
        <v>275676</v>
      </c>
      <c r="BK184" s="133">
        <v>-15</v>
      </c>
      <c r="BL184" s="119"/>
      <c r="BM184" s="118">
        <v>0</v>
      </c>
      <c r="BN184" s="131"/>
      <c r="BO184" s="119"/>
      <c r="BP184" s="119"/>
      <c r="BQ184" s="119"/>
      <c r="BR184" s="119"/>
      <c r="BS184" s="119"/>
      <c r="BT184" s="119"/>
      <c r="BU184" s="119"/>
      <c r="BV184" s="119"/>
      <c r="BW184" s="119"/>
      <c r="BX184" s="119"/>
    </row>
    <row r="185" s="96" customFormat="1" ht="15.75" customHeight="1" spans="1:76">
      <c r="A185" s="111">
        <v>184</v>
      </c>
      <c r="B185" s="112" t="s">
        <v>46</v>
      </c>
      <c r="C185" s="112" t="s">
        <v>135</v>
      </c>
      <c r="D185" s="111">
        <v>2024</v>
      </c>
      <c r="E185" s="113" t="s">
        <v>35</v>
      </c>
      <c r="F185" s="114">
        <v>21790</v>
      </c>
      <c r="G185" s="114">
        <v>21790</v>
      </c>
      <c r="H185" s="114">
        <v>1207.8169</v>
      </c>
      <c r="I185" s="114">
        <v>-51</v>
      </c>
      <c r="J185" s="115">
        <v>0.00230324074074074</v>
      </c>
      <c r="K185" s="114">
        <v>23.35</v>
      </c>
      <c r="L185" s="114">
        <v>9</v>
      </c>
      <c r="M185" s="114">
        <v>285135</v>
      </c>
      <c r="N185" s="114">
        <v>6.74</v>
      </c>
      <c r="O185" s="114">
        <v>17059</v>
      </c>
      <c r="P185" s="114">
        <v>15512</v>
      </c>
      <c r="Q185" s="114">
        <v>1547</v>
      </c>
      <c r="R185" s="114">
        <v>1547</v>
      </c>
      <c r="S185" s="114">
        <v>0</v>
      </c>
      <c r="T185" s="114">
        <v>141</v>
      </c>
      <c r="U185" s="114">
        <v>192</v>
      </c>
      <c r="V185" s="114">
        <v>29</v>
      </c>
      <c r="W185" s="114">
        <v>-9</v>
      </c>
      <c r="X185" s="114">
        <v>60</v>
      </c>
      <c r="Y185" s="114">
        <v>49</v>
      </c>
      <c r="Z185" s="114">
        <v>66005.803</v>
      </c>
      <c r="AA185" s="114">
        <v>0</v>
      </c>
      <c r="AB185" s="114">
        <v>0</v>
      </c>
      <c r="AC185" s="114">
        <v>1347.146</v>
      </c>
      <c r="AD185" s="114">
        <v>64630.425</v>
      </c>
      <c r="AE185" s="114">
        <v>117509.795</v>
      </c>
      <c r="AF185" s="114">
        <v>13510</v>
      </c>
      <c r="AG185" s="114">
        <v>8697.986</v>
      </c>
      <c r="AH185" s="114">
        <v>11894</v>
      </c>
      <c r="AI185" s="114">
        <v>3029.172</v>
      </c>
      <c r="AJ185" s="114">
        <v>0</v>
      </c>
      <c r="AK185" s="114">
        <v>0</v>
      </c>
      <c r="AL185" s="114">
        <v>0</v>
      </c>
      <c r="AM185" s="114">
        <v>0</v>
      </c>
      <c r="AN185" s="114">
        <v>204</v>
      </c>
      <c r="AO185" s="114">
        <v>11.7415</v>
      </c>
      <c r="AP185" s="114"/>
      <c r="AQ185" s="114">
        <v>0</v>
      </c>
      <c r="AR185" s="114"/>
      <c r="AS185" s="114"/>
      <c r="AT185" s="114"/>
      <c r="AU185" s="114"/>
      <c r="AV185" s="114">
        <v>0</v>
      </c>
      <c r="AW185" s="114">
        <v>0</v>
      </c>
      <c r="AX185" s="114">
        <v>0</v>
      </c>
      <c r="AY185" s="114">
        <v>0</v>
      </c>
      <c r="AZ185" s="114">
        <v>0</v>
      </c>
      <c r="BA185" s="114">
        <v>6</v>
      </c>
      <c r="BB185" s="116"/>
      <c r="BC185" s="116"/>
      <c r="BD185" s="116"/>
      <c r="BE185" s="116"/>
      <c r="BF185" s="116"/>
      <c r="BG185" s="116"/>
      <c r="BH185" s="116"/>
      <c r="BI185" s="116"/>
      <c r="BJ185" s="117">
        <v>275625</v>
      </c>
      <c r="BK185" s="133">
        <v>-51</v>
      </c>
      <c r="BL185" s="119"/>
      <c r="BM185" s="118">
        <v>0</v>
      </c>
      <c r="BN185" s="131"/>
      <c r="BO185" s="119"/>
      <c r="BP185" s="119"/>
      <c r="BQ185" s="119"/>
      <c r="BR185" s="119"/>
      <c r="BS185" s="119"/>
      <c r="BT185" s="119"/>
      <c r="BU185" s="119"/>
      <c r="BV185" s="119"/>
      <c r="BW185" s="119"/>
      <c r="BX185" s="119"/>
    </row>
    <row r="186" s="96" customFormat="1" ht="15.75" customHeight="1" spans="1:76">
      <c r="A186" s="111">
        <v>185</v>
      </c>
      <c r="B186" s="112" t="s">
        <v>46</v>
      </c>
      <c r="C186" s="112" t="s">
        <v>135</v>
      </c>
      <c r="D186" s="111">
        <v>2024</v>
      </c>
      <c r="E186" s="113" t="s">
        <v>36</v>
      </c>
      <c r="F186" s="114">
        <v>45431</v>
      </c>
      <c r="G186" s="114">
        <v>45431</v>
      </c>
      <c r="H186" s="114">
        <v>2966.8143</v>
      </c>
      <c r="I186" s="114">
        <v>43</v>
      </c>
      <c r="J186" s="115">
        <v>0.00271990740740741</v>
      </c>
      <c r="K186" s="114">
        <v>17.06</v>
      </c>
      <c r="L186" s="114">
        <v>35</v>
      </c>
      <c r="M186" s="114">
        <v>609992</v>
      </c>
      <c r="N186" s="114">
        <v>6.49</v>
      </c>
      <c r="O186" s="114">
        <v>36561</v>
      </c>
      <c r="P186" s="114">
        <v>34278</v>
      </c>
      <c r="Q186" s="114">
        <v>2283</v>
      </c>
      <c r="R186" s="114">
        <v>2283</v>
      </c>
      <c r="S186" s="114">
        <v>0</v>
      </c>
      <c r="T186" s="114">
        <v>274</v>
      </c>
      <c r="U186" s="114">
        <v>231</v>
      </c>
      <c r="V186" s="114">
        <v>66</v>
      </c>
      <c r="W186" s="114">
        <v>-10</v>
      </c>
      <c r="X186" s="114">
        <v>50</v>
      </c>
      <c r="Y186" s="114">
        <v>138</v>
      </c>
      <c r="Z186" s="114">
        <v>166994.362</v>
      </c>
      <c r="AA186" s="114">
        <v>0</v>
      </c>
      <c r="AB186" s="114">
        <v>0</v>
      </c>
      <c r="AC186" s="114">
        <v>5274.62</v>
      </c>
      <c r="AD186" s="114">
        <v>161513.575</v>
      </c>
      <c r="AE186" s="114">
        <v>293958.106</v>
      </c>
      <c r="AF186" s="114">
        <v>27704</v>
      </c>
      <c r="AG186" s="114">
        <v>10610.674</v>
      </c>
      <c r="AH186" s="114">
        <v>23406</v>
      </c>
      <c r="AI186" s="114">
        <v>3675.78</v>
      </c>
      <c r="AJ186" s="114">
        <v>0</v>
      </c>
      <c r="AK186" s="114">
        <v>0</v>
      </c>
      <c r="AL186" s="114">
        <v>0</v>
      </c>
      <c r="AM186" s="114">
        <v>0</v>
      </c>
      <c r="AN186" s="114">
        <v>412</v>
      </c>
      <c r="AO186" s="114">
        <v>43.5944</v>
      </c>
      <c r="AP186" s="114"/>
      <c r="AQ186" s="114">
        <v>0</v>
      </c>
      <c r="AR186" s="114"/>
      <c r="AS186" s="114"/>
      <c r="AT186" s="114"/>
      <c r="AU186" s="114"/>
      <c r="AV186" s="114">
        <v>0</v>
      </c>
      <c r="AW186" s="114">
        <v>0</v>
      </c>
      <c r="AX186" s="114">
        <v>0</v>
      </c>
      <c r="AY186" s="114">
        <v>0</v>
      </c>
      <c r="AZ186" s="114">
        <v>0</v>
      </c>
      <c r="BA186" s="114">
        <v>1</v>
      </c>
      <c r="BB186" s="116"/>
      <c r="BC186" s="116"/>
      <c r="BD186" s="116"/>
      <c r="BE186" s="116"/>
      <c r="BF186" s="116"/>
      <c r="BG186" s="116"/>
      <c r="BH186" s="116"/>
      <c r="BI186" s="116"/>
      <c r="BJ186" s="117">
        <v>275668</v>
      </c>
      <c r="BK186" s="133">
        <v>43</v>
      </c>
      <c r="BL186" s="119"/>
      <c r="BM186" s="118">
        <v>0</v>
      </c>
      <c r="BN186" s="131"/>
      <c r="BO186" s="119"/>
      <c r="BP186" s="119"/>
      <c r="BQ186" s="119"/>
      <c r="BR186" s="119"/>
      <c r="BS186" s="119"/>
      <c r="BT186" s="119"/>
      <c r="BU186" s="119"/>
      <c r="BV186" s="119"/>
      <c r="BW186" s="119"/>
      <c r="BX186" s="119"/>
    </row>
    <row r="187" s="96" customFormat="1" ht="15.75" customHeight="1" spans="1:76">
      <c r="A187" s="111">
        <v>186</v>
      </c>
      <c r="B187" s="112" t="s">
        <v>46</v>
      </c>
      <c r="C187" s="112" t="s">
        <v>135</v>
      </c>
      <c r="D187" s="111">
        <v>2024</v>
      </c>
      <c r="E187" s="113" t="s">
        <v>37</v>
      </c>
      <c r="F187" s="114">
        <v>180559</v>
      </c>
      <c r="G187" s="114">
        <v>180559</v>
      </c>
      <c r="H187" s="114">
        <v>13520.8447</v>
      </c>
      <c r="I187" s="114">
        <v>736</v>
      </c>
      <c r="J187" s="115">
        <v>0.00311342592592593</v>
      </c>
      <c r="K187" s="114">
        <v>23.86</v>
      </c>
      <c r="L187" s="114">
        <v>10</v>
      </c>
      <c r="M187" s="114">
        <v>1880482</v>
      </c>
      <c r="N187" s="114">
        <v>8.85</v>
      </c>
      <c r="O187" s="114">
        <v>135951</v>
      </c>
      <c r="P187" s="114">
        <v>124475</v>
      </c>
      <c r="Q187" s="114">
        <v>11476</v>
      </c>
      <c r="R187" s="114">
        <v>11476</v>
      </c>
      <c r="S187" s="114">
        <v>0</v>
      </c>
      <c r="T187" s="114">
        <v>957</v>
      </c>
      <c r="U187" s="114">
        <v>221</v>
      </c>
      <c r="V187" s="114">
        <v>537</v>
      </c>
      <c r="W187" s="114">
        <v>29</v>
      </c>
      <c r="X187" s="114">
        <v>101</v>
      </c>
      <c r="Y187" s="114">
        <v>441</v>
      </c>
      <c r="Z187" s="114">
        <v>581389.656</v>
      </c>
      <c r="AA187" s="114">
        <v>0</v>
      </c>
      <c r="AB187" s="114">
        <v>0</v>
      </c>
      <c r="AC187" s="114">
        <v>6712.155</v>
      </c>
      <c r="AD187" s="114">
        <v>574613.606</v>
      </c>
      <c r="AE187" s="114">
        <v>1044752.649</v>
      </c>
      <c r="AF187" s="114">
        <v>155986</v>
      </c>
      <c r="AG187" s="114">
        <v>6697.733</v>
      </c>
      <c r="AH187" s="114">
        <v>146165</v>
      </c>
      <c r="AI187" s="114">
        <v>3219.944</v>
      </c>
      <c r="AJ187" s="114">
        <v>0</v>
      </c>
      <c r="AK187" s="114">
        <v>0</v>
      </c>
      <c r="AL187" s="114">
        <v>0</v>
      </c>
      <c r="AM187" s="114">
        <v>0</v>
      </c>
      <c r="AN187" s="114">
        <v>849</v>
      </c>
      <c r="AO187" s="114">
        <v>66.1311</v>
      </c>
      <c r="AP187" s="114"/>
      <c r="AQ187" s="114">
        <v>0</v>
      </c>
      <c r="AR187" s="114"/>
      <c r="AS187" s="114"/>
      <c r="AT187" s="114"/>
      <c r="AU187" s="114"/>
      <c r="AV187" s="114">
        <v>0</v>
      </c>
      <c r="AW187" s="114">
        <v>0</v>
      </c>
      <c r="AX187" s="114">
        <v>0</v>
      </c>
      <c r="AY187" s="114">
        <v>0</v>
      </c>
      <c r="AZ187" s="114">
        <v>0</v>
      </c>
      <c r="BA187" s="114">
        <v>0</v>
      </c>
      <c r="BB187" s="116"/>
      <c r="BC187" s="116"/>
      <c r="BD187" s="116"/>
      <c r="BE187" s="116"/>
      <c r="BF187" s="116"/>
      <c r="BG187" s="116"/>
      <c r="BH187" s="116"/>
      <c r="BI187" s="116"/>
      <c r="BJ187" s="117">
        <v>276404</v>
      </c>
      <c r="BK187" s="133">
        <v>736</v>
      </c>
      <c r="BL187" s="119"/>
      <c r="BM187" s="118">
        <v>0</v>
      </c>
      <c r="BN187" s="131"/>
      <c r="BO187" s="119"/>
      <c r="BP187" s="119"/>
      <c r="BQ187" s="119"/>
      <c r="BR187" s="119"/>
      <c r="BS187" s="119"/>
      <c r="BT187" s="119"/>
      <c r="BU187" s="119"/>
      <c r="BV187" s="119"/>
      <c r="BW187" s="119"/>
      <c r="BX187" s="119"/>
    </row>
    <row r="188" s="96" customFormat="1" ht="15.75" customHeight="1" spans="1:76">
      <c r="A188" s="111">
        <v>187</v>
      </c>
      <c r="B188" s="112" t="s">
        <v>46</v>
      </c>
      <c r="C188" s="112" t="s">
        <v>135</v>
      </c>
      <c r="D188" s="111">
        <v>2024</v>
      </c>
      <c r="E188" s="113" t="s">
        <v>38</v>
      </c>
      <c r="F188" s="114">
        <v>136009</v>
      </c>
      <c r="G188" s="114">
        <v>136009</v>
      </c>
      <c r="H188" s="114">
        <v>10686.2318</v>
      </c>
      <c r="I188" s="114">
        <v>438</v>
      </c>
      <c r="J188" s="115">
        <v>0.00326388888888889</v>
      </c>
      <c r="K188" s="114">
        <v>20.45</v>
      </c>
      <c r="L188" s="114">
        <v>66</v>
      </c>
      <c r="M188" s="114">
        <v>1716378</v>
      </c>
      <c r="N188" s="114">
        <v>7.24</v>
      </c>
      <c r="O188" s="114">
        <v>100723</v>
      </c>
      <c r="P188" s="114">
        <v>85752</v>
      </c>
      <c r="Q188" s="114">
        <v>14971</v>
      </c>
      <c r="R188" s="114">
        <v>14971</v>
      </c>
      <c r="S188" s="114">
        <v>0</v>
      </c>
      <c r="T188" s="114">
        <v>686</v>
      </c>
      <c r="U188" s="114">
        <v>248</v>
      </c>
      <c r="V188" s="114">
        <v>644</v>
      </c>
      <c r="W188" s="114">
        <v>20</v>
      </c>
      <c r="X188" s="114">
        <v>70</v>
      </c>
      <c r="Y188" s="114">
        <v>711</v>
      </c>
      <c r="Z188" s="114">
        <v>557315.048</v>
      </c>
      <c r="AA188" s="114">
        <v>0</v>
      </c>
      <c r="AB188" s="114">
        <v>0</v>
      </c>
      <c r="AC188" s="114">
        <v>9960.329</v>
      </c>
      <c r="AD188" s="114">
        <v>547254.349</v>
      </c>
      <c r="AE188" s="114">
        <v>995008.16</v>
      </c>
      <c r="AF188" s="114">
        <v>102662</v>
      </c>
      <c r="AG188" s="114">
        <v>9692.078</v>
      </c>
      <c r="AH188" s="114">
        <v>87415</v>
      </c>
      <c r="AI188" s="114">
        <v>4097.633</v>
      </c>
      <c r="AJ188" s="114">
        <v>0</v>
      </c>
      <c r="AK188" s="114">
        <v>0</v>
      </c>
      <c r="AL188" s="114">
        <v>0</v>
      </c>
      <c r="AM188" s="114">
        <v>0</v>
      </c>
      <c r="AN188" s="114">
        <v>906</v>
      </c>
      <c r="AO188" s="114">
        <v>92.8525</v>
      </c>
      <c r="AP188" s="114"/>
      <c r="AQ188" s="114">
        <v>0</v>
      </c>
      <c r="AR188" s="114"/>
      <c r="AS188" s="114"/>
      <c r="AT188" s="114"/>
      <c r="AU188" s="114"/>
      <c r="AV188" s="114">
        <v>0</v>
      </c>
      <c r="AW188" s="114">
        <v>0</v>
      </c>
      <c r="AX188" s="114">
        <v>0</v>
      </c>
      <c r="AY188" s="114">
        <v>0</v>
      </c>
      <c r="AZ188" s="114">
        <v>0</v>
      </c>
      <c r="BA188" s="114">
        <v>0</v>
      </c>
      <c r="BB188" s="116"/>
      <c r="BC188" s="116"/>
      <c r="BD188" s="116"/>
      <c r="BE188" s="116"/>
      <c r="BF188" s="116"/>
      <c r="BG188" s="116"/>
      <c r="BH188" s="116"/>
      <c r="BI188" s="116"/>
      <c r="BJ188" s="117">
        <v>276842</v>
      </c>
      <c r="BK188" s="133">
        <v>438</v>
      </c>
      <c r="BL188" s="119"/>
      <c r="BM188" s="118">
        <v>0</v>
      </c>
      <c r="BN188" s="131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</row>
    <row r="189" s="96" customFormat="1" ht="15.75" customHeight="1" spans="1:76">
      <c r="A189" s="111">
        <v>188</v>
      </c>
      <c r="B189" s="112" t="s">
        <v>46</v>
      </c>
      <c r="C189" s="112" t="s">
        <v>135</v>
      </c>
      <c r="D189" s="111">
        <v>2024</v>
      </c>
      <c r="E189" s="113" t="s">
        <v>39</v>
      </c>
      <c r="F189" s="114">
        <v>389165</v>
      </c>
      <c r="G189" s="114">
        <v>389165</v>
      </c>
      <c r="H189" s="114">
        <v>37187.8976</v>
      </c>
      <c r="I189" s="114">
        <v>1538</v>
      </c>
      <c r="J189" s="115">
        <v>0.00398148148148148</v>
      </c>
      <c r="K189" s="114">
        <v>21.96</v>
      </c>
      <c r="L189" s="114">
        <v>61</v>
      </c>
      <c r="M189" s="114">
        <v>4106132</v>
      </c>
      <c r="N189" s="114">
        <v>8.52</v>
      </c>
      <c r="O189" s="114">
        <v>296590</v>
      </c>
      <c r="P189" s="114">
        <v>259736</v>
      </c>
      <c r="Q189" s="114">
        <v>36854</v>
      </c>
      <c r="R189" s="114">
        <v>36854</v>
      </c>
      <c r="S189" s="114">
        <v>0</v>
      </c>
      <c r="T189" s="114">
        <v>1838</v>
      </c>
      <c r="U189" s="114">
        <v>300</v>
      </c>
      <c r="V189" s="114">
        <v>2326</v>
      </c>
      <c r="W189" s="114">
        <v>97</v>
      </c>
      <c r="X189" s="114">
        <v>247</v>
      </c>
      <c r="Y189" s="114">
        <v>2171</v>
      </c>
      <c r="Z189" s="114">
        <v>1834241.484</v>
      </c>
      <c r="AA189" s="114">
        <v>0</v>
      </c>
      <c r="AB189" s="114">
        <v>0</v>
      </c>
      <c r="AC189" s="114">
        <v>63010.301</v>
      </c>
      <c r="AD189" s="114">
        <v>1771176.088</v>
      </c>
      <c r="AE189" s="114">
        <v>3220320.589</v>
      </c>
      <c r="AF189" s="114">
        <v>319836</v>
      </c>
      <c r="AG189" s="114">
        <v>10068.662</v>
      </c>
      <c r="AH189" s="114">
        <v>252320</v>
      </c>
      <c r="AI189" s="114">
        <v>4713.275</v>
      </c>
      <c r="AJ189" s="114">
        <v>0</v>
      </c>
      <c r="AK189" s="114">
        <v>0</v>
      </c>
      <c r="AL189" s="114">
        <v>0</v>
      </c>
      <c r="AM189" s="114">
        <v>0</v>
      </c>
      <c r="AN189" s="114">
        <v>3607</v>
      </c>
      <c r="AO189" s="114">
        <v>566.7992</v>
      </c>
      <c r="AP189" s="114"/>
      <c r="AQ189" s="114">
        <v>0</v>
      </c>
      <c r="AR189" s="114"/>
      <c r="AS189" s="114"/>
      <c r="AT189" s="114">
        <v>2</v>
      </c>
      <c r="AU189" s="114">
        <v>4267</v>
      </c>
      <c r="AV189" s="114">
        <v>0</v>
      </c>
      <c r="AW189" s="114">
        <v>0</v>
      </c>
      <c r="AX189" s="114">
        <v>0</v>
      </c>
      <c r="AY189" s="114">
        <v>0</v>
      </c>
      <c r="AZ189" s="114">
        <v>1</v>
      </c>
      <c r="BA189" s="114">
        <v>6</v>
      </c>
      <c r="BB189" s="116"/>
      <c r="BC189" s="116"/>
      <c r="BD189" s="116"/>
      <c r="BE189" s="116"/>
      <c r="BF189" s="116"/>
      <c r="BG189" s="116"/>
      <c r="BH189" s="116"/>
      <c r="BI189" s="116"/>
      <c r="BJ189" s="117">
        <v>278380</v>
      </c>
      <c r="BK189" s="117">
        <v>1538</v>
      </c>
      <c r="BL189" s="119"/>
      <c r="BM189" s="118">
        <v>0</v>
      </c>
      <c r="BN189" s="131"/>
      <c r="BO189" s="119"/>
      <c r="BP189" s="119"/>
      <c r="BQ189" s="119"/>
      <c r="BR189" s="119"/>
      <c r="BS189" s="119"/>
      <c r="BT189" s="119"/>
      <c r="BU189" s="119"/>
      <c r="BV189" s="119"/>
      <c r="BW189" s="119"/>
      <c r="BX189" s="119"/>
    </row>
    <row r="190" s="96" customFormat="1" ht="15.75" customHeight="1" spans="1:76">
      <c r="A190" s="111">
        <v>189</v>
      </c>
      <c r="B190" s="112" t="s">
        <v>46</v>
      </c>
      <c r="C190" s="112" t="s">
        <v>135</v>
      </c>
      <c r="D190" s="111">
        <v>2024</v>
      </c>
      <c r="E190" s="113" t="s">
        <v>40</v>
      </c>
      <c r="F190" s="114">
        <v>642156</v>
      </c>
      <c r="G190" s="114">
        <v>642156</v>
      </c>
      <c r="H190" s="114">
        <v>92266.2756</v>
      </c>
      <c r="I190" s="114">
        <v>3725</v>
      </c>
      <c r="J190" s="115">
        <v>0.0059837962962963</v>
      </c>
      <c r="K190" s="114">
        <v>25.88</v>
      </c>
      <c r="L190" s="114">
        <v>63</v>
      </c>
      <c r="M190" s="114">
        <v>7978025</v>
      </c>
      <c r="N190" s="114">
        <v>6.96</v>
      </c>
      <c r="O190" s="114">
        <v>459968</v>
      </c>
      <c r="P190" s="114">
        <v>399462</v>
      </c>
      <c r="Q190" s="114">
        <v>60506</v>
      </c>
      <c r="R190" s="114">
        <v>60506</v>
      </c>
      <c r="S190" s="114">
        <v>0</v>
      </c>
      <c r="T190" s="114">
        <v>4082</v>
      </c>
      <c r="U190" s="114">
        <v>357</v>
      </c>
      <c r="V190" s="114">
        <v>7477</v>
      </c>
      <c r="W190" s="114">
        <v>242</v>
      </c>
      <c r="X190" s="114">
        <v>1591</v>
      </c>
      <c r="Y190" s="114">
        <v>4457</v>
      </c>
      <c r="Z190" s="114">
        <v>4133469.249</v>
      </c>
      <c r="AA190" s="114">
        <v>0</v>
      </c>
      <c r="AB190" s="114">
        <v>0</v>
      </c>
      <c r="AC190" s="114">
        <v>320021.971</v>
      </c>
      <c r="AD190" s="114">
        <v>3813227.086</v>
      </c>
      <c r="AE190" s="114">
        <v>6933141.131</v>
      </c>
      <c r="AF190" s="114">
        <v>669813</v>
      </c>
      <c r="AG190" s="114">
        <v>10350.861</v>
      </c>
      <c r="AH190" s="114">
        <v>551001</v>
      </c>
      <c r="AI190" s="114">
        <v>6436.862</v>
      </c>
      <c r="AJ190" s="114">
        <v>0</v>
      </c>
      <c r="AK190" s="114">
        <v>0</v>
      </c>
      <c r="AL190" s="114">
        <v>0</v>
      </c>
      <c r="AM190" s="114">
        <v>0</v>
      </c>
      <c r="AN190" s="114">
        <v>14081</v>
      </c>
      <c r="AO190" s="114">
        <v>2630.5421</v>
      </c>
      <c r="AP190" s="114"/>
      <c r="AQ190" s="114">
        <v>0</v>
      </c>
      <c r="AR190" s="114"/>
      <c r="AS190" s="114"/>
      <c r="AT190" s="114">
        <v>1</v>
      </c>
      <c r="AU190" s="114">
        <v>541</v>
      </c>
      <c r="AV190" s="114">
        <v>1</v>
      </c>
      <c r="AW190" s="114">
        <v>0.0033</v>
      </c>
      <c r="AX190" s="114">
        <v>0</v>
      </c>
      <c r="AY190" s="114">
        <v>0</v>
      </c>
      <c r="AZ190" s="114">
        <v>0</v>
      </c>
      <c r="BA190" s="114">
        <v>2</v>
      </c>
      <c r="BB190" s="116"/>
      <c r="BC190" s="116"/>
      <c r="BD190" s="116"/>
      <c r="BE190" s="116"/>
      <c r="BF190" s="116"/>
      <c r="BG190" s="116"/>
      <c r="BH190" s="116"/>
      <c r="BI190" s="116"/>
      <c r="BJ190" s="117">
        <v>282105</v>
      </c>
      <c r="BK190" s="117">
        <v>3725</v>
      </c>
      <c r="BL190" s="119"/>
      <c r="BM190" s="118">
        <v>0</v>
      </c>
      <c r="BN190" s="131"/>
      <c r="BO190" s="119"/>
      <c r="BP190" s="119"/>
      <c r="BQ190" s="119"/>
      <c r="BR190" s="119"/>
      <c r="BS190" s="119"/>
      <c r="BT190" s="119"/>
      <c r="BU190" s="119"/>
      <c r="BV190" s="119"/>
      <c r="BW190" s="119"/>
      <c r="BX190" s="119"/>
    </row>
    <row r="191" s="96" customFormat="1" ht="15.75" customHeight="1" spans="1:76">
      <c r="A191" s="111">
        <v>190</v>
      </c>
      <c r="B191" s="112" t="s">
        <v>46</v>
      </c>
      <c r="C191" s="112" t="s">
        <v>135</v>
      </c>
      <c r="D191" s="111">
        <v>2024</v>
      </c>
      <c r="E191" s="113" t="s">
        <v>41</v>
      </c>
      <c r="F191" s="114">
        <v>23609</v>
      </c>
      <c r="G191" s="114">
        <v>23609</v>
      </c>
      <c r="H191" s="114">
        <v>1469.8671</v>
      </c>
      <c r="I191" s="114">
        <v>-86</v>
      </c>
      <c r="J191" s="115">
        <v>0.00259259259259259</v>
      </c>
      <c r="K191" s="114">
        <v>22.97</v>
      </c>
      <c r="L191" s="114">
        <v>0</v>
      </c>
      <c r="M191" s="114">
        <v>251380</v>
      </c>
      <c r="N191" s="114">
        <v>7.18</v>
      </c>
      <c r="O191" s="114">
        <v>17517</v>
      </c>
      <c r="P191" s="114">
        <v>13111</v>
      </c>
      <c r="Q191" s="114">
        <v>4406</v>
      </c>
      <c r="R191" s="114">
        <v>4406</v>
      </c>
      <c r="S191" s="114">
        <v>0</v>
      </c>
      <c r="T191" s="114">
        <v>153</v>
      </c>
      <c r="U191" s="114">
        <v>239</v>
      </c>
      <c r="V191" s="114">
        <v>-103</v>
      </c>
      <c r="W191" s="114">
        <v>-19</v>
      </c>
      <c r="X191" s="114">
        <v>250</v>
      </c>
      <c r="Y191" s="114">
        <v>43</v>
      </c>
      <c r="Z191" s="114">
        <v>61789.379</v>
      </c>
      <c r="AA191" s="114">
        <v>0</v>
      </c>
      <c r="AB191" s="114">
        <v>0</v>
      </c>
      <c r="AC191" s="114">
        <v>1577.693</v>
      </c>
      <c r="AD191" s="114">
        <v>60164.36</v>
      </c>
      <c r="AE191" s="114">
        <v>109389.095</v>
      </c>
      <c r="AF191" s="114">
        <v>12940</v>
      </c>
      <c r="AG191" s="114">
        <v>8453.562</v>
      </c>
      <c r="AH191" s="114">
        <v>11523</v>
      </c>
      <c r="AI191" s="114">
        <v>2617.189</v>
      </c>
      <c r="AJ191" s="114">
        <v>0</v>
      </c>
      <c r="AK191" s="114">
        <v>0</v>
      </c>
      <c r="AL191" s="114">
        <v>0</v>
      </c>
      <c r="AM191" s="114">
        <v>0</v>
      </c>
      <c r="AN191" s="114">
        <v>196</v>
      </c>
      <c r="AO191" s="114">
        <v>18.2888</v>
      </c>
      <c r="AP191" s="114"/>
      <c r="AQ191" s="114">
        <v>0</v>
      </c>
      <c r="AR191" s="114"/>
      <c r="AS191" s="114"/>
      <c r="AT191" s="114"/>
      <c r="AU191" s="114">
        <v>17</v>
      </c>
      <c r="AV191" s="114">
        <v>0</v>
      </c>
      <c r="AW191" s="114">
        <v>0</v>
      </c>
      <c r="AX191" s="114">
        <v>0</v>
      </c>
      <c r="AY191" s="114">
        <v>0</v>
      </c>
      <c r="AZ191" s="114">
        <v>0</v>
      </c>
      <c r="BA191" s="114">
        <v>0</v>
      </c>
      <c r="BB191" s="116"/>
      <c r="BC191" s="116"/>
      <c r="BD191" s="116"/>
      <c r="BE191" s="116"/>
      <c r="BF191" s="116"/>
      <c r="BG191" s="116"/>
      <c r="BH191" s="116"/>
      <c r="BI191" s="116"/>
      <c r="BJ191" s="117">
        <v>282019</v>
      </c>
      <c r="BK191" s="133">
        <v>-86</v>
      </c>
      <c r="BL191" s="119"/>
      <c r="BM191" s="118">
        <v>0</v>
      </c>
      <c r="BN191" s="131"/>
      <c r="BO191" s="119"/>
      <c r="BP191" s="119"/>
      <c r="BQ191" s="119"/>
      <c r="BR191" s="119"/>
      <c r="BS191" s="119"/>
      <c r="BT191" s="119"/>
      <c r="BU191" s="119"/>
      <c r="BV191" s="119"/>
      <c r="BW191" s="119"/>
      <c r="BX191" s="119"/>
    </row>
    <row r="192" s="96" customFormat="1" ht="15.75" customHeight="1" spans="1:76">
      <c r="A192" s="111">
        <v>191</v>
      </c>
      <c r="B192" s="112" t="s">
        <v>46</v>
      </c>
      <c r="C192" s="112" t="s">
        <v>135</v>
      </c>
      <c r="D192" s="111">
        <v>2024</v>
      </c>
      <c r="E192" s="113" t="s">
        <v>42</v>
      </c>
      <c r="F192" s="114">
        <v>480230</v>
      </c>
      <c r="G192" s="114">
        <v>480230</v>
      </c>
      <c r="H192" s="114">
        <v>45008.4594</v>
      </c>
      <c r="I192" s="114">
        <v>2389</v>
      </c>
      <c r="J192" s="115">
        <v>0.00390046296296296</v>
      </c>
      <c r="K192" s="114">
        <v>24.95</v>
      </c>
      <c r="L192" s="114">
        <v>35</v>
      </c>
      <c r="M192" s="114">
        <v>4897614</v>
      </c>
      <c r="N192" s="114">
        <v>8.93</v>
      </c>
      <c r="O192" s="114">
        <v>372056</v>
      </c>
      <c r="P192" s="114">
        <v>295533</v>
      </c>
      <c r="Q192" s="114">
        <v>76523</v>
      </c>
      <c r="R192" s="114">
        <v>76523</v>
      </c>
      <c r="S192" s="114">
        <v>0</v>
      </c>
      <c r="T192" s="114">
        <v>2673</v>
      </c>
      <c r="U192" s="114">
        <v>284</v>
      </c>
      <c r="V192" s="114">
        <v>2595</v>
      </c>
      <c r="W192" s="114">
        <v>152</v>
      </c>
      <c r="X192" s="114">
        <v>442</v>
      </c>
      <c r="Y192" s="114">
        <v>2590</v>
      </c>
      <c r="Z192" s="114">
        <v>2263706.329</v>
      </c>
      <c r="AA192" s="114">
        <v>0</v>
      </c>
      <c r="AB192" s="114">
        <v>0</v>
      </c>
      <c r="AC192" s="114">
        <v>108955.08</v>
      </c>
      <c r="AD192" s="114">
        <v>2154526.304</v>
      </c>
      <c r="AE192" s="114">
        <v>3917321.097</v>
      </c>
      <c r="AF192" s="114">
        <v>451030</v>
      </c>
      <c r="AG192" s="114">
        <v>8685.278</v>
      </c>
      <c r="AH192" s="114">
        <v>387801</v>
      </c>
      <c r="AI192" s="114">
        <v>4713.796</v>
      </c>
      <c r="AJ192" s="114">
        <v>0</v>
      </c>
      <c r="AK192" s="114">
        <v>4</v>
      </c>
      <c r="AL192" s="114">
        <v>0</v>
      </c>
      <c r="AM192" s="114">
        <v>0</v>
      </c>
      <c r="AN192" s="114">
        <v>4752</v>
      </c>
      <c r="AO192" s="114">
        <v>698.2557</v>
      </c>
      <c r="AP192" s="114"/>
      <c r="AQ192" s="114">
        <v>0</v>
      </c>
      <c r="AR192" s="114"/>
      <c r="AS192" s="114"/>
      <c r="AT192" s="114"/>
      <c r="AU192" s="114">
        <v>11</v>
      </c>
      <c r="AV192" s="114">
        <v>0</v>
      </c>
      <c r="AW192" s="114">
        <v>0</v>
      </c>
      <c r="AX192" s="114">
        <v>0</v>
      </c>
      <c r="AY192" s="114">
        <v>3</v>
      </c>
      <c r="AZ192" s="114">
        <v>0</v>
      </c>
      <c r="BA192" s="114">
        <v>0</v>
      </c>
      <c r="BB192" s="116"/>
      <c r="BC192" s="116"/>
      <c r="BD192" s="116"/>
      <c r="BE192" s="116"/>
      <c r="BF192" s="116"/>
      <c r="BG192" s="116"/>
      <c r="BH192" s="116"/>
      <c r="BI192" s="116"/>
      <c r="BJ192" s="117">
        <v>284408</v>
      </c>
      <c r="BK192" s="117">
        <v>2389</v>
      </c>
      <c r="BL192" s="119"/>
      <c r="BM192" s="118">
        <v>0</v>
      </c>
      <c r="BN192" s="131"/>
      <c r="BO192" s="119"/>
      <c r="BP192" s="119"/>
      <c r="BQ192" s="119"/>
      <c r="BR192" s="119"/>
      <c r="BS192" s="119"/>
      <c r="BT192" s="119"/>
      <c r="BU192" s="119"/>
      <c r="BV192" s="119"/>
      <c r="BW192" s="119"/>
      <c r="BX192" s="119"/>
    </row>
    <row r="193" s="96" customFormat="1" ht="15.75" customHeight="1" spans="1:76">
      <c r="A193" s="111">
        <v>192</v>
      </c>
      <c r="B193" s="112" t="s">
        <v>46</v>
      </c>
      <c r="C193" s="112" t="s">
        <v>135</v>
      </c>
      <c r="D193" s="111">
        <v>2024</v>
      </c>
      <c r="E193" s="113" t="s">
        <v>43</v>
      </c>
      <c r="F193" s="114">
        <v>345203</v>
      </c>
      <c r="G193" s="114">
        <v>345203</v>
      </c>
      <c r="H193" s="114">
        <v>55008.8663</v>
      </c>
      <c r="I193" s="114">
        <v>1611</v>
      </c>
      <c r="J193" s="115">
        <v>0.00663194444444444</v>
      </c>
      <c r="K193" s="114">
        <v>22.66</v>
      </c>
      <c r="L193" s="114">
        <v>56</v>
      </c>
      <c r="M193" s="114">
        <v>4087287</v>
      </c>
      <c r="N193" s="114">
        <v>7.44</v>
      </c>
      <c r="O193" s="114">
        <v>262983</v>
      </c>
      <c r="P193" s="114">
        <v>183498</v>
      </c>
      <c r="Q193" s="114">
        <v>79485</v>
      </c>
      <c r="R193" s="114">
        <v>79485</v>
      </c>
      <c r="S193" s="114">
        <v>0</v>
      </c>
      <c r="T193" s="114">
        <v>1891</v>
      </c>
      <c r="U193" s="114">
        <v>280</v>
      </c>
      <c r="V193" s="114">
        <v>1821</v>
      </c>
      <c r="W193" s="114">
        <v>115</v>
      </c>
      <c r="X193" s="114">
        <v>367</v>
      </c>
      <c r="Y193" s="114">
        <v>1272</v>
      </c>
      <c r="Z193" s="114">
        <v>2672342.692</v>
      </c>
      <c r="AA193" s="114">
        <v>0</v>
      </c>
      <c r="AB193" s="114">
        <v>0</v>
      </c>
      <c r="AC193" s="114">
        <v>168672.61</v>
      </c>
      <c r="AD193" s="114">
        <v>2503528.804</v>
      </c>
      <c r="AE193" s="114">
        <v>4551869.93</v>
      </c>
      <c r="AF193" s="114">
        <v>401195</v>
      </c>
      <c r="AG193" s="114">
        <v>11345.779</v>
      </c>
      <c r="AH193" s="114">
        <v>293260</v>
      </c>
      <c r="AI193" s="114">
        <v>7741.365</v>
      </c>
      <c r="AJ193" s="114">
        <v>0</v>
      </c>
      <c r="AK193" s="114">
        <v>0</v>
      </c>
      <c r="AL193" s="114">
        <v>0</v>
      </c>
      <c r="AM193" s="114">
        <v>0</v>
      </c>
      <c r="AN193" s="114">
        <v>4224</v>
      </c>
      <c r="AO193" s="114">
        <v>1192.8072</v>
      </c>
      <c r="AP193" s="114"/>
      <c r="AQ193" s="114">
        <v>0</v>
      </c>
      <c r="AR193" s="114"/>
      <c r="AS193" s="114"/>
      <c r="AT193" s="114"/>
      <c r="AU193" s="114">
        <v>2</v>
      </c>
      <c r="AV193" s="114">
        <v>1</v>
      </c>
      <c r="AW193" s="114">
        <v>0.0039</v>
      </c>
      <c r="AX193" s="114">
        <v>0</v>
      </c>
      <c r="AY193" s="114">
        <v>1</v>
      </c>
      <c r="AZ193" s="114">
        <v>0</v>
      </c>
      <c r="BA193" s="114">
        <v>1</v>
      </c>
      <c r="BB193" s="116"/>
      <c r="BC193" s="116"/>
      <c r="BD193" s="116"/>
      <c r="BE193" s="116"/>
      <c r="BF193" s="116"/>
      <c r="BG193" s="116"/>
      <c r="BH193" s="116"/>
      <c r="BI193" s="116"/>
      <c r="BJ193" s="117">
        <v>286019</v>
      </c>
      <c r="BK193" s="117">
        <v>1611</v>
      </c>
      <c r="BL193" s="119"/>
      <c r="BM193" s="118">
        <v>0</v>
      </c>
      <c r="BN193" s="131"/>
      <c r="BO193" s="119"/>
      <c r="BP193" s="119"/>
      <c r="BQ193" s="119"/>
      <c r="BR193" s="119"/>
      <c r="BS193" s="119"/>
      <c r="BT193" s="119"/>
      <c r="BU193" s="119"/>
      <c r="BV193" s="119"/>
      <c r="BW193" s="119"/>
      <c r="BX193" s="119"/>
    </row>
    <row r="194" s="96" customFormat="1" ht="15.75" customHeight="1" spans="1:76">
      <c r="A194" s="111">
        <v>193</v>
      </c>
      <c r="B194" s="112" t="s">
        <v>46</v>
      </c>
      <c r="C194" s="112" t="s">
        <v>135</v>
      </c>
      <c r="D194" s="111">
        <v>2025</v>
      </c>
      <c r="E194" s="113" t="s">
        <v>31</v>
      </c>
      <c r="F194" s="114">
        <v>497378</v>
      </c>
      <c r="G194" s="114">
        <v>497378</v>
      </c>
      <c r="H194" s="114">
        <v>82205.3687</v>
      </c>
      <c r="I194" s="114">
        <v>2266</v>
      </c>
      <c r="J194" s="115">
        <v>0.006875</v>
      </c>
      <c r="K194" s="114">
        <v>26.12</v>
      </c>
      <c r="L194" s="114">
        <v>88</v>
      </c>
      <c r="M194" s="114">
        <v>6673819</v>
      </c>
      <c r="N194" s="114">
        <v>6.33</v>
      </c>
      <c r="O194" s="114">
        <v>375245</v>
      </c>
      <c r="P194" s="114">
        <v>277283</v>
      </c>
      <c r="Q194" s="114">
        <v>97962</v>
      </c>
      <c r="R194" s="114">
        <v>97962</v>
      </c>
      <c r="S194" s="114">
        <v>0</v>
      </c>
      <c r="T194" s="114">
        <v>2619</v>
      </c>
      <c r="U194" s="114">
        <v>353</v>
      </c>
      <c r="V194" s="114">
        <v>3334</v>
      </c>
      <c r="W194" s="114">
        <v>213</v>
      </c>
      <c r="X194" s="114">
        <v>457</v>
      </c>
      <c r="Y194" s="114">
        <v>3666</v>
      </c>
      <c r="Z194" s="114">
        <v>3497203.046</v>
      </c>
      <c r="AA194" s="114">
        <v>34868.987</v>
      </c>
      <c r="AB194" s="114">
        <v>1</v>
      </c>
      <c r="AC194" s="114">
        <v>296559.419</v>
      </c>
      <c r="AD194" s="114">
        <v>3165549.165</v>
      </c>
      <c r="AE194" s="114">
        <v>5755544.67</v>
      </c>
      <c r="AF194" s="114">
        <v>503687</v>
      </c>
      <c r="AG194" s="114">
        <v>11426.828</v>
      </c>
      <c r="AH194" s="114">
        <v>382270</v>
      </c>
      <c r="AI194" s="114">
        <v>7031.279</v>
      </c>
      <c r="AJ194" s="114">
        <v>0</v>
      </c>
      <c r="AK194" s="114">
        <v>0</v>
      </c>
      <c r="AL194" s="114">
        <v>0</v>
      </c>
      <c r="AM194" s="114">
        <v>0</v>
      </c>
      <c r="AN194" s="114">
        <v>8191</v>
      </c>
      <c r="AO194" s="114">
        <v>2229.0311</v>
      </c>
      <c r="AP194" s="114"/>
      <c r="AQ194" s="114">
        <v>0</v>
      </c>
      <c r="AR194" s="114"/>
      <c r="AS194" s="114"/>
      <c r="AT194" s="114">
        <v>1</v>
      </c>
      <c r="AU194" s="114">
        <v>622</v>
      </c>
      <c r="AV194" s="114">
        <v>0</v>
      </c>
      <c r="AW194" s="114">
        <v>0</v>
      </c>
      <c r="AX194" s="114">
        <v>0</v>
      </c>
      <c r="AY194" s="114">
        <v>0</v>
      </c>
      <c r="AZ194" s="114">
        <v>0</v>
      </c>
      <c r="BA194" s="114">
        <v>2</v>
      </c>
      <c r="BB194" s="116"/>
      <c r="BC194" s="116"/>
      <c r="BD194" s="116"/>
      <c r="BE194" s="116"/>
      <c r="BF194" s="116"/>
      <c r="BG194" s="116"/>
      <c r="BH194" s="116"/>
      <c r="BI194" s="116"/>
      <c r="BJ194" s="117">
        <v>288285</v>
      </c>
      <c r="BK194" s="117">
        <v>2266</v>
      </c>
      <c r="BL194" s="119"/>
      <c r="BM194" s="118">
        <v>0</v>
      </c>
      <c r="BN194" s="131"/>
      <c r="BO194" s="119"/>
      <c r="BP194" s="119"/>
      <c r="BQ194" s="119"/>
      <c r="BR194" s="119"/>
      <c r="BS194" s="119"/>
      <c r="BT194" s="119"/>
      <c r="BU194" s="119"/>
      <c r="BV194" s="119"/>
      <c r="BW194" s="119"/>
      <c r="BX194" s="119"/>
    </row>
    <row r="195" s="96" customFormat="1" ht="15.75" customHeight="1" spans="1:76">
      <c r="A195" s="111">
        <v>194</v>
      </c>
      <c r="B195" s="112" t="s">
        <v>46</v>
      </c>
      <c r="C195" s="112" t="s">
        <v>135</v>
      </c>
      <c r="D195" s="111">
        <v>2025</v>
      </c>
      <c r="E195" s="113" t="s">
        <v>33</v>
      </c>
      <c r="F195" s="114">
        <v>215634</v>
      </c>
      <c r="G195" s="114">
        <v>215634</v>
      </c>
      <c r="H195" s="114">
        <v>18527.9814</v>
      </c>
      <c r="I195" s="114">
        <v>730</v>
      </c>
      <c r="J195" s="115">
        <v>0.00357638888888889</v>
      </c>
      <c r="K195" s="114">
        <v>23.98</v>
      </c>
      <c r="L195" s="114">
        <v>96</v>
      </c>
      <c r="M195" s="114">
        <v>2540305</v>
      </c>
      <c r="N195" s="114">
        <v>7.53</v>
      </c>
      <c r="O195" s="114">
        <v>161862</v>
      </c>
      <c r="P195" s="114">
        <v>103239</v>
      </c>
      <c r="Q195" s="114">
        <v>58623</v>
      </c>
      <c r="R195" s="114">
        <v>58623</v>
      </c>
      <c r="S195" s="114">
        <v>0</v>
      </c>
      <c r="T195" s="114">
        <v>913</v>
      </c>
      <c r="U195" s="114">
        <v>183</v>
      </c>
      <c r="V195" s="114">
        <v>1201</v>
      </c>
      <c r="W195" s="114">
        <v>63</v>
      </c>
      <c r="X195" s="114">
        <v>235</v>
      </c>
      <c r="Y195" s="114">
        <v>3550</v>
      </c>
      <c r="Z195" s="114">
        <v>857944.732</v>
      </c>
      <c r="AA195" s="114">
        <v>0</v>
      </c>
      <c r="AB195" s="114">
        <v>0</v>
      </c>
      <c r="AC195" s="114">
        <v>75938.01</v>
      </c>
      <c r="AD195" s="114">
        <v>781968.17</v>
      </c>
      <c r="AE195" s="114">
        <v>1421758.763</v>
      </c>
      <c r="AF195" s="114">
        <v>144346</v>
      </c>
      <c r="AG195" s="114">
        <v>9849.658</v>
      </c>
      <c r="AH195" s="114">
        <v>124597</v>
      </c>
      <c r="AI195" s="114">
        <v>3978.705</v>
      </c>
      <c r="AJ195" s="114">
        <v>0</v>
      </c>
      <c r="AK195" s="114">
        <v>0</v>
      </c>
      <c r="AL195" s="114">
        <v>0</v>
      </c>
      <c r="AM195" s="114">
        <v>0</v>
      </c>
      <c r="AN195" s="114">
        <v>3622</v>
      </c>
      <c r="AO195" s="114">
        <v>453.34</v>
      </c>
      <c r="AP195" s="114"/>
      <c r="AQ195" s="114">
        <v>0</v>
      </c>
      <c r="AR195" s="114"/>
      <c r="AS195" s="114"/>
      <c r="AT195" s="114"/>
      <c r="AU195" s="114">
        <v>12</v>
      </c>
      <c r="AV195" s="114">
        <v>0</v>
      </c>
      <c r="AW195" s="114">
        <v>0</v>
      </c>
      <c r="AX195" s="114">
        <v>0</v>
      </c>
      <c r="AY195" s="114">
        <v>3</v>
      </c>
      <c r="AZ195" s="114">
        <v>0</v>
      </c>
      <c r="BA195" s="114">
        <v>2</v>
      </c>
      <c r="BB195" s="116"/>
      <c r="BC195" s="116"/>
      <c r="BD195" s="116"/>
      <c r="BE195" s="116"/>
      <c r="BF195" s="116"/>
      <c r="BG195" s="116"/>
      <c r="BH195" s="116"/>
      <c r="BI195" s="116"/>
      <c r="BJ195" s="117">
        <v>289015</v>
      </c>
      <c r="BK195" s="133">
        <v>730</v>
      </c>
      <c r="BL195" s="119"/>
      <c r="BM195" s="118">
        <v>0</v>
      </c>
      <c r="BN195" s="131"/>
      <c r="BO195" s="119"/>
      <c r="BP195" s="119"/>
      <c r="BQ195" s="119"/>
      <c r="BR195" s="119"/>
      <c r="BS195" s="119"/>
      <c r="BT195" s="119"/>
      <c r="BU195" s="119"/>
      <c r="BV195" s="119"/>
      <c r="BW195" s="119"/>
      <c r="BX195" s="119"/>
    </row>
    <row r="196" s="96" customFormat="1" ht="15.75" customHeight="1" spans="1:76">
      <c r="A196" s="111">
        <v>195</v>
      </c>
      <c r="B196" s="112" t="s">
        <v>46</v>
      </c>
      <c r="C196" s="112" t="s">
        <v>135</v>
      </c>
      <c r="D196" s="111">
        <v>2025</v>
      </c>
      <c r="E196" s="113" t="s">
        <v>34</v>
      </c>
      <c r="F196" s="114">
        <v>170309</v>
      </c>
      <c r="G196" s="114">
        <v>170308</v>
      </c>
      <c r="H196" s="114">
        <v>22276.8368</v>
      </c>
      <c r="I196" s="114">
        <v>441</v>
      </c>
      <c r="J196" s="115">
        <v>0.00543981481481481</v>
      </c>
      <c r="K196" s="114">
        <v>24.28</v>
      </c>
      <c r="L196" s="114">
        <v>80</v>
      </c>
      <c r="M196" s="114">
        <v>2072439</v>
      </c>
      <c r="N196" s="114">
        <v>6.93</v>
      </c>
      <c r="O196" s="114">
        <v>130978</v>
      </c>
      <c r="P196" s="114">
        <v>85698</v>
      </c>
      <c r="Q196" s="114">
        <v>45274</v>
      </c>
      <c r="R196" s="114">
        <v>44727</v>
      </c>
      <c r="S196" s="114">
        <v>547</v>
      </c>
      <c r="T196" s="114">
        <v>762</v>
      </c>
      <c r="U196" s="114">
        <v>321</v>
      </c>
      <c r="V196" s="114">
        <v>680</v>
      </c>
      <c r="W196" s="114">
        <v>68</v>
      </c>
      <c r="X196" s="114">
        <v>170</v>
      </c>
      <c r="Y196" s="114">
        <v>1393</v>
      </c>
      <c r="Z196" s="114">
        <v>1123968.538</v>
      </c>
      <c r="AA196" s="114">
        <v>0</v>
      </c>
      <c r="AB196" s="114">
        <v>0</v>
      </c>
      <c r="AC196" s="114">
        <v>84259.736</v>
      </c>
      <c r="AD196" s="114">
        <v>1039654.709</v>
      </c>
      <c r="AE196" s="114">
        <v>1890279.573</v>
      </c>
      <c r="AF196" s="114">
        <v>166849</v>
      </c>
      <c r="AG196" s="114">
        <v>11329.283</v>
      </c>
      <c r="AH196" s="114">
        <v>124123</v>
      </c>
      <c r="AI196" s="114">
        <v>6599.619</v>
      </c>
      <c r="AJ196" s="114">
        <v>0</v>
      </c>
      <c r="AK196" s="114">
        <v>0</v>
      </c>
      <c r="AL196" s="114">
        <v>0</v>
      </c>
      <c r="AM196" s="114">
        <v>0</v>
      </c>
      <c r="AN196" s="114">
        <v>3032</v>
      </c>
      <c r="AO196" s="114">
        <v>598.5392</v>
      </c>
      <c r="AP196" s="114"/>
      <c r="AQ196" s="114">
        <v>0</v>
      </c>
      <c r="AR196" s="114"/>
      <c r="AS196" s="114"/>
      <c r="AT196" s="114"/>
      <c r="AU196" s="114"/>
      <c r="AV196" s="114">
        <v>0</v>
      </c>
      <c r="AW196" s="114">
        <v>0</v>
      </c>
      <c r="AX196" s="114">
        <v>0</v>
      </c>
      <c r="AY196" s="114">
        <v>0</v>
      </c>
      <c r="AZ196" s="114">
        <v>0</v>
      </c>
      <c r="BA196" s="114">
        <v>0</v>
      </c>
      <c r="BB196" s="116"/>
      <c r="BC196" s="116"/>
      <c r="BD196" s="116"/>
      <c r="BE196" s="116"/>
      <c r="BF196" s="116"/>
      <c r="BG196" s="116"/>
      <c r="BH196" s="116"/>
      <c r="BI196" s="116"/>
      <c r="BJ196" s="117">
        <v>289456</v>
      </c>
      <c r="BK196" s="133">
        <v>441</v>
      </c>
      <c r="BL196" s="119"/>
      <c r="BM196" s="118">
        <v>0</v>
      </c>
      <c r="BN196" s="131"/>
      <c r="BO196" s="119"/>
      <c r="BP196" s="119"/>
      <c r="BQ196" s="119"/>
      <c r="BR196" s="119"/>
      <c r="BS196" s="119"/>
      <c r="BT196" s="119"/>
      <c r="BU196" s="119"/>
      <c r="BV196" s="119"/>
      <c r="BW196" s="119"/>
      <c r="BX196" s="119"/>
    </row>
    <row r="197" s="96" customFormat="1" ht="15.75" customHeight="1" spans="1:76">
      <c r="A197" s="111">
        <v>196</v>
      </c>
      <c r="B197" s="112" t="s">
        <v>46</v>
      </c>
      <c r="C197" s="112" t="s">
        <v>135</v>
      </c>
      <c r="D197" s="111">
        <v>2025</v>
      </c>
      <c r="E197" s="113" t="s">
        <v>35</v>
      </c>
      <c r="F197" s="114">
        <v>202216</v>
      </c>
      <c r="G197" s="114">
        <v>201929</v>
      </c>
      <c r="H197" s="114">
        <v>33600.7169</v>
      </c>
      <c r="I197" s="114">
        <v>928</v>
      </c>
      <c r="J197" s="115">
        <v>0.00693287037037037</v>
      </c>
      <c r="K197" s="114">
        <v>22.25</v>
      </c>
      <c r="L197" s="114">
        <v>92</v>
      </c>
      <c r="M197" s="114">
        <v>2537145</v>
      </c>
      <c r="N197" s="114">
        <v>6.2</v>
      </c>
      <c r="O197" s="114">
        <v>152488</v>
      </c>
      <c r="P197" s="114">
        <v>107964</v>
      </c>
      <c r="Q197" s="114">
        <v>44595</v>
      </c>
      <c r="R197" s="114">
        <v>43456</v>
      </c>
      <c r="S197" s="114">
        <v>1139</v>
      </c>
      <c r="T197" s="114">
        <v>1247</v>
      </c>
      <c r="U197" s="114">
        <v>319</v>
      </c>
      <c r="V197" s="114">
        <v>1309</v>
      </c>
      <c r="W197" s="114">
        <v>72</v>
      </c>
      <c r="X197" s="114">
        <v>419</v>
      </c>
      <c r="Y197" s="114">
        <v>1413</v>
      </c>
      <c r="Z197" s="114">
        <v>1452577.507</v>
      </c>
      <c r="AA197" s="114">
        <v>0</v>
      </c>
      <c r="AB197" s="114">
        <v>0</v>
      </c>
      <c r="AC197" s="114">
        <v>99942.789</v>
      </c>
      <c r="AD197" s="114">
        <v>1352564.886</v>
      </c>
      <c r="AE197" s="114">
        <v>2459209.325</v>
      </c>
      <c r="AF197" s="114">
        <v>198494</v>
      </c>
      <c r="AG197" s="114">
        <v>12389.338</v>
      </c>
      <c r="AH197" s="114">
        <v>153491</v>
      </c>
      <c r="AI197" s="114">
        <v>7193.506</v>
      </c>
      <c r="AJ197" s="114">
        <v>0</v>
      </c>
      <c r="AK197" s="114">
        <v>0</v>
      </c>
      <c r="AL197" s="114">
        <v>0</v>
      </c>
      <c r="AM197" s="114">
        <v>0</v>
      </c>
      <c r="AN197" s="114">
        <v>3323</v>
      </c>
      <c r="AO197" s="114">
        <v>705.2705</v>
      </c>
      <c r="AP197" s="114"/>
      <c r="AQ197" s="114">
        <v>0</v>
      </c>
      <c r="AR197" s="114"/>
      <c r="AS197" s="114"/>
      <c r="AT197" s="114"/>
      <c r="AU197" s="114">
        <v>1</v>
      </c>
      <c r="AV197" s="114">
        <v>0</v>
      </c>
      <c r="AW197" s="114">
        <v>0</v>
      </c>
      <c r="AX197" s="114">
        <v>0</v>
      </c>
      <c r="AY197" s="114">
        <v>3</v>
      </c>
      <c r="AZ197" s="114">
        <v>0</v>
      </c>
      <c r="BA197" s="114">
        <v>0</v>
      </c>
      <c r="BB197" s="116"/>
      <c r="BC197" s="116"/>
      <c r="BD197" s="116"/>
      <c r="BE197" s="116"/>
      <c r="BF197" s="116"/>
      <c r="BG197" s="116"/>
      <c r="BH197" s="116"/>
      <c r="BI197" s="116"/>
      <c r="BJ197" s="117">
        <v>290384</v>
      </c>
      <c r="BK197" s="133">
        <v>928</v>
      </c>
      <c r="BL197" s="119"/>
      <c r="BM197" s="118">
        <v>0</v>
      </c>
      <c r="BN197" s="131"/>
      <c r="BO197" s="119"/>
      <c r="BP197" s="119"/>
      <c r="BQ197" s="119"/>
      <c r="BR197" s="119"/>
      <c r="BS197" s="119"/>
      <c r="BT197" s="119"/>
      <c r="BU197" s="119"/>
      <c r="BV197" s="119"/>
      <c r="BW197" s="119"/>
      <c r="BX197" s="119"/>
    </row>
    <row r="198" s="96" customFormat="1" ht="15.75" customHeight="1" spans="1:76">
      <c r="A198" s="111">
        <v>197</v>
      </c>
      <c r="B198" s="112" t="s">
        <v>46</v>
      </c>
      <c r="C198" s="112" t="s">
        <v>135</v>
      </c>
      <c r="D198" s="111">
        <v>2025</v>
      </c>
      <c r="E198" s="113" t="s">
        <v>36</v>
      </c>
      <c r="F198" s="114">
        <v>179802</v>
      </c>
      <c r="G198" s="114">
        <v>179414</v>
      </c>
      <c r="H198" s="114">
        <v>47626.8478</v>
      </c>
      <c r="I198" s="114">
        <v>1189</v>
      </c>
      <c r="J198" s="115">
        <v>0.0110532407407407</v>
      </c>
      <c r="K198" s="114">
        <v>19.69</v>
      </c>
      <c r="L198" s="114">
        <v>32</v>
      </c>
      <c r="M198" s="114">
        <v>1938080</v>
      </c>
      <c r="N198" s="114">
        <v>7.5</v>
      </c>
      <c r="O198" s="114">
        <v>131158</v>
      </c>
      <c r="P198" s="114">
        <v>87787</v>
      </c>
      <c r="Q198" s="114">
        <v>43371</v>
      </c>
      <c r="R198" s="114">
        <v>42102</v>
      </c>
      <c r="S198" s="114">
        <v>1269</v>
      </c>
      <c r="T198" s="114">
        <v>1484</v>
      </c>
      <c r="U198" s="114">
        <v>295</v>
      </c>
      <c r="V198" s="114">
        <v>1272</v>
      </c>
      <c r="W198" s="114">
        <v>98</v>
      </c>
      <c r="X198" s="114">
        <v>327</v>
      </c>
      <c r="Y198" s="114">
        <v>1347</v>
      </c>
      <c r="Z198" s="114">
        <v>1865971.651</v>
      </c>
      <c r="AA198" s="114">
        <v>0</v>
      </c>
      <c r="AB198" s="114">
        <v>0</v>
      </c>
      <c r="AC198" s="114">
        <v>130735.853</v>
      </c>
      <c r="AD198" s="114">
        <v>1735193.559</v>
      </c>
      <c r="AE198" s="114">
        <v>3154897.22</v>
      </c>
      <c r="AF198" s="114">
        <v>222836</v>
      </c>
      <c r="AG198" s="114">
        <v>14157.933</v>
      </c>
      <c r="AH198" s="114">
        <v>151427</v>
      </c>
      <c r="AI198" s="114">
        <v>10400.367</v>
      </c>
      <c r="AJ198" s="114">
        <v>0</v>
      </c>
      <c r="AK198" s="114">
        <v>0</v>
      </c>
      <c r="AL198" s="114">
        <v>0</v>
      </c>
      <c r="AM198" s="114">
        <v>0</v>
      </c>
      <c r="AN198" s="114">
        <v>2935</v>
      </c>
      <c r="AO198" s="114">
        <v>942.0211</v>
      </c>
      <c r="AP198" s="114"/>
      <c r="AQ198" s="114">
        <v>0</v>
      </c>
      <c r="AR198" s="114"/>
      <c r="AS198" s="114"/>
      <c r="AT198" s="114"/>
      <c r="AU198" s="114">
        <v>2</v>
      </c>
      <c r="AV198" s="114">
        <v>0</v>
      </c>
      <c r="AW198" s="114">
        <v>0</v>
      </c>
      <c r="AX198" s="114">
        <v>0</v>
      </c>
      <c r="AY198" s="114">
        <v>0</v>
      </c>
      <c r="AZ198" s="114">
        <v>0</v>
      </c>
      <c r="BA198" s="114">
        <v>1</v>
      </c>
      <c r="BB198" s="116"/>
      <c r="BC198" s="116"/>
      <c r="BD198" s="116"/>
      <c r="BE198" s="116"/>
      <c r="BF198" s="116"/>
      <c r="BG198" s="116"/>
      <c r="BH198" s="116"/>
      <c r="BI198" s="116"/>
      <c r="BJ198" s="117">
        <v>291573</v>
      </c>
      <c r="BK198" s="117">
        <v>1189</v>
      </c>
      <c r="BL198" s="119"/>
      <c r="BM198" s="118">
        <v>0</v>
      </c>
      <c r="BN198" s="131"/>
      <c r="BO198" s="119"/>
      <c r="BP198" s="119"/>
      <c r="BQ198" s="119"/>
      <c r="BR198" s="119"/>
      <c r="BS198" s="119"/>
      <c r="BT198" s="119"/>
      <c r="BU198" s="119"/>
      <c r="BV198" s="119"/>
      <c r="BW198" s="119"/>
      <c r="BX198" s="119"/>
    </row>
    <row r="199" s="96" customFormat="1" ht="15.75" customHeight="1" spans="1:76">
      <c r="A199" s="111">
        <v>198</v>
      </c>
      <c r="B199" s="112" t="s">
        <v>46</v>
      </c>
      <c r="C199" s="112" t="s">
        <v>135</v>
      </c>
      <c r="D199" s="111">
        <v>2025</v>
      </c>
      <c r="E199" s="113" t="s">
        <v>37</v>
      </c>
      <c r="F199" s="114">
        <v>15722</v>
      </c>
      <c r="G199" s="114">
        <v>15587</v>
      </c>
      <c r="H199" s="114">
        <v>1038.8084</v>
      </c>
      <c r="I199" s="114">
        <v>-73</v>
      </c>
      <c r="J199" s="115">
        <v>0.0027662037037037</v>
      </c>
      <c r="K199" s="114">
        <v>20.47</v>
      </c>
      <c r="L199" s="114"/>
      <c r="M199" s="114">
        <v>135008</v>
      </c>
      <c r="N199" s="114">
        <v>8.39</v>
      </c>
      <c r="O199" s="114">
        <v>10619</v>
      </c>
      <c r="P199" s="114">
        <v>7606</v>
      </c>
      <c r="Q199" s="114">
        <v>3013</v>
      </c>
      <c r="R199" s="114">
        <v>2857</v>
      </c>
      <c r="S199" s="114">
        <v>156</v>
      </c>
      <c r="T199" s="114">
        <v>129</v>
      </c>
      <c r="U199" s="114">
        <v>202</v>
      </c>
      <c r="V199" s="114">
        <v>-96</v>
      </c>
      <c r="W199" s="114">
        <v>-21</v>
      </c>
      <c r="X199" s="114">
        <v>72</v>
      </c>
      <c r="Y199" s="114">
        <v>110</v>
      </c>
      <c r="Z199" s="114">
        <v>41718.947</v>
      </c>
      <c r="AA199" s="114">
        <v>0</v>
      </c>
      <c r="AB199" s="114">
        <v>0</v>
      </c>
      <c r="AC199" s="114">
        <v>2139.337</v>
      </c>
      <c r="AD199" s="114">
        <v>39547.572</v>
      </c>
      <c r="AE199" s="114">
        <v>71904.753</v>
      </c>
      <c r="AF199" s="114">
        <v>8567</v>
      </c>
      <c r="AG199" s="114">
        <v>8393.224</v>
      </c>
      <c r="AH199" s="114">
        <v>7485</v>
      </c>
      <c r="AI199" s="114">
        <v>2676.514</v>
      </c>
      <c r="AJ199" s="114">
        <v>0</v>
      </c>
      <c r="AK199" s="114">
        <v>0</v>
      </c>
      <c r="AL199" s="114">
        <v>0</v>
      </c>
      <c r="AM199" s="114">
        <v>0</v>
      </c>
      <c r="AN199" s="114">
        <v>362</v>
      </c>
      <c r="AO199" s="114">
        <v>16.8803</v>
      </c>
      <c r="AP199" s="114"/>
      <c r="AQ199" s="114">
        <v>0</v>
      </c>
      <c r="AR199" s="114"/>
      <c r="AS199" s="114"/>
      <c r="AT199" s="114"/>
      <c r="AU199" s="114"/>
      <c r="AV199" s="114">
        <v>2</v>
      </c>
      <c r="AW199" s="114">
        <v>0.0226</v>
      </c>
      <c r="AX199" s="114">
        <v>0</v>
      </c>
      <c r="AY199" s="114">
        <v>0</v>
      </c>
      <c r="AZ199" s="114">
        <v>0</v>
      </c>
      <c r="BA199" s="114">
        <v>4</v>
      </c>
      <c r="BB199" s="116"/>
      <c r="BC199" s="116"/>
      <c r="BD199" s="116"/>
      <c r="BE199" s="116"/>
      <c r="BF199" s="116"/>
      <c r="BG199" s="116"/>
      <c r="BH199" s="116"/>
      <c r="BI199" s="116"/>
      <c r="BJ199" s="117">
        <v>291500</v>
      </c>
      <c r="BK199" s="133">
        <v>-73</v>
      </c>
      <c r="BL199" s="119"/>
      <c r="BM199" s="118">
        <v>0</v>
      </c>
      <c r="BN199" s="131"/>
      <c r="BO199" s="119"/>
      <c r="BP199" s="119"/>
      <c r="BQ199" s="119"/>
      <c r="BR199" s="119"/>
      <c r="BS199" s="119"/>
      <c r="BT199" s="119"/>
      <c r="BU199" s="119"/>
      <c r="BV199" s="119"/>
      <c r="BW199" s="119"/>
      <c r="BX199" s="119"/>
    </row>
    <row r="200" s="96" customFormat="1" ht="15.75" customHeight="1" spans="1:76">
      <c r="A200" s="111">
        <v>199</v>
      </c>
      <c r="B200" s="112" t="s">
        <v>46</v>
      </c>
      <c r="C200" s="112" t="s">
        <v>135</v>
      </c>
      <c r="D200" s="111">
        <v>2025</v>
      </c>
      <c r="E200" s="113" t="s">
        <v>38</v>
      </c>
      <c r="F200" s="114">
        <v>404811</v>
      </c>
      <c r="G200" s="114">
        <v>404635</v>
      </c>
      <c r="H200" s="114">
        <v>78070.5399</v>
      </c>
      <c r="I200" s="114">
        <v>1941</v>
      </c>
      <c r="J200" s="115">
        <v>0.00803240740740741</v>
      </c>
      <c r="K200" s="114">
        <v>18.45</v>
      </c>
      <c r="L200" s="114">
        <v>4</v>
      </c>
      <c r="M200" s="114">
        <v>3534265</v>
      </c>
      <c r="N200" s="114">
        <v>8.8</v>
      </c>
      <c r="O200" s="114">
        <v>313932</v>
      </c>
      <c r="P200" s="114">
        <v>226645</v>
      </c>
      <c r="Q200" s="114">
        <v>87287</v>
      </c>
      <c r="R200" s="114">
        <v>86183</v>
      </c>
      <c r="S200" s="114">
        <v>1104</v>
      </c>
      <c r="T200" s="114">
        <v>2288</v>
      </c>
      <c r="U200" s="114">
        <v>347</v>
      </c>
      <c r="V200" s="114">
        <v>3042</v>
      </c>
      <c r="W200" s="114">
        <v>86</v>
      </c>
      <c r="X200" s="114">
        <v>731</v>
      </c>
      <c r="Y200" s="114">
        <v>604</v>
      </c>
      <c r="Z200" s="114">
        <v>3723433.2</v>
      </c>
      <c r="AA200" s="114">
        <v>0</v>
      </c>
      <c r="AB200" s="114">
        <v>0</v>
      </c>
      <c r="AC200" s="114">
        <v>609252.804</v>
      </c>
      <c r="AD200" s="114">
        <v>3114133.192</v>
      </c>
      <c r="AE200" s="114">
        <v>5662059.662</v>
      </c>
      <c r="AF200" s="114">
        <v>438896</v>
      </c>
      <c r="AG200" s="114">
        <v>12900.686</v>
      </c>
      <c r="AH200" s="114">
        <v>259362</v>
      </c>
      <c r="AI200" s="114">
        <v>9201.954</v>
      </c>
      <c r="AJ200" s="114">
        <v>0</v>
      </c>
      <c r="AK200" s="114">
        <v>0</v>
      </c>
      <c r="AL200" s="114">
        <v>0</v>
      </c>
      <c r="AM200" s="114">
        <v>0</v>
      </c>
      <c r="AN200" s="114">
        <v>15907</v>
      </c>
      <c r="AO200" s="114">
        <v>4226.0021</v>
      </c>
      <c r="AP200" s="114">
        <v>0.8781</v>
      </c>
      <c r="AQ200" s="114">
        <v>7</v>
      </c>
      <c r="AR200" s="114">
        <v>0</v>
      </c>
      <c r="AS200" s="114">
        <v>0</v>
      </c>
      <c r="AT200" s="114"/>
      <c r="AU200" s="114"/>
      <c r="AV200" s="114">
        <v>0</v>
      </c>
      <c r="AW200" s="114">
        <v>0</v>
      </c>
      <c r="AX200" s="114">
        <v>0</v>
      </c>
      <c r="AY200" s="114">
        <v>0</v>
      </c>
      <c r="AZ200" s="114">
        <v>0</v>
      </c>
      <c r="BA200" s="114">
        <v>1</v>
      </c>
      <c r="BB200" s="116"/>
      <c r="BC200" s="116"/>
      <c r="BD200" s="116"/>
      <c r="BE200" s="116"/>
      <c r="BF200" s="116"/>
      <c r="BG200" s="116"/>
      <c r="BH200" s="116"/>
      <c r="BI200" s="116"/>
      <c r="BJ200" s="117">
        <v>293441</v>
      </c>
      <c r="BK200" s="117">
        <v>1941</v>
      </c>
      <c r="BL200" s="119"/>
      <c r="BM200" s="118">
        <v>0</v>
      </c>
      <c r="BN200" s="131"/>
      <c r="BO200" s="120">
        <v>0.829</v>
      </c>
      <c r="BP200" s="120">
        <v>0.171</v>
      </c>
      <c r="BQ200" s="119"/>
      <c r="BR200" s="120">
        <v>0.003</v>
      </c>
      <c r="BS200" s="120">
        <v>0.043</v>
      </c>
      <c r="BT200" s="120">
        <v>0.249</v>
      </c>
      <c r="BU200" s="120">
        <v>0.256</v>
      </c>
      <c r="BV200" s="120">
        <v>0.216</v>
      </c>
      <c r="BW200" s="120">
        <v>0.157</v>
      </c>
      <c r="BX200" s="120">
        <v>0.077</v>
      </c>
    </row>
    <row r="201" s="96" customFormat="1" ht="15.75" customHeight="1" spans="1:76">
      <c r="A201" s="111">
        <v>200</v>
      </c>
      <c r="B201" s="112" t="s">
        <v>46</v>
      </c>
      <c r="C201" s="112" t="s">
        <v>135</v>
      </c>
      <c r="D201" s="111">
        <v>2025</v>
      </c>
      <c r="E201" s="113" t="s">
        <v>39</v>
      </c>
      <c r="F201" s="114">
        <v>2010131</v>
      </c>
      <c r="G201" s="114">
        <v>1971695</v>
      </c>
      <c r="H201" s="114">
        <v>156139.1102</v>
      </c>
      <c r="I201" s="114">
        <v>4081</v>
      </c>
      <c r="J201" s="115">
        <v>0.00329861111111111</v>
      </c>
      <c r="K201" s="114">
        <v>1.9</v>
      </c>
      <c r="L201" s="114">
        <v>232</v>
      </c>
      <c r="M201" s="114">
        <v>12145003</v>
      </c>
      <c r="N201" s="114">
        <v>13.66</v>
      </c>
      <c r="O201" s="114">
        <v>1343998</v>
      </c>
      <c r="P201" s="114">
        <v>1131477</v>
      </c>
      <c r="Q201" s="114">
        <v>212521</v>
      </c>
      <c r="R201" s="114">
        <v>210662</v>
      </c>
      <c r="S201" s="114">
        <v>1859</v>
      </c>
      <c r="T201" s="114">
        <v>4683</v>
      </c>
      <c r="U201" s="114">
        <v>602</v>
      </c>
      <c r="V201" s="114">
        <v>9713</v>
      </c>
      <c r="W201" s="114">
        <v>453</v>
      </c>
      <c r="X201" s="114">
        <v>2518</v>
      </c>
      <c r="Y201" s="114">
        <v>1398</v>
      </c>
      <c r="Z201" s="114">
        <v>10649397.85</v>
      </c>
      <c r="AA201" s="114">
        <v>0</v>
      </c>
      <c r="AB201" s="114">
        <v>0</v>
      </c>
      <c r="AC201" s="114">
        <v>716817.331</v>
      </c>
      <c r="AD201" s="114">
        <v>9914445.785</v>
      </c>
      <c r="AE201" s="114">
        <v>18059900.22</v>
      </c>
      <c r="AF201" s="114">
        <v>1550365</v>
      </c>
      <c r="AG201" s="114">
        <v>11648.805</v>
      </c>
      <c r="AH201" s="114">
        <v>1133916</v>
      </c>
      <c r="AI201" s="114">
        <v>5401.138</v>
      </c>
      <c r="AJ201" s="114">
        <v>0</v>
      </c>
      <c r="AK201" s="114">
        <v>0</v>
      </c>
      <c r="AL201" s="114">
        <v>0</v>
      </c>
      <c r="AM201" s="114">
        <v>0</v>
      </c>
      <c r="AN201" s="114">
        <v>44238</v>
      </c>
      <c r="AO201" s="114">
        <v>5013.2099</v>
      </c>
      <c r="AP201" s="114">
        <v>133.7911</v>
      </c>
      <c r="AQ201" s="114">
        <v>204</v>
      </c>
      <c r="AR201" s="114">
        <v>103439</v>
      </c>
      <c r="AS201" s="114">
        <v>47339</v>
      </c>
      <c r="AT201" s="114"/>
      <c r="AU201" s="114"/>
      <c r="AV201" s="114">
        <v>8</v>
      </c>
      <c r="AW201" s="114">
        <v>0.0533</v>
      </c>
      <c r="AX201" s="114">
        <v>0</v>
      </c>
      <c r="AY201" s="114">
        <v>0</v>
      </c>
      <c r="AZ201" s="114">
        <v>0</v>
      </c>
      <c r="BA201" s="114">
        <v>2</v>
      </c>
      <c r="BB201" s="116"/>
      <c r="BC201" s="116"/>
      <c r="BD201" s="116"/>
      <c r="BE201" s="116"/>
      <c r="BF201" s="116"/>
      <c r="BG201" s="116"/>
      <c r="BH201" s="116"/>
      <c r="BI201" s="116"/>
      <c r="BJ201" s="117">
        <v>294766</v>
      </c>
      <c r="BK201" s="117">
        <v>4081</v>
      </c>
      <c r="BL201" s="117">
        <v>1937009</v>
      </c>
      <c r="BM201" s="118">
        <v>10827640</v>
      </c>
      <c r="BN201" s="118">
        <v>636.92</v>
      </c>
      <c r="BO201" s="120">
        <v>0.674</v>
      </c>
      <c r="BP201" s="120">
        <v>0.325</v>
      </c>
      <c r="BQ201" s="120">
        <v>0.001</v>
      </c>
      <c r="BR201" s="120">
        <v>0.008</v>
      </c>
      <c r="BS201" s="120">
        <v>0.07</v>
      </c>
      <c r="BT201" s="120">
        <v>0.317</v>
      </c>
      <c r="BU201" s="120">
        <v>0.256</v>
      </c>
      <c r="BV201" s="120">
        <v>0.182</v>
      </c>
      <c r="BW201" s="120">
        <v>0.118</v>
      </c>
      <c r="BX201" s="120">
        <v>0.049</v>
      </c>
    </row>
    <row r="202" s="96" customFormat="1" ht="15.75" customHeight="1" spans="1:76">
      <c r="A202" s="111">
        <v>201</v>
      </c>
      <c r="B202" s="112" t="s">
        <v>46</v>
      </c>
      <c r="C202" s="112" t="s">
        <v>135</v>
      </c>
      <c r="D202" s="111">
        <v>2025</v>
      </c>
      <c r="E202" s="113" t="s">
        <v>40</v>
      </c>
      <c r="F202" s="114">
        <v>1110339</v>
      </c>
      <c r="G202" s="114">
        <v>1089834</v>
      </c>
      <c r="H202" s="114">
        <v>78443.6169</v>
      </c>
      <c r="I202" s="114">
        <v>3465</v>
      </c>
      <c r="J202" s="115">
        <v>0.00299768518518519</v>
      </c>
      <c r="K202" s="114">
        <v>13.35</v>
      </c>
      <c r="L202" s="114">
        <v>268</v>
      </c>
      <c r="M202" s="114">
        <v>9932702</v>
      </c>
      <c r="N202" s="114">
        <v>9.16</v>
      </c>
      <c r="O202" s="114">
        <v>877380</v>
      </c>
      <c r="P202" s="114">
        <v>557745</v>
      </c>
      <c r="Q202" s="114">
        <v>319635</v>
      </c>
      <c r="R202" s="114">
        <v>316848</v>
      </c>
      <c r="S202" s="114">
        <v>2787</v>
      </c>
      <c r="T202" s="114">
        <v>3941</v>
      </c>
      <c r="U202" s="114">
        <v>476</v>
      </c>
      <c r="V202" s="114">
        <v>7535</v>
      </c>
      <c r="W202" s="114">
        <v>297</v>
      </c>
      <c r="X202" s="114">
        <v>1331</v>
      </c>
      <c r="Y202" s="114">
        <v>5251</v>
      </c>
      <c r="Z202" s="114">
        <v>5762576.328</v>
      </c>
      <c r="AA202" s="114">
        <v>0</v>
      </c>
      <c r="AB202" s="114">
        <v>0</v>
      </c>
      <c r="AC202" s="114">
        <v>314861.376</v>
      </c>
      <c r="AD202" s="114">
        <v>5439526.576</v>
      </c>
      <c r="AE202" s="114">
        <v>9891326.464</v>
      </c>
      <c r="AF202" s="114">
        <v>951433</v>
      </c>
      <c r="AG202" s="114">
        <v>10396.241</v>
      </c>
      <c r="AH202" s="114">
        <v>715951</v>
      </c>
      <c r="AI202" s="114">
        <v>5287.572</v>
      </c>
      <c r="AJ202" s="114">
        <v>0</v>
      </c>
      <c r="AK202" s="114">
        <v>1</v>
      </c>
      <c r="AL202" s="114">
        <v>0</v>
      </c>
      <c r="AM202" s="114">
        <v>0</v>
      </c>
      <c r="AN202" s="114">
        <v>19702</v>
      </c>
      <c r="AO202" s="114">
        <v>2140.5686</v>
      </c>
      <c r="AP202" s="114">
        <v>557.9984</v>
      </c>
      <c r="AQ202" s="114">
        <v>42</v>
      </c>
      <c r="AR202" s="114">
        <v>6631</v>
      </c>
      <c r="AS202" s="114">
        <v>7001</v>
      </c>
      <c r="AT202" s="114"/>
      <c r="AU202" s="114"/>
      <c r="AV202" s="114">
        <v>0</v>
      </c>
      <c r="AW202" s="114">
        <v>0</v>
      </c>
      <c r="AX202" s="114">
        <v>1</v>
      </c>
      <c r="AY202" s="114">
        <v>2</v>
      </c>
      <c r="AZ202" s="114">
        <v>0</v>
      </c>
      <c r="BA202" s="114">
        <v>0</v>
      </c>
      <c r="BB202" s="116"/>
      <c r="BC202" s="116"/>
      <c r="BD202" s="116"/>
      <c r="BE202" s="116"/>
      <c r="BF202" s="116"/>
      <c r="BG202" s="116"/>
      <c r="BH202" s="116"/>
      <c r="BI202" s="116"/>
      <c r="BJ202" s="117">
        <v>298186</v>
      </c>
      <c r="BK202" s="117">
        <v>3465</v>
      </c>
      <c r="BL202" s="117">
        <v>1048873</v>
      </c>
      <c r="BM202" s="118">
        <v>5538260</v>
      </c>
      <c r="BN202" s="118">
        <v>325.78</v>
      </c>
      <c r="BO202" s="120">
        <v>0.764</v>
      </c>
      <c r="BP202" s="120">
        <v>0.236</v>
      </c>
      <c r="BQ202" s="120">
        <v>0.001</v>
      </c>
      <c r="BR202" s="120">
        <v>0.008</v>
      </c>
      <c r="BS202" s="120">
        <v>0.054</v>
      </c>
      <c r="BT202" s="120">
        <v>0.298</v>
      </c>
      <c r="BU202" s="120">
        <v>0.247</v>
      </c>
      <c r="BV202" s="120">
        <v>0.181</v>
      </c>
      <c r="BW202" s="120">
        <v>0.144</v>
      </c>
      <c r="BX202" s="120">
        <v>0.068</v>
      </c>
    </row>
    <row r="203" s="96" customFormat="1" ht="15.75" customHeight="1" spans="1:76">
      <c r="A203" s="111">
        <v>202</v>
      </c>
      <c r="B203" s="112" t="s">
        <v>46</v>
      </c>
      <c r="C203" s="112" t="s">
        <v>135</v>
      </c>
      <c r="D203" s="111">
        <v>2025</v>
      </c>
      <c r="E203" s="113" t="s">
        <v>41</v>
      </c>
      <c r="F203" s="114">
        <v>894319</v>
      </c>
      <c r="G203" s="114">
        <v>855804</v>
      </c>
      <c r="H203" s="114">
        <v>72918.7454</v>
      </c>
      <c r="I203" s="114">
        <v>3391</v>
      </c>
      <c r="J203" s="115">
        <v>0.00354166666666667</v>
      </c>
      <c r="K203" s="114">
        <v>8.04</v>
      </c>
      <c r="L203" s="114">
        <v>272</v>
      </c>
      <c r="M203" s="114">
        <v>5573168</v>
      </c>
      <c r="N203" s="114">
        <v>12.35</v>
      </c>
      <c r="O203" s="114">
        <v>605409</v>
      </c>
      <c r="P203" s="114">
        <v>310509</v>
      </c>
      <c r="Q203" s="114">
        <v>294900</v>
      </c>
      <c r="R203" s="114">
        <v>291624</v>
      </c>
      <c r="S203" s="114">
        <v>3276</v>
      </c>
      <c r="T203" s="114">
        <v>3838</v>
      </c>
      <c r="U203" s="114">
        <v>447</v>
      </c>
      <c r="V203" s="114">
        <v>6885</v>
      </c>
      <c r="W203" s="114">
        <v>304</v>
      </c>
      <c r="X203" s="114">
        <v>1515</v>
      </c>
      <c r="Y203" s="114">
        <v>3444</v>
      </c>
      <c r="Z203" s="114">
        <v>5435045.485</v>
      </c>
      <c r="AA203" s="114">
        <v>0</v>
      </c>
      <c r="AB203" s="114">
        <v>0</v>
      </c>
      <c r="AC203" s="114">
        <v>323436.432</v>
      </c>
      <c r="AD203" s="114">
        <v>5096937.927</v>
      </c>
      <c r="AE203" s="114">
        <v>9267320.575</v>
      </c>
      <c r="AF203" s="114">
        <v>852342</v>
      </c>
      <c r="AG203" s="114">
        <v>10872.772</v>
      </c>
      <c r="AH203" s="114">
        <v>626184</v>
      </c>
      <c r="AI203" s="114">
        <v>6350.806</v>
      </c>
      <c r="AJ203" s="114">
        <v>0</v>
      </c>
      <c r="AK203" s="114">
        <v>2</v>
      </c>
      <c r="AL203" s="114">
        <v>0</v>
      </c>
      <c r="AM203" s="114">
        <v>0</v>
      </c>
      <c r="AN203" s="114">
        <v>14157</v>
      </c>
      <c r="AO203" s="114">
        <v>2240.0634</v>
      </c>
      <c r="AP203" s="114">
        <v>830.7562</v>
      </c>
      <c r="AQ203" s="114">
        <v>496</v>
      </c>
      <c r="AR203" s="114">
        <v>9567</v>
      </c>
      <c r="AS203" s="114">
        <v>10746</v>
      </c>
      <c r="AT203" s="114"/>
      <c r="AU203" s="114"/>
      <c r="AV203" s="114">
        <v>0</v>
      </c>
      <c r="AW203" s="114">
        <v>0</v>
      </c>
      <c r="AX203" s="114">
        <v>0</v>
      </c>
      <c r="AY203" s="114">
        <v>0</v>
      </c>
      <c r="AZ203" s="114">
        <v>0</v>
      </c>
      <c r="BA203" s="114">
        <v>2</v>
      </c>
      <c r="BB203" s="116"/>
      <c r="BC203" s="116"/>
      <c r="BD203" s="116"/>
      <c r="BE203" s="116"/>
      <c r="BF203" s="116"/>
      <c r="BG203" s="116"/>
      <c r="BH203" s="116"/>
      <c r="BI203" s="116"/>
      <c r="BJ203" s="117">
        <v>301577</v>
      </c>
      <c r="BK203" s="117">
        <v>3391</v>
      </c>
      <c r="BL203" s="117">
        <v>751550</v>
      </c>
      <c r="BM203" s="118">
        <v>5005480</v>
      </c>
      <c r="BN203" s="118">
        <v>294.44</v>
      </c>
      <c r="BO203" s="120">
        <v>0.679</v>
      </c>
      <c r="BP203" s="120">
        <v>0.32</v>
      </c>
      <c r="BQ203" s="120">
        <v>0</v>
      </c>
      <c r="BR203" s="120">
        <v>0.009</v>
      </c>
      <c r="BS203" s="120">
        <v>0.053</v>
      </c>
      <c r="BT203" s="120">
        <v>0.269</v>
      </c>
      <c r="BU203" s="120">
        <v>0.22</v>
      </c>
      <c r="BV203" s="120">
        <v>0.181</v>
      </c>
      <c r="BW203" s="120">
        <v>0.168</v>
      </c>
      <c r="BX203" s="120">
        <v>0.099</v>
      </c>
    </row>
    <row r="204" s="96" customFormat="1" ht="15.75" customHeight="1" spans="1:76">
      <c r="A204" s="111">
        <v>203</v>
      </c>
      <c r="B204" s="112" t="s">
        <v>46</v>
      </c>
      <c r="C204" s="112" t="s">
        <v>135</v>
      </c>
      <c r="D204" s="111">
        <v>2025</v>
      </c>
      <c r="E204" s="113" t="s">
        <v>42</v>
      </c>
      <c r="F204" s="114">
        <v>366791</v>
      </c>
      <c r="G204" s="114">
        <v>366272</v>
      </c>
      <c r="H204" s="114">
        <v>22987.5075</v>
      </c>
      <c r="I204" s="114">
        <v>543</v>
      </c>
      <c r="J204" s="115">
        <v>0.00260416666666667</v>
      </c>
      <c r="K204" s="114">
        <v>12.83</v>
      </c>
      <c r="L204" s="114">
        <v>143</v>
      </c>
      <c r="M204" s="114">
        <v>3020311</v>
      </c>
      <c r="N204" s="114">
        <v>10.3</v>
      </c>
      <c r="O204" s="114">
        <v>291828</v>
      </c>
      <c r="P204" s="114">
        <v>178541</v>
      </c>
      <c r="Q204" s="114">
        <v>113241</v>
      </c>
      <c r="R204" s="114">
        <v>111150</v>
      </c>
      <c r="S204" s="114">
        <v>2091</v>
      </c>
      <c r="T204" s="114">
        <v>820</v>
      </c>
      <c r="U204" s="114">
        <v>277</v>
      </c>
      <c r="V204" s="114">
        <v>1517</v>
      </c>
      <c r="W204" s="114">
        <v>58</v>
      </c>
      <c r="X204" s="114">
        <v>617</v>
      </c>
      <c r="Y204" s="114">
        <v>1613</v>
      </c>
      <c r="Z204" s="114">
        <v>1259564.073</v>
      </c>
      <c r="AA204" s="114">
        <v>0</v>
      </c>
      <c r="AB204" s="114">
        <v>0</v>
      </c>
      <c r="AC204" s="114">
        <v>95290.126</v>
      </c>
      <c r="AD204" s="114">
        <v>1164111.616</v>
      </c>
      <c r="AE204" s="114">
        <v>2117616.156</v>
      </c>
      <c r="AF204" s="114">
        <v>235764</v>
      </c>
      <c r="AG204" s="114">
        <v>8981.932</v>
      </c>
      <c r="AH204" s="114">
        <v>178391</v>
      </c>
      <c r="AI204" s="114">
        <v>3438.877</v>
      </c>
      <c r="AJ204" s="114">
        <v>0</v>
      </c>
      <c r="AK204" s="114">
        <v>0</v>
      </c>
      <c r="AL204" s="114">
        <v>0</v>
      </c>
      <c r="AM204" s="114">
        <v>0</v>
      </c>
      <c r="AN204" s="114">
        <v>5518</v>
      </c>
      <c r="AO204" s="114">
        <v>676.3367</v>
      </c>
      <c r="AP204" s="114">
        <v>467.4583</v>
      </c>
      <c r="AQ204" s="114">
        <v>24</v>
      </c>
      <c r="AR204" s="114">
        <v>14</v>
      </c>
      <c r="AS204" s="114">
        <v>0</v>
      </c>
      <c r="AT204" s="114"/>
      <c r="AU204" s="114"/>
      <c r="AV204" s="114">
        <v>0</v>
      </c>
      <c r="AW204" s="114">
        <v>0</v>
      </c>
      <c r="AX204" s="114">
        <v>0</v>
      </c>
      <c r="AY204" s="114">
        <v>0</v>
      </c>
      <c r="AZ204" s="114">
        <v>0</v>
      </c>
      <c r="BA204" s="114">
        <v>0</v>
      </c>
      <c r="BB204" s="116"/>
      <c r="BC204" s="116"/>
      <c r="BD204" s="116"/>
      <c r="BE204" s="116"/>
      <c r="BF204" s="116"/>
      <c r="BG204" s="116"/>
      <c r="BH204" s="116"/>
      <c r="BI204" s="116"/>
      <c r="BJ204" s="117">
        <v>302120</v>
      </c>
      <c r="BK204" s="133">
        <v>543</v>
      </c>
      <c r="BL204" s="117">
        <v>281687</v>
      </c>
      <c r="BM204" s="118">
        <v>808180</v>
      </c>
      <c r="BN204" s="118">
        <v>47.54</v>
      </c>
      <c r="BO204" s="120">
        <v>0.746</v>
      </c>
      <c r="BP204" s="120">
        <v>0.254</v>
      </c>
      <c r="BQ204" s="134">
        <v>0</v>
      </c>
      <c r="BR204" s="120">
        <v>0.008</v>
      </c>
      <c r="BS204" s="120">
        <v>0.05</v>
      </c>
      <c r="BT204" s="120">
        <v>0.278</v>
      </c>
      <c r="BU204" s="120">
        <v>0.262</v>
      </c>
      <c r="BV204" s="120">
        <v>0.2</v>
      </c>
      <c r="BW204" s="120">
        <v>0.139</v>
      </c>
      <c r="BX204" s="120">
        <v>0.064</v>
      </c>
    </row>
    <row r="205" s="96" customFormat="1" ht="15.75" customHeight="1" spans="1:76">
      <c r="A205" s="111">
        <v>204</v>
      </c>
      <c r="B205" s="112" t="s">
        <v>46</v>
      </c>
      <c r="C205" s="112" t="s">
        <v>135</v>
      </c>
      <c r="D205" s="111">
        <v>2025</v>
      </c>
      <c r="E205" s="113" t="s">
        <v>43</v>
      </c>
      <c r="F205" s="114">
        <v>603585</v>
      </c>
      <c r="G205" s="114">
        <v>603123</v>
      </c>
      <c r="H205" s="114">
        <v>37871.4061</v>
      </c>
      <c r="I205" s="114">
        <v>635</v>
      </c>
      <c r="J205" s="115">
        <v>0.00261574074074074</v>
      </c>
      <c r="K205" s="114">
        <v>31.28</v>
      </c>
      <c r="L205" s="114">
        <v>158</v>
      </c>
      <c r="M205" s="114">
        <v>5618727</v>
      </c>
      <c r="N205" s="114">
        <v>9.02</v>
      </c>
      <c r="O205" s="114">
        <v>456723</v>
      </c>
      <c r="P205" s="114">
        <v>251181</v>
      </c>
      <c r="Q205" s="114">
        <v>205522</v>
      </c>
      <c r="R205" s="114">
        <v>201461</v>
      </c>
      <c r="S205" s="114">
        <v>4061</v>
      </c>
      <c r="T205" s="114">
        <v>957</v>
      </c>
      <c r="U205" s="114">
        <v>322</v>
      </c>
      <c r="V205" s="114">
        <v>2306</v>
      </c>
      <c r="W205" s="114">
        <v>221</v>
      </c>
      <c r="X205" s="114">
        <v>667</v>
      </c>
      <c r="Y205" s="114">
        <v>4683</v>
      </c>
      <c r="Z205" s="114">
        <v>2431505.611</v>
      </c>
      <c r="AA205" s="114">
        <v>0</v>
      </c>
      <c r="AB205" s="114">
        <v>0</v>
      </c>
      <c r="AC205" s="114">
        <v>74064.537</v>
      </c>
      <c r="AD205" s="114">
        <v>2357209.411</v>
      </c>
      <c r="AE205" s="114">
        <v>4288658.975</v>
      </c>
      <c r="AF205" s="114">
        <v>513990</v>
      </c>
      <c r="AG205" s="114">
        <v>8343.857</v>
      </c>
      <c r="AH205" s="114">
        <v>425090</v>
      </c>
      <c r="AI205" s="114">
        <v>4031.526</v>
      </c>
      <c r="AJ205" s="114">
        <v>0</v>
      </c>
      <c r="AK205" s="114">
        <v>0</v>
      </c>
      <c r="AL205" s="114">
        <v>0</v>
      </c>
      <c r="AM205" s="114">
        <v>0</v>
      </c>
      <c r="AN205" s="114">
        <v>8476</v>
      </c>
      <c r="AO205" s="114">
        <v>548.2989</v>
      </c>
      <c r="AP205" s="114">
        <v>1.3764</v>
      </c>
      <c r="AQ205" s="114">
        <v>1</v>
      </c>
      <c r="AR205" s="114">
        <v>48</v>
      </c>
      <c r="AS205" s="114">
        <v>2</v>
      </c>
      <c r="AT205" s="114"/>
      <c r="AU205" s="114"/>
      <c r="AV205" s="114">
        <v>0</v>
      </c>
      <c r="AW205" s="114">
        <v>0</v>
      </c>
      <c r="AX205" s="114">
        <v>0</v>
      </c>
      <c r="AY205" s="114">
        <v>1</v>
      </c>
      <c r="AZ205" s="114">
        <v>0</v>
      </c>
      <c r="BA205" s="114">
        <v>0</v>
      </c>
      <c r="BB205" s="116"/>
      <c r="BC205" s="116"/>
      <c r="BD205" s="116"/>
      <c r="BE205" s="116"/>
      <c r="BF205" s="116"/>
      <c r="BG205" s="116"/>
      <c r="BH205" s="116"/>
      <c r="BI205" s="116"/>
      <c r="BJ205" s="117">
        <v>302755</v>
      </c>
      <c r="BK205" s="133">
        <v>635</v>
      </c>
      <c r="BL205" s="117">
        <v>536405</v>
      </c>
      <c r="BM205" s="118">
        <v>2214930</v>
      </c>
      <c r="BN205" s="118">
        <v>130.29</v>
      </c>
      <c r="BO205" s="120">
        <v>0.82</v>
      </c>
      <c r="BP205" s="120">
        <v>0.18</v>
      </c>
      <c r="BQ205" s="134">
        <v>0</v>
      </c>
      <c r="BR205" s="120">
        <v>0.01</v>
      </c>
      <c r="BS205" s="120">
        <v>0.044</v>
      </c>
      <c r="BT205" s="120">
        <v>0.252</v>
      </c>
      <c r="BU205" s="120">
        <v>0.263</v>
      </c>
      <c r="BV205" s="120">
        <v>0.217</v>
      </c>
      <c r="BW205" s="120">
        <v>0.153</v>
      </c>
      <c r="BX205" s="120">
        <v>0.06</v>
      </c>
    </row>
    <row r="206" s="96" customFormat="1" ht="15.75" customHeight="1" spans="1:76">
      <c r="A206" s="111">
        <v>205</v>
      </c>
      <c r="B206" s="112" t="s">
        <v>46</v>
      </c>
      <c r="C206" s="112" t="s">
        <v>135</v>
      </c>
      <c r="D206" s="111">
        <v>2026</v>
      </c>
      <c r="E206" s="112" t="s">
        <v>31</v>
      </c>
      <c r="F206" s="121">
        <v>697892</v>
      </c>
      <c r="G206" s="114">
        <v>674772</v>
      </c>
      <c r="H206" s="114">
        <v>62214.5348</v>
      </c>
      <c r="I206" s="114">
        <v>1126</v>
      </c>
      <c r="J206" s="115">
        <v>0.00383101851851852</v>
      </c>
      <c r="K206" s="114">
        <v>27.55</v>
      </c>
      <c r="L206" s="114">
        <v>245</v>
      </c>
      <c r="M206" s="114">
        <v>5636430</v>
      </c>
      <c r="N206" s="114">
        <v>8.47</v>
      </c>
      <c r="O206" s="114">
        <v>503723</v>
      </c>
      <c r="P206" s="114">
        <v>267642</v>
      </c>
      <c r="Q206" s="114">
        <v>236232</v>
      </c>
      <c r="R206" s="114">
        <v>230354</v>
      </c>
      <c r="S206" s="114">
        <v>5878</v>
      </c>
      <c r="T206" s="114">
        <v>1502</v>
      </c>
      <c r="U206" s="114">
        <v>376</v>
      </c>
      <c r="V206" s="114">
        <v>4246</v>
      </c>
      <c r="W206" s="114">
        <v>235</v>
      </c>
      <c r="X206" s="114">
        <v>961</v>
      </c>
      <c r="Y206" s="114">
        <v>3638</v>
      </c>
      <c r="Z206" s="121">
        <v>2928631</v>
      </c>
      <c r="AA206" s="114">
        <v>0</v>
      </c>
      <c r="AB206" s="114">
        <v>0</v>
      </c>
      <c r="AC206" s="114">
        <v>154257.802</v>
      </c>
      <c r="AD206" s="114">
        <v>2681216.273</v>
      </c>
      <c r="AE206" s="114">
        <v>4877330.16</v>
      </c>
      <c r="AF206" s="114">
        <v>570813</v>
      </c>
      <c r="AG206" s="114">
        <v>8544.532</v>
      </c>
      <c r="AH206" s="114">
        <v>408829</v>
      </c>
      <c r="AI206" s="114">
        <v>4218.681</v>
      </c>
      <c r="AJ206" s="114">
        <v>0</v>
      </c>
      <c r="AK206" s="114">
        <v>4</v>
      </c>
      <c r="AL206" s="114">
        <v>0</v>
      </c>
      <c r="AM206" s="114">
        <v>0</v>
      </c>
      <c r="AN206" s="114">
        <v>11680</v>
      </c>
      <c r="AO206" s="114">
        <v>1175.7992</v>
      </c>
      <c r="AP206" s="114">
        <v>3.6131</v>
      </c>
      <c r="AQ206" s="114">
        <v>0</v>
      </c>
      <c r="AR206" s="114">
        <v>16</v>
      </c>
      <c r="AS206" s="114">
        <v>3</v>
      </c>
      <c r="AT206" s="114"/>
      <c r="AU206" s="114"/>
      <c r="AV206" s="114">
        <v>0</v>
      </c>
      <c r="AW206" s="114">
        <v>0</v>
      </c>
      <c r="AX206" s="114">
        <v>0</v>
      </c>
      <c r="AY206" s="114">
        <v>0</v>
      </c>
      <c r="AZ206" s="114">
        <v>0</v>
      </c>
      <c r="BA206" s="114">
        <v>1</v>
      </c>
      <c r="BB206" s="116"/>
      <c r="BC206" s="116"/>
      <c r="BD206" s="116"/>
      <c r="BE206" s="116"/>
      <c r="BF206" s="116"/>
      <c r="BG206" s="116"/>
      <c r="BH206" s="116"/>
      <c r="BI206" s="116"/>
      <c r="BJ206" s="117">
        <v>303881</v>
      </c>
      <c r="BK206" s="117">
        <v>1126</v>
      </c>
      <c r="BL206" s="117">
        <v>631943</v>
      </c>
      <c r="BM206" s="118">
        <v>2747257</v>
      </c>
      <c r="BN206" s="118"/>
      <c r="BO206" s="120">
        <v>0.786</v>
      </c>
      <c r="BP206" s="120">
        <v>0.214</v>
      </c>
      <c r="BQ206" s="120">
        <v>0</v>
      </c>
      <c r="BR206" s="120">
        <v>0.009</v>
      </c>
      <c r="BS206" s="120">
        <v>0.044</v>
      </c>
      <c r="BT206" s="120">
        <v>0.246</v>
      </c>
      <c r="BU206" s="120">
        <v>0.229</v>
      </c>
      <c r="BV206" s="120">
        <v>0.205</v>
      </c>
      <c r="BW206" s="120">
        <v>0.178</v>
      </c>
      <c r="BX206" s="120">
        <v>0.09</v>
      </c>
    </row>
    <row r="207" s="96" customFormat="1" ht="15.75" customHeight="1" spans="1:76">
      <c r="A207" s="111">
        <v>206</v>
      </c>
      <c r="B207" s="112" t="s">
        <v>46</v>
      </c>
      <c r="C207" s="112" t="s">
        <v>135</v>
      </c>
      <c r="D207" s="111">
        <v>2026</v>
      </c>
      <c r="E207" s="112" t="s">
        <v>33</v>
      </c>
      <c r="F207" s="114">
        <v>782379</v>
      </c>
      <c r="G207" s="114">
        <v>761989</v>
      </c>
      <c r="H207" s="114">
        <v>50304.7658</v>
      </c>
      <c r="I207" s="114">
        <v>1052</v>
      </c>
      <c r="J207" s="115">
        <v>0.00274305555555556</v>
      </c>
      <c r="K207" s="114">
        <v>12.38</v>
      </c>
      <c r="L207" s="114">
        <v>349</v>
      </c>
      <c r="M207" s="114">
        <v>5337496</v>
      </c>
      <c r="N207" s="114">
        <v>11.06</v>
      </c>
      <c r="O207" s="114">
        <v>563803</v>
      </c>
      <c r="P207" s="114">
        <v>323699</v>
      </c>
      <c r="Q207" s="114">
        <v>240605</v>
      </c>
      <c r="R207" s="114">
        <v>233035</v>
      </c>
      <c r="S207" s="114">
        <v>7570</v>
      </c>
      <c r="T207" s="114">
        <v>1415</v>
      </c>
      <c r="U207" s="114">
        <v>363</v>
      </c>
      <c r="V207" s="114">
        <v>5136</v>
      </c>
      <c r="W207" s="114">
        <v>252</v>
      </c>
      <c r="X207" s="114">
        <v>1138</v>
      </c>
      <c r="Y207" s="114">
        <v>2729</v>
      </c>
      <c r="Z207" s="114">
        <v>3059061.829</v>
      </c>
      <c r="AA207" s="114">
        <v>0</v>
      </c>
      <c r="AB207" s="114">
        <v>0</v>
      </c>
      <c r="AC207" s="114">
        <v>104715.734</v>
      </c>
      <c r="AD207" s="114">
        <v>2944305.099</v>
      </c>
      <c r="AE207" s="114">
        <v>5354083.649</v>
      </c>
      <c r="AF207" s="114">
        <v>602163</v>
      </c>
      <c r="AG207" s="114">
        <v>8891.419</v>
      </c>
      <c r="AH207" s="114">
        <v>450143</v>
      </c>
      <c r="AI207" s="114">
        <v>4014.201</v>
      </c>
      <c r="AJ207" s="114">
        <v>0</v>
      </c>
      <c r="AK207" s="114">
        <v>0</v>
      </c>
      <c r="AL207" s="114">
        <v>0</v>
      </c>
      <c r="AM207" s="114">
        <v>0</v>
      </c>
      <c r="AN207" s="114">
        <v>9900</v>
      </c>
      <c r="AO207" s="114">
        <v>761.2226</v>
      </c>
      <c r="AP207" s="114">
        <v>26.0409</v>
      </c>
      <c r="AQ207" s="114">
        <v>9</v>
      </c>
      <c r="AR207" s="114">
        <v>1445</v>
      </c>
      <c r="AS207" s="114">
        <v>1036</v>
      </c>
      <c r="AT207" s="114">
        <v>0</v>
      </c>
      <c r="AU207" s="114">
        <v>0</v>
      </c>
      <c r="AV207" s="114">
        <v>0</v>
      </c>
      <c r="AW207" s="114">
        <v>0</v>
      </c>
      <c r="AX207" s="114">
        <v>0</v>
      </c>
      <c r="AY207" s="114">
        <v>0</v>
      </c>
      <c r="AZ207" s="114">
        <v>1</v>
      </c>
      <c r="BA207" s="114">
        <v>3</v>
      </c>
      <c r="BB207" s="116"/>
      <c r="BC207" s="116"/>
      <c r="BD207" s="116"/>
      <c r="BE207" s="116"/>
      <c r="BF207" s="116"/>
      <c r="BG207" s="116"/>
      <c r="BH207" s="116"/>
      <c r="BI207" s="116"/>
      <c r="BJ207" s="117">
        <v>304933</v>
      </c>
      <c r="BK207" s="117">
        <v>1052</v>
      </c>
      <c r="BL207" s="117">
        <v>655807</v>
      </c>
      <c r="BM207" s="118">
        <v>2719398</v>
      </c>
      <c r="BN207" s="118"/>
      <c r="BO207" s="120">
        <v>0.744</v>
      </c>
      <c r="BP207" s="120">
        <v>0.256</v>
      </c>
      <c r="BQ207" s="120">
        <v>0</v>
      </c>
      <c r="BR207" s="120">
        <v>0.011</v>
      </c>
      <c r="BS207" s="120">
        <v>0.055</v>
      </c>
      <c r="BT207" s="120">
        <v>0.279</v>
      </c>
      <c r="BU207" s="120">
        <v>0.223</v>
      </c>
      <c r="BV207" s="120">
        <v>0.19</v>
      </c>
      <c r="BW207" s="120">
        <v>0.158</v>
      </c>
      <c r="BX207" s="120">
        <v>0.083</v>
      </c>
    </row>
    <row r="208" s="96" customFormat="1" ht="15.75" customHeight="1" spans="1:76">
      <c r="A208" s="111">
        <v>207</v>
      </c>
      <c r="B208" s="112" t="s">
        <v>46</v>
      </c>
      <c r="C208" s="112" t="s">
        <v>135</v>
      </c>
      <c r="D208" s="111">
        <v>2026</v>
      </c>
      <c r="E208" s="113" t="s">
        <v>34</v>
      </c>
      <c r="F208" s="114">
        <v>1756415</v>
      </c>
      <c r="G208" s="114">
        <v>1754947</v>
      </c>
      <c r="H208" s="114">
        <v>116366.2576</v>
      </c>
      <c r="I208" s="114">
        <v>3184</v>
      </c>
      <c r="J208" s="115">
        <v>0.00275462962962963</v>
      </c>
      <c r="K208" s="114">
        <v>14.72</v>
      </c>
      <c r="L208" s="114">
        <v>347</v>
      </c>
      <c r="M208" s="114">
        <v>11857540</v>
      </c>
      <c r="N208" s="114">
        <v>12.58</v>
      </c>
      <c r="O208" s="114">
        <v>1383989</v>
      </c>
      <c r="P208" s="114">
        <v>891350</v>
      </c>
      <c r="Q208" s="114">
        <v>457400</v>
      </c>
      <c r="R208" s="114">
        <v>446107</v>
      </c>
      <c r="S208" s="114">
        <v>11293</v>
      </c>
      <c r="T208" s="114">
        <v>3768</v>
      </c>
      <c r="U208" s="114">
        <v>584</v>
      </c>
      <c r="V208" s="114">
        <v>11084</v>
      </c>
      <c r="W208" s="114">
        <v>460</v>
      </c>
      <c r="X208" s="114">
        <v>1568</v>
      </c>
      <c r="Y208" s="114">
        <v>5929</v>
      </c>
      <c r="Z208" s="114">
        <v>8478696.705</v>
      </c>
      <c r="AA208" s="114">
        <v>0</v>
      </c>
      <c r="AB208" s="114">
        <v>0</v>
      </c>
      <c r="AC208" s="114">
        <v>280738.322</v>
      </c>
      <c r="AD208" s="114">
        <v>8197503.987</v>
      </c>
      <c r="AE208" s="114">
        <v>14905888.83</v>
      </c>
      <c r="AF208" s="114">
        <v>1610688</v>
      </c>
      <c r="AG208" s="114">
        <v>9254.361</v>
      </c>
      <c r="AH208" s="114">
        <v>1220781</v>
      </c>
      <c r="AI208" s="114">
        <v>4866.255</v>
      </c>
      <c r="AJ208" s="114">
        <v>0</v>
      </c>
      <c r="AK208" s="114">
        <v>0</v>
      </c>
      <c r="AL208" s="114">
        <v>0</v>
      </c>
      <c r="AM208" s="114">
        <v>0</v>
      </c>
      <c r="AN208" s="114">
        <v>30047</v>
      </c>
      <c r="AO208" s="114">
        <v>2282.3681</v>
      </c>
      <c r="AP208" s="114">
        <v>46.6274</v>
      </c>
      <c r="AQ208" s="114">
        <v>40</v>
      </c>
      <c r="AR208" s="114">
        <v>610</v>
      </c>
      <c r="AS208" s="114">
        <v>150</v>
      </c>
      <c r="AT208" s="114">
        <v>0</v>
      </c>
      <c r="AU208" s="114">
        <v>0</v>
      </c>
      <c r="AV208" s="114">
        <v>0</v>
      </c>
      <c r="AW208" s="114">
        <v>0</v>
      </c>
      <c r="AX208" s="114">
        <v>0</v>
      </c>
      <c r="AY208" s="114">
        <v>0</v>
      </c>
      <c r="AZ208" s="114">
        <v>0</v>
      </c>
      <c r="BA208" s="114">
        <v>0</v>
      </c>
      <c r="BB208" s="116"/>
      <c r="BC208" s="116"/>
      <c r="BD208" s="116"/>
      <c r="BE208" s="116"/>
      <c r="BF208" s="116"/>
      <c r="BG208" s="116"/>
      <c r="BH208" s="116"/>
      <c r="BI208" s="116"/>
      <c r="BJ208" s="117">
        <v>308116</v>
      </c>
      <c r="BK208" s="117">
        <v>3184</v>
      </c>
      <c r="BL208" s="117">
        <v>1695537</v>
      </c>
      <c r="BM208" s="118">
        <v>8305308</v>
      </c>
      <c r="BN208" s="118"/>
      <c r="BO208" s="120">
        <v>0.793</v>
      </c>
      <c r="BP208" s="120">
        <v>0.207</v>
      </c>
      <c r="BQ208" s="120">
        <v>0.001</v>
      </c>
      <c r="BR208" s="120">
        <v>0.012</v>
      </c>
      <c r="BS208" s="120">
        <v>0.054</v>
      </c>
      <c r="BT208" s="120">
        <v>0.272</v>
      </c>
      <c r="BU208" s="120">
        <v>0.258</v>
      </c>
      <c r="BV208" s="120">
        <v>0.216</v>
      </c>
      <c r="BW208" s="120">
        <v>0.133</v>
      </c>
      <c r="BX208" s="120">
        <v>0.055</v>
      </c>
    </row>
    <row r="209" s="96" customFormat="1" ht="15.75" customHeight="1" spans="1:76">
      <c r="A209" s="111">
        <v>208</v>
      </c>
      <c r="B209" s="112" t="s">
        <v>46</v>
      </c>
      <c r="C209" s="112" t="s">
        <v>135</v>
      </c>
      <c r="D209" s="111">
        <v>2026</v>
      </c>
      <c r="E209" s="113" t="s">
        <v>35</v>
      </c>
      <c r="F209" s="114">
        <v>855250</v>
      </c>
      <c r="G209" s="114">
        <v>854223</v>
      </c>
      <c r="H209" s="114">
        <v>62971.1254</v>
      </c>
      <c r="I209" s="114">
        <v>1355</v>
      </c>
      <c r="J209" s="115">
        <v>0.00306712962962963</v>
      </c>
      <c r="K209" s="114">
        <v>19.64</v>
      </c>
      <c r="L209" s="114">
        <v>179</v>
      </c>
      <c r="M209" s="114">
        <v>6261087</v>
      </c>
      <c r="N209" s="114">
        <v>11.27</v>
      </c>
      <c r="O209" s="114">
        <v>668356</v>
      </c>
      <c r="P209" s="114">
        <v>336721</v>
      </c>
      <c r="Q209" s="114">
        <v>281201</v>
      </c>
      <c r="R209" s="114">
        <v>270605</v>
      </c>
      <c r="S209" s="114">
        <v>10596</v>
      </c>
      <c r="T209" s="114">
        <v>1808</v>
      </c>
      <c r="U209" s="114">
        <v>453</v>
      </c>
      <c r="V209" s="114">
        <v>4677</v>
      </c>
      <c r="W209" s="114">
        <v>261</v>
      </c>
      <c r="X209" s="114">
        <v>1222</v>
      </c>
      <c r="Y209" s="114">
        <v>3102</v>
      </c>
      <c r="Z209" s="114">
        <v>3914659.785</v>
      </c>
      <c r="AA209" s="114">
        <v>0</v>
      </c>
      <c r="AB209" s="114">
        <v>0</v>
      </c>
      <c r="AC209" s="114">
        <v>157721.901</v>
      </c>
      <c r="AD209" s="114">
        <v>3756575.745</v>
      </c>
      <c r="AE209" s="114">
        <v>6810530.437</v>
      </c>
      <c r="AF209" s="114">
        <v>681933</v>
      </c>
      <c r="AG209" s="114">
        <v>9987.096</v>
      </c>
      <c r="AH209" s="114">
        <v>505223</v>
      </c>
      <c r="AI209" s="114">
        <v>4566.684</v>
      </c>
      <c r="AJ209" s="114">
        <v>0</v>
      </c>
      <c r="AK209" s="114">
        <v>13</v>
      </c>
      <c r="AL209" s="114">
        <v>0</v>
      </c>
      <c r="AM209" s="114">
        <v>0</v>
      </c>
      <c r="AN209" s="114">
        <v>11331</v>
      </c>
      <c r="AO209" s="114">
        <v>1159.1645</v>
      </c>
      <c r="AP209" s="114">
        <v>9.2455</v>
      </c>
      <c r="AQ209" s="114">
        <v>-5</v>
      </c>
      <c r="AR209" s="114">
        <v>13</v>
      </c>
      <c r="AS209" s="114">
        <v>8</v>
      </c>
      <c r="AT209" s="114">
        <v>0</v>
      </c>
      <c r="AU209" s="114">
        <v>0</v>
      </c>
      <c r="AV209" s="114">
        <v>0</v>
      </c>
      <c r="AW209" s="114">
        <v>0</v>
      </c>
      <c r="AX209" s="114">
        <v>0</v>
      </c>
      <c r="AY209" s="114">
        <v>1</v>
      </c>
      <c r="AZ209" s="114">
        <v>0</v>
      </c>
      <c r="BA209" s="114">
        <v>0</v>
      </c>
      <c r="BB209" s="116"/>
      <c r="BC209" s="116"/>
      <c r="BD209" s="116"/>
      <c r="BE209" s="116"/>
      <c r="BF209" s="116"/>
      <c r="BG209" s="116"/>
      <c r="BH209" s="116"/>
      <c r="BI209" s="116"/>
      <c r="BJ209" s="117">
        <v>309472</v>
      </c>
      <c r="BK209" s="117">
        <v>1355</v>
      </c>
      <c r="BL209" s="117">
        <v>745753</v>
      </c>
      <c r="BM209" s="118">
        <v>3554569</v>
      </c>
      <c r="BN209" s="118"/>
      <c r="BO209" s="120">
        <v>0.783</v>
      </c>
      <c r="BP209" s="120">
        <v>0.217</v>
      </c>
      <c r="BQ209" s="134">
        <v>0</v>
      </c>
      <c r="BR209" s="120">
        <v>0.013</v>
      </c>
      <c r="BS209" s="120">
        <v>0.056</v>
      </c>
      <c r="BT209" s="120">
        <v>0.269</v>
      </c>
      <c r="BU209" s="120">
        <v>0.224</v>
      </c>
      <c r="BV209" s="120">
        <v>0.197</v>
      </c>
      <c r="BW209" s="120">
        <v>0.158</v>
      </c>
      <c r="BX209" s="120">
        <v>0.083</v>
      </c>
    </row>
    <row r="210" s="96" customFormat="1" ht="15.75" customHeight="1" spans="1:76">
      <c r="A210" s="111">
        <v>209</v>
      </c>
      <c r="B210" s="112" t="s">
        <v>46</v>
      </c>
      <c r="C210" s="112" t="s">
        <v>135</v>
      </c>
      <c r="D210" s="111">
        <v>2026</v>
      </c>
      <c r="E210" s="113" t="s">
        <v>36</v>
      </c>
      <c r="F210" s="114">
        <v>826177</v>
      </c>
      <c r="G210" s="114">
        <v>825120</v>
      </c>
      <c r="H210" s="114">
        <v>74621.6373</v>
      </c>
      <c r="I210" s="114">
        <v>1190</v>
      </c>
      <c r="J210" s="115">
        <v>0.00376157407407407</v>
      </c>
      <c r="K210" s="114">
        <v>11.86</v>
      </c>
      <c r="L210" s="114">
        <v>428</v>
      </c>
      <c r="M210" s="114">
        <v>7296900</v>
      </c>
      <c r="N210" s="114">
        <v>8.92</v>
      </c>
      <c r="O210" s="114">
        <v>581685</v>
      </c>
      <c r="P210" s="114">
        <v>280471</v>
      </c>
      <c r="Q210" s="114">
        <v>259412</v>
      </c>
      <c r="R210" s="114">
        <v>244232</v>
      </c>
      <c r="S210" s="114">
        <v>15180</v>
      </c>
      <c r="T210" s="114">
        <v>1520</v>
      </c>
      <c r="U210" s="114">
        <v>330</v>
      </c>
      <c r="V210" s="114">
        <v>3984</v>
      </c>
      <c r="W210" s="114">
        <v>266</v>
      </c>
      <c r="X210" s="114">
        <v>1084</v>
      </c>
      <c r="Y210" s="114">
        <v>2890</v>
      </c>
      <c r="Z210" s="114">
        <v>4761919.068</v>
      </c>
      <c r="AA210" s="114">
        <v>0</v>
      </c>
      <c r="AB210" s="114">
        <v>0</v>
      </c>
      <c r="AC210" s="114">
        <v>181769.303</v>
      </c>
      <c r="AD210" s="114">
        <v>4579670.558</v>
      </c>
      <c r="AE210" s="114">
        <v>8297465.339</v>
      </c>
      <c r="AF210" s="114">
        <v>804406</v>
      </c>
      <c r="AG210" s="114">
        <v>10315.022</v>
      </c>
      <c r="AH210" s="114">
        <v>568595</v>
      </c>
      <c r="AI210" s="114">
        <v>5779.657</v>
      </c>
      <c r="AJ210" s="114">
        <v>0</v>
      </c>
      <c r="AK210" s="114">
        <v>0</v>
      </c>
      <c r="AL210" s="114">
        <v>0</v>
      </c>
      <c r="AM210" s="114">
        <v>0</v>
      </c>
      <c r="AN210" s="114">
        <v>11270</v>
      </c>
      <c r="AO210" s="114">
        <v>1451.9715</v>
      </c>
      <c r="AP210" s="114">
        <v>43.87</v>
      </c>
      <c r="AQ210" s="114">
        <v>15</v>
      </c>
      <c r="AR210" s="114">
        <v>1852</v>
      </c>
      <c r="AS210" s="114">
        <v>170</v>
      </c>
      <c r="AT210" s="114"/>
      <c r="AU210" s="114">
        <v>5</v>
      </c>
      <c r="AV210" s="114">
        <v>0</v>
      </c>
      <c r="AW210" s="114">
        <v>0</v>
      </c>
      <c r="AX210" s="114">
        <v>0</v>
      </c>
      <c r="AY210" s="114">
        <v>2</v>
      </c>
      <c r="AZ210" s="114">
        <v>0</v>
      </c>
      <c r="BA210" s="114">
        <v>0</v>
      </c>
      <c r="BB210" s="116"/>
      <c r="BC210" s="116"/>
      <c r="BD210" s="116"/>
      <c r="BE210" s="116"/>
      <c r="BF210" s="116"/>
      <c r="BG210" s="116"/>
      <c r="BH210" s="116"/>
      <c r="BI210" s="116"/>
      <c r="BJ210" s="117">
        <v>310662</v>
      </c>
      <c r="BK210" s="117">
        <v>1190</v>
      </c>
      <c r="BL210" s="117">
        <v>700453</v>
      </c>
      <c r="BM210" s="118">
        <v>4301651</v>
      </c>
      <c r="BN210" s="118"/>
      <c r="BO210" s="120">
        <v>0.799</v>
      </c>
      <c r="BP210" s="120">
        <v>0.201</v>
      </c>
      <c r="BQ210" s="120">
        <v>0</v>
      </c>
      <c r="BR210" s="120">
        <v>0.012</v>
      </c>
      <c r="BS210" s="120">
        <v>0.059</v>
      </c>
      <c r="BT210" s="120">
        <v>0.283</v>
      </c>
      <c r="BU210" s="120">
        <v>0.219</v>
      </c>
      <c r="BV210" s="120">
        <v>0.185</v>
      </c>
      <c r="BW210" s="120">
        <v>0.156</v>
      </c>
      <c r="BX210" s="120">
        <v>0.086</v>
      </c>
    </row>
    <row r="211" s="96" customFormat="1" ht="15.75" customHeight="1" spans="1:76">
      <c r="A211" s="111">
        <v>210</v>
      </c>
      <c r="B211" s="96" t="s">
        <v>46</v>
      </c>
      <c r="C211" s="96" t="s">
        <v>135</v>
      </c>
      <c r="D211" s="122">
        <v>2026</v>
      </c>
      <c r="E211" s="96" t="s">
        <v>37</v>
      </c>
      <c r="F211" s="123">
        <v>1414761</v>
      </c>
      <c r="G211" s="123">
        <v>1404385</v>
      </c>
      <c r="H211" s="123">
        <v>168478</v>
      </c>
      <c r="I211" s="123">
        <v>1810</v>
      </c>
      <c r="J211" s="124">
        <v>0.00498842592592593</v>
      </c>
      <c r="K211" s="125">
        <v>8</v>
      </c>
      <c r="L211" s="125">
        <v>482</v>
      </c>
      <c r="M211" s="123">
        <v>12641983</v>
      </c>
      <c r="N211" s="125">
        <v>9</v>
      </c>
      <c r="O211" s="123">
        <v>926249</v>
      </c>
      <c r="P211" s="123">
        <v>427314</v>
      </c>
      <c r="Q211" s="123">
        <v>458366</v>
      </c>
      <c r="R211" s="123">
        <v>429391</v>
      </c>
      <c r="S211" s="123">
        <v>28975</v>
      </c>
      <c r="T211" s="123">
        <v>2299</v>
      </c>
      <c r="U211" s="125">
        <v>489</v>
      </c>
      <c r="V211" s="123">
        <v>7180</v>
      </c>
      <c r="W211" s="125">
        <v>592</v>
      </c>
      <c r="X211" s="123">
        <v>1880</v>
      </c>
      <c r="Y211" s="123">
        <v>5829</v>
      </c>
      <c r="Z211" s="123">
        <v>9769403</v>
      </c>
      <c r="AA211" s="125">
        <v>0</v>
      </c>
      <c r="AB211" s="125">
        <v>0</v>
      </c>
      <c r="AC211" s="123">
        <v>556978</v>
      </c>
      <c r="AD211" s="123">
        <v>9209163</v>
      </c>
      <c r="AE211" s="123">
        <v>16731665</v>
      </c>
      <c r="AF211" s="123">
        <v>1534772</v>
      </c>
      <c r="AG211" s="123">
        <v>10902</v>
      </c>
      <c r="AH211" s="123">
        <v>998292</v>
      </c>
      <c r="AI211" s="123">
        <v>7097</v>
      </c>
      <c r="AJ211" s="125">
        <v>0</v>
      </c>
      <c r="AK211" s="125">
        <v>3</v>
      </c>
      <c r="AL211" s="125">
        <v>0</v>
      </c>
      <c r="AM211" s="125">
        <v>0</v>
      </c>
      <c r="AN211" s="123">
        <v>19642</v>
      </c>
      <c r="AO211" s="123">
        <v>4300</v>
      </c>
      <c r="AP211" s="125">
        <v>50</v>
      </c>
      <c r="AQ211" s="125">
        <v>24</v>
      </c>
      <c r="AR211" s="123">
        <v>2263</v>
      </c>
      <c r="AS211" s="125">
        <v>711</v>
      </c>
      <c r="AT211" s="125"/>
      <c r="AU211" s="125"/>
      <c r="AV211" s="125">
        <v>0</v>
      </c>
      <c r="AW211" s="125">
        <v>0</v>
      </c>
      <c r="AX211" s="125">
        <v>0</v>
      </c>
      <c r="AY211" s="125">
        <v>0</v>
      </c>
      <c r="AZ211" s="125">
        <v>0</v>
      </c>
      <c r="BA211" s="125">
        <v>0</v>
      </c>
      <c r="BB211" s="125"/>
      <c r="BC211" s="125"/>
      <c r="BD211" s="125"/>
      <c r="BE211" s="125"/>
      <c r="BF211" s="125"/>
      <c r="BG211" s="125"/>
      <c r="BH211" s="125"/>
      <c r="BI211" s="125"/>
      <c r="BJ211" s="117">
        <v>312472</v>
      </c>
      <c r="BK211" s="117">
        <v>1810</v>
      </c>
      <c r="BL211" s="117">
        <v>1303202</v>
      </c>
      <c r="BM211" s="118">
        <v>9246691</v>
      </c>
      <c r="BN211" s="118"/>
      <c r="BO211" s="120">
        <v>0.801</v>
      </c>
      <c r="BP211" s="120">
        <v>0.199</v>
      </c>
      <c r="BQ211" s="120">
        <v>0</v>
      </c>
      <c r="BR211" s="120">
        <v>0.009</v>
      </c>
      <c r="BS211" s="120">
        <v>0.052</v>
      </c>
      <c r="BT211" s="120">
        <v>0.285</v>
      </c>
      <c r="BU211" s="120">
        <v>0.242</v>
      </c>
      <c r="BV211" s="120">
        <v>0.19</v>
      </c>
      <c r="BW211" s="120">
        <v>0.147</v>
      </c>
      <c r="BX211" s="120">
        <v>0.075</v>
      </c>
    </row>
    <row r="212" s="96" customFormat="1" ht="15.75" customHeight="1" spans="1:76">
      <c r="A212" s="111">
        <v>211</v>
      </c>
      <c r="B212" s="96" t="s">
        <v>46</v>
      </c>
      <c r="C212" s="96" t="s">
        <v>135</v>
      </c>
      <c r="D212" s="122">
        <v>2026</v>
      </c>
      <c r="E212" s="96" t="s">
        <v>38</v>
      </c>
      <c r="F212" s="126">
        <v>2400625</v>
      </c>
      <c r="G212" s="126">
        <v>2397049</v>
      </c>
      <c r="H212" s="126">
        <v>221702</v>
      </c>
      <c r="I212" s="126">
        <v>3055</v>
      </c>
      <c r="J212" s="127">
        <v>0.00384259259259259</v>
      </c>
      <c r="K212" s="128">
        <v>9</v>
      </c>
      <c r="L212" s="126">
        <v>1015</v>
      </c>
      <c r="M212" s="126">
        <v>18574934</v>
      </c>
      <c r="N212" s="128">
        <v>11</v>
      </c>
      <c r="O212" s="126">
        <v>1470791</v>
      </c>
      <c r="P212" s="126">
        <v>596634</v>
      </c>
      <c r="Q212" s="126">
        <v>775653</v>
      </c>
      <c r="R212" s="126">
        <v>711157</v>
      </c>
      <c r="S212" s="126">
        <v>64496</v>
      </c>
      <c r="T212" s="126">
        <v>3604</v>
      </c>
      <c r="U212" s="128">
        <v>549</v>
      </c>
      <c r="V212" s="126">
        <v>10936</v>
      </c>
      <c r="W212" s="128">
        <v>859</v>
      </c>
      <c r="X212" s="126">
        <v>2035</v>
      </c>
      <c r="Y212" s="126">
        <v>7516</v>
      </c>
      <c r="Z212" s="126">
        <v>14965892</v>
      </c>
      <c r="AA212" s="128">
        <v>0</v>
      </c>
      <c r="AB212" s="128">
        <v>0</v>
      </c>
      <c r="AC212" s="126">
        <v>770901</v>
      </c>
      <c r="AD212" s="126">
        <v>14194195</v>
      </c>
      <c r="AE212" s="126">
        <v>25806433</v>
      </c>
      <c r="AF212" s="126">
        <v>2398398</v>
      </c>
      <c r="AG212" s="126">
        <v>10760</v>
      </c>
      <c r="AH212" s="126">
        <v>1740366</v>
      </c>
      <c r="AI212" s="126">
        <v>6257</v>
      </c>
      <c r="AJ212" s="128">
        <v>0</v>
      </c>
      <c r="AK212" s="128">
        <v>0</v>
      </c>
      <c r="AL212" s="128">
        <v>0</v>
      </c>
      <c r="AM212" s="128">
        <v>0</v>
      </c>
      <c r="AN212" s="126">
        <v>40890</v>
      </c>
      <c r="AO212" s="126">
        <v>5875</v>
      </c>
      <c r="AP212" s="128">
        <v>124</v>
      </c>
      <c r="AQ212" s="128">
        <v>130</v>
      </c>
      <c r="AR212" s="126">
        <v>13544</v>
      </c>
      <c r="AS212" s="126">
        <v>2334</v>
      </c>
      <c r="AT212" s="128"/>
      <c r="AU212" s="128"/>
      <c r="AV212" s="128">
        <v>0</v>
      </c>
      <c r="AW212" s="128">
        <v>0</v>
      </c>
      <c r="AX212" s="128">
        <v>0</v>
      </c>
      <c r="AY212" s="128">
        <v>0</v>
      </c>
      <c r="AZ212" s="128">
        <v>0</v>
      </c>
      <c r="BA212" s="128">
        <v>0</v>
      </c>
      <c r="BB212" s="129"/>
      <c r="BC212" s="129"/>
      <c r="BD212" s="129"/>
      <c r="BE212" s="129"/>
      <c r="BF212" s="129"/>
      <c r="BG212" s="129"/>
      <c r="BH212" s="129"/>
      <c r="BI212" s="129"/>
      <c r="BJ212" s="130">
        <v>315527</v>
      </c>
      <c r="BK212" s="130">
        <v>3055</v>
      </c>
      <c r="BL212" s="130">
        <v>2255854</v>
      </c>
      <c r="BM212" s="131">
        <v>14225297.66</v>
      </c>
      <c r="BN212" s="131"/>
      <c r="BO212" s="132">
        <v>0.796</v>
      </c>
      <c r="BP212" s="132">
        <v>0.204</v>
      </c>
      <c r="BQ212" s="132">
        <v>0</v>
      </c>
      <c r="BR212" s="132">
        <v>0.008</v>
      </c>
      <c r="BS212" s="132">
        <v>0.044</v>
      </c>
      <c r="BT212" s="132">
        <v>0.247</v>
      </c>
      <c r="BU212" s="132">
        <v>0.216</v>
      </c>
      <c r="BV212" s="132">
        <v>0.201</v>
      </c>
      <c r="BW212" s="132">
        <v>0.185</v>
      </c>
      <c r="BX212" s="119"/>
    </row>
    <row r="213" s="96" customFormat="1" ht="15.75" customHeight="1" spans="1:76">
      <c r="A213" s="111">
        <v>212</v>
      </c>
      <c r="B213" s="96" t="s">
        <v>46</v>
      </c>
      <c r="C213" s="96" t="s">
        <v>135</v>
      </c>
      <c r="D213" s="122">
        <v>2026</v>
      </c>
      <c r="E213" s="96" t="s">
        <v>39</v>
      </c>
      <c r="F213" s="128"/>
      <c r="G213" s="128"/>
      <c r="H213" s="128"/>
      <c r="I213" s="128"/>
      <c r="J213" s="127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9"/>
      <c r="BC213" s="129"/>
      <c r="BD213" s="129"/>
      <c r="BE213" s="129"/>
      <c r="BF213" s="129"/>
      <c r="BG213" s="129"/>
      <c r="BH213" s="129"/>
      <c r="BI213" s="129"/>
      <c r="BJ213" s="119"/>
      <c r="BK213" s="119"/>
      <c r="BL213" s="119"/>
      <c r="BM213" s="131"/>
      <c r="BN213" s="131"/>
      <c r="BO213" s="119"/>
      <c r="BP213" s="119"/>
      <c r="BQ213" s="119"/>
      <c r="BR213" s="119"/>
      <c r="BS213" s="119"/>
      <c r="BT213" s="119"/>
      <c r="BU213" s="119"/>
      <c r="BV213" s="119"/>
      <c r="BW213" s="119"/>
      <c r="BX213" s="119"/>
    </row>
    <row r="214" s="96" customFormat="1" ht="15.75" customHeight="1" spans="1:76">
      <c r="A214" s="111">
        <v>213</v>
      </c>
      <c r="B214" s="96" t="s">
        <v>46</v>
      </c>
      <c r="C214" s="96" t="s">
        <v>135</v>
      </c>
      <c r="D214" s="122">
        <v>2026</v>
      </c>
      <c r="E214" s="96" t="s">
        <v>40</v>
      </c>
      <c r="F214" s="128"/>
      <c r="G214" s="128"/>
      <c r="H214" s="128"/>
      <c r="I214" s="128"/>
      <c r="J214" s="127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9"/>
      <c r="BC214" s="129"/>
      <c r="BD214" s="129"/>
      <c r="BE214" s="129"/>
      <c r="BF214" s="129"/>
      <c r="BG214" s="129"/>
      <c r="BH214" s="129"/>
      <c r="BI214" s="129"/>
      <c r="BJ214" s="119"/>
      <c r="BK214" s="119"/>
      <c r="BL214" s="119"/>
      <c r="BM214" s="131"/>
      <c r="BN214" s="131"/>
      <c r="BO214" s="119"/>
      <c r="BP214" s="119"/>
      <c r="BQ214" s="119"/>
      <c r="BR214" s="119"/>
      <c r="BS214" s="119"/>
      <c r="BT214" s="119"/>
      <c r="BU214" s="119"/>
      <c r="BV214" s="119"/>
      <c r="BW214" s="119"/>
      <c r="BX214" s="119"/>
    </row>
    <row r="215" s="96" customFormat="1" ht="15.75" customHeight="1" spans="1:76">
      <c r="A215" s="111">
        <v>214</v>
      </c>
      <c r="B215" s="96" t="s">
        <v>46</v>
      </c>
      <c r="C215" s="96" t="s">
        <v>135</v>
      </c>
      <c r="D215" s="122">
        <v>2026</v>
      </c>
      <c r="E215" s="96" t="s">
        <v>41</v>
      </c>
      <c r="F215" s="128"/>
      <c r="G215" s="128"/>
      <c r="H215" s="128"/>
      <c r="I215" s="128"/>
      <c r="J215" s="127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9"/>
      <c r="BC215" s="129"/>
      <c r="BD215" s="129"/>
      <c r="BE215" s="129"/>
      <c r="BF215" s="129"/>
      <c r="BG215" s="129"/>
      <c r="BH215" s="129"/>
      <c r="BI215" s="129"/>
      <c r="BJ215" s="119"/>
      <c r="BK215" s="119"/>
      <c r="BL215" s="119"/>
      <c r="BM215" s="131"/>
      <c r="BN215" s="131"/>
      <c r="BO215" s="119"/>
      <c r="BP215" s="119"/>
      <c r="BQ215" s="119"/>
      <c r="BR215" s="119"/>
      <c r="BS215" s="119"/>
      <c r="BT215" s="119"/>
      <c r="BU215" s="119"/>
      <c r="BV215" s="119"/>
      <c r="BW215" s="119"/>
      <c r="BX215" s="119"/>
    </row>
    <row r="216" s="96" customFormat="1" ht="15.75" customHeight="1" spans="1:76">
      <c r="A216" s="111">
        <v>215</v>
      </c>
      <c r="B216" s="96" t="s">
        <v>46</v>
      </c>
      <c r="C216" s="96" t="s">
        <v>135</v>
      </c>
      <c r="D216" s="122">
        <v>2026</v>
      </c>
      <c r="E216" s="96" t="s">
        <v>42</v>
      </c>
      <c r="F216" s="128"/>
      <c r="G216" s="128"/>
      <c r="H216" s="128"/>
      <c r="I216" s="128"/>
      <c r="J216" s="127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9"/>
      <c r="BC216" s="129"/>
      <c r="BD216" s="129"/>
      <c r="BE216" s="129"/>
      <c r="BF216" s="129"/>
      <c r="BG216" s="129"/>
      <c r="BH216" s="129"/>
      <c r="BI216" s="129"/>
      <c r="BJ216" s="119"/>
      <c r="BK216" s="119"/>
      <c r="BL216" s="119"/>
      <c r="BM216" s="131"/>
      <c r="BN216" s="131"/>
      <c r="BO216" s="119"/>
      <c r="BP216" s="119"/>
      <c r="BQ216" s="119"/>
      <c r="BR216" s="119"/>
      <c r="BS216" s="119"/>
      <c r="BT216" s="119"/>
      <c r="BU216" s="119"/>
      <c r="BV216" s="119"/>
      <c r="BW216" s="119"/>
      <c r="BX216" s="119"/>
    </row>
    <row r="217" s="96" customFormat="1" ht="15.75" customHeight="1" spans="1:76">
      <c r="A217" s="111">
        <v>216</v>
      </c>
      <c r="B217" s="96" t="s">
        <v>46</v>
      </c>
      <c r="C217" s="96" t="s">
        <v>135</v>
      </c>
      <c r="D217" s="122">
        <v>2026</v>
      </c>
      <c r="E217" s="96" t="s">
        <v>43</v>
      </c>
      <c r="F217" s="128"/>
      <c r="G217" s="128"/>
      <c r="H217" s="128"/>
      <c r="I217" s="128"/>
      <c r="J217" s="127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9"/>
      <c r="BC217" s="129"/>
      <c r="BD217" s="129"/>
      <c r="BE217" s="129"/>
      <c r="BF217" s="129"/>
      <c r="BG217" s="129"/>
      <c r="BH217" s="129"/>
      <c r="BI217" s="129"/>
      <c r="BJ217" s="119"/>
      <c r="BK217" s="119"/>
      <c r="BL217" s="119"/>
      <c r="BM217" s="131"/>
      <c r="BN217" s="131"/>
      <c r="BO217" s="119"/>
      <c r="BP217" s="119"/>
      <c r="BQ217" s="119"/>
      <c r="BR217" s="119"/>
      <c r="BS217" s="119"/>
      <c r="BT217" s="119"/>
      <c r="BU217" s="119"/>
      <c r="BV217" s="119"/>
      <c r="BW217" s="119"/>
      <c r="BX217" s="119"/>
    </row>
    <row r="218" s="96" customFormat="1" ht="15.75" customHeight="1" spans="1:76">
      <c r="A218" s="111">
        <v>217</v>
      </c>
      <c r="B218" s="112" t="s">
        <v>46</v>
      </c>
      <c r="C218" s="112" t="s">
        <v>136</v>
      </c>
      <c r="D218" s="111">
        <v>2024</v>
      </c>
      <c r="E218" s="113" t="s">
        <v>31</v>
      </c>
      <c r="F218" s="114">
        <v>90589</v>
      </c>
      <c r="G218" s="114">
        <v>90589</v>
      </c>
      <c r="H218" s="114">
        <v>10733.6581</v>
      </c>
      <c r="I218" s="114">
        <v>570</v>
      </c>
      <c r="J218" s="115">
        <v>0.00493055555555556</v>
      </c>
      <c r="K218" s="114">
        <v>33.11</v>
      </c>
      <c r="L218" s="114">
        <v>39</v>
      </c>
      <c r="M218" s="114">
        <v>1402973</v>
      </c>
      <c r="N218" s="114">
        <v>4.97</v>
      </c>
      <c r="O218" s="114">
        <v>60719</v>
      </c>
      <c r="P218" s="114">
        <v>48921</v>
      </c>
      <c r="Q218" s="114">
        <v>11798</v>
      </c>
      <c r="R218" s="114">
        <v>11798</v>
      </c>
      <c r="S218" s="114">
        <v>0</v>
      </c>
      <c r="T218" s="114">
        <v>733</v>
      </c>
      <c r="U218" s="114">
        <v>163</v>
      </c>
      <c r="V218" s="114">
        <v>646</v>
      </c>
      <c r="W218" s="114">
        <v>24</v>
      </c>
      <c r="X218" s="114">
        <v>404</v>
      </c>
      <c r="Y218" s="114">
        <v>22</v>
      </c>
      <c r="Z218" s="114">
        <v>557232.726</v>
      </c>
      <c r="AA218" s="114">
        <v>0</v>
      </c>
      <c r="AB218" s="114">
        <v>0</v>
      </c>
      <c r="AC218" s="114">
        <v>4344.765</v>
      </c>
      <c r="AD218" s="114">
        <v>552887.962</v>
      </c>
      <c r="AE218" s="114">
        <v>1005247.977</v>
      </c>
      <c r="AF218" s="114">
        <v>124401</v>
      </c>
      <c r="AG218" s="114">
        <v>8080.707</v>
      </c>
      <c r="AH218" s="114">
        <v>98749</v>
      </c>
      <c r="AI218" s="114">
        <v>6151.218</v>
      </c>
      <c r="AJ218" s="114">
        <v>0</v>
      </c>
      <c r="AK218" s="114">
        <v>0</v>
      </c>
      <c r="AL218" s="114">
        <v>0</v>
      </c>
      <c r="AM218" s="114">
        <v>0</v>
      </c>
      <c r="AN218" s="114">
        <v>519</v>
      </c>
      <c r="AO218" s="114">
        <v>61.0535</v>
      </c>
      <c r="AP218" s="114"/>
      <c r="AQ218" s="114">
        <v>0</v>
      </c>
      <c r="AR218" s="114"/>
      <c r="AS218" s="114"/>
      <c r="AT218" s="114"/>
      <c r="AU218" s="114"/>
      <c r="AV218" s="114">
        <v>0</v>
      </c>
      <c r="AW218" s="114">
        <v>0</v>
      </c>
      <c r="AX218" s="114">
        <v>0</v>
      </c>
      <c r="AY218" s="114">
        <v>0</v>
      </c>
      <c r="AZ218" s="114">
        <v>122</v>
      </c>
      <c r="BA218" s="114">
        <v>14735</v>
      </c>
      <c r="BB218" s="116"/>
      <c r="BC218" s="116"/>
      <c r="BD218" s="116"/>
      <c r="BE218" s="116"/>
      <c r="BF218" s="116"/>
      <c r="BG218" s="116"/>
      <c r="BH218" s="116"/>
      <c r="BI218" s="116"/>
      <c r="BJ218" s="117">
        <v>94349</v>
      </c>
      <c r="BK218" s="133">
        <v>570</v>
      </c>
      <c r="BL218" s="119"/>
      <c r="BM218" s="118">
        <v>0</v>
      </c>
      <c r="BN218" s="131"/>
      <c r="BO218" s="119"/>
      <c r="BP218" s="119"/>
      <c r="BQ218" s="119"/>
      <c r="BR218" s="119"/>
      <c r="BS218" s="119"/>
      <c r="BT218" s="119"/>
      <c r="BU218" s="119"/>
      <c r="BV218" s="119"/>
      <c r="BW218" s="119"/>
      <c r="BX218" s="119"/>
    </row>
    <row r="219" s="96" customFormat="1" ht="15.75" customHeight="1" spans="1:76">
      <c r="A219" s="111">
        <v>218</v>
      </c>
      <c r="B219" s="112" t="s">
        <v>46</v>
      </c>
      <c r="C219" s="112" t="s">
        <v>136</v>
      </c>
      <c r="D219" s="111">
        <v>2024</v>
      </c>
      <c r="E219" s="113" t="s">
        <v>33</v>
      </c>
      <c r="F219" s="114">
        <v>64969</v>
      </c>
      <c r="G219" s="114">
        <v>64969</v>
      </c>
      <c r="H219" s="114">
        <v>6827.7324</v>
      </c>
      <c r="I219" s="114">
        <v>309</v>
      </c>
      <c r="J219" s="115">
        <v>0.004375</v>
      </c>
      <c r="K219" s="114">
        <v>30.01</v>
      </c>
      <c r="L219" s="114">
        <v>28</v>
      </c>
      <c r="M219" s="114">
        <v>998876</v>
      </c>
      <c r="N219" s="114">
        <v>4.92</v>
      </c>
      <c r="O219" s="114">
        <v>39631</v>
      </c>
      <c r="P219" s="114">
        <v>30900</v>
      </c>
      <c r="Q219" s="114">
        <v>8694</v>
      </c>
      <c r="R219" s="114">
        <v>8694</v>
      </c>
      <c r="S219" s="114">
        <v>0</v>
      </c>
      <c r="T219" s="114">
        <v>473</v>
      </c>
      <c r="U219" s="114">
        <v>164</v>
      </c>
      <c r="V219" s="114">
        <v>465</v>
      </c>
      <c r="W219" s="114">
        <v>20</v>
      </c>
      <c r="X219" s="114">
        <v>299</v>
      </c>
      <c r="Y219" s="114">
        <v>11</v>
      </c>
      <c r="Z219" s="114">
        <v>436572.365</v>
      </c>
      <c r="AA219" s="114">
        <v>0</v>
      </c>
      <c r="AB219" s="114">
        <v>0</v>
      </c>
      <c r="AC219" s="114">
        <v>3779.158</v>
      </c>
      <c r="AD219" s="114">
        <v>432793.207</v>
      </c>
      <c r="AE219" s="114">
        <v>786895.438</v>
      </c>
      <c r="AF219" s="114">
        <v>87651</v>
      </c>
      <c r="AG219" s="114">
        <v>8977.598</v>
      </c>
      <c r="AH219" s="114">
        <v>66479</v>
      </c>
      <c r="AI219" s="114">
        <v>6719.703</v>
      </c>
      <c r="AJ219" s="114">
        <v>0</v>
      </c>
      <c r="AK219" s="114">
        <v>0</v>
      </c>
      <c r="AL219" s="114">
        <v>0</v>
      </c>
      <c r="AM219" s="114">
        <v>0</v>
      </c>
      <c r="AN219" s="114">
        <v>443</v>
      </c>
      <c r="AO219" s="114">
        <v>46.4002</v>
      </c>
      <c r="AP219" s="114"/>
      <c r="AQ219" s="114">
        <v>0</v>
      </c>
      <c r="AR219" s="114"/>
      <c r="AS219" s="114"/>
      <c r="AT219" s="114"/>
      <c r="AU219" s="114"/>
      <c r="AV219" s="114">
        <v>1</v>
      </c>
      <c r="AW219" s="114">
        <v>0.0061</v>
      </c>
      <c r="AX219" s="114">
        <v>0</v>
      </c>
      <c r="AY219" s="114">
        <v>0</v>
      </c>
      <c r="AZ219" s="114">
        <v>54</v>
      </c>
      <c r="BA219" s="114">
        <v>7655</v>
      </c>
      <c r="BB219" s="116"/>
      <c r="BC219" s="116"/>
      <c r="BD219" s="116"/>
      <c r="BE219" s="116"/>
      <c r="BF219" s="116"/>
      <c r="BG219" s="116"/>
      <c r="BH219" s="116"/>
      <c r="BI219" s="116"/>
      <c r="BJ219" s="117">
        <v>94658</v>
      </c>
      <c r="BK219" s="133">
        <v>309</v>
      </c>
      <c r="BL219" s="119"/>
      <c r="BM219" s="118">
        <v>0</v>
      </c>
      <c r="BN219" s="131"/>
      <c r="BO219" s="119"/>
      <c r="BP219" s="119"/>
      <c r="BQ219" s="119"/>
      <c r="BR219" s="119"/>
      <c r="BS219" s="119"/>
      <c r="BT219" s="119"/>
      <c r="BU219" s="119"/>
      <c r="BV219" s="119"/>
      <c r="BW219" s="119"/>
      <c r="BX219" s="119"/>
    </row>
    <row r="220" s="96" customFormat="1" ht="15.75" customHeight="1" spans="1:76">
      <c r="A220" s="111">
        <v>219</v>
      </c>
      <c r="B220" s="112" t="s">
        <v>46</v>
      </c>
      <c r="C220" s="112" t="s">
        <v>136</v>
      </c>
      <c r="D220" s="111">
        <v>2024</v>
      </c>
      <c r="E220" s="113" t="s">
        <v>34</v>
      </c>
      <c r="F220" s="114">
        <v>100172</v>
      </c>
      <c r="G220" s="114">
        <v>100172</v>
      </c>
      <c r="H220" s="114">
        <v>11129.4904</v>
      </c>
      <c r="I220" s="114">
        <v>620</v>
      </c>
      <c r="J220" s="115">
        <v>0.00461805555555556</v>
      </c>
      <c r="K220" s="114">
        <v>32.21</v>
      </c>
      <c r="L220" s="114">
        <v>42</v>
      </c>
      <c r="M220" s="114">
        <v>1402772</v>
      </c>
      <c r="N220" s="114">
        <v>5.39</v>
      </c>
      <c r="O220" s="114">
        <v>62299</v>
      </c>
      <c r="P220" s="114">
        <v>50299</v>
      </c>
      <c r="Q220" s="114">
        <v>12000</v>
      </c>
      <c r="R220" s="114">
        <v>12000</v>
      </c>
      <c r="S220" s="114">
        <v>0</v>
      </c>
      <c r="T220" s="114">
        <v>755</v>
      </c>
      <c r="U220" s="114">
        <v>135</v>
      </c>
      <c r="V220" s="114">
        <v>976</v>
      </c>
      <c r="W220" s="114">
        <v>42</v>
      </c>
      <c r="X220" s="114">
        <v>493</v>
      </c>
      <c r="Y220" s="114">
        <v>132</v>
      </c>
      <c r="Z220" s="114">
        <v>868609.451</v>
      </c>
      <c r="AA220" s="114">
        <v>0</v>
      </c>
      <c r="AB220" s="114">
        <v>0</v>
      </c>
      <c r="AC220" s="114">
        <v>5050.002</v>
      </c>
      <c r="AD220" s="114">
        <v>863559.449</v>
      </c>
      <c r="AE220" s="114">
        <v>1570103.393</v>
      </c>
      <c r="AF220" s="114">
        <v>161799</v>
      </c>
      <c r="AG220" s="114">
        <v>9704.036</v>
      </c>
      <c r="AH220" s="114">
        <v>116421</v>
      </c>
      <c r="AI220" s="114">
        <v>8671.18</v>
      </c>
      <c r="AJ220" s="114">
        <v>0</v>
      </c>
      <c r="AK220" s="114">
        <v>0</v>
      </c>
      <c r="AL220" s="114">
        <v>0</v>
      </c>
      <c r="AM220" s="114">
        <v>0</v>
      </c>
      <c r="AN220" s="114">
        <v>2220</v>
      </c>
      <c r="AO220" s="114">
        <v>70.6472</v>
      </c>
      <c r="AP220" s="114"/>
      <c r="AQ220" s="114">
        <v>0</v>
      </c>
      <c r="AR220" s="114"/>
      <c r="AS220" s="114"/>
      <c r="AT220" s="114"/>
      <c r="AU220" s="114">
        <v>1</v>
      </c>
      <c r="AV220" s="114">
        <v>9</v>
      </c>
      <c r="AW220" s="114">
        <v>0.0814</v>
      </c>
      <c r="AX220" s="114">
        <v>0</v>
      </c>
      <c r="AY220" s="114">
        <v>0</v>
      </c>
      <c r="AZ220" s="114">
        <v>98</v>
      </c>
      <c r="BA220" s="114">
        <v>13217</v>
      </c>
      <c r="BB220" s="116"/>
      <c r="BC220" s="116"/>
      <c r="BD220" s="116"/>
      <c r="BE220" s="116"/>
      <c r="BF220" s="116"/>
      <c r="BG220" s="116"/>
      <c r="BH220" s="116"/>
      <c r="BI220" s="116"/>
      <c r="BJ220" s="117">
        <v>95278</v>
      </c>
      <c r="BK220" s="133">
        <v>620</v>
      </c>
      <c r="BL220" s="119"/>
      <c r="BM220" s="118">
        <v>0</v>
      </c>
      <c r="BN220" s="131"/>
      <c r="BO220" s="119"/>
      <c r="BP220" s="119"/>
      <c r="BQ220" s="119"/>
      <c r="BR220" s="119"/>
      <c r="BS220" s="119"/>
      <c r="BT220" s="119"/>
      <c r="BU220" s="119"/>
      <c r="BV220" s="119"/>
      <c r="BW220" s="119"/>
      <c r="BX220" s="119"/>
    </row>
    <row r="221" s="96" customFormat="1" ht="15.75" customHeight="1" spans="1:76">
      <c r="A221" s="111">
        <v>220</v>
      </c>
      <c r="B221" s="112" t="s">
        <v>46</v>
      </c>
      <c r="C221" s="112" t="s">
        <v>136</v>
      </c>
      <c r="D221" s="111">
        <v>2024</v>
      </c>
      <c r="E221" s="113" t="s">
        <v>35</v>
      </c>
      <c r="F221" s="114">
        <v>77198</v>
      </c>
      <c r="G221" s="114">
        <v>77198</v>
      </c>
      <c r="H221" s="114">
        <v>8689.4693</v>
      </c>
      <c r="I221" s="114">
        <v>404</v>
      </c>
      <c r="J221" s="115">
        <v>0.0046875</v>
      </c>
      <c r="K221" s="114">
        <v>31.65</v>
      </c>
      <c r="L221" s="114">
        <v>36</v>
      </c>
      <c r="M221" s="114">
        <v>1192847</v>
      </c>
      <c r="N221" s="114">
        <v>5.08</v>
      </c>
      <c r="O221" s="114">
        <v>47334</v>
      </c>
      <c r="P221" s="114">
        <v>37105</v>
      </c>
      <c r="Q221" s="114">
        <v>10229</v>
      </c>
      <c r="R221" s="114">
        <v>10229</v>
      </c>
      <c r="S221" s="114">
        <v>0</v>
      </c>
      <c r="T221" s="114">
        <v>545</v>
      </c>
      <c r="U221" s="114">
        <v>141</v>
      </c>
      <c r="V221" s="114">
        <v>412</v>
      </c>
      <c r="W221" s="114">
        <v>40</v>
      </c>
      <c r="X221" s="114">
        <v>289</v>
      </c>
      <c r="Y221" s="114">
        <v>28</v>
      </c>
      <c r="Z221" s="114">
        <v>565592.328</v>
      </c>
      <c r="AA221" s="114">
        <v>0</v>
      </c>
      <c r="AB221" s="114">
        <v>0</v>
      </c>
      <c r="AC221" s="114">
        <v>5019.059</v>
      </c>
      <c r="AD221" s="114">
        <v>560573.269</v>
      </c>
      <c r="AE221" s="114">
        <v>1019223.877</v>
      </c>
      <c r="AF221" s="114">
        <v>108283</v>
      </c>
      <c r="AG221" s="114">
        <v>9412.594</v>
      </c>
      <c r="AH221" s="114">
        <v>82273</v>
      </c>
      <c r="AI221" s="114">
        <v>7326.51</v>
      </c>
      <c r="AJ221" s="114">
        <v>0</v>
      </c>
      <c r="AK221" s="114">
        <v>0</v>
      </c>
      <c r="AL221" s="114">
        <v>0</v>
      </c>
      <c r="AM221" s="114">
        <v>0</v>
      </c>
      <c r="AN221" s="114">
        <v>881</v>
      </c>
      <c r="AO221" s="114">
        <v>60.3382</v>
      </c>
      <c r="AP221" s="114"/>
      <c r="AQ221" s="114">
        <v>0</v>
      </c>
      <c r="AR221" s="114"/>
      <c r="AS221" s="114"/>
      <c r="AT221" s="114"/>
      <c r="AU221" s="114"/>
      <c r="AV221" s="114">
        <v>3</v>
      </c>
      <c r="AW221" s="114">
        <v>0.0486</v>
      </c>
      <c r="AX221" s="114">
        <v>0</v>
      </c>
      <c r="AY221" s="114">
        <v>0</v>
      </c>
      <c r="AZ221" s="114">
        <v>66</v>
      </c>
      <c r="BA221" s="114">
        <v>9262</v>
      </c>
      <c r="BB221" s="116"/>
      <c r="BC221" s="116"/>
      <c r="BD221" s="116"/>
      <c r="BE221" s="116"/>
      <c r="BF221" s="116"/>
      <c r="BG221" s="116"/>
      <c r="BH221" s="116"/>
      <c r="BI221" s="116"/>
      <c r="BJ221" s="117">
        <v>95682</v>
      </c>
      <c r="BK221" s="133">
        <v>404</v>
      </c>
      <c r="BL221" s="119"/>
      <c r="BM221" s="118">
        <v>0</v>
      </c>
      <c r="BN221" s="131"/>
      <c r="BO221" s="119"/>
      <c r="BP221" s="119"/>
      <c r="BQ221" s="119"/>
      <c r="BR221" s="119"/>
      <c r="BS221" s="119"/>
      <c r="BT221" s="119"/>
      <c r="BU221" s="119"/>
      <c r="BV221" s="119"/>
      <c r="BW221" s="119"/>
      <c r="BX221" s="119"/>
    </row>
    <row r="222" s="96" customFormat="1" ht="15.75" customHeight="1" spans="1:76">
      <c r="A222" s="111">
        <v>221</v>
      </c>
      <c r="B222" s="112" t="s">
        <v>46</v>
      </c>
      <c r="C222" s="112" t="s">
        <v>136</v>
      </c>
      <c r="D222" s="111">
        <v>2024</v>
      </c>
      <c r="E222" s="113" t="s">
        <v>36</v>
      </c>
      <c r="F222" s="114">
        <v>90354</v>
      </c>
      <c r="G222" s="114">
        <v>90354</v>
      </c>
      <c r="H222" s="114">
        <v>10269.329</v>
      </c>
      <c r="I222" s="114">
        <v>471</v>
      </c>
      <c r="J222" s="115">
        <v>0.0047337962962963</v>
      </c>
      <c r="K222" s="114">
        <v>33.11</v>
      </c>
      <c r="L222" s="114">
        <v>10</v>
      </c>
      <c r="M222" s="114">
        <v>1275046</v>
      </c>
      <c r="N222" s="114">
        <v>5.64</v>
      </c>
      <c r="O222" s="114">
        <v>57366</v>
      </c>
      <c r="P222" s="114">
        <v>45535</v>
      </c>
      <c r="Q222" s="114">
        <v>11831</v>
      </c>
      <c r="R222" s="114">
        <v>11831</v>
      </c>
      <c r="S222" s="114">
        <v>0</v>
      </c>
      <c r="T222" s="114">
        <v>628</v>
      </c>
      <c r="U222" s="114">
        <v>157</v>
      </c>
      <c r="V222" s="114">
        <v>504</v>
      </c>
      <c r="W222" s="114">
        <v>26</v>
      </c>
      <c r="X222" s="114">
        <v>339</v>
      </c>
      <c r="Y222" s="114">
        <v>25</v>
      </c>
      <c r="Z222" s="114">
        <v>585820.524</v>
      </c>
      <c r="AA222" s="114">
        <v>0</v>
      </c>
      <c r="AB222" s="114">
        <v>0</v>
      </c>
      <c r="AC222" s="114">
        <v>3938.356</v>
      </c>
      <c r="AD222" s="114">
        <v>581772.537</v>
      </c>
      <c r="AE222" s="114">
        <v>1057768.155</v>
      </c>
      <c r="AF222" s="114">
        <v>121148</v>
      </c>
      <c r="AG222" s="114">
        <v>8731.206</v>
      </c>
      <c r="AH222" s="114">
        <v>95751</v>
      </c>
      <c r="AI222" s="114">
        <v>6483.616</v>
      </c>
      <c r="AJ222" s="114">
        <v>0</v>
      </c>
      <c r="AK222" s="114">
        <v>0</v>
      </c>
      <c r="AL222" s="114">
        <v>0</v>
      </c>
      <c r="AM222" s="114">
        <v>0</v>
      </c>
      <c r="AN222" s="114">
        <v>404</v>
      </c>
      <c r="AO222" s="114">
        <v>46.5848</v>
      </c>
      <c r="AP222" s="114"/>
      <c r="AQ222" s="114">
        <v>0</v>
      </c>
      <c r="AR222" s="114"/>
      <c r="AS222" s="114"/>
      <c r="AT222" s="114"/>
      <c r="AU222" s="114"/>
      <c r="AV222" s="114">
        <v>0</v>
      </c>
      <c r="AW222" s="114">
        <v>0</v>
      </c>
      <c r="AX222" s="114">
        <v>0</v>
      </c>
      <c r="AY222" s="114">
        <v>0</v>
      </c>
      <c r="AZ222" s="114">
        <v>86</v>
      </c>
      <c r="BA222" s="114">
        <v>11280</v>
      </c>
      <c r="BB222" s="116"/>
      <c r="BC222" s="116"/>
      <c r="BD222" s="116"/>
      <c r="BE222" s="116"/>
      <c r="BF222" s="116"/>
      <c r="BG222" s="116"/>
      <c r="BH222" s="116"/>
      <c r="BI222" s="116"/>
      <c r="BJ222" s="117">
        <v>96153</v>
      </c>
      <c r="BK222" s="133">
        <v>471</v>
      </c>
      <c r="BL222" s="119"/>
      <c r="BM222" s="118">
        <v>0</v>
      </c>
      <c r="BN222" s="131"/>
      <c r="BO222" s="119"/>
      <c r="BP222" s="119"/>
      <c r="BQ222" s="119"/>
      <c r="BR222" s="119"/>
      <c r="BS222" s="119"/>
      <c r="BT222" s="119"/>
      <c r="BU222" s="119"/>
      <c r="BV222" s="119"/>
      <c r="BW222" s="119"/>
      <c r="BX222" s="119"/>
    </row>
    <row r="223" s="96" customFormat="1" ht="15.75" customHeight="1" spans="1:76">
      <c r="A223" s="111">
        <v>222</v>
      </c>
      <c r="B223" s="112" t="s">
        <v>46</v>
      </c>
      <c r="C223" s="112" t="s">
        <v>136</v>
      </c>
      <c r="D223" s="111">
        <v>2024</v>
      </c>
      <c r="E223" s="113" t="s">
        <v>37</v>
      </c>
      <c r="F223" s="114">
        <v>83412</v>
      </c>
      <c r="G223" s="114">
        <v>83412</v>
      </c>
      <c r="H223" s="114">
        <v>9983.602</v>
      </c>
      <c r="I223" s="114">
        <v>510</v>
      </c>
      <c r="J223" s="115">
        <v>0.00497685185185185</v>
      </c>
      <c r="K223" s="114">
        <v>32.71</v>
      </c>
      <c r="L223" s="114">
        <v>19</v>
      </c>
      <c r="M223" s="114">
        <v>1301943</v>
      </c>
      <c r="N223" s="114">
        <v>5.09</v>
      </c>
      <c r="O223" s="114">
        <v>55076</v>
      </c>
      <c r="P223" s="114">
        <v>43961</v>
      </c>
      <c r="Q223" s="114">
        <v>11115</v>
      </c>
      <c r="R223" s="114">
        <v>11115</v>
      </c>
      <c r="S223" s="114">
        <v>0</v>
      </c>
      <c r="T223" s="114">
        <v>677</v>
      </c>
      <c r="U223" s="114">
        <v>167</v>
      </c>
      <c r="V223" s="114">
        <v>468</v>
      </c>
      <c r="W223" s="114">
        <v>25</v>
      </c>
      <c r="X223" s="114">
        <v>333</v>
      </c>
      <c r="Y223" s="114">
        <v>31</v>
      </c>
      <c r="Z223" s="114">
        <v>706209.418</v>
      </c>
      <c r="AA223" s="114">
        <v>0</v>
      </c>
      <c r="AB223" s="114">
        <v>0</v>
      </c>
      <c r="AC223" s="114">
        <v>4411.144</v>
      </c>
      <c r="AD223" s="114">
        <v>701782.614</v>
      </c>
      <c r="AE223" s="114">
        <v>1275970.004</v>
      </c>
      <c r="AF223" s="114">
        <v>133895</v>
      </c>
      <c r="AG223" s="114">
        <v>9529.631</v>
      </c>
      <c r="AH223" s="114">
        <v>99203</v>
      </c>
      <c r="AI223" s="114">
        <v>8466.53</v>
      </c>
      <c r="AJ223" s="114">
        <v>0</v>
      </c>
      <c r="AK223" s="114">
        <v>0</v>
      </c>
      <c r="AL223" s="114">
        <v>0</v>
      </c>
      <c r="AM223" s="114">
        <v>0</v>
      </c>
      <c r="AN223" s="114">
        <v>422</v>
      </c>
      <c r="AO223" s="114">
        <v>51.0822</v>
      </c>
      <c r="AP223" s="114"/>
      <c r="AQ223" s="114">
        <v>0</v>
      </c>
      <c r="AR223" s="114"/>
      <c r="AS223" s="114"/>
      <c r="AT223" s="114">
        <v>1</v>
      </c>
      <c r="AU223" s="114">
        <v>414</v>
      </c>
      <c r="AV223" s="114">
        <v>0</v>
      </c>
      <c r="AW223" s="114">
        <v>0</v>
      </c>
      <c r="AX223" s="114">
        <v>0</v>
      </c>
      <c r="AY223" s="114">
        <v>0</v>
      </c>
      <c r="AZ223" s="114">
        <v>78</v>
      </c>
      <c r="BA223" s="114">
        <v>11572</v>
      </c>
      <c r="BB223" s="116"/>
      <c r="BC223" s="116"/>
      <c r="BD223" s="116"/>
      <c r="BE223" s="116"/>
      <c r="BF223" s="116"/>
      <c r="BG223" s="116"/>
      <c r="BH223" s="116"/>
      <c r="BI223" s="116"/>
      <c r="BJ223" s="117">
        <v>96663</v>
      </c>
      <c r="BK223" s="133">
        <v>510</v>
      </c>
      <c r="BL223" s="119"/>
      <c r="BM223" s="118">
        <v>0</v>
      </c>
      <c r="BN223" s="131"/>
      <c r="BO223" s="119"/>
      <c r="BP223" s="119"/>
      <c r="BQ223" s="119"/>
      <c r="BR223" s="119"/>
      <c r="BS223" s="119"/>
      <c r="BT223" s="119"/>
      <c r="BU223" s="119"/>
      <c r="BV223" s="119"/>
      <c r="BW223" s="119"/>
      <c r="BX223" s="119"/>
    </row>
    <row r="224" s="96" customFormat="1" ht="15.75" customHeight="1" spans="1:76">
      <c r="A224" s="111">
        <v>223</v>
      </c>
      <c r="B224" s="112" t="s">
        <v>46</v>
      </c>
      <c r="C224" s="112" t="s">
        <v>136</v>
      </c>
      <c r="D224" s="111">
        <v>2024</v>
      </c>
      <c r="E224" s="113" t="s">
        <v>38</v>
      </c>
      <c r="F224" s="114">
        <v>104459</v>
      </c>
      <c r="G224" s="114">
        <v>104459</v>
      </c>
      <c r="H224" s="114">
        <v>12427.5229</v>
      </c>
      <c r="I224" s="114">
        <v>660</v>
      </c>
      <c r="J224" s="115">
        <v>0.0049537037037037</v>
      </c>
      <c r="K224" s="114">
        <v>31.51</v>
      </c>
      <c r="L224" s="114">
        <v>19</v>
      </c>
      <c r="M224" s="114">
        <v>1604772</v>
      </c>
      <c r="N224" s="114">
        <v>5.14</v>
      </c>
      <c r="O224" s="114">
        <v>69883</v>
      </c>
      <c r="P224" s="114">
        <v>57042</v>
      </c>
      <c r="Q224" s="114">
        <v>12841</v>
      </c>
      <c r="R224" s="114">
        <v>12841</v>
      </c>
      <c r="S224" s="114">
        <v>0</v>
      </c>
      <c r="T224" s="114">
        <v>888</v>
      </c>
      <c r="U224" s="114">
        <v>228</v>
      </c>
      <c r="V224" s="114">
        <v>584</v>
      </c>
      <c r="W224" s="114">
        <v>56</v>
      </c>
      <c r="X224" s="114">
        <v>426</v>
      </c>
      <c r="Y224" s="114">
        <v>26</v>
      </c>
      <c r="Z224" s="114">
        <v>868831.295</v>
      </c>
      <c r="AA224" s="114">
        <v>0</v>
      </c>
      <c r="AB224" s="114">
        <v>0</v>
      </c>
      <c r="AC224" s="114">
        <v>4149.23</v>
      </c>
      <c r="AD224" s="114">
        <v>864681.285</v>
      </c>
      <c r="AE224" s="114">
        <v>1572148.406</v>
      </c>
      <c r="AF224" s="114">
        <v>168939</v>
      </c>
      <c r="AG224" s="114">
        <v>9306.012</v>
      </c>
      <c r="AH224" s="114">
        <v>124538</v>
      </c>
      <c r="AI224" s="114">
        <v>8317.441</v>
      </c>
      <c r="AJ224" s="114">
        <v>0</v>
      </c>
      <c r="AK224" s="114">
        <v>0</v>
      </c>
      <c r="AL224" s="114">
        <v>0</v>
      </c>
      <c r="AM224" s="114">
        <v>0</v>
      </c>
      <c r="AN224" s="114">
        <v>487</v>
      </c>
      <c r="AO224" s="114">
        <v>53.8131</v>
      </c>
      <c r="AP224" s="114"/>
      <c r="AQ224" s="114">
        <v>0</v>
      </c>
      <c r="AR224" s="114"/>
      <c r="AS224" s="114"/>
      <c r="AT224" s="114"/>
      <c r="AU224" s="114">
        <v>2</v>
      </c>
      <c r="AV224" s="114">
        <v>1</v>
      </c>
      <c r="AW224" s="114">
        <v>0.0025</v>
      </c>
      <c r="AX224" s="114">
        <v>0</v>
      </c>
      <c r="AY224" s="114">
        <v>0</v>
      </c>
      <c r="AZ224" s="114">
        <v>113</v>
      </c>
      <c r="BA224" s="114">
        <v>16104</v>
      </c>
      <c r="BB224" s="116"/>
      <c r="BC224" s="116"/>
      <c r="BD224" s="116"/>
      <c r="BE224" s="116"/>
      <c r="BF224" s="116"/>
      <c r="BG224" s="116"/>
      <c r="BH224" s="116"/>
      <c r="BI224" s="116"/>
      <c r="BJ224" s="117">
        <v>97323</v>
      </c>
      <c r="BK224" s="133">
        <v>660</v>
      </c>
      <c r="BL224" s="119"/>
      <c r="BM224" s="118">
        <v>0</v>
      </c>
      <c r="BN224" s="131"/>
      <c r="BO224" s="119"/>
      <c r="BP224" s="119"/>
      <c r="BQ224" s="119"/>
      <c r="BR224" s="119"/>
      <c r="BS224" s="119"/>
      <c r="BT224" s="119"/>
      <c r="BU224" s="119"/>
      <c r="BV224" s="119"/>
      <c r="BW224" s="119"/>
      <c r="BX224" s="119"/>
    </row>
    <row r="225" s="96" customFormat="1" ht="15.75" customHeight="1" spans="1:76">
      <c r="A225" s="111">
        <v>224</v>
      </c>
      <c r="B225" s="112" t="s">
        <v>46</v>
      </c>
      <c r="C225" s="112" t="s">
        <v>136</v>
      </c>
      <c r="D225" s="111">
        <v>2024</v>
      </c>
      <c r="E225" s="113" t="s">
        <v>39</v>
      </c>
      <c r="F225" s="114">
        <v>89533</v>
      </c>
      <c r="G225" s="114">
        <v>89533</v>
      </c>
      <c r="H225" s="114">
        <v>9672.5539</v>
      </c>
      <c r="I225" s="114">
        <v>481</v>
      </c>
      <c r="J225" s="115">
        <v>0.00449074074074074</v>
      </c>
      <c r="K225" s="114">
        <v>30.57</v>
      </c>
      <c r="L225" s="114">
        <v>12</v>
      </c>
      <c r="M225" s="114">
        <v>1320580</v>
      </c>
      <c r="N225" s="114">
        <v>5.28</v>
      </c>
      <c r="O225" s="114">
        <v>54631</v>
      </c>
      <c r="P225" s="114">
        <v>43282</v>
      </c>
      <c r="Q225" s="114">
        <v>11349</v>
      </c>
      <c r="R225" s="114">
        <v>11349</v>
      </c>
      <c r="S225" s="114">
        <v>0</v>
      </c>
      <c r="T225" s="114">
        <v>669</v>
      </c>
      <c r="U225" s="114">
        <v>188</v>
      </c>
      <c r="V225" s="114">
        <v>372</v>
      </c>
      <c r="W225" s="114">
        <v>41</v>
      </c>
      <c r="X225" s="114">
        <v>458</v>
      </c>
      <c r="Y225" s="114">
        <v>18</v>
      </c>
      <c r="Z225" s="114">
        <v>682064.496</v>
      </c>
      <c r="AA225" s="114">
        <v>0</v>
      </c>
      <c r="AB225" s="114">
        <v>0</v>
      </c>
      <c r="AC225" s="114">
        <v>2983.348</v>
      </c>
      <c r="AD225" s="114">
        <v>679067.484</v>
      </c>
      <c r="AE225" s="114">
        <v>1234669.891</v>
      </c>
      <c r="AF225" s="114">
        <v>132202</v>
      </c>
      <c r="AG225" s="114">
        <v>9339.268</v>
      </c>
      <c r="AH225" s="114">
        <v>98324</v>
      </c>
      <c r="AI225" s="114">
        <v>7618.04</v>
      </c>
      <c r="AJ225" s="114">
        <v>0</v>
      </c>
      <c r="AK225" s="114">
        <v>0</v>
      </c>
      <c r="AL225" s="114">
        <v>0</v>
      </c>
      <c r="AM225" s="114">
        <v>0</v>
      </c>
      <c r="AN225" s="114">
        <v>1091</v>
      </c>
      <c r="AO225" s="114">
        <v>43.0584</v>
      </c>
      <c r="AP225" s="114"/>
      <c r="AQ225" s="114">
        <v>0</v>
      </c>
      <c r="AR225" s="114"/>
      <c r="AS225" s="114"/>
      <c r="AT225" s="114"/>
      <c r="AU225" s="114">
        <v>2</v>
      </c>
      <c r="AV225" s="114">
        <v>0</v>
      </c>
      <c r="AW225" s="114">
        <v>0</v>
      </c>
      <c r="AX225" s="114">
        <v>0</v>
      </c>
      <c r="AY225" s="114">
        <v>0</v>
      </c>
      <c r="AZ225" s="114">
        <v>75</v>
      </c>
      <c r="BA225" s="114">
        <v>11711</v>
      </c>
      <c r="BB225" s="116"/>
      <c r="BC225" s="116"/>
      <c r="BD225" s="116"/>
      <c r="BE225" s="116"/>
      <c r="BF225" s="116"/>
      <c r="BG225" s="116"/>
      <c r="BH225" s="116"/>
      <c r="BI225" s="116"/>
      <c r="BJ225" s="117">
        <v>97804</v>
      </c>
      <c r="BK225" s="133">
        <v>481</v>
      </c>
      <c r="BL225" s="119"/>
      <c r="BM225" s="118">
        <v>0</v>
      </c>
      <c r="BN225" s="131"/>
      <c r="BO225" s="119"/>
      <c r="BP225" s="119"/>
      <c r="BQ225" s="119"/>
      <c r="BR225" s="119"/>
      <c r="BS225" s="119"/>
      <c r="BT225" s="119"/>
      <c r="BU225" s="119"/>
      <c r="BV225" s="119"/>
      <c r="BW225" s="119"/>
      <c r="BX225" s="119"/>
    </row>
    <row r="226" s="96" customFormat="1" ht="15.75" customHeight="1" spans="1:76">
      <c r="A226" s="111">
        <v>225</v>
      </c>
      <c r="B226" s="112" t="s">
        <v>46</v>
      </c>
      <c r="C226" s="112" t="s">
        <v>136</v>
      </c>
      <c r="D226" s="111">
        <v>2024</v>
      </c>
      <c r="E226" s="113" t="s">
        <v>40</v>
      </c>
      <c r="F226" s="114">
        <v>89921</v>
      </c>
      <c r="G226" s="114">
        <v>89921</v>
      </c>
      <c r="H226" s="114">
        <v>10405.7207</v>
      </c>
      <c r="I226" s="114">
        <v>570</v>
      </c>
      <c r="J226" s="115">
        <v>0.00481481481481482</v>
      </c>
      <c r="K226" s="114">
        <v>32.1</v>
      </c>
      <c r="L226" s="114">
        <v>18</v>
      </c>
      <c r="M226" s="114">
        <v>1315086</v>
      </c>
      <c r="N226" s="114">
        <v>5.3</v>
      </c>
      <c r="O226" s="114">
        <v>58604</v>
      </c>
      <c r="P226" s="114">
        <v>46022</v>
      </c>
      <c r="Q226" s="114">
        <v>12582</v>
      </c>
      <c r="R226" s="114">
        <v>12582</v>
      </c>
      <c r="S226" s="114">
        <v>0</v>
      </c>
      <c r="T226" s="114">
        <v>716</v>
      </c>
      <c r="U226" s="114">
        <v>146</v>
      </c>
      <c r="V226" s="114">
        <v>441</v>
      </c>
      <c r="W226" s="114">
        <v>39</v>
      </c>
      <c r="X226" s="114">
        <v>367</v>
      </c>
      <c r="Y226" s="114">
        <v>38</v>
      </c>
      <c r="Z226" s="114">
        <v>701595.213</v>
      </c>
      <c r="AA226" s="114">
        <v>0</v>
      </c>
      <c r="AB226" s="114">
        <v>0</v>
      </c>
      <c r="AC226" s="114">
        <v>2336.995</v>
      </c>
      <c r="AD226" s="114">
        <v>699250.729</v>
      </c>
      <c r="AE226" s="114">
        <v>1272204.372</v>
      </c>
      <c r="AF226" s="114">
        <v>146136</v>
      </c>
      <c r="AG226" s="114">
        <v>8705.619</v>
      </c>
      <c r="AH226" s="114">
        <v>107960</v>
      </c>
      <c r="AI226" s="114">
        <v>7802.348</v>
      </c>
      <c r="AJ226" s="114">
        <v>0</v>
      </c>
      <c r="AK226" s="114">
        <v>0</v>
      </c>
      <c r="AL226" s="114">
        <v>0</v>
      </c>
      <c r="AM226" s="114">
        <v>0</v>
      </c>
      <c r="AN226" s="114">
        <v>557</v>
      </c>
      <c r="AO226" s="114">
        <v>36.5356</v>
      </c>
      <c r="AP226" s="114"/>
      <c r="AQ226" s="114">
        <v>0</v>
      </c>
      <c r="AR226" s="114"/>
      <c r="AS226" s="114"/>
      <c r="AT226" s="114">
        <v>2</v>
      </c>
      <c r="AU226" s="114">
        <v>727</v>
      </c>
      <c r="AV226" s="114">
        <v>1</v>
      </c>
      <c r="AW226" s="114">
        <v>0.0183</v>
      </c>
      <c r="AX226" s="114">
        <v>0</v>
      </c>
      <c r="AY226" s="114">
        <v>0</v>
      </c>
      <c r="AZ226" s="114">
        <v>101</v>
      </c>
      <c r="BA226" s="114">
        <v>13274</v>
      </c>
      <c r="BB226" s="116"/>
      <c r="BC226" s="116"/>
      <c r="BD226" s="116"/>
      <c r="BE226" s="116"/>
      <c r="BF226" s="116"/>
      <c r="BG226" s="116"/>
      <c r="BH226" s="116"/>
      <c r="BI226" s="116"/>
      <c r="BJ226" s="117">
        <v>98374</v>
      </c>
      <c r="BK226" s="133">
        <v>570</v>
      </c>
      <c r="BL226" s="119"/>
      <c r="BM226" s="118">
        <v>0</v>
      </c>
      <c r="BN226" s="131"/>
      <c r="BO226" s="119"/>
      <c r="BP226" s="119"/>
      <c r="BQ226" s="119"/>
      <c r="BR226" s="119"/>
      <c r="BS226" s="119"/>
      <c r="BT226" s="119"/>
      <c r="BU226" s="119"/>
      <c r="BV226" s="119"/>
      <c r="BW226" s="119"/>
      <c r="BX226" s="119"/>
    </row>
    <row r="227" s="96" customFormat="1" ht="15.75" customHeight="1" spans="1:76">
      <c r="A227" s="111">
        <v>226</v>
      </c>
      <c r="B227" s="112" t="s">
        <v>46</v>
      </c>
      <c r="C227" s="112" t="s">
        <v>136</v>
      </c>
      <c r="D227" s="111">
        <v>2024</v>
      </c>
      <c r="E227" s="113" t="s">
        <v>41</v>
      </c>
      <c r="F227" s="114">
        <v>104960</v>
      </c>
      <c r="G227" s="114">
        <v>104960</v>
      </c>
      <c r="H227" s="114">
        <v>12004.8177</v>
      </c>
      <c r="I227" s="114">
        <v>538</v>
      </c>
      <c r="J227" s="115">
        <v>0.00475694444444444</v>
      </c>
      <c r="K227" s="114">
        <v>32.8</v>
      </c>
      <c r="L227" s="114"/>
      <c r="M227" s="114">
        <v>1460575</v>
      </c>
      <c r="N227" s="114">
        <v>5.31</v>
      </c>
      <c r="O227" s="114">
        <v>62228</v>
      </c>
      <c r="P227" s="114">
        <v>49138</v>
      </c>
      <c r="Q227" s="114">
        <v>13090</v>
      </c>
      <c r="R227" s="114">
        <v>13090</v>
      </c>
      <c r="S227" s="114">
        <v>0</v>
      </c>
      <c r="T227" s="114">
        <v>691</v>
      </c>
      <c r="U227" s="114">
        <v>153</v>
      </c>
      <c r="V227" s="114">
        <v>532</v>
      </c>
      <c r="W227" s="114">
        <v>56</v>
      </c>
      <c r="X227" s="114">
        <v>466</v>
      </c>
      <c r="Y227" s="114">
        <v>15</v>
      </c>
      <c r="Z227" s="114">
        <v>725572.929</v>
      </c>
      <c r="AA227" s="114">
        <v>0</v>
      </c>
      <c r="AB227" s="114">
        <v>0</v>
      </c>
      <c r="AC227" s="114">
        <v>5523.289</v>
      </c>
      <c r="AD227" s="114">
        <v>720037.203</v>
      </c>
      <c r="AE227" s="114">
        <v>1309157.485</v>
      </c>
      <c r="AF227" s="114">
        <v>138688</v>
      </c>
      <c r="AG227" s="114">
        <v>9439.587</v>
      </c>
      <c r="AH227" s="114">
        <v>108509</v>
      </c>
      <c r="AI227" s="114">
        <v>6912.846</v>
      </c>
      <c r="AJ227" s="114">
        <v>0</v>
      </c>
      <c r="AK227" s="114">
        <v>0</v>
      </c>
      <c r="AL227" s="114">
        <v>0</v>
      </c>
      <c r="AM227" s="114">
        <v>0</v>
      </c>
      <c r="AN227" s="114">
        <v>466</v>
      </c>
      <c r="AO227" s="114">
        <v>51.8529</v>
      </c>
      <c r="AP227" s="114"/>
      <c r="AQ227" s="114">
        <v>0</v>
      </c>
      <c r="AR227" s="114"/>
      <c r="AS227" s="114"/>
      <c r="AT227" s="114"/>
      <c r="AU227" s="114">
        <v>16</v>
      </c>
      <c r="AV227" s="114">
        <v>2</v>
      </c>
      <c r="AW227" s="114">
        <v>0.0419</v>
      </c>
      <c r="AX227" s="114">
        <v>0</v>
      </c>
      <c r="AY227" s="114">
        <v>0</v>
      </c>
      <c r="AZ227" s="114">
        <v>84</v>
      </c>
      <c r="BA227" s="114">
        <v>14328</v>
      </c>
      <c r="BB227" s="116"/>
      <c r="BC227" s="116"/>
      <c r="BD227" s="116"/>
      <c r="BE227" s="116"/>
      <c r="BF227" s="116"/>
      <c r="BG227" s="116"/>
      <c r="BH227" s="116"/>
      <c r="BI227" s="116"/>
      <c r="BJ227" s="117">
        <v>98912</v>
      </c>
      <c r="BK227" s="133">
        <v>538</v>
      </c>
      <c r="BL227" s="119"/>
      <c r="BM227" s="118">
        <v>0</v>
      </c>
      <c r="BN227" s="131"/>
      <c r="BO227" s="119"/>
      <c r="BP227" s="119"/>
      <c r="BQ227" s="119"/>
      <c r="BR227" s="119"/>
      <c r="BS227" s="119"/>
      <c r="BT227" s="119"/>
      <c r="BU227" s="119"/>
      <c r="BV227" s="119"/>
      <c r="BW227" s="119"/>
      <c r="BX227" s="119"/>
    </row>
    <row r="228" s="96" customFormat="1" ht="15.75" customHeight="1" spans="1:76">
      <c r="A228" s="111">
        <v>227</v>
      </c>
      <c r="B228" s="112" t="s">
        <v>46</v>
      </c>
      <c r="C228" s="112" t="s">
        <v>136</v>
      </c>
      <c r="D228" s="111">
        <v>2024</v>
      </c>
      <c r="E228" s="113" t="s">
        <v>42</v>
      </c>
      <c r="F228" s="114">
        <v>112707</v>
      </c>
      <c r="G228" s="114">
        <v>112707</v>
      </c>
      <c r="H228" s="114">
        <v>13562.788</v>
      </c>
      <c r="I228" s="114">
        <v>629</v>
      </c>
      <c r="J228" s="115">
        <v>0.00501157407407407</v>
      </c>
      <c r="K228" s="114">
        <v>33.47</v>
      </c>
      <c r="L228" s="114">
        <v>18</v>
      </c>
      <c r="M228" s="114">
        <v>1617467</v>
      </c>
      <c r="N228" s="114">
        <v>5.04</v>
      </c>
      <c r="O228" s="114">
        <v>68015</v>
      </c>
      <c r="P228" s="114">
        <v>53266</v>
      </c>
      <c r="Q228" s="114">
        <v>14749</v>
      </c>
      <c r="R228" s="114">
        <v>14749</v>
      </c>
      <c r="S228" s="114">
        <v>0</v>
      </c>
      <c r="T228" s="114">
        <v>779</v>
      </c>
      <c r="U228" s="114">
        <v>150</v>
      </c>
      <c r="V228" s="114">
        <v>522</v>
      </c>
      <c r="W228" s="114">
        <v>48</v>
      </c>
      <c r="X228" s="114">
        <v>333</v>
      </c>
      <c r="Y228" s="114">
        <v>18</v>
      </c>
      <c r="Z228" s="114">
        <v>886944.716</v>
      </c>
      <c r="AA228" s="114">
        <v>0</v>
      </c>
      <c r="AB228" s="114">
        <v>0</v>
      </c>
      <c r="AC228" s="114">
        <v>5810.31</v>
      </c>
      <c r="AD228" s="114">
        <v>881123.552</v>
      </c>
      <c r="AE228" s="114">
        <v>1602043.55</v>
      </c>
      <c r="AF228" s="114">
        <v>161398</v>
      </c>
      <c r="AG228" s="114">
        <v>9926.043</v>
      </c>
      <c r="AH228" s="114">
        <v>124599</v>
      </c>
      <c r="AI228" s="114">
        <v>7869.48</v>
      </c>
      <c r="AJ228" s="114">
        <v>0</v>
      </c>
      <c r="AK228" s="114">
        <v>0</v>
      </c>
      <c r="AL228" s="114">
        <v>0</v>
      </c>
      <c r="AM228" s="114">
        <v>0</v>
      </c>
      <c r="AN228" s="114">
        <v>503</v>
      </c>
      <c r="AO228" s="114">
        <v>59.2676</v>
      </c>
      <c r="AP228" s="114"/>
      <c r="AQ228" s="114">
        <v>0</v>
      </c>
      <c r="AR228" s="114"/>
      <c r="AS228" s="114"/>
      <c r="AT228" s="114">
        <v>2</v>
      </c>
      <c r="AU228" s="114">
        <v>246</v>
      </c>
      <c r="AV228" s="114">
        <v>0</v>
      </c>
      <c r="AW228" s="114">
        <v>0</v>
      </c>
      <c r="AX228" s="114">
        <v>0</v>
      </c>
      <c r="AY228" s="114">
        <v>0</v>
      </c>
      <c r="AZ228" s="114">
        <v>99</v>
      </c>
      <c r="BA228" s="114">
        <v>15912</v>
      </c>
      <c r="BB228" s="116"/>
      <c r="BC228" s="116"/>
      <c r="BD228" s="116"/>
      <c r="BE228" s="116"/>
      <c r="BF228" s="116"/>
      <c r="BG228" s="116"/>
      <c r="BH228" s="116"/>
      <c r="BI228" s="116"/>
      <c r="BJ228" s="117">
        <v>99541</v>
      </c>
      <c r="BK228" s="133">
        <v>629</v>
      </c>
      <c r="BL228" s="119"/>
      <c r="BM228" s="118">
        <v>0</v>
      </c>
      <c r="BN228" s="131"/>
      <c r="BO228" s="119"/>
      <c r="BP228" s="119"/>
      <c r="BQ228" s="119"/>
      <c r="BR228" s="119"/>
      <c r="BS228" s="119"/>
      <c r="BT228" s="119"/>
      <c r="BU228" s="119"/>
      <c r="BV228" s="119"/>
      <c r="BW228" s="119"/>
      <c r="BX228" s="119"/>
    </row>
    <row r="229" s="96" customFormat="1" ht="15.75" customHeight="1" spans="1:76">
      <c r="A229" s="111">
        <v>228</v>
      </c>
      <c r="B229" s="112" t="s">
        <v>46</v>
      </c>
      <c r="C229" s="112" t="s">
        <v>136</v>
      </c>
      <c r="D229" s="111">
        <v>2024</v>
      </c>
      <c r="E229" s="113" t="s">
        <v>43</v>
      </c>
      <c r="F229" s="114">
        <v>113548</v>
      </c>
      <c r="G229" s="114">
        <v>113548</v>
      </c>
      <c r="H229" s="114">
        <v>13249.2839</v>
      </c>
      <c r="I229" s="114">
        <v>544</v>
      </c>
      <c r="J229" s="115">
        <v>0.00486111111111111</v>
      </c>
      <c r="K229" s="114">
        <v>32.54</v>
      </c>
      <c r="L229" s="114">
        <v>36</v>
      </c>
      <c r="M229" s="114">
        <v>1526691</v>
      </c>
      <c r="N229" s="114">
        <v>5.41</v>
      </c>
      <c r="O229" s="114">
        <v>67343</v>
      </c>
      <c r="P229" s="114">
        <v>52309</v>
      </c>
      <c r="Q229" s="114">
        <v>15034</v>
      </c>
      <c r="R229" s="114">
        <v>15034</v>
      </c>
      <c r="S229" s="114">
        <v>0</v>
      </c>
      <c r="T229" s="114">
        <v>729</v>
      </c>
      <c r="U229" s="114">
        <v>185</v>
      </c>
      <c r="V229" s="114">
        <v>481</v>
      </c>
      <c r="W229" s="114">
        <v>56</v>
      </c>
      <c r="X229" s="114">
        <v>315</v>
      </c>
      <c r="Y229" s="114">
        <v>26</v>
      </c>
      <c r="Z229" s="114">
        <v>864766.304</v>
      </c>
      <c r="AA229" s="114">
        <v>0</v>
      </c>
      <c r="AB229" s="114">
        <v>0</v>
      </c>
      <c r="AC229" s="114">
        <v>6816.676</v>
      </c>
      <c r="AD229" s="114">
        <v>857940.207</v>
      </c>
      <c r="AE229" s="114">
        <v>1559891.081</v>
      </c>
      <c r="AF229" s="114">
        <v>157851</v>
      </c>
      <c r="AG229" s="114">
        <v>9882.048</v>
      </c>
      <c r="AH229" s="114">
        <v>121867</v>
      </c>
      <c r="AI229" s="114">
        <v>7615.868</v>
      </c>
      <c r="AJ229" s="114">
        <v>0</v>
      </c>
      <c r="AK229" s="114">
        <v>0</v>
      </c>
      <c r="AL229" s="114">
        <v>0</v>
      </c>
      <c r="AM229" s="114">
        <v>0</v>
      </c>
      <c r="AN229" s="114">
        <v>689</v>
      </c>
      <c r="AO229" s="114">
        <v>76.1138</v>
      </c>
      <c r="AP229" s="114"/>
      <c r="AQ229" s="114">
        <v>0</v>
      </c>
      <c r="AR229" s="114"/>
      <c r="AS229" s="114"/>
      <c r="AT229" s="114">
        <v>2</v>
      </c>
      <c r="AU229" s="114">
        <v>2529</v>
      </c>
      <c r="AV229" s="114">
        <v>6</v>
      </c>
      <c r="AW229" s="114">
        <v>0.4595</v>
      </c>
      <c r="AX229" s="114">
        <v>0</v>
      </c>
      <c r="AY229" s="114">
        <v>0</v>
      </c>
      <c r="AZ229" s="114">
        <v>89</v>
      </c>
      <c r="BA229" s="114">
        <v>14168</v>
      </c>
      <c r="BB229" s="116"/>
      <c r="BC229" s="116"/>
      <c r="BD229" s="116"/>
      <c r="BE229" s="116"/>
      <c r="BF229" s="116"/>
      <c r="BG229" s="116"/>
      <c r="BH229" s="116"/>
      <c r="BI229" s="116"/>
      <c r="BJ229" s="117">
        <v>100085</v>
      </c>
      <c r="BK229" s="133">
        <v>544</v>
      </c>
      <c r="BL229" s="119"/>
      <c r="BM229" s="118">
        <v>0</v>
      </c>
      <c r="BN229" s="131"/>
      <c r="BO229" s="119"/>
      <c r="BP229" s="119"/>
      <c r="BQ229" s="119"/>
      <c r="BR229" s="119"/>
      <c r="BS229" s="119"/>
      <c r="BT229" s="119"/>
      <c r="BU229" s="119"/>
      <c r="BV229" s="119"/>
      <c r="BW229" s="119"/>
      <c r="BX229" s="119"/>
    </row>
    <row r="230" s="96" customFormat="1" ht="15.75" customHeight="1" spans="1:76">
      <c r="A230" s="111">
        <v>229</v>
      </c>
      <c r="B230" s="112" t="s">
        <v>46</v>
      </c>
      <c r="C230" s="112" t="s">
        <v>136</v>
      </c>
      <c r="D230" s="111">
        <v>2025</v>
      </c>
      <c r="E230" s="113" t="s">
        <v>31</v>
      </c>
      <c r="F230" s="114">
        <v>110830</v>
      </c>
      <c r="G230" s="114">
        <v>110830</v>
      </c>
      <c r="H230" s="114">
        <v>12613.6502</v>
      </c>
      <c r="I230" s="114">
        <v>554</v>
      </c>
      <c r="J230" s="115">
        <v>0.0047337962962963</v>
      </c>
      <c r="K230" s="114">
        <v>31.42</v>
      </c>
      <c r="L230" s="114">
        <v>48</v>
      </c>
      <c r="M230" s="114">
        <v>1508725</v>
      </c>
      <c r="N230" s="114">
        <v>5.29</v>
      </c>
      <c r="O230" s="114">
        <v>65254</v>
      </c>
      <c r="P230" s="114">
        <v>49795</v>
      </c>
      <c r="Q230" s="114">
        <v>15459</v>
      </c>
      <c r="R230" s="114">
        <v>15459</v>
      </c>
      <c r="S230" s="114">
        <v>0</v>
      </c>
      <c r="T230" s="114">
        <v>731</v>
      </c>
      <c r="U230" s="114">
        <v>177</v>
      </c>
      <c r="V230" s="114">
        <v>438</v>
      </c>
      <c r="W230" s="114">
        <v>55</v>
      </c>
      <c r="X230" s="114">
        <v>347</v>
      </c>
      <c r="Y230" s="114">
        <v>29</v>
      </c>
      <c r="Z230" s="114">
        <v>661516.7</v>
      </c>
      <c r="AA230" s="114">
        <v>0</v>
      </c>
      <c r="AB230" s="114">
        <v>0</v>
      </c>
      <c r="AC230" s="114">
        <v>4762.872</v>
      </c>
      <c r="AD230" s="114">
        <v>656747.095</v>
      </c>
      <c r="AE230" s="114">
        <v>1197710.254</v>
      </c>
      <c r="AF230" s="114">
        <v>131992</v>
      </c>
      <c r="AG230" s="114">
        <v>9074.112</v>
      </c>
      <c r="AH230" s="114">
        <v>109712</v>
      </c>
      <c r="AI230" s="114">
        <v>5968.762</v>
      </c>
      <c r="AJ230" s="114">
        <v>0</v>
      </c>
      <c r="AK230" s="114">
        <v>0</v>
      </c>
      <c r="AL230" s="114">
        <v>0</v>
      </c>
      <c r="AM230" s="114">
        <v>0</v>
      </c>
      <c r="AN230" s="114">
        <v>506</v>
      </c>
      <c r="AO230" s="114">
        <v>61.7604</v>
      </c>
      <c r="AP230" s="114"/>
      <c r="AQ230" s="114">
        <v>0</v>
      </c>
      <c r="AR230" s="114"/>
      <c r="AS230" s="114"/>
      <c r="AT230" s="114">
        <v>2</v>
      </c>
      <c r="AU230" s="114">
        <v>1098</v>
      </c>
      <c r="AV230" s="114">
        <v>0</v>
      </c>
      <c r="AW230" s="114">
        <v>0</v>
      </c>
      <c r="AX230" s="114">
        <v>0</v>
      </c>
      <c r="AY230" s="114">
        <v>0</v>
      </c>
      <c r="AZ230" s="114">
        <v>95</v>
      </c>
      <c r="BA230" s="114">
        <v>14543</v>
      </c>
      <c r="BB230" s="116"/>
      <c r="BC230" s="116"/>
      <c r="BD230" s="116"/>
      <c r="BE230" s="116"/>
      <c r="BF230" s="116"/>
      <c r="BG230" s="116"/>
      <c r="BH230" s="116"/>
      <c r="BI230" s="116"/>
      <c r="BJ230" s="117">
        <v>100639</v>
      </c>
      <c r="BK230" s="133">
        <v>554</v>
      </c>
      <c r="BL230" s="117">
        <v>6245</v>
      </c>
      <c r="BM230" s="118">
        <v>32640</v>
      </c>
      <c r="BN230" s="118">
        <v>1.92</v>
      </c>
      <c r="BO230" s="119"/>
      <c r="BP230" s="119"/>
      <c r="BQ230" s="119"/>
      <c r="BR230" s="119"/>
      <c r="BS230" s="119"/>
      <c r="BT230" s="119"/>
      <c r="BU230" s="119"/>
      <c r="BV230" s="119"/>
      <c r="BW230" s="119"/>
      <c r="BX230" s="119"/>
    </row>
    <row r="231" s="96" customFormat="1" ht="15.75" customHeight="1" spans="1:76">
      <c r="A231" s="111">
        <v>230</v>
      </c>
      <c r="B231" s="112" t="s">
        <v>46</v>
      </c>
      <c r="C231" s="112" t="s">
        <v>136</v>
      </c>
      <c r="D231" s="111">
        <v>2025</v>
      </c>
      <c r="E231" s="113" t="s">
        <v>33</v>
      </c>
      <c r="F231" s="114">
        <v>95311</v>
      </c>
      <c r="G231" s="114">
        <v>95311</v>
      </c>
      <c r="H231" s="114">
        <v>10563.7869</v>
      </c>
      <c r="I231" s="114">
        <v>450</v>
      </c>
      <c r="J231" s="115">
        <v>0.00461805555555556</v>
      </c>
      <c r="K231" s="114">
        <v>29.8</v>
      </c>
      <c r="L231" s="114">
        <v>44</v>
      </c>
      <c r="M231" s="114">
        <v>1156233</v>
      </c>
      <c r="N231" s="114">
        <v>5.28</v>
      </c>
      <c r="O231" s="114">
        <v>54020</v>
      </c>
      <c r="P231" s="114">
        <v>40648</v>
      </c>
      <c r="Q231" s="114">
        <v>13372</v>
      </c>
      <c r="R231" s="114">
        <v>13372</v>
      </c>
      <c r="S231" s="114">
        <v>0</v>
      </c>
      <c r="T231" s="114">
        <v>558</v>
      </c>
      <c r="U231" s="114">
        <v>108</v>
      </c>
      <c r="V231" s="114">
        <v>334</v>
      </c>
      <c r="W231" s="114">
        <v>32</v>
      </c>
      <c r="X231" s="114">
        <v>360</v>
      </c>
      <c r="Y231" s="114">
        <v>14</v>
      </c>
      <c r="Z231" s="114">
        <v>667203.089</v>
      </c>
      <c r="AA231" s="114">
        <v>0</v>
      </c>
      <c r="AB231" s="114">
        <v>0</v>
      </c>
      <c r="AC231" s="114">
        <v>4238.863</v>
      </c>
      <c r="AD231" s="114">
        <v>662958.368</v>
      </c>
      <c r="AE231" s="114">
        <v>1205377.849</v>
      </c>
      <c r="AF231" s="114">
        <v>120452</v>
      </c>
      <c r="AG231" s="114">
        <v>10007.122</v>
      </c>
      <c r="AH231" s="114">
        <v>94303</v>
      </c>
      <c r="AI231" s="114">
        <v>7000.273</v>
      </c>
      <c r="AJ231" s="114">
        <v>0</v>
      </c>
      <c r="AK231" s="114">
        <v>0</v>
      </c>
      <c r="AL231" s="114">
        <v>0</v>
      </c>
      <c r="AM231" s="114">
        <v>0</v>
      </c>
      <c r="AN231" s="114">
        <v>428</v>
      </c>
      <c r="AO231" s="114">
        <v>48.6168</v>
      </c>
      <c r="AP231" s="114"/>
      <c r="AQ231" s="114">
        <v>0</v>
      </c>
      <c r="AR231" s="114"/>
      <c r="AS231" s="114"/>
      <c r="AT231" s="114">
        <v>1</v>
      </c>
      <c r="AU231" s="114">
        <v>544</v>
      </c>
      <c r="AV231" s="114">
        <v>0</v>
      </c>
      <c r="AW231" s="114">
        <v>0</v>
      </c>
      <c r="AX231" s="114">
        <v>0</v>
      </c>
      <c r="AY231" s="114">
        <v>0</v>
      </c>
      <c r="AZ231" s="114">
        <v>87</v>
      </c>
      <c r="BA231" s="114">
        <v>12135</v>
      </c>
      <c r="BB231" s="116"/>
      <c r="BC231" s="116"/>
      <c r="BD231" s="116"/>
      <c r="BE231" s="116"/>
      <c r="BF231" s="116"/>
      <c r="BG231" s="116"/>
      <c r="BH231" s="116"/>
      <c r="BI231" s="116"/>
      <c r="BJ231" s="117">
        <v>101089</v>
      </c>
      <c r="BK231" s="133">
        <v>450</v>
      </c>
      <c r="BL231" s="117">
        <v>4353</v>
      </c>
      <c r="BM231" s="118">
        <v>21590</v>
      </c>
      <c r="BN231" s="118">
        <v>1.27</v>
      </c>
      <c r="BO231" s="119"/>
      <c r="BP231" s="119"/>
      <c r="BQ231" s="119"/>
      <c r="BR231" s="119"/>
      <c r="BS231" s="119"/>
      <c r="BT231" s="119"/>
      <c r="BU231" s="119"/>
      <c r="BV231" s="119"/>
      <c r="BW231" s="119"/>
      <c r="BX231" s="119"/>
    </row>
    <row r="232" s="96" customFormat="1" ht="15.75" customHeight="1" spans="1:76">
      <c r="A232" s="111">
        <v>231</v>
      </c>
      <c r="B232" s="112" t="s">
        <v>46</v>
      </c>
      <c r="C232" s="112" t="s">
        <v>136</v>
      </c>
      <c r="D232" s="111">
        <v>2025</v>
      </c>
      <c r="E232" s="113" t="s">
        <v>34</v>
      </c>
      <c r="F232" s="114">
        <v>186180</v>
      </c>
      <c r="G232" s="114">
        <v>186180</v>
      </c>
      <c r="H232" s="114">
        <v>18178.9987</v>
      </c>
      <c r="I232" s="114">
        <v>894</v>
      </c>
      <c r="J232" s="115">
        <v>0.0040625</v>
      </c>
      <c r="K232" s="114">
        <v>29.7</v>
      </c>
      <c r="L232" s="114">
        <v>169</v>
      </c>
      <c r="M232" s="114">
        <v>2056412</v>
      </c>
      <c r="N232" s="114">
        <v>5.62</v>
      </c>
      <c r="O232" s="114">
        <v>102391</v>
      </c>
      <c r="P232" s="114">
        <v>84142</v>
      </c>
      <c r="Q232" s="114">
        <v>18586</v>
      </c>
      <c r="R232" s="114">
        <v>18084</v>
      </c>
      <c r="S232" s="114">
        <v>502</v>
      </c>
      <c r="T232" s="114">
        <v>1160</v>
      </c>
      <c r="U232" s="114">
        <v>266</v>
      </c>
      <c r="V232" s="114">
        <v>1226</v>
      </c>
      <c r="W232" s="114">
        <v>72</v>
      </c>
      <c r="X232" s="114">
        <v>561</v>
      </c>
      <c r="Y232" s="114">
        <v>65</v>
      </c>
      <c r="Z232" s="114">
        <v>1352292.931</v>
      </c>
      <c r="AA232" s="114">
        <v>0</v>
      </c>
      <c r="AB232" s="114">
        <v>0</v>
      </c>
      <c r="AC232" s="114">
        <v>8255.932</v>
      </c>
      <c r="AD232" s="114">
        <v>1344007.976</v>
      </c>
      <c r="AE232" s="114">
        <v>2443651.523</v>
      </c>
      <c r="AF232" s="114">
        <v>238512</v>
      </c>
      <c r="AG232" s="114">
        <v>10245.403</v>
      </c>
      <c r="AH232" s="114">
        <v>182205</v>
      </c>
      <c r="AI232" s="114">
        <v>7263.362</v>
      </c>
      <c r="AJ232" s="114">
        <v>0</v>
      </c>
      <c r="AK232" s="114">
        <v>0</v>
      </c>
      <c r="AL232" s="114">
        <v>0</v>
      </c>
      <c r="AM232" s="114">
        <v>0</v>
      </c>
      <c r="AN232" s="114">
        <v>977</v>
      </c>
      <c r="AO232" s="114">
        <v>110.4364</v>
      </c>
      <c r="AP232" s="114"/>
      <c r="AQ232" s="114">
        <v>0</v>
      </c>
      <c r="AR232" s="114"/>
      <c r="AS232" s="114"/>
      <c r="AT232" s="114"/>
      <c r="AU232" s="114">
        <v>97</v>
      </c>
      <c r="AV232" s="114">
        <v>0</v>
      </c>
      <c r="AW232" s="114">
        <v>0</v>
      </c>
      <c r="AX232" s="114">
        <v>0</v>
      </c>
      <c r="AY232" s="114">
        <v>0</v>
      </c>
      <c r="AZ232" s="114">
        <v>120</v>
      </c>
      <c r="BA232" s="114">
        <v>17368</v>
      </c>
      <c r="BB232" s="116"/>
      <c r="BC232" s="116"/>
      <c r="BD232" s="116"/>
      <c r="BE232" s="116"/>
      <c r="BF232" s="116"/>
      <c r="BG232" s="116"/>
      <c r="BH232" s="116"/>
      <c r="BI232" s="116"/>
      <c r="BJ232" s="117">
        <v>101983</v>
      </c>
      <c r="BK232" s="133">
        <v>894</v>
      </c>
      <c r="BL232" s="117">
        <v>45704</v>
      </c>
      <c r="BM232" s="118">
        <v>218450</v>
      </c>
      <c r="BN232" s="118">
        <v>12.85</v>
      </c>
      <c r="BO232" s="119"/>
      <c r="BP232" s="119"/>
      <c r="BQ232" s="119"/>
      <c r="BR232" s="119"/>
      <c r="BS232" s="119"/>
      <c r="BT232" s="119"/>
      <c r="BU232" s="119"/>
      <c r="BV232" s="119"/>
      <c r="BW232" s="119"/>
      <c r="BX232" s="119"/>
    </row>
    <row r="233" s="96" customFormat="1" ht="15.75" customHeight="1" spans="1:76">
      <c r="A233" s="111">
        <v>232</v>
      </c>
      <c r="B233" s="112" t="s">
        <v>46</v>
      </c>
      <c r="C233" s="112" t="s">
        <v>136</v>
      </c>
      <c r="D233" s="111">
        <v>2025</v>
      </c>
      <c r="E233" s="113" t="s">
        <v>35</v>
      </c>
      <c r="F233" s="114">
        <v>98434</v>
      </c>
      <c r="G233" s="114">
        <v>98425</v>
      </c>
      <c r="H233" s="114">
        <v>10233.7961</v>
      </c>
      <c r="I233" s="114">
        <v>418</v>
      </c>
      <c r="J233" s="115">
        <v>0.0043287037037037</v>
      </c>
      <c r="K233" s="114">
        <v>30.12</v>
      </c>
      <c r="L233" s="114">
        <v>29</v>
      </c>
      <c r="M233" s="114">
        <v>919371</v>
      </c>
      <c r="N233" s="114">
        <v>6.1</v>
      </c>
      <c r="O233" s="114">
        <v>46777</v>
      </c>
      <c r="P233" s="114">
        <v>33201</v>
      </c>
      <c r="Q233" s="114">
        <v>14035</v>
      </c>
      <c r="R233" s="114">
        <v>13139</v>
      </c>
      <c r="S233" s="114">
        <v>896</v>
      </c>
      <c r="T233" s="114">
        <v>627</v>
      </c>
      <c r="U233" s="114">
        <v>209</v>
      </c>
      <c r="V233" s="114">
        <v>326</v>
      </c>
      <c r="W233" s="114">
        <v>36</v>
      </c>
      <c r="X233" s="114">
        <v>299</v>
      </c>
      <c r="Y233" s="114">
        <v>32</v>
      </c>
      <c r="Z233" s="114">
        <v>537852.746</v>
      </c>
      <c r="AA233" s="114">
        <v>0</v>
      </c>
      <c r="AB233" s="114">
        <v>0</v>
      </c>
      <c r="AC233" s="114">
        <v>4606.742</v>
      </c>
      <c r="AD233" s="114">
        <v>533237.592</v>
      </c>
      <c r="AE233" s="114">
        <v>969522.82</v>
      </c>
      <c r="AF233" s="114">
        <v>107888</v>
      </c>
      <c r="AG233" s="114">
        <v>8986.382</v>
      </c>
      <c r="AH233" s="114">
        <v>87003</v>
      </c>
      <c r="AI233" s="114">
        <v>5464.593</v>
      </c>
      <c r="AJ233" s="114">
        <v>0</v>
      </c>
      <c r="AK233" s="114">
        <v>0</v>
      </c>
      <c r="AL233" s="114">
        <v>0</v>
      </c>
      <c r="AM233" s="114">
        <v>0</v>
      </c>
      <c r="AN233" s="114">
        <v>414</v>
      </c>
      <c r="AO233" s="114">
        <v>41.5803</v>
      </c>
      <c r="AP233" s="114"/>
      <c r="AQ233" s="114">
        <v>0</v>
      </c>
      <c r="AR233" s="114"/>
      <c r="AS233" s="114"/>
      <c r="AT233" s="114">
        <v>1</v>
      </c>
      <c r="AU233" s="114">
        <v>1025</v>
      </c>
      <c r="AV233" s="114">
        <v>0</v>
      </c>
      <c r="AW233" s="114">
        <v>0</v>
      </c>
      <c r="AX233" s="114">
        <v>0</v>
      </c>
      <c r="AY233" s="114">
        <v>0</v>
      </c>
      <c r="AZ233" s="114">
        <v>45</v>
      </c>
      <c r="BA233" s="114">
        <v>7875</v>
      </c>
      <c r="BB233" s="116"/>
      <c r="BC233" s="116"/>
      <c r="BD233" s="116"/>
      <c r="BE233" s="116"/>
      <c r="BF233" s="116"/>
      <c r="BG233" s="116"/>
      <c r="BH233" s="116"/>
      <c r="BI233" s="116"/>
      <c r="BJ233" s="117">
        <v>102401</v>
      </c>
      <c r="BK233" s="133">
        <v>418</v>
      </c>
      <c r="BL233" s="117">
        <v>2518</v>
      </c>
      <c r="BM233" s="118">
        <v>11390</v>
      </c>
      <c r="BN233" s="118">
        <v>0.67</v>
      </c>
      <c r="BO233" s="119"/>
      <c r="BP233" s="119"/>
      <c r="BQ233" s="119"/>
      <c r="BR233" s="119"/>
      <c r="BS233" s="119"/>
      <c r="BT233" s="119"/>
      <c r="BU233" s="119"/>
      <c r="BV233" s="119"/>
      <c r="BW233" s="119"/>
      <c r="BX233" s="119"/>
    </row>
    <row r="234" s="96" customFormat="1" ht="15.75" customHeight="1" spans="1:76">
      <c r="A234" s="111">
        <v>233</v>
      </c>
      <c r="B234" s="112" t="s">
        <v>46</v>
      </c>
      <c r="C234" s="112" t="s">
        <v>136</v>
      </c>
      <c r="D234" s="111">
        <v>2025</v>
      </c>
      <c r="E234" s="113" t="s">
        <v>36</v>
      </c>
      <c r="F234" s="114">
        <v>100713</v>
      </c>
      <c r="G234" s="114">
        <v>100713</v>
      </c>
      <c r="H234" s="114">
        <v>11707.616</v>
      </c>
      <c r="I234" s="114">
        <v>446</v>
      </c>
      <c r="J234" s="115">
        <v>0.00483796296296296</v>
      </c>
      <c r="K234" s="114">
        <v>33.5</v>
      </c>
      <c r="L234" s="114">
        <v>34</v>
      </c>
      <c r="M234" s="114">
        <v>1063595</v>
      </c>
      <c r="N234" s="114">
        <v>5.88</v>
      </c>
      <c r="O234" s="114">
        <v>48085</v>
      </c>
      <c r="P234" s="114">
        <v>31873</v>
      </c>
      <c r="Q234" s="114">
        <v>16212</v>
      </c>
      <c r="R234" s="114">
        <v>15146</v>
      </c>
      <c r="S234" s="114">
        <v>1066</v>
      </c>
      <c r="T234" s="114">
        <v>645</v>
      </c>
      <c r="U234" s="114">
        <v>199</v>
      </c>
      <c r="V234" s="114">
        <v>394</v>
      </c>
      <c r="W234" s="114">
        <v>43</v>
      </c>
      <c r="X234" s="114">
        <v>315</v>
      </c>
      <c r="Y234" s="114">
        <v>105</v>
      </c>
      <c r="Z234" s="114">
        <v>623960.902</v>
      </c>
      <c r="AA234" s="114">
        <v>0</v>
      </c>
      <c r="AB234" s="114">
        <v>0</v>
      </c>
      <c r="AC234" s="114">
        <v>5431.153</v>
      </c>
      <c r="AD234" s="114">
        <v>618529.749</v>
      </c>
      <c r="AE234" s="114">
        <v>1124599.848</v>
      </c>
      <c r="AF234" s="114">
        <v>124194</v>
      </c>
      <c r="AG234" s="114">
        <v>9055.187</v>
      </c>
      <c r="AH234" s="114">
        <v>97258</v>
      </c>
      <c r="AI234" s="114">
        <v>6195.443</v>
      </c>
      <c r="AJ234" s="114">
        <v>0</v>
      </c>
      <c r="AK234" s="114">
        <v>0</v>
      </c>
      <c r="AL234" s="114">
        <v>0</v>
      </c>
      <c r="AM234" s="114">
        <v>0</v>
      </c>
      <c r="AN234" s="114">
        <v>436</v>
      </c>
      <c r="AO234" s="114">
        <v>47.7264</v>
      </c>
      <c r="AP234" s="114"/>
      <c r="AQ234" s="114">
        <v>0</v>
      </c>
      <c r="AR234" s="114"/>
      <c r="AS234" s="114"/>
      <c r="AT234" s="114">
        <v>2</v>
      </c>
      <c r="AU234" s="114">
        <v>1552</v>
      </c>
      <c r="AV234" s="114">
        <v>16</v>
      </c>
      <c r="AW234" s="114">
        <v>0.2739</v>
      </c>
      <c r="AX234" s="114">
        <v>0</v>
      </c>
      <c r="AY234" s="114">
        <v>0</v>
      </c>
      <c r="AZ234" s="114">
        <v>43</v>
      </c>
      <c r="BA234" s="114">
        <v>6894</v>
      </c>
      <c r="BB234" s="116"/>
      <c r="BC234" s="116"/>
      <c r="BD234" s="116"/>
      <c r="BE234" s="116"/>
      <c r="BF234" s="116"/>
      <c r="BG234" s="116"/>
      <c r="BH234" s="116"/>
      <c r="BI234" s="116"/>
      <c r="BJ234" s="117">
        <v>102847</v>
      </c>
      <c r="BK234" s="133">
        <v>446</v>
      </c>
      <c r="BL234" s="117">
        <v>3146</v>
      </c>
      <c r="BM234" s="118">
        <v>15130</v>
      </c>
      <c r="BN234" s="118">
        <v>0.89</v>
      </c>
      <c r="BO234" s="119"/>
      <c r="BP234" s="119"/>
      <c r="BQ234" s="119"/>
      <c r="BR234" s="119"/>
      <c r="BS234" s="119"/>
      <c r="BT234" s="119"/>
      <c r="BU234" s="119"/>
      <c r="BV234" s="119"/>
      <c r="BW234" s="119"/>
      <c r="BX234" s="119"/>
    </row>
    <row r="235" s="96" customFormat="1" ht="15.75" customHeight="1" spans="1:76">
      <c r="A235" s="111">
        <v>234</v>
      </c>
      <c r="B235" s="112" t="s">
        <v>46</v>
      </c>
      <c r="C235" s="112" t="s">
        <v>136</v>
      </c>
      <c r="D235" s="111">
        <v>2025</v>
      </c>
      <c r="E235" s="113" t="s">
        <v>37</v>
      </c>
      <c r="F235" s="114">
        <v>112556</v>
      </c>
      <c r="G235" s="114">
        <v>112556</v>
      </c>
      <c r="H235" s="114">
        <v>14086.1452</v>
      </c>
      <c r="I235" s="114">
        <v>435</v>
      </c>
      <c r="J235" s="115">
        <v>0.00520833333333333</v>
      </c>
      <c r="K235" s="114">
        <v>36.2</v>
      </c>
      <c r="L235" s="114"/>
      <c r="M235" s="114">
        <v>1146244</v>
      </c>
      <c r="N235" s="114">
        <v>5.81</v>
      </c>
      <c r="O235" s="114">
        <v>54895</v>
      </c>
      <c r="P235" s="114">
        <v>36881</v>
      </c>
      <c r="Q235" s="114">
        <v>18014</v>
      </c>
      <c r="R235" s="114">
        <v>16921</v>
      </c>
      <c r="S235" s="114">
        <v>1093</v>
      </c>
      <c r="T235" s="114">
        <v>589</v>
      </c>
      <c r="U235" s="114">
        <v>154</v>
      </c>
      <c r="V235" s="114">
        <v>345</v>
      </c>
      <c r="W235" s="114">
        <v>44</v>
      </c>
      <c r="X235" s="114">
        <v>278</v>
      </c>
      <c r="Y235" s="114">
        <v>32</v>
      </c>
      <c r="Z235" s="114">
        <v>746374.415</v>
      </c>
      <c r="AA235" s="114">
        <v>0</v>
      </c>
      <c r="AB235" s="114">
        <v>0</v>
      </c>
      <c r="AC235" s="114">
        <v>7047.391</v>
      </c>
      <c r="AD235" s="114">
        <v>739327.023</v>
      </c>
      <c r="AE235" s="114">
        <v>1344232.693</v>
      </c>
      <c r="AF235" s="114">
        <v>147028</v>
      </c>
      <c r="AG235" s="114">
        <v>9142.699</v>
      </c>
      <c r="AH235" s="114">
        <v>110590</v>
      </c>
      <c r="AI235" s="114">
        <v>6631.15</v>
      </c>
      <c r="AJ235" s="114">
        <v>0</v>
      </c>
      <c r="AK235" s="114">
        <v>0</v>
      </c>
      <c r="AL235" s="114">
        <v>0</v>
      </c>
      <c r="AM235" s="114">
        <v>0</v>
      </c>
      <c r="AN235" s="114">
        <v>562</v>
      </c>
      <c r="AO235" s="114">
        <v>71.4618</v>
      </c>
      <c r="AP235" s="114"/>
      <c r="AQ235" s="114">
        <v>0</v>
      </c>
      <c r="AR235" s="114"/>
      <c r="AS235" s="114"/>
      <c r="AT235" s="114">
        <v>2</v>
      </c>
      <c r="AU235" s="114">
        <v>881</v>
      </c>
      <c r="AV235" s="114">
        <v>0</v>
      </c>
      <c r="AW235" s="114">
        <v>0</v>
      </c>
      <c r="AX235" s="114">
        <v>0</v>
      </c>
      <c r="AY235" s="114">
        <v>0</v>
      </c>
      <c r="AZ235" s="114">
        <v>45</v>
      </c>
      <c r="BA235" s="114">
        <v>7609</v>
      </c>
      <c r="BB235" s="116"/>
      <c r="BC235" s="116"/>
      <c r="BD235" s="116"/>
      <c r="BE235" s="116"/>
      <c r="BF235" s="116"/>
      <c r="BG235" s="116"/>
      <c r="BH235" s="116"/>
      <c r="BI235" s="116"/>
      <c r="BJ235" s="117">
        <v>103282</v>
      </c>
      <c r="BK235" s="133">
        <v>435</v>
      </c>
      <c r="BL235" s="133">
        <v>0</v>
      </c>
      <c r="BM235" s="118">
        <v>0</v>
      </c>
      <c r="BN235" s="118">
        <v>0</v>
      </c>
      <c r="BO235" s="119"/>
      <c r="BP235" s="119"/>
      <c r="BQ235" s="119"/>
      <c r="BR235" s="119"/>
      <c r="BS235" s="119"/>
      <c r="BT235" s="119"/>
      <c r="BU235" s="119"/>
      <c r="BV235" s="119"/>
      <c r="BW235" s="119"/>
      <c r="BX235" s="119"/>
    </row>
    <row r="236" s="96" customFormat="1" ht="15.75" customHeight="1" spans="1:76">
      <c r="A236" s="111">
        <v>235</v>
      </c>
      <c r="B236" s="112" t="s">
        <v>46</v>
      </c>
      <c r="C236" s="112" t="s">
        <v>136</v>
      </c>
      <c r="D236" s="111">
        <v>2025</v>
      </c>
      <c r="E236" s="113" t="s">
        <v>38</v>
      </c>
      <c r="F236" s="114">
        <v>152659</v>
      </c>
      <c r="G236" s="114">
        <v>152657</v>
      </c>
      <c r="H236" s="114">
        <v>16039.7877</v>
      </c>
      <c r="I236" s="114">
        <v>586</v>
      </c>
      <c r="J236" s="115">
        <v>0.004375</v>
      </c>
      <c r="K236" s="114">
        <v>33.03</v>
      </c>
      <c r="L236" s="114">
        <v>32</v>
      </c>
      <c r="M236" s="114">
        <v>1621622</v>
      </c>
      <c r="N236" s="114">
        <v>6.25</v>
      </c>
      <c r="O236" s="114">
        <v>92314</v>
      </c>
      <c r="P236" s="114">
        <v>74745</v>
      </c>
      <c r="Q236" s="114">
        <v>17569</v>
      </c>
      <c r="R236" s="114">
        <v>16443</v>
      </c>
      <c r="S236" s="114">
        <v>1126</v>
      </c>
      <c r="T236" s="114">
        <v>784</v>
      </c>
      <c r="U236" s="114">
        <v>198</v>
      </c>
      <c r="V236" s="114">
        <v>622</v>
      </c>
      <c r="W236" s="114">
        <v>71</v>
      </c>
      <c r="X236" s="114">
        <v>298</v>
      </c>
      <c r="Y236" s="114">
        <v>283</v>
      </c>
      <c r="Z236" s="114">
        <v>849672.513</v>
      </c>
      <c r="AA236" s="114">
        <v>0</v>
      </c>
      <c r="AB236" s="114">
        <v>0</v>
      </c>
      <c r="AC236" s="114">
        <v>9923.55</v>
      </c>
      <c r="AD236" s="114">
        <v>839748.104</v>
      </c>
      <c r="AE236" s="114">
        <v>1526816.641</v>
      </c>
      <c r="AF236" s="114">
        <v>169970</v>
      </c>
      <c r="AG236" s="114">
        <v>8982.86</v>
      </c>
      <c r="AH236" s="114">
        <v>132605</v>
      </c>
      <c r="AI236" s="114">
        <v>5565.897</v>
      </c>
      <c r="AJ236" s="114">
        <v>0</v>
      </c>
      <c r="AK236" s="114">
        <v>0</v>
      </c>
      <c r="AL236" s="114">
        <v>0</v>
      </c>
      <c r="AM236" s="114">
        <v>0</v>
      </c>
      <c r="AN236" s="114">
        <v>886</v>
      </c>
      <c r="AO236" s="114">
        <v>95.8054</v>
      </c>
      <c r="AP236" s="114"/>
      <c r="AQ236" s="114">
        <v>0</v>
      </c>
      <c r="AR236" s="114"/>
      <c r="AS236" s="114"/>
      <c r="AT236" s="114"/>
      <c r="AU236" s="114">
        <v>353</v>
      </c>
      <c r="AV236" s="114">
        <v>0</v>
      </c>
      <c r="AW236" s="114">
        <v>0</v>
      </c>
      <c r="AX236" s="114">
        <v>0</v>
      </c>
      <c r="AY236" s="114">
        <v>0</v>
      </c>
      <c r="AZ236" s="114">
        <v>68</v>
      </c>
      <c r="BA236" s="114">
        <v>10733</v>
      </c>
      <c r="BB236" s="116"/>
      <c r="BC236" s="116"/>
      <c r="BD236" s="116"/>
      <c r="BE236" s="116"/>
      <c r="BF236" s="116"/>
      <c r="BG236" s="116"/>
      <c r="BH236" s="116"/>
      <c r="BI236" s="116"/>
      <c r="BJ236" s="117">
        <v>103868</v>
      </c>
      <c r="BK236" s="133">
        <v>586</v>
      </c>
      <c r="BL236" s="117">
        <v>35857</v>
      </c>
      <c r="BM236" s="118">
        <v>82790</v>
      </c>
      <c r="BN236" s="118">
        <v>4.87</v>
      </c>
      <c r="BO236" s="120">
        <v>0.589</v>
      </c>
      <c r="BP236" s="120">
        <v>0.411</v>
      </c>
      <c r="BQ236" s="119"/>
      <c r="BR236" s="120">
        <v>0.017</v>
      </c>
      <c r="BS236" s="120">
        <v>0.122</v>
      </c>
      <c r="BT236" s="120">
        <v>0.279</v>
      </c>
      <c r="BU236" s="120">
        <v>0.2</v>
      </c>
      <c r="BV236" s="120">
        <v>0.196</v>
      </c>
      <c r="BW236" s="120">
        <v>0.133</v>
      </c>
      <c r="BX236" s="120">
        <v>0.053</v>
      </c>
    </row>
    <row r="237" s="96" customFormat="1" ht="15.75" customHeight="1" spans="1:76">
      <c r="A237" s="111">
        <v>236</v>
      </c>
      <c r="B237" s="112" t="s">
        <v>46</v>
      </c>
      <c r="C237" s="112" t="s">
        <v>136</v>
      </c>
      <c r="D237" s="111">
        <v>2025</v>
      </c>
      <c r="E237" s="113" t="s">
        <v>39</v>
      </c>
      <c r="F237" s="114">
        <v>227453</v>
      </c>
      <c r="G237" s="114">
        <v>226057</v>
      </c>
      <c r="H237" s="114">
        <v>16996.3151</v>
      </c>
      <c r="I237" s="114">
        <v>751</v>
      </c>
      <c r="J237" s="115">
        <v>0.003125</v>
      </c>
      <c r="K237" s="114">
        <v>21.82</v>
      </c>
      <c r="L237" s="114">
        <v>138</v>
      </c>
      <c r="M237" s="114">
        <v>2295186</v>
      </c>
      <c r="N237" s="114">
        <v>7.41</v>
      </c>
      <c r="O237" s="114">
        <v>160171</v>
      </c>
      <c r="P237" s="114">
        <v>141770</v>
      </c>
      <c r="Q237" s="114">
        <v>18401</v>
      </c>
      <c r="R237" s="114">
        <v>17318</v>
      </c>
      <c r="S237" s="114">
        <v>1083</v>
      </c>
      <c r="T237" s="114">
        <v>960</v>
      </c>
      <c r="U237" s="114">
        <v>209</v>
      </c>
      <c r="V237" s="114">
        <v>920</v>
      </c>
      <c r="W237" s="114">
        <v>88</v>
      </c>
      <c r="X237" s="114">
        <v>425</v>
      </c>
      <c r="Y237" s="114">
        <v>802</v>
      </c>
      <c r="Z237" s="114">
        <v>949985.884</v>
      </c>
      <c r="AA237" s="114">
        <v>0</v>
      </c>
      <c r="AB237" s="114">
        <v>0</v>
      </c>
      <c r="AC237" s="114">
        <v>14519.835</v>
      </c>
      <c r="AD237" s="114">
        <v>934731.727</v>
      </c>
      <c r="AE237" s="114">
        <v>1699338.745</v>
      </c>
      <c r="AF237" s="114">
        <v>188681</v>
      </c>
      <c r="AG237" s="114">
        <v>9006.412</v>
      </c>
      <c r="AH237" s="114">
        <v>151128</v>
      </c>
      <c r="AI237" s="114">
        <v>4202.421</v>
      </c>
      <c r="AJ237" s="114">
        <v>0</v>
      </c>
      <c r="AK237" s="114">
        <v>0</v>
      </c>
      <c r="AL237" s="114">
        <v>0</v>
      </c>
      <c r="AM237" s="114">
        <v>0</v>
      </c>
      <c r="AN237" s="114">
        <v>2020</v>
      </c>
      <c r="AO237" s="114">
        <v>123.1146</v>
      </c>
      <c r="AP237" s="114">
        <v>9.8717</v>
      </c>
      <c r="AQ237" s="114">
        <v>0</v>
      </c>
      <c r="AR237" s="114">
        <v>42</v>
      </c>
      <c r="AS237" s="114">
        <v>6</v>
      </c>
      <c r="AT237" s="114">
        <v>3</v>
      </c>
      <c r="AU237" s="114">
        <v>1787</v>
      </c>
      <c r="AV237" s="114">
        <v>0</v>
      </c>
      <c r="AW237" s="114">
        <v>0</v>
      </c>
      <c r="AX237" s="114">
        <v>0</v>
      </c>
      <c r="AY237" s="114">
        <v>0</v>
      </c>
      <c r="AZ237" s="114">
        <v>47</v>
      </c>
      <c r="BA237" s="114">
        <v>9758</v>
      </c>
      <c r="BB237" s="116"/>
      <c r="BC237" s="116"/>
      <c r="BD237" s="116"/>
      <c r="BE237" s="116"/>
      <c r="BF237" s="116"/>
      <c r="BG237" s="116"/>
      <c r="BH237" s="116"/>
      <c r="BI237" s="116"/>
      <c r="BJ237" s="117">
        <v>104462</v>
      </c>
      <c r="BK237" s="133">
        <v>751</v>
      </c>
      <c r="BL237" s="117">
        <v>127652</v>
      </c>
      <c r="BM237" s="118">
        <v>335580</v>
      </c>
      <c r="BN237" s="118">
        <v>19.74</v>
      </c>
      <c r="BO237" s="120">
        <v>0.676</v>
      </c>
      <c r="BP237" s="120">
        <v>0.324</v>
      </c>
      <c r="BQ237" s="134">
        <v>0</v>
      </c>
      <c r="BR237" s="120">
        <v>0.013</v>
      </c>
      <c r="BS237" s="120">
        <v>0.08</v>
      </c>
      <c r="BT237" s="120">
        <v>0.266</v>
      </c>
      <c r="BU237" s="120">
        <v>0.216</v>
      </c>
      <c r="BV237" s="120">
        <v>0.205</v>
      </c>
      <c r="BW237" s="120">
        <v>0.15</v>
      </c>
      <c r="BX237" s="120">
        <v>0.07</v>
      </c>
    </row>
    <row r="238" s="96" customFormat="1" ht="15.75" customHeight="1" spans="1:76">
      <c r="A238" s="111">
        <v>237</v>
      </c>
      <c r="B238" s="112" t="s">
        <v>46</v>
      </c>
      <c r="C238" s="112" t="s">
        <v>136</v>
      </c>
      <c r="D238" s="111">
        <v>2025</v>
      </c>
      <c r="E238" s="113" t="s">
        <v>40</v>
      </c>
      <c r="F238" s="114">
        <v>1083699</v>
      </c>
      <c r="G238" s="114">
        <v>1072784</v>
      </c>
      <c r="H238" s="114">
        <v>125605.488</v>
      </c>
      <c r="I238" s="114">
        <v>4455</v>
      </c>
      <c r="J238" s="115">
        <v>0.00487268518518518</v>
      </c>
      <c r="K238" s="114">
        <v>26.45</v>
      </c>
      <c r="L238" s="114">
        <v>282</v>
      </c>
      <c r="M238" s="114">
        <v>9700576</v>
      </c>
      <c r="N238" s="114">
        <v>8.86</v>
      </c>
      <c r="O238" s="114">
        <v>779698</v>
      </c>
      <c r="P238" s="114">
        <v>713790</v>
      </c>
      <c r="Q238" s="114">
        <v>65908</v>
      </c>
      <c r="R238" s="114">
        <v>64859</v>
      </c>
      <c r="S238" s="114">
        <v>1049</v>
      </c>
      <c r="T238" s="114">
        <v>4856</v>
      </c>
      <c r="U238" s="114">
        <v>401</v>
      </c>
      <c r="V238" s="114">
        <v>7061</v>
      </c>
      <c r="W238" s="114">
        <v>311</v>
      </c>
      <c r="X238" s="114">
        <v>1847</v>
      </c>
      <c r="Y238" s="114">
        <v>4880</v>
      </c>
      <c r="Z238" s="114">
        <v>8326327.235</v>
      </c>
      <c r="AA238" s="114">
        <v>13824.167</v>
      </c>
      <c r="AB238" s="114">
        <v>1</v>
      </c>
      <c r="AC238" s="114">
        <v>719208.311</v>
      </c>
      <c r="AD238" s="114">
        <v>7589502.694</v>
      </c>
      <c r="AE238" s="114">
        <v>13799458.94</v>
      </c>
      <c r="AF238" s="114">
        <v>1182054</v>
      </c>
      <c r="AG238" s="114">
        <v>11674.136</v>
      </c>
      <c r="AH238" s="114">
        <v>731799</v>
      </c>
      <c r="AI238" s="114">
        <v>7761.422</v>
      </c>
      <c r="AJ238" s="114">
        <v>0</v>
      </c>
      <c r="AK238" s="114">
        <v>0</v>
      </c>
      <c r="AL238" s="114">
        <v>0</v>
      </c>
      <c r="AM238" s="114">
        <v>0</v>
      </c>
      <c r="AN238" s="114">
        <v>23340</v>
      </c>
      <c r="AO238" s="114">
        <v>4800.6394</v>
      </c>
      <c r="AP238" s="114">
        <v>553.9501</v>
      </c>
      <c r="AQ238" s="114">
        <v>21</v>
      </c>
      <c r="AR238" s="114">
        <v>3770</v>
      </c>
      <c r="AS238" s="114">
        <v>1365</v>
      </c>
      <c r="AT238" s="114"/>
      <c r="AU238" s="114">
        <v>185</v>
      </c>
      <c r="AV238" s="114">
        <v>0</v>
      </c>
      <c r="AW238" s="114">
        <v>0</v>
      </c>
      <c r="AX238" s="114">
        <v>0</v>
      </c>
      <c r="AY238" s="114">
        <v>0</v>
      </c>
      <c r="AZ238" s="114">
        <v>98</v>
      </c>
      <c r="BA238" s="114">
        <v>19825</v>
      </c>
      <c r="BB238" s="116"/>
      <c r="BC238" s="116"/>
      <c r="BD238" s="116"/>
      <c r="BE238" s="116"/>
      <c r="BF238" s="116"/>
      <c r="BG238" s="116"/>
      <c r="BH238" s="116"/>
      <c r="BI238" s="116"/>
      <c r="BJ238" s="117">
        <v>108882</v>
      </c>
      <c r="BK238" s="117">
        <v>4455</v>
      </c>
      <c r="BL238" s="117">
        <v>835524</v>
      </c>
      <c r="BM238" s="118">
        <v>6085150</v>
      </c>
      <c r="BN238" s="118">
        <v>357.95</v>
      </c>
      <c r="BO238" s="120">
        <v>0.759</v>
      </c>
      <c r="BP238" s="120">
        <v>0.24</v>
      </c>
      <c r="BQ238" s="134">
        <v>0</v>
      </c>
      <c r="BR238" s="120">
        <v>0.009</v>
      </c>
      <c r="BS238" s="120">
        <v>0.06</v>
      </c>
      <c r="BT238" s="120">
        <v>0.272</v>
      </c>
      <c r="BU238" s="120">
        <v>0.243</v>
      </c>
      <c r="BV238" s="120">
        <v>0.204</v>
      </c>
      <c r="BW238" s="120">
        <v>0.143</v>
      </c>
      <c r="BX238" s="120">
        <v>0.068</v>
      </c>
    </row>
    <row r="239" s="96" customFormat="1" ht="15.75" customHeight="1" spans="1:76">
      <c r="A239" s="111">
        <v>238</v>
      </c>
      <c r="B239" s="112" t="s">
        <v>46</v>
      </c>
      <c r="C239" s="112" t="s">
        <v>136</v>
      </c>
      <c r="D239" s="111">
        <v>2025</v>
      </c>
      <c r="E239" s="113" t="s">
        <v>41</v>
      </c>
      <c r="F239" s="114">
        <v>784615</v>
      </c>
      <c r="G239" s="114">
        <v>752762</v>
      </c>
      <c r="H239" s="114">
        <v>63197.6407</v>
      </c>
      <c r="I239" s="114">
        <v>2627</v>
      </c>
      <c r="J239" s="115">
        <v>0.00349537037037037</v>
      </c>
      <c r="K239" s="114">
        <v>16.73</v>
      </c>
      <c r="L239" s="114">
        <v>304</v>
      </c>
      <c r="M239" s="114">
        <v>6597057</v>
      </c>
      <c r="N239" s="114">
        <v>8.77</v>
      </c>
      <c r="O239" s="114">
        <v>552849</v>
      </c>
      <c r="P239" s="114">
        <v>432407</v>
      </c>
      <c r="Q239" s="114">
        <v>120442</v>
      </c>
      <c r="R239" s="114">
        <v>119305</v>
      </c>
      <c r="S239" s="114">
        <v>1137</v>
      </c>
      <c r="T239" s="114">
        <v>2943</v>
      </c>
      <c r="U239" s="114">
        <v>316</v>
      </c>
      <c r="V239" s="114">
        <v>4764</v>
      </c>
      <c r="W239" s="114">
        <v>263</v>
      </c>
      <c r="X239" s="114">
        <v>1010</v>
      </c>
      <c r="Y239" s="114">
        <v>3071</v>
      </c>
      <c r="Z239" s="114">
        <v>3490078.715</v>
      </c>
      <c r="AA239" s="114">
        <v>0</v>
      </c>
      <c r="AB239" s="114">
        <v>0</v>
      </c>
      <c r="AC239" s="114">
        <v>215131.826</v>
      </c>
      <c r="AD239" s="114">
        <v>3261707.994</v>
      </c>
      <c r="AE239" s="114">
        <v>5930781.597</v>
      </c>
      <c r="AF239" s="114">
        <v>657827</v>
      </c>
      <c r="AG239" s="114">
        <v>9015.716</v>
      </c>
      <c r="AH239" s="114">
        <v>470902</v>
      </c>
      <c r="AI239" s="114">
        <v>4636.363</v>
      </c>
      <c r="AJ239" s="114">
        <v>0</v>
      </c>
      <c r="AK239" s="114">
        <v>0</v>
      </c>
      <c r="AL239" s="114">
        <v>0</v>
      </c>
      <c r="AM239" s="114">
        <v>0</v>
      </c>
      <c r="AN239" s="114">
        <v>10295</v>
      </c>
      <c r="AO239" s="114">
        <v>1605.5317</v>
      </c>
      <c r="AP239" s="114">
        <v>803.7396</v>
      </c>
      <c r="AQ239" s="114">
        <v>27</v>
      </c>
      <c r="AR239" s="114">
        <v>458</v>
      </c>
      <c r="AS239" s="114">
        <v>64</v>
      </c>
      <c r="AT239" s="114"/>
      <c r="AU239" s="114">
        <v>92</v>
      </c>
      <c r="AV239" s="114">
        <v>0</v>
      </c>
      <c r="AW239" s="114">
        <v>0</v>
      </c>
      <c r="AX239" s="114">
        <v>0</v>
      </c>
      <c r="AY239" s="114">
        <v>0</v>
      </c>
      <c r="AZ239" s="114">
        <v>51</v>
      </c>
      <c r="BA239" s="114">
        <v>10073</v>
      </c>
      <c r="BB239" s="116"/>
      <c r="BC239" s="116"/>
      <c r="BD239" s="116"/>
      <c r="BE239" s="116"/>
      <c r="BF239" s="116"/>
      <c r="BG239" s="116"/>
      <c r="BH239" s="116"/>
      <c r="BI239" s="116"/>
      <c r="BJ239" s="117">
        <v>111509</v>
      </c>
      <c r="BK239" s="117">
        <v>2627</v>
      </c>
      <c r="BL239" s="117">
        <v>501396</v>
      </c>
      <c r="BM239" s="118">
        <v>1331950</v>
      </c>
      <c r="BN239" s="118">
        <v>78.35</v>
      </c>
      <c r="BO239" s="120">
        <v>0.711</v>
      </c>
      <c r="BP239" s="120">
        <v>0.289</v>
      </c>
      <c r="BQ239" s="134">
        <v>0</v>
      </c>
      <c r="BR239" s="120">
        <v>0.013</v>
      </c>
      <c r="BS239" s="120">
        <v>0.07</v>
      </c>
      <c r="BT239" s="120">
        <v>0.298</v>
      </c>
      <c r="BU239" s="120">
        <v>0.241</v>
      </c>
      <c r="BV239" s="120">
        <v>0.178</v>
      </c>
      <c r="BW239" s="120">
        <v>0.133</v>
      </c>
      <c r="BX239" s="120">
        <v>0.067</v>
      </c>
    </row>
    <row r="240" s="96" customFormat="1" ht="15.75" customHeight="1" spans="1:76">
      <c r="A240" s="111">
        <v>239</v>
      </c>
      <c r="B240" s="112" t="s">
        <v>46</v>
      </c>
      <c r="C240" s="112" t="s">
        <v>136</v>
      </c>
      <c r="D240" s="111">
        <v>2025</v>
      </c>
      <c r="E240" s="113" t="s">
        <v>42</v>
      </c>
      <c r="F240" s="114">
        <v>745601</v>
      </c>
      <c r="G240" s="114">
        <v>745474</v>
      </c>
      <c r="H240" s="114">
        <v>57640.8254</v>
      </c>
      <c r="I240" s="114">
        <v>2122</v>
      </c>
      <c r="J240" s="115">
        <v>0.00321759259259259</v>
      </c>
      <c r="K240" s="114">
        <v>28.51</v>
      </c>
      <c r="L240" s="114">
        <v>142</v>
      </c>
      <c r="M240" s="114">
        <v>6636917</v>
      </c>
      <c r="N240" s="114">
        <v>9.03</v>
      </c>
      <c r="O240" s="114">
        <v>566941</v>
      </c>
      <c r="P240" s="114">
        <v>410177</v>
      </c>
      <c r="Q240" s="114">
        <v>157545</v>
      </c>
      <c r="R240" s="114">
        <v>156342</v>
      </c>
      <c r="S240" s="114">
        <v>1203</v>
      </c>
      <c r="T240" s="114">
        <v>2418</v>
      </c>
      <c r="U240" s="114">
        <v>296</v>
      </c>
      <c r="V240" s="114">
        <v>4827</v>
      </c>
      <c r="W240" s="114">
        <v>223</v>
      </c>
      <c r="X240" s="114">
        <v>1438</v>
      </c>
      <c r="Y240" s="114">
        <v>4489</v>
      </c>
      <c r="Z240" s="114">
        <v>4034763.912</v>
      </c>
      <c r="AA240" s="114">
        <v>0</v>
      </c>
      <c r="AB240" s="114">
        <v>0</v>
      </c>
      <c r="AC240" s="114">
        <v>122569.355</v>
      </c>
      <c r="AD240" s="114">
        <v>3912145.808</v>
      </c>
      <c r="AE240" s="114">
        <v>7113005.295</v>
      </c>
      <c r="AF240" s="114">
        <v>807045</v>
      </c>
      <c r="AG240" s="114">
        <v>8813.641</v>
      </c>
      <c r="AH240" s="114">
        <v>621868</v>
      </c>
      <c r="AI240" s="114">
        <v>5412.347</v>
      </c>
      <c r="AJ240" s="114">
        <v>0</v>
      </c>
      <c r="AK240" s="114">
        <v>0</v>
      </c>
      <c r="AL240" s="114">
        <v>0</v>
      </c>
      <c r="AM240" s="114">
        <v>0</v>
      </c>
      <c r="AN240" s="114">
        <v>11036</v>
      </c>
      <c r="AO240" s="114">
        <v>893.1972</v>
      </c>
      <c r="AP240" s="114">
        <v>457.6718</v>
      </c>
      <c r="AQ240" s="114">
        <v>-6</v>
      </c>
      <c r="AR240" s="114">
        <v>3</v>
      </c>
      <c r="AS240" s="114">
        <v>0</v>
      </c>
      <c r="AT240" s="114"/>
      <c r="AU240" s="114">
        <v>53</v>
      </c>
      <c r="AV240" s="114">
        <v>0</v>
      </c>
      <c r="AW240" s="114">
        <v>0</v>
      </c>
      <c r="AX240" s="114">
        <v>0</v>
      </c>
      <c r="AY240" s="114">
        <v>0</v>
      </c>
      <c r="AZ240" s="114">
        <v>59</v>
      </c>
      <c r="BA240" s="114">
        <v>10867</v>
      </c>
      <c r="BB240" s="116"/>
      <c r="BC240" s="116"/>
      <c r="BD240" s="116"/>
      <c r="BE240" s="116"/>
      <c r="BF240" s="116"/>
      <c r="BG240" s="116"/>
      <c r="BH240" s="116"/>
      <c r="BI240" s="116"/>
      <c r="BJ240" s="117">
        <v>113631</v>
      </c>
      <c r="BK240" s="117">
        <v>2122</v>
      </c>
      <c r="BL240" s="117">
        <v>481574</v>
      </c>
      <c r="BM240" s="118">
        <v>2085050</v>
      </c>
      <c r="BN240" s="118">
        <v>122.65</v>
      </c>
      <c r="BO240" s="120">
        <v>0.764</v>
      </c>
      <c r="BP240" s="120">
        <v>0.236</v>
      </c>
      <c r="BQ240" s="134">
        <v>0</v>
      </c>
      <c r="BR240" s="120">
        <v>0.011</v>
      </c>
      <c r="BS240" s="120">
        <v>0.058</v>
      </c>
      <c r="BT240" s="120">
        <v>0.263</v>
      </c>
      <c r="BU240" s="120">
        <v>0.221</v>
      </c>
      <c r="BV240" s="120">
        <v>0.193</v>
      </c>
      <c r="BW240" s="120">
        <v>0.167</v>
      </c>
      <c r="BX240" s="120">
        <v>0.088</v>
      </c>
    </row>
    <row r="241" s="96" customFormat="1" ht="15.75" customHeight="1" spans="1:76">
      <c r="A241" s="111">
        <v>240</v>
      </c>
      <c r="B241" s="112" t="s">
        <v>46</v>
      </c>
      <c r="C241" s="112" t="s">
        <v>136</v>
      </c>
      <c r="D241" s="111">
        <v>2025</v>
      </c>
      <c r="E241" s="113" t="s">
        <v>43</v>
      </c>
      <c r="F241" s="114">
        <v>1099658</v>
      </c>
      <c r="G241" s="114">
        <v>1099543</v>
      </c>
      <c r="H241" s="114">
        <v>88370.9798</v>
      </c>
      <c r="I241" s="114">
        <v>3089</v>
      </c>
      <c r="J241" s="115">
        <v>0.00334490740740741</v>
      </c>
      <c r="K241" s="114">
        <v>24.79</v>
      </c>
      <c r="L241" s="114">
        <v>167</v>
      </c>
      <c r="M241" s="114">
        <v>9180086</v>
      </c>
      <c r="N241" s="114">
        <v>9.6</v>
      </c>
      <c r="O241" s="114">
        <v>830145</v>
      </c>
      <c r="P241" s="114">
        <v>579386</v>
      </c>
      <c r="Q241" s="114">
        <v>250384</v>
      </c>
      <c r="R241" s="114">
        <v>248707</v>
      </c>
      <c r="S241" s="114">
        <v>1677</v>
      </c>
      <c r="T241" s="114">
        <v>3437</v>
      </c>
      <c r="U241" s="114">
        <v>348</v>
      </c>
      <c r="V241" s="114">
        <v>5956</v>
      </c>
      <c r="W241" s="114">
        <v>389</v>
      </c>
      <c r="X241" s="114">
        <v>1382</v>
      </c>
      <c r="Y241" s="114">
        <v>5526</v>
      </c>
      <c r="Z241" s="114">
        <v>6695649.815</v>
      </c>
      <c r="AA241" s="114">
        <v>0</v>
      </c>
      <c r="AB241" s="114">
        <v>0</v>
      </c>
      <c r="AC241" s="114">
        <v>126732.747</v>
      </c>
      <c r="AD241" s="114">
        <v>6568864.256</v>
      </c>
      <c r="AE241" s="114">
        <v>11943390.07</v>
      </c>
      <c r="AF241" s="114">
        <v>1295691</v>
      </c>
      <c r="AG241" s="114">
        <v>9217.777</v>
      </c>
      <c r="AH241" s="114">
        <v>1001858</v>
      </c>
      <c r="AI241" s="114">
        <v>6089.484</v>
      </c>
      <c r="AJ241" s="114">
        <v>0</v>
      </c>
      <c r="AK241" s="114">
        <v>0</v>
      </c>
      <c r="AL241" s="114">
        <v>0</v>
      </c>
      <c r="AM241" s="114">
        <v>0</v>
      </c>
      <c r="AN241" s="114">
        <v>11191</v>
      </c>
      <c r="AO241" s="114">
        <v>1004.3603</v>
      </c>
      <c r="AP241" s="114">
        <v>2.3192</v>
      </c>
      <c r="AQ241" s="114">
        <v>1</v>
      </c>
      <c r="AR241" s="114">
        <v>0</v>
      </c>
      <c r="AS241" s="114">
        <v>0</v>
      </c>
      <c r="AT241" s="114"/>
      <c r="AU241" s="114">
        <v>80</v>
      </c>
      <c r="AV241" s="114">
        <v>0</v>
      </c>
      <c r="AW241" s="114">
        <v>0</v>
      </c>
      <c r="AX241" s="114">
        <v>0</v>
      </c>
      <c r="AY241" s="114">
        <v>0</v>
      </c>
      <c r="AZ241" s="114">
        <v>58</v>
      </c>
      <c r="BA241" s="114">
        <v>9448</v>
      </c>
      <c r="BB241" s="116"/>
      <c r="BC241" s="116"/>
      <c r="BD241" s="116"/>
      <c r="BE241" s="116"/>
      <c r="BF241" s="116"/>
      <c r="BG241" s="116"/>
      <c r="BH241" s="116"/>
      <c r="BI241" s="116"/>
      <c r="BJ241" s="117">
        <v>116719</v>
      </c>
      <c r="BK241" s="117">
        <v>3088</v>
      </c>
      <c r="BL241" s="117">
        <v>624274</v>
      </c>
      <c r="BM241" s="118">
        <v>2714050</v>
      </c>
      <c r="BN241" s="118">
        <v>159.65</v>
      </c>
      <c r="BO241" s="120">
        <v>0.775</v>
      </c>
      <c r="BP241" s="120">
        <v>0.225</v>
      </c>
      <c r="BQ241" s="134">
        <v>0</v>
      </c>
      <c r="BR241" s="120">
        <v>0.012</v>
      </c>
      <c r="BS241" s="120">
        <v>0.057</v>
      </c>
      <c r="BT241" s="120">
        <v>0.257</v>
      </c>
      <c r="BU241" s="120">
        <v>0.2</v>
      </c>
      <c r="BV241" s="120">
        <v>0.183</v>
      </c>
      <c r="BW241" s="120">
        <v>0.181</v>
      </c>
      <c r="BX241" s="120">
        <v>0.111</v>
      </c>
    </row>
    <row r="242" s="96" customFormat="1" ht="15.75" customHeight="1" spans="1:76">
      <c r="A242" s="111">
        <v>241</v>
      </c>
      <c r="B242" s="112" t="s">
        <v>46</v>
      </c>
      <c r="C242" s="112" t="s">
        <v>136</v>
      </c>
      <c r="D242" s="111">
        <v>2026</v>
      </c>
      <c r="E242" s="112" t="s">
        <v>31</v>
      </c>
      <c r="F242" s="121">
        <v>884819</v>
      </c>
      <c r="G242" s="114">
        <v>870597</v>
      </c>
      <c r="H242" s="114">
        <v>135709.4383</v>
      </c>
      <c r="I242" s="114">
        <v>2228</v>
      </c>
      <c r="J242" s="115">
        <v>0.00649305555555556</v>
      </c>
      <c r="K242" s="114">
        <v>20.07</v>
      </c>
      <c r="L242" s="114">
        <v>226</v>
      </c>
      <c r="M242" s="114">
        <v>7433502</v>
      </c>
      <c r="N242" s="114">
        <v>8.33</v>
      </c>
      <c r="O242" s="114">
        <v>632099</v>
      </c>
      <c r="P242" s="114">
        <v>410466</v>
      </c>
      <c r="Q242" s="114">
        <v>221537</v>
      </c>
      <c r="R242" s="114">
        <v>218881</v>
      </c>
      <c r="S242" s="114">
        <v>2656</v>
      </c>
      <c r="T242" s="114">
        <v>2575</v>
      </c>
      <c r="U242" s="114">
        <v>347</v>
      </c>
      <c r="V242" s="114">
        <v>5052</v>
      </c>
      <c r="W242" s="114">
        <v>424</v>
      </c>
      <c r="X242" s="114">
        <v>1016</v>
      </c>
      <c r="Y242" s="114">
        <v>2297</v>
      </c>
      <c r="Z242" s="121">
        <v>6873173</v>
      </c>
      <c r="AA242" s="114">
        <v>0</v>
      </c>
      <c r="AB242" s="114">
        <v>0</v>
      </c>
      <c r="AC242" s="114">
        <v>268874.248</v>
      </c>
      <c r="AD242" s="114">
        <v>6413211.259</v>
      </c>
      <c r="AE242" s="114">
        <v>11665191.94</v>
      </c>
      <c r="AF242" s="114">
        <v>1215243</v>
      </c>
      <c r="AG242" s="114">
        <v>9599.061</v>
      </c>
      <c r="AH242" s="114">
        <v>773082</v>
      </c>
      <c r="AI242" s="114">
        <v>7682.328</v>
      </c>
      <c r="AJ242" s="114">
        <v>0</v>
      </c>
      <c r="AK242" s="114">
        <v>0</v>
      </c>
      <c r="AL242" s="114">
        <v>0</v>
      </c>
      <c r="AM242" s="114">
        <v>0</v>
      </c>
      <c r="AN242" s="114">
        <v>9302</v>
      </c>
      <c r="AO242" s="114">
        <v>2189.7186</v>
      </c>
      <c r="AP242" s="114">
        <v>176.8079</v>
      </c>
      <c r="AQ242" s="114">
        <v>1</v>
      </c>
      <c r="AR242" s="114">
        <v>132</v>
      </c>
      <c r="AS242" s="114">
        <v>509</v>
      </c>
      <c r="AT242" s="114">
        <v>1</v>
      </c>
      <c r="AU242" s="114">
        <v>836</v>
      </c>
      <c r="AV242" s="114">
        <v>0</v>
      </c>
      <c r="AW242" s="114">
        <v>0</v>
      </c>
      <c r="AX242" s="114">
        <v>0</v>
      </c>
      <c r="AY242" s="114">
        <v>0</v>
      </c>
      <c r="AZ242" s="114">
        <v>90</v>
      </c>
      <c r="BA242" s="114">
        <v>15324</v>
      </c>
      <c r="BB242" s="116"/>
      <c r="BC242" s="116"/>
      <c r="BD242" s="116"/>
      <c r="BE242" s="116"/>
      <c r="BF242" s="116"/>
      <c r="BG242" s="116"/>
      <c r="BH242" s="116"/>
      <c r="BI242" s="116"/>
      <c r="BJ242" s="117">
        <v>118947</v>
      </c>
      <c r="BK242" s="117">
        <v>2227</v>
      </c>
      <c r="BL242" s="117">
        <v>427229</v>
      </c>
      <c r="BM242" s="118">
        <v>3309055</v>
      </c>
      <c r="BN242" s="118"/>
      <c r="BO242" s="120">
        <v>0.763</v>
      </c>
      <c r="BP242" s="120">
        <v>0.237</v>
      </c>
      <c r="BQ242" s="134">
        <v>0</v>
      </c>
      <c r="BR242" s="120">
        <v>0.013</v>
      </c>
      <c r="BS242" s="120">
        <v>0.063</v>
      </c>
      <c r="BT242" s="120">
        <v>0.278</v>
      </c>
      <c r="BU242" s="120">
        <v>0.205</v>
      </c>
      <c r="BV242" s="120">
        <v>0.176</v>
      </c>
      <c r="BW242" s="120">
        <v>0.163</v>
      </c>
      <c r="BX242" s="120">
        <v>0.102</v>
      </c>
    </row>
    <row r="243" s="96" customFormat="1" ht="15.75" customHeight="1" spans="1:76">
      <c r="A243" s="111">
        <v>242</v>
      </c>
      <c r="B243" s="112" t="s">
        <v>46</v>
      </c>
      <c r="C243" s="112" t="s">
        <v>136</v>
      </c>
      <c r="D243" s="111">
        <v>2026</v>
      </c>
      <c r="E243" s="112" t="s">
        <v>33</v>
      </c>
      <c r="F243" s="114">
        <v>1272442</v>
      </c>
      <c r="G243" s="114">
        <v>1248142</v>
      </c>
      <c r="H243" s="114">
        <v>177634.7343</v>
      </c>
      <c r="I243" s="114">
        <v>2787</v>
      </c>
      <c r="J243" s="115">
        <v>0.00592592592592593</v>
      </c>
      <c r="K243" s="114">
        <v>15.46</v>
      </c>
      <c r="L243" s="114">
        <v>339</v>
      </c>
      <c r="M243" s="114">
        <v>9654740</v>
      </c>
      <c r="N243" s="114">
        <v>9.82</v>
      </c>
      <c r="O243" s="114">
        <v>862048</v>
      </c>
      <c r="P243" s="114">
        <v>497382</v>
      </c>
      <c r="Q243" s="114">
        <v>363286</v>
      </c>
      <c r="R243" s="114">
        <v>356633</v>
      </c>
      <c r="S243" s="114">
        <v>6653</v>
      </c>
      <c r="T243" s="114">
        <v>3292</v>
      </c>
      <c r="U243" s="114">
        <v>505</v>
      </c>
      <c r="V243" s="114">
        <v>8317</v>
      </c>
      <c r="W243" s="114">
        <v>633</v>
      </c>
      <c r="X243" s="114">
        <v>1528</v>
      </c>
      <c r="Y243" s="114">
        <v>5608</v>
      </c>
      <c r="Z243" s="114">
        <v>9020142.908</v>
      </c>
      <c r="AA243" s="114">
        <v>0</v>
      </c>
      <c r="AB243" s="114">
        <v>0</v>
      </c>
      <c r="AC243" s="114">
        <v>353046.696</v>
      </c>
      <c r="AD243" s="114">
        <v>8657021.707</v>
      </c>
      <c r="AE243" s="114">
        <v>15737948.51</v>
      </c>
      <c r="AF243" s="114">
        <v>1715479</v>
      </c>
      <c r="AG243" s="114">
        <v>9174.084</v>
      </c>
      <c r="AH243" s="114">
        <v>1148845</v>
      </c>
      <c r="AI243" s="114">
        <v>7226.017</v>
      </c>
      <c r="AJ243" s="114">
        <v>0</v>
      </c>
      <c r="AK243" s="114">
        <v>0</v>
      </c>
      <c r="AL243" s="114">
        <v>0</v>
      </c>
      <c r="AM243" s="114">
        <v>0</v>
      </c>
      <c r="AN243" s="114">
        <v>14681</v>
      </c>
      <c r="AO243" s="114">
        <v>2624.4225</v>
      </c>
      <c r="AP243" s="114">
        <v>173.8973</v>
      </c>
      <c r="AQ243" s="114">
        <v>5</v>
      </c>
      <c r="AR243" s="114">
        <v>547</v>
      </c>
      <c r="AS243" s="114">
        <v>1499</v>
      </c>
      <c r="AT243" s="114">
        <v>0</v>
      </c>
      <c r="AU243" s="114">
        <v>159</v>
      </c>
      <c r="AV243" s="114">
        <v>0</v>
      </c>
      <c r="AW243" s="114">
        <v>0</v>
      </c>
      <c r="AX243" s="114">
        <v>0</v>
      </c>
      <c r="AY243" s="114">
        <v>0</v>
      </c>
      <c r="AZ243" s="114">
        <v>85</v>
      </c>
      <c r="BA243" s="114">
        <v>18937</v>
      </c>
      <c r="BB243" s="116"/>
      <c r="BC243" s="116"/>
      <c r="BD243" s="116"/>
      <c r="BE243" s="116"/>
      <c r="BF243" s="116"/>
      <c r="BG243" s="116"/>
      <c r="BH243" s="116"/>
      <c r="BI243" s="116"/>
      <c r="BJ243" s="117">
        <v>121735</v>
      </c>
      <c r="BK243" s="117">
        <v>2787</v>
      </c>
      <c r="BL243" s="117">
        <v>870894</v>
      </c>
      <c r="BM243" s="118">
        <v>5728900</v>
      </c>
      <c r="BN243" s="118"/>
      <c r="BO243" s="120">
        <v>0.763</v>
      </c>
      <c r="BP243" s="120">
        <v>0.237</v>
      </c>
      <c r="BQ243" s="120">
        <v>0</v>
      </c>
      <c r="BR243" s="120">
        <v>0.011</v>
      </c>
      <c r="BS243" s="120">
        <v>0.059</v>
      </c>
      <c r="BT243" s="120">
        <v>0.261</v>
      </c>
      <c r="BU243" s="120">
        <v>0.193</v>
      </c>
      <c r="BV243" s="120">
        <v>0.184</v>
      </c>
      <c r="BW243" s="120">
        <v>0.18</v>
      </c>
      <c r="BX243" s="120">
        <v>0.111</v>
      </c>
    </row>
    <row r="244" s="96" customFormat="1" ht="15.75" customHeight="1" spans="1:76">
      <c r="A244" s="111">
        <v>243</v>
      </c>
      <c r="B244" s="112" t="s">
        <v>46</v>
      </c>
      <c r="C244" s="112" t="s">
        <v>136</v>
      </c>
      <c r="D244" s="111">
        <v>2026</v>
      </c>
      <c r="E244" s="113" t="s">
        <v>34</v>
      </c>
      <c r="F244" s="114">
        <v>2340034</v>
      </c>
      <c r="G244" s="114">
        <v>2339530</v>
      </c>
      <c r="H244" s="114">
        <v>216547.7304</v>
      </c>
      <c r="I244" s="114">
        <v>5350</v>
      </c>
      <c r="J244" s="115">
        <v>0.00385416666666667</v>
      </c>
      <c r="K244" s="114">
        <v>4.69</v>
      </c>
      <c r="L244" s="114">
        <v>310</v>
      </c>
      <c r="M244" s="114">
        <v>20532971</v>
      </c>
      <c r="N244" s="114">
        <v>9.26</v>
      </c>
      <c r="O244" s="114">
        <v>1748759</v>
      </c>
      <c r="P244" s="114">
        <v>1161942</v>
      </c>
      <c r="Q244" s="114">
        <v>530802</v>
      </c>
      <c r="R244" s="114">
        <v>522195</v>
      </c>
      <c r="S244" s="114">
        <v>8607</v>
      </c>
      <c r="T244" s="114">
        <v>5998</v>
      </c>
      <c r="U244" s="114">
        <v>648</v>
      </c>
      <c r="V244" s="114">
        <v>15865</v>
      </c>
      <c r="W244" s="114">
        <v>679</v>
      </c>
      <c r="X244" s="114">
        <v>2386</v>
      </c>
      <c r="Y244" s="114">
        <v>8615</v>
      </c>
      <c r="Z244" s="114">
        <v>16306536.96</v>
      </c>
      <c r="AA244" s="114">
        <v>0</v>
      </c>
      <c r="AB244" s="114">
        <v>0</v>
      </c>
      <c r="AC244" s="114">
        <v>764454.913</v>
      </c>
      <c r="AD244" s="114">
        <v>15541888.75</v>
      </c>
      <c r="AE244" s="114">
        <v>28205548.37</v>
      </c>
      <c r="AF244" s="114">
        <v>2688808</v>
      </c>
      <c r="AG244" s="114">
        <v>10489.982</v>
      </c>
      <c r="AH244" s="114">
        <v>1843711</v>
      </c>
      <c r="AI244" s="114">
        <v>7004.494</v>
      </c>
      <c r="AJ244" s="114">
        <v>0</v>
      </c>
      <c r="AK244" s="114">
        <v>0</v>
      </c>
      <c r="AL244" s="114">
        <v>0</v>
      </c>
      <c r="AM244" s="114">
        <v>0</v>
      </c>
      <c r="AN244" s="114">
        <v>44301</v>
      </c>
      <c r="AO244" s="114">
        <v>5709.1745</v>
      </c>
      <c r="AP244" s="114">
        <v>387.498</v>
      </c>
      <c r="AQ244" s="114">
        <v>-5</v>
      </c>
      <c r="AR244" s="114">
        <v>22742</v>
      </c>
      <c r="AS244" s="114">
        <v>4279</v>
      </c>
      <c r="AT244" s="114">
        <v>1</v>
      </c>
      <c r="AU244" s="114">
        <v>133</v>
      </c>
      <c r="AV244" s="114">
        <v>0</v>
      </c>
      <c r="AW244" s="114">
        <v>0</v>
      </c>
      <c r="AX244" s="114">
        <v>0</v>
      </c>
      <c r="AY244" s="114">
        <v>0</v>
      </c>
      <c r="AZ244" s="114">
        <v>78</v>
      </c>
      <c r="BA244" s="114">
        <v>18182</v>
      </c>
      <c r="BB244" s="116"/>
      <c r="BC244" s="116"/>
      <c r="BD244" s="116"/>
      <c r="BE244" s="116"/>
      <c r="BF244" s="116"/>
      <c r="BG244" s="116"/>
      <c r="BH244" s="116"/>
      <c r="BI244" s="116"/>
      <c r="BJ244" s="117">
        <v>127085</v>
      </c>
      <c r="BK244" s="117">
        <v>5350</v>
      </c>
      <c r="BL244" s="117">
        <v>1919847</v>
      </c>
      <c r="BM244" s="118">
        <v>11559882</v>
      </c>
      <c r="BN244" s="118"/>
      <c r="BO244" s="120">
        <v>0.77</v>
      </c>
      <c r="BP244" s="120">
        <v>0.229</v>
      </c>
      <c r="BQ244" s="120">
        <v>0.001</v>
      </c>
      <c r="BR244" s="120">
        <v>0.013</v>
      </c>
      <c r="BS244" s="120">
        <v>0.059</v>
      </c>
      <c r="BT244" s="120">
        <v>0.27</v>
      </c>
      <c r="BU244" s="120">
        <v>0.245</v>
      </c>
      <c r="BV244" s="120">
        <v>0.208</v>
      </c>
      <c r="BW244" s="120">
        <v>0.139</v>
      </c>
      <c r="BX244" s="120">
        <v>0.066</v>
      </c>
    </row>
    <row r="245" s="96" customFormat="1" ht="15.75" customHeight="1" spans="1:76">
      <c r="A245" s="111">
        <v>244</v>
      </c>
      <c r="B245" s="112" t="s">
        <v>46</v>
      </c>
      <c r="C245" s="112" t="s">
        <v>136</v>
      </c>
      <c r="D245" s="111">
        <v>2026</v>
      </c>
      <c r="E245" s="113" t="s">
        <v>35</v>
      </c>
      <c r="F245" s="114">
        <v>2187752</v>
      </c>
      <c r="G245" s="114">
        <v>2187340</v>
      </c>
      <c r="H245" s="114">
        <v>264748.6374</v>
      </c>
      <c r="I245" s="114">
        <v>5067</v>
      </c>
      <c r="J245" s="115">
        <v>0.00503472222222222</v>
      </c>
      <c r="K245" s="114">
        <v>25.09</v>
      </c>
      <c r="L245" s="114">
        <v>176</v>
      </c>
      <c r="M245" s="114">
        <v>16081273</v>
      </c>
      <c r="N245" s="114">
        <v>10.45</v>
      </c>
      <c r="O245" s="114">
        <v>1512920</v>
      </c>
      <c r="P245" s="114">
        <v>797563</v>
      </c>
      <c r="Q245" s="114">
        <v>628080</v>
      </c>
      <c r="R245" s="114">
        <v>611424</v>
      </c>
      <c r="S245" s="114">
        <v>16656</v>
      </c>
      <c r="T245" s="114">
        <v>5823</v>
      </c>
      <c r="U245" s="114">
        <v>756</v>
      </c>
      <c r="V245" s="114">
        <v>15654</v>
      </c>
      <c r="W245" s="114">
        <v>1023</v>
      </c>
      <c r="X245" s="114">
        <v>2085</v>
      </c>
      <c r="Y245" s="114">
        <v>9618</v>
      </c>
      <c r="Z245" s="114">
        <v>14279754.86</v>
      </c>
      <c r="AA245" s="114">
        <v>0</v>
      </c>
      <c r="AB245" s="114">
        <v>0</v>
      </c>
      <c r="AC245" s="114">
        <v>583417.172</v>
      </c>
      <c r="AD245" s="114">
        <v>13696198.49</v>
      </c>
      <c r="AE245" s="114">
        <v>24851387.15</v>
      </c>
      <c r="AF245" s="114">
        <v>2401104</v>
      </c>
      <c r="AG245" s="114">
        <v>10349.984</v>
      </c>
      <c r="AH245" s="114">
        <v>1732800</v>
      </c>
      <c r="AI245" s="114">
        <v>6245.289</v>
      </c>
      <c r="AJ245" s="114">
        <v>0</v>
      </c>
      <c r="AK245" s="114">
        <v>0</v>
      </c>
      <c r="AL245" s="114">
        <v>0</v>
      </c>
      <c r="AM245" s="114">
        <v>0</v>
      </c>
      <c r="AN245" s="114">
        <v>27937</v>
      </c>
      <c r="AO245" s="114">
        <v>4595.4303</v>
      </c>
      <c r="AP245" s="114">
        <v>0</v>
      </c>
      <c r="AQ245" s="114">
        <v>0</v>
      </c>
      <c r="AR245" s="114">
        <v>0</v>
      </c>
      <c r="AS245" s="114">
        <v>0</v>
      </c>
      <c r="AT245" s="114">
        <v>0</v>
      </c>
      <c r="AU245" s="114">
        <v>99</v>
      </c>
      <c r="AV245" s="114">
        <v>0</v>
      </c>
      <c r="AW245" s="114">
        <v>0</v>
      </c>
      <c r="AX245" s="114">
        <v>0</v>
      </c>
      <c r="AY245" s="114">
        <v>0</v>
      </c>
      <c r="AZ245" s="114">
        <v>47</v>
      </c>
      <c r="BA245" s="114">
        <v>13341</v>
      </c>
      <c r="BB245" s="116"/>
      <c r="BC245" s="116"/>
      <c r="BD245" s="116"/>
      <c r="BE245" s="116"/>
      <c r="BF245" s="116"/>
      <c r="BG245" s="116"/>
      <c r="BH245" s="116"/>
      <c r="BI245" s="116"/>
      <c r="BJ245" s="117">
        <v>132152</v>
      </c>
      <c r="BK245" s="117">
        <v>5067</v>
      </c>
      <c r="BL245" s="117">
        <v>1883774</v>
      </c>
      <c r="BM245" s="118">
        <v>12217217</v>
      </c>
      <c r="BN245" s="118"/>
      <c r="BO245" s="120">
        <v>0.778</v>
      </c>
      <c r="BP245" s="120">
        <v>0.222</v>
      </c>
      <c r="BQ245" s="120">
        <v>0.001</v>
      </c>
      <c r="BR245" s="120">
        <v>0.014</v>
      </c>
      <c r="BS245" s="120">
        <v>0.061</v>
      </c>
      <c r="BT245" s="120">
        <v>0.262</v>
      </c>
      <c r="BU245" s="120">
        <v>0.198</v>
      </c>
      <c r="BV245" s="120">
        <v>0.186</v>
      </c>
      <c r="BW245" s="120">
        <v>0.17</v>
      </c>
      <c r="BX245" s="120">
        <v>0.108</v>
      </c>
    </row>
    <row r="246" s="96" customFormat="1" ht="15.75" customHeight="1" spans="1:76">
      <c r="A246" s="111">
        <v>245</v>
      </c>
      <c r="B246" s="112" t="s">
        <v>46</v>
      </c>
      <c r="C246" s="112" t="s">
        <v>136</v>
      </c>
      <c r="D246" s="111">
        <v>2026</v>
      </c>
      <c r="E246" s="113" t="s">
        <v>36</v>
      </c>
      <c r="F246" s="114">
        <v>3395176</v>
      </c>
      <c r="G246" s="114">
        <v>3394932</v>
      </c>
      <c r="H246" s="114">
        <v>576694.9831</v>
      </c>
      <c r="I246" s="114">
        <v>5399</v>
      </c>
      <c r="J246" s="115">
        <v>0.00707175925925926</v>
      </c>
      <c r="K246" s="114">
        <v>13.9</v>
      </c>
      <c r="L246" s="114">
        <v>413</v>
      </c>
      <c r="M246" s="114">
        <v>27035997</v>
      </c>
      <c r="N246" s="114">
        <v>9.43</v>
      </c>
      <c r="O246" s="114">
        <v>1790297</v>
      </c>
      <c r="P246" s="114">
        <v>807192</v>
      </c>
      <c r="Q246" s="114">
        <v>912021</v>
      </c>
      <c r="R246" s="114">
        <v>866494</v>
      </c>
      <c r="S246" s="114">
        <v>45527</v>
      </c>
      <c r="T246" s="114">
        <v>6347</v>
      </c>
      <c r="U246" s="114">
        <v>948</v>
      </c>
      <c r="V246" s="114">
        <v>16759</v>
      </c>
      <c r="W246" s="114">
        <v>1445</v>
      </c>
      <c r="X246" s="114">
        <v>2071</v>
      </c>
      <c r="Y246" s="114">
        <v>15856</v>
      </c>
      <c r="Z246" s="114">
        <v>26620454.36</v>
      </c>
      <c r="AA246" s="114">
        <v>0</v>
      </c>
      <c r="AB246" s="114">
        <v>0</v>
      </c>
      <c r="AC246" s="114">
        <v>1424296.066</v>
      </c>
      <c r="AD246" s="114">
        <v>25195985.89</v>
      </c>
      <c r="AE246" s="114">
        <v>45649881.55</v>
      </c>
      <c r="AF246" s="114">
        <v>4270164</v>
      </c>
      <c r="AG246" s="114">
        <v>10690.428</v>
      </c>
      <c r="AH246" s="114">
        <v>2891462</v>
      </c>
      <c r="AI246" s="114">
        <v>7819.635</v>
      </c>
      <c r="AJ246" s="114">
        <v>0</v>
      </c>
      <c r="AK246" s="114">
        <v>0</v>
      </c>
      <c r="AL246" s="114">
        <v>0</v>
      </c>
      <c r="AM246" s="114">
        <v>0</v>
      </c>
      <c r="AN246" s="114">
        <v>50323</v>
      </c>
      <c r="AO246" s="114">
        <v>11267.6073</v>
      </c>
      <c r="AP246" s="114">
        <v>525.8845</v>
      </c>
      <c r="AQ246" s="114">
        <v>17</v>
      </c>
      <c r="AR246" s="114">
        <v>376</v>
      </c>
      <c r="AS246" s="114">
        <v>910</v>
      </c>
      <c r="AT246" s="114">
        <v>2</v>
      </c>
      <c r="AU246" s="114">
        <v>270</v>
      </c>
      <c r="AV246" s="114">
        <v>0</v>
      </c>
      <c r="AW246" s="114">
        <v>0</v>
      </c>
      <c r="AX246" s="114">
        <v>0</v>
      </c>
      <c r="AY246" s="114">
        <v>0</v>
      </c>
      <c r="AZ246" s="114">
        <v>34</v>
      </c>
      <c r="BA246" s="114">
        <v>10006</v>
      </c>
      <c r="BB246" s="116"/>
      <c r="BC246" s="116"/>
      <c r="BD246" s="116"/>
      <c r="BE246" s="116"/>
      <c r="BF246" s="116"/>
      <c r="BG246" s="116"/>
      <c r="BH246" s="116"/>
      <c r="BI246" s="116"/>
      <c r="BJ246" s="117">
        <v>137551</v>
      </c>
      <c r="BK246" s="117">
        <v>5399</v>
      </c>
      <c r="BL246" s="117">
        <v>2691169</v>
      </c>
      <c r="BM246" s="118">
        <v>18056677</v>
      </c>
      <c r="BN246" s="118"/>
      <c r="BO246" s="120">
        <v>0.781</v>
      </c>
      <c r="BP246" s="120">
        <v>0.219</v>
      </c>
      <c r="BQ246" s="120">
        <v>0.001</v>
      </c>
      <c r="BR246" s="120">
        <v>0.011</v>
      </c>
      <c r="BS246" s="120">
        <v>0.052</v>
      </c>
      <c r="BT246" s="120">
        <v>0.261</v>
      </c>
      <c r="BU246" s="120">
        <v>0.208</v>
      </c>
      <c r="BV246" s="120">
        <v>0.186</v>
      </c>
      <c r="BW246" s="120">
        <v>0.175</v>
      </c>
      <c r="BX246" s="120">
        <v>0.107</v>
      </c>
    </row>
    <row r="247" s="96" customFormat="1" ht="15.75" customHeight="1" spans="1:76">
      <c r="A247" s="111">
        <v>246</v>
      </c>
      <c r="B247" s="96" t="s">
        <v>46</v>
      </c>
      <c r="C247" s="96" t="s">
        <v>136</v>
      </c>
      <c r="D247" s="122">
        <v>2026</v>
      </c>
      <c r="E247" s="96" t="s">
        <v>37</v>
      </c>
      <c r="F247" s="123">
        <v>2281692</v>
      </c>
      <c r="G247" s="123">
        <v>2280360</v>
      </c>
      <c r="H247" s="123">
        <v>279365</v>
      </c>
      <c r="I247" s="123">
        <v>3561</v>
      </c>
      <c r="J247" s="124">
        <v>0.00509259259259259</v>
      </c>
      <c r="K247" s="125">
        <v>19</v>
      </c>
      <c r="L247" s="125">
        <v>460</v>
      </c>
      <c r="M247" s="123">
        <v>20795011</v>
      </c>
      <c r="N247" s="125">
        <v>9</v>
      </c>
      <c r="O247" s="123">
        <v>1576804</v>
      </c>
      <c r="P247" s="123">
        <v>712345</v>
      </c>
      <c r="Q247" s="123">
        <v>760241</v>
      </c>
      <c r="R247" s="123">
        <v>706418</v>
      </c>
      <c r="S247" s="123">
        <v>53823</v>
      </c>
      <c r="T247" s="123">
        <v>4225</v>
      </c>
      <c r="U247" s="125">
        <v>664</v>
      </c>
      <c r="V247" s="123">
        <v>12165</v>
      </c>
      <c r="W247" s="123">
        <v>1074</v>
      </c>
      <c r="X247" s="123">
        <v>2456</v>
      </c>
      <c r="Y247" s="123">
        <v>11968</v>
      </c>
      <c r="Z247" s="123">
        <v>17341669</v>
      </c>
      <c r="AA247" s="125">
        <v>0</v>
      </c>
      <c r="AB247" s="125">
        <v>0</v>
      </c>
      <c r="AC247" s="123">
        <v>787646</v>
      </c>
      <c r="AD247" s="123">
        <v>16553345</v>
      </c>
      <c r="AE247" s="123">
        <v>30082095</v>
      </c>
      <c r="AF247" s="123">
        <v>2692076</v>
      </c>
      <c r="AG247" s="123">
        <v>11174</v>
      </c>
      <c r="AH247" s="123">
        <v>1939195</v>
      </c>
      <c r="AI247" s="123">
        <v>7600</v>
      </c>
      <c r="AJ247" s="125">
        <v>0</v>
      </c>
      <c r="AK247" s="125">
        <v>0</v>
      </c>
      <c r="AL247" s="125">
        <v>0</v>
      </c>
      <c r="AM247" s="125">
        <v>0</v>
      </c>
      <c r="AN247" s="123">
        <v>42355</v>
      </c>
      <c r="AO247" s="123">
        <v>6147</v>
      </c>
      <c r="AP247" s="125">
        <v>118</v>
      </c>
      <c r="AQ247" s="125">
        <v>3</v>
      </c>
      <c r="AR247" s="125">
        <v>45</v>
      </c>
      <c r="AS247" s="125">
        <v>2</v>
      </c>
      <c r="AT247" s="125">
        <v>1</v>
      </c>
      <c r="AU247" s="123">
        <v>1274</v>
      </c>
      <c r="AV247" s="125">
        <v>0</v>
      </c>
      <c r="AW247" s="125">
        <v>0</v>
      </c>
      <c r="AX247" s="125">
        <v>0</v>
      </c>
      <c r="AY247" s="125">
        <v>0</v>
      </c>
      <c r="AZ247" s="125">
        <v>19</v>
      </c>
      <c r="BA247" s="123">
        <v>7302</v>
      </c>
      <c r="BB247" s="125"/>
      <c r="BC247" s="125"/>
      <c r="BD247" s="125"/>
      <c r="BE247" s="125"/>
      <c r="BF247" s="125"/>
      <c r="BG247" s="125"/>
      <c r="BH247" s="125"/>
      <c r="BI247" s="125"/>
      <c r="BJ247" s="117">
        <v>141112</v>
      </c>
      <c r="BK247" s="117">
        <v>3561</v>
      </c>
      <c r="BL247" s="117">
        <v>1718418</v>
      </c>
      <c r="BM247" s="118">
        <v>12480073</v>
      </c>
      <c r="BN247" s="118"/>
      <c r="BO247" s="120">
        <v>0.787</v>
      </c>
      <c r="BP247" s="120">
        <v>0.212</v>
      </c>
      <c r="BQ247" s="120">
        <v>0.001</v>
      </c>
      <c r="BR247" s="120">
        <v>0.01</v>
      </c>
      <c r="BS247" s="120">
        <v>0.06</v>
      </c>
      <c r="BT247" s="120">
        <v>0.297</v>
      </c>
      <c r="BU247" s="120">
        <v>0.222</v>
      </c>
      <c r="BV247" s="120">
        <v>0.173</v>
      </c>
      <c r="BW247" s="120">
        <v>0.148</v>
      </c>
      <c r="BX247" s="120">
        <v>0.091</v>
      </c>
    </row>
    <row r="248" s="96" customFormat="1" ht="15.75" customHeight="1" spans="1:76">
      <c r="A248" s="111">
        <v>247</v>
      </c>
      <c r="B248" s="96" t="s">
        <v>46</v>
      </c>
      <c r="C248" s="96" t="s">
        <v>136</v>
      </c>
      <c r="D248" s="122">
        <v>2026</v>
      </c>
      <c r="E248" s="96" t="s">
        <v>38</v>
      </c>
      <c r="F248" s="126">
        <v>4866457</v>
      </c>
      <c r="G248" s="126">
        <v>4861908</v>
      </c>
      <c r="H248" s="126">
        <v>596598</v>
      </c>
      <c r="I248" s="126">
        <v>9181</v>
      </c>
      <c r="J248" s="127">
        <v>0.00510416666666667</v>
      </c>
      <c r="K248" s="128">
        <v>21</v>
      </c>
      <c r="L248" s="128">
        <v>963</v>
      </c>
      <c r="M248" s="126">
        <v>39439443</v>
      </c>
      <c r="N248" s="128">
        <v>10</v>
      </c>
      <c r="O248" s="126">
        <v>2839068</v>
      </c>
      <c r="P248" s="126">
        <v>1073847</v>
      </c>
      <c r="Q248" s="126">
        <v>1516065</v>
      </c>
      <c r="R248" s="126">
        <v>1387713</v>
      </c>
      <c r="S248" s="126">
        <v>128352</v>
      </c>
      <c r="T248" s="126">
        <v>10242</v>
      </c>
      <c r="U248" s="126">
        <v>1061</v>
      </c>
      <c r="V248" s="126">
        <v>30467</v>
      </c>
      <c r="W248" s="126">
        <v>2188</v>
      </c>
      <c r="X248" s="126">
        <v>7135</v>
      </c>
      <c r="Y248" s="126">
        <v>22524</v>
      </c>
      <c r="Z248" s="126">
        <v>35700799</v>
      </c>
      <c r="AA248" s="128">
        <v>0</v>
      </c>
      <c r="AB248" s="128">
        <v>0</v>
      </c>
      <c r="AC248" s="126">
        <v>1963246</v>
      </c>
      <c r="AD248" s="126">
        <v>33737224</v>
      </c>
      <c r="AE248" s="126">
        <v>61339165</v>
      </c>
      <c r="AF248" s="126">
        <v>5607625</v>
      </c>
      <c r="AG248" s="126">
        <v>10939</v>
      </c>
      <c r="AH248" s="126">
        <v>4084586</v>
      </c>
      <c r="AI248" s="126">
        <v>7289</v>
      </c>
      <c r="AJ248" s="128">
        <v>0</v>
      </c>
      <c r="AK248" s="128">
        <v>0</v>
      </c>
      <c r="AL248" s="128">
        <v>0</v>
      </c>
      <c r="AM248" s="128">
        <v>0</v>
      </c>
      <c r="AN248" s="126">
        <v>97363</v>
      </c>
      <c r="AO248" s="126">
        <v>14245</v>
      </c>
      <c r="AP248" s="128">
        <v>683</v>
      </c>
      <c r="AQ248" s="128">
        <v>2</v>
      </c>
      <c r="AR248" s="126">
        <v>5138</v>
      </c>
      <c r="AS248" s="128">
        <v>225</v>
      </c>
      <c r="AT248" s="128"/>
      <c r="AU248" s="128">
        <v>29</v>
      </c>
      <c r="AV248" s="128">
        <v>0</v>
      </c>
      <c r="AW248" s="128">
        <v>0</v>
      </c>
      <c r="AX248" s="128">
        <v>0</v>
      </c>
      <c r="AY248" s="128">
        <v>0</v>
      </c>
      <c r="AZ248" s="128">
        <v>39</v>
      </c>
      <c r="BA248" s="126">
        <v>9331</v>
      </c>
      <c r="BB248" s="129"/>
      <c r="BC248" s="129"/>
      <c r="BD248" s="129"/>
      <c r="BE248" s="129"/>
      <c r="BF248" s="129"/>
      <c r="BG248" s="129"/>
      <c r="BH248" s="129"/>
      <c r="BI248" s="129"/>
      <c r="BJ248" s="130">
        <v>150293</v>
      </c>
      <c r="BK248" s="130">
        <v>9181</v>
      </c>
      <c r="BL248" s="130">
        <v>4274323</v>
      </c>
      <c r="BM248" s="131">
        <v>30123619.88</v>
      </c>
      <c r="BN248" s="131"/>
      <c r="BO248" s="132">
        <v>0.777</v>
      </c>
      <c r="BP248" s="132">
        <v>0.223</v>
      </c>
      <c r="BQ248" s="132">
        <v>0.001</v>
      </c>
      <c r="BR248" s="132">
        <v>0.01</v>
      </c>
      <c r="BS248" s="132">
        <v>0.047</v>
      </c>
      <c r="BT248" s="132">
        <v>0.246</v>
      </c>
      <c r="BU248" s="132">
        <v>0.197</v>
      </c>
      <c r="BV248" s="132">
        <v>0.184</v>
      </c>
      <c r="BW248" s="132">
        <v>0.187</v>
      </c>
      <c r="BX248" s="119"/>
    </row>
    <row r="249" s="96" customFormat="1" ht="15.75" customHeight="1" spans="1:76">
      <c r="A249" s="111">
        <v>248</v>
      </c>
      <c r="B249" s="96" t="s">
        <v>46</v>
      </c>
      <c r="C249" s="96" t="s">
        <v>136</v>
      </c>
      <c r="D249" s="122">
        <v>2026</v>
      </c>
      <c r="E249" s="96" t="s">
        <v>39</v>
      </c>
      <c r="F249" s="128"/>
      <c r="G249" s="128"/>
      <c r="H249" s="128"/>
      <c r="I249" s="128"/>
      <c r="J249" s="127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9"/>
      <c r="BC249" s="129"/>
      <c r="BD249" s="129"/>
      <c r="BE249" s="129"/>
      <c r="BF249" s="129"/>
      <c r="BG249" s="129"/>
      <c r="BH249" s="129"/>
      <c r="BI249" s="129"/>
      <c r="BJ249" s="119"/>
      <c r="BK249" s="119"/>
      <c r="BL249" s="119"/>
      <c r="BM249" s="131"/>
      <c r="BN249" s="131"/>
      <c r="BO249" s="119"/>
      <c r="BP249" s="119"/>
      <c r="BQ249" s="119"/>
      <c r="BR249" s="119"/>
      <c r="BS249" s="119"/>
      <c r="BT249" s="119"/>
      <c r="BU249" s="119"/>
      <c r="BV249" s="119"/>
      <c r="BW249" s="119"/>
      <c r="BX249" s="119"/>
    </row>
    <row r="250" s="96" customFormat="1" ht="15.75" customHeight="1" spans="1:76">
      <c r="A250" s="111">
        <v>249</v>
      </c>
      <c r="B250" s="96" t="s">
        <v>46</v>
      </c>
      <c r="C250" s="96" t="s">
        <v>136</v>
      </c>
      <c r="D250" s="122">
        <v>2026</v>
      </c>
      <c r="E250" s="96" t="s">
        <v>40</v>
      </c>
      <c r="F250" s="128"/>
      <c r="G250" s="128"/>
      <c r="H250" s="128"/>
      <c r="I250" s="128"/>
      <c r="J250" s="127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9"/>
      <c r="BC250" s="129"/>
      <c r="BD250" s="129"/>
      <c r="BE250" s="129"/>
      <c r="BF250" s="129"/>
      <c r="BG250" s="129"/>
      <c r="BH250" s="129"/>
      <c r="BI250" s="129"/>
      <c r="BJ250" s="119"/>
      <c r="BK250" s="119"/>
      <c r="BL250" s="119"/>
      <c r="BM250" s="131"/>
      <c r="BN250" s="131"/>
      <c r="BO250" s="119"/>
      <c r="BP250" s="119"/>
      <c r="BQ250" s="119"/>
      <c r="BR250" s="119"/>
      <c r="BS250" s="119"/>
      <c r="BT250" s="119"/>
      <c r="BU250" s="119"/>
      <c r="BV250" s="119"/>
      <c r="BW250" s="119"/>
      <c r="BX250" s="119"/>
    </row>
    <row r="251" s="96" customFormat="1" ht="15.75" customHeight="1" spans="1:76">
      <c r="A251" s="111">
        <v>250</v>
      </c>
      <c r="B251" s="96" t="s">
        <v>46</v>
      </c>
      <c r="C251" s="96" t="s">
        <v>136</v>
      </c>
      <c r="D251" s="122">
        <v>2026</v>
      </c>
      <c r="E251" s="96" t="s">
        <v>41</v>
      </c>
      <c r="F251" s="128"/>
      <c r="G251" s="128"/>
      <c r="H251" s="128"/>
      <c r="I251" s="128"/>
      <c r="J251" s="127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9"/>
      <c r="BC251" s="129"/>
      <c r="BD251" s="129"/>
      <c r="BE251" s="129"/>
      <c r="BF251" s="129"/>
      <c r="BG251" s="129"/>
      <c r="BH251" s="129"/>
      <c r="BI251" s="129"/>
      <c r="BJ251" s="119"/>
      <c r="BK251" s="119"/>
      <c r="BL251" s="119"/>
      <c r="BM251" s="131"/>
      <c r="BN251" s="131"/>
      <c r="BO251" s="119"/>
      <c r="BP251" s="119"/>
      <c r="BQ251" s="119"/>
      <c r="BR251" s="119"/>
      <c r="BS251" s="119"/>
      <c r="BT251" s="119"/>
      <c r="BU251" s="119"/>
      <c r="BV251" s="119"/>
      <c r="BW251" s="119"/>
      <c r="BX251" s="119"/>
    </row>
    <row r="252" s="96" customFormat="1" ht="15.75" customHeight="1" spans="1:76">
      <c r="A252" s="111">
        <v>251</v>
      </c>
      <c r="B252" s="96" t="s">
        <v>46</v>
      </c>
      <c r="C252" s="96" t="s">
        <v>136</v>
      </c>
      <c r="D252" s="122">
        <v>2026</v>
      </c>
      <c r="E252" s="96" t="s">
        <v>42</v>
      </c>
      <c r="F252" s="128"/>
      <c r="G252" s="128"/>
      <c r="H252" s="128"/>
      <c r="I252" s="128"/>
      <c r="J252" s="127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9"/>
      <c r="BC252" s="129"/>
      <c r="BD252" s="129"/>
      <c r="BE252" s="129"/>
      <c r="BF252" s="129"/>
      <c r="BG252" s="129"/>
      <c r="BH252" s="129"/>
      <c r="BI252" s="129"/>
      <c r="BJ252" s="119"/>
      <c r="BK252" s="119"/>
      <c r="BL252" s="119"/>
      <c r="BM252" s="131"/>
      <c r="BN252" s="131"/>
      <c r="BO252" s="119"/>
      <c r="BP252" s="119"/>
      <c r="BQ252" s="119"/>
      <c r="BR252" s="119"/>
      <c r="BS252" s="119"/>
      <c r="BT252" s="119"/>
      <c r="BU252" s="119"/>
      <c r="BV252" s="119"/>
      <c r="BW252" s="119"/>
      <c r="BX252" s="119"/>
    </row>
    <row r="253" s="96" customFormat="1" ht="15.75" customHeight="1" spans="1:76">
      <c r="A253" s="111">
        <v>252</v>
      </c>
      <c r="B253" s="96" t="s">
        <v>46</v>
      </c>
      <c r="C253" s="96" t="s">
        <v>136</v>
      </c>
      <c r="D253" s="122">
        <v>2026</v>
      </c>
      <c r="E253" s="96" t="s">
        <v>43</v>
      </c>
      <c r="F253" s="128"/>
      <c r="G253" s="128"/>
      <c r="H253" s="128"/>
      <c r="I253" s="128"/>
      <c r="J253" s="127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9"/>
      <c r="BC253" s="129"/>
      <c r="BD253" s="129"/>
      <c r="BE253" s="129"/>
      <c r="BF253" s="129"/>
      <c r="BG253" s="129"/>
      <c r="BH253" s="129"/>
      <c r="BI253" s="129"/>
      <c r="BJ253" s="119"/>
      <c r="BK253" s="119"/>
      <c r="BL253" s="119"/>
      <c r="BM253" s="131"/>
      <c r="BN253" s="131"/>
      <c r="BO253" s="119"/>
      <c r="BP253" s="119"/>
      <c r="BQ253" s="119"/>
      <c r="BR253" s="119"/>
      <c r="BS253" s="119"/>
      <c r="BT253" s="119"/>
      <c r="BU253" s="119"/>
      <c r="BV253" s="119"/>
      <c r="BW253" s="119"/>
      <c r="BX253" s="119"/>
    </row>
    <row r="254" s="96" customFormat="1" ht="15.75" customHeight="1" spans="1:76">
      <c r="A254" s="111">
        <v>253</v>
      </c>
      <c r="B254" s="112" t="s">
        <v>46</v>
      </c>
      <c r="C254" s="112" t="s">
        <v>137</v>
      </c>
      <c r="D254" s="111">
        <v>2024</v>
      </c>
      <c r="E254" s="113" t="s">
        <v>31</v>
      </c>
      <c r="F254" s="114">
        <v>58592</v>
      </c>
      <c r="G254" s="114">
        <v>58592</v>
      </c>
      <c r="H254" s="114">
        <v>2040.3837</v>
      </c>
      <c r="I254" s="114">
        <v>63</v>
      </c>
      <c r="J254" s="115">
        <v>0.00144675925925926</v>
      </c>
      <c r="K254" s="114">
        <v>46.52</v>
      </c>
      <c r="L254" s="114">
        <v>7</v>
      </c>
      <c r="M254" s="114">
        <v>405958</v>
      </c>
      <c r="N254" s="114">
        <v>9.9</v>
      </c>
      <c r="O254" s="114">
        <v>37621</v>
      </c>
      <c r="P254" s="114">
        <v>29205</v>
      </c>
      <c r="Q254" s="114">
        <v>8416</v>
      </c>
      <c r="R254" s="114">
        <v>8416</v>
      </c>
      <c r="S254" s="114">
        <v>0</v>
      </c>
      <c r="T254" s="114">
        <v>344</v>
      </c>
      <c r="U254" s="114">
        <v>281</v>
      </c>
      <c r="V254" s="114">
        <v>104</v>
      </c>
      <c r="W254" s="114">
        <v>-21</v>
      </c>
      <c r="X254" s="114">
        <v>37</v>
      </c>
      <c r="Y254" s="114">
        <v>24</v>
      </c>
      <c r="Z254" s="114">
        <v>107898.751</v>
      </c>
      <c r="AA254" s="114">
        <v>0</v>
      </c>
      <c r="AB254" s="114">
        <v>0</v>
      </c>
      <c r="AC254" s="114">
        <v>1080.572</v>
      </c>
      <c r="AD254" s="114">
        <v>106535.617</v>
      </c>
      <c r="AE254" s="114">
        <v>193697.864</v>
      </c>
      <c r="AF254" s="114">
        <v>24724</v>
      </c>
      <c r="AG254" s="114">
        <v>7834.406</v>
      </c>
      <c r="AH254" s="114">
        <v>21871</v>
      </c>
      <c r="AI254" s="114">
        <v>1841.527</v>
      </c>
      <c r="AJ254" s="114">
        <v>0</v>
      </c>
      <c r="AK254" s="114">
        <v>0</v>
      </c>
      <c r="AL254" s="114">
        <v>0</v>
      </c>
      <c r="AM254" s="114">
        <v>0</v>
      </c>
      <c r="AN254" s="114">
        <v>564</v>
      </c>
      <c r="AO254" s="114">
        <v>14.2429</v>
      </c>
      <c r="AP254" s="114"/>
      <c r="AQ254" s="114">
        <v>0</v>
      </c>
      <c r="AR254" s="114"/>
      <c r="AS254" s="114"/>
      <c r="AT254" s="114"/>
      <c r="AU254" s="114"/>
      <c r="AV254" s="114">
        <v>0</v>
      </c>
      <c r="AW254" s="114">
        <v>0</v>
      </c>
      <c r="AX254" s="114">
        <v>0</v>
      </c>
      <c r="AY254" s="114">
        <v>0</v>
      </c>
      <c r="AZ254" s="114">
        <v>16</v>
      </c>
      <c r="BA254" s="114">
        <v>1342</v>
      </c>
      <c r="BB254" s="116"/>
      <c r="BC254" s="116"/>
      <c r="BD254" s="116"/>
      <c r="BE254" s="116"/>
      <c r="BF254" s="116"/>
      <c r="BG254" s="116"/>
      <c r="BH254" s="116"/>
      <c r="BI254" s="116"/>
      <c r="BJ254" s="117">
        <v>412846</v>
      </c>
      <c r="BK254" s="133">
        <v>63</v>
      </c>
      <c r="BL254" s="119"/>
      <c r="BM254" s="118">
        <v>0</v>
      </c>
      <c r="BN254" s="131"/>
      <c r="BO254" s="119"/>
      <c r="BP254" s="119"/>
      <c r="BQ254" s="119"/>
      <c r="BR254" s="119"/>
      <c r="BS254" s="119"/>
      <c r="BT254" s="119"/>
      <c r="BU254" s="119"/>
      <c r="BV254" s="119"/>
      <c r="BW254" s="119"/>
      <c r="BX254" s="119"/>
    </row>
    <row r="255" s="96" customFormat="1" ht="15.75" customHeight="1" spans="1:76">
      <c r="A255" s="111">
        <v>254</v>
      </c>
      <c r="B255" s="112" t="s">
        <v>46</v>
      </c>
      <c r="C255" s="112" t="s">
        <v>137</v>
      </c>
      <c r="D255" s="111">
        <v>2024</v>
      </c>
      <c r="E255" s="113" t="s">
        <v>33</v>
      </c>
      <c r="F255" s="114">
        <v>106018</v>
      </c>
      <c r="G255" s="114">
        <v>106018</v>
      </c>
      <c r="H255" s="114">
        <v>5194.7074</v>
      </c>
      <c r="I255" s="114">
        <v>161</v>
      </c>
      <c r="J255" s="115">
        <v>0.00203703703703704</v>
      </c>
      <c r="K255" s="114">
        <v>46.24</v>
      </c>
      <c r="L255" s="114">
        <v>9</v>
      </c>
      <c r="M255" s="114">
        <v>1265128</v>
      </c>
      <c r="N255" s="114">
        <v>5.91</v>
      </c>
      <c r="O255" s="114">
        <v>85832</v>
      </c>
      <c r="P255" s="114">
        <v>74912</v>
      </c>
      <c r="Q255" s="114">
        <v>10897</v>
      </c>
      <c r="R255" s="114">
        <v>10897</v>
      </c>
      <c r="S255" s="114">
        <v>0</v>
      </c>
      <c r="T255" s="114">
        <v>492</v>
      </c>
      <c r="U255" s="114">
        <v>331</v>
      </c>
      <c r="V255" s="114">
        <v>336</v>
      </c>
      <c r="W255" s="114">
        <v>69</v>
      </c>
      <c r="X255" s="114">
        <v>68</v>
      </c>
      <c r="Y255" s="114">
        <v>525</v>
      </c>
      <c r="Z255" s="114">
        <v>388681.788</v>
      </c>
      <c r="AA255" s="114">
        <v>0</v>
      </c>
      <c r="AB255" s="114">
        <v>0</v>
      </c>
      <c r="AC255" s="114">
        <v>5994.546</v>
      </c>
      <c r="AD255" s="114">
        <v>381234.335</v>
      </c>
      <c r="AE255" s="114">
        <v>693149.503</v>
      </c>
      <c r="AF255" s="114">
        <v>78281</v>
      </c>
      <c r="AG255" s="114">
        <v>8854.633</v>
      </c>
      <c r="AH255" s="114">
        <v>64542</v>
      </c>
      <c r="AI255" s="114">
        <v>3666.187</v>
      </c>
      <c r="AJ255" s="114">
        <v>0</v>
      </c>
      <c r="AK255" s="114">
        <v>0</v>
      </c>
      <c r="AL255" s="114">
        <v>0</v>
      </c>
      <c r="AM255" s="114">
        <v>0</v>
      </c>
      <c r="AN255" s="114">
        <v>1068</v>
      </c>
      <c r="AO255" s="114">
        <v>54.4272</v>
      </c>
      <c r="AP255" s="114"/>
      <c r="AQ255" s="114">
        <v>0</v>
      </c>
      <c r="AR255" s="114"/>
      <c r="AS255" s="114"/>
      <c r="AT255" s="114"/>
      <c r="AU255" s="114"/>
      <c r="AV255" s="114">
        <v>0</v>
      </c>
      <c r="AW255" s="114">
        <v>0</v>
      </c>
      <c r="AX255" s="114">
        <v>0</v>
      </c>
      <c r="AY255" s="114">
        <v>0</v>
      </c>
      <c r="AZ255" s="114">
        <v>22</v>
      </c>
      <c r="BA255" s="114">
        <v>11912</v>
      </c>
      <c r="BB255" s="116"/>
      <c r="BC255" s="116"/>
      <c r="BD255" s="116"/>
      <c r="BE255" s="116"/>
      <c r="BF255" s="116"/>
      <c r="BG255" s="116"/>
      <c r="BH255" s="116"/>
      <c r="BI255" s="116"/>
      <c r="BJ255" s="117">
        <v>413007</v>
      </c>
      <c r="BK255" s="133">
        <v>161</v>
      </c>
      <c r="BL255" s="119"/>
      <c r="BM255" s="118">
        <v>0</v>
      </c>
      <c r="BN255" s="131"/>
      <c r="BO255" s="119"/>
      <c r="BP255" s="119"/>
      <c r="BQ255" s="119"/>
      <c r="BR255" s="119"/>
      <c r="BS255" s="119"/>
      <c r="BT255" s="119"/>
      <c r="BU255" s="119"/>
      <c r="BV255" s="119"/>
      <c r="BW255" s="119"/>
      <c r="BX255" s="119"/>
    </row>
    <row r="256" s="96" customFormat="1" ht="15.75" customHeight="1" spans="1:76">
      <c r="A256" s="111">
        <v>255</v>
      </c>
      <c r="B256" s="112" t="s">
        <v>46</v>
      </c>
      <c r="C256" s="112" t="s">
        <v>137</v>
      </c>
      <c r="D256" s="111">
        <v>2024</v>
      </c>
      <c r="E256" s="113" t="s">
        <v>34</v>
      </c>
      <c r="F256" s="114">
        <v>94941</v>
      </c>
      <c r="G256" s="114">
        <v>94941</v>
      </c>
      <c r="H256" s="114">
        <v>3072.8132</v>
      </c>
      <c r="I256" s="114">
        <v>169</v>
      </c>
      <c r="J256" s="115">
        <v>0.00134259259259259</v>
      </c>
      <c r="K256" s="114">
        <v>47.11</v>
      </c>
      <c r="L256" s="114">
        <v>6</v>
      </c>
      <c r="M256" s="114">
        <v>695669</v>
      </c>
      <c r="N256" s="114">
        <v>9.55</v>
      </c>
      <c r="O256" s="114">
        <v>71467</v>
      </c>
      <c r="P256" s="114">
        <v>60366</v>
      </c>
      <c r="Q256" s="114">
        <v>11101</v>
      </c>
      <c r="R256" s="114">
        <v>11101</v>
      </c>
      <c r="S256" s="114">
        <v>0</v>
      </c>
      <c r="T256" s="114">
        <v>434</v>
      </c>
      <c r="U256" s="114">
        <v>265</v>
      </c>
      <c r="V256" s="114">
        <v>243</v>
      </c>
      <c r="W256" s="114">
        <v>-10</v>
      </c>
      <c r="X256" s="114">
        <v>47</v>
      </c>
      <c r="Y256" s="114">
        <v>77</v>
      </c>
      <c r="Z256" s="114">
        <v>272523.689</v>
      </c>
      <c r="AA256" s="114">
        <v>0</v>
      </c>
      <c r="AB256" s="114">
        <v>0</v>
      </c>
      <c r="AC256" s="114">
        <v>2494.185</v>
      </c>
      <c r="AD256" s="114">
        <v>269408.072</v>
      </c>
      <c r="AE256" s="114">
        <v>489829.522</v>
      </c>
      <c r="AF256" s="114">
        <v>59557</v>
      </c>
      <c r="AG256" s="114">
        <v>8224.55</v>
      </c>
      <c r="AH256" s="114">
        <v>52621</v>
      </c>
      <c r="AI256" s="114">
        <v>2870.453</v>
      </c>
      <c r="AJ256" s="114">
        <v>0</v>
      </c>
      <c r="AK256" s="114">
        <v>0</v>
      </c>
      <c r="AL256" s="114">
        <v>0</v>
      </c>
      <c r="AM256" s="114">
        <v>0</v>
      </c>
      <c r="AN256" s="114">
        <v>867</v>
      </c>
      <c r="AO256" s="114">
        <v>24.0653</v>
      </c>
      <c r="AP256" s="114"/>
      <c r="AQ256" s="114">
        <v>0</v>
      </c>
      <c r="AR256" s="114"/>
      <c r="AS256" s="114"/>
      <c r="AT256" s="114"/>
      <c r="AU256" s="114"/>
      <c r="AV256" s="114">
        <v>0</v>
      </c>
      <c r="AW256" s="114">
        <v>0</v>
      </c>
      <c r="AX256" s="114">
        <v>0</v>
      </c>
      <c r="AY256" s="114">
        <v>0</v>
      </c>
      <c r="AZ256" s="114">
        <v>17</v>
      </c>
      <c r="BA256" s="114">
        <v>3275</v>
      </c>
      <c r="BB256" s="116"/>
      <c r="BC256" s="116"/>
      <c r="BD256" s="116"/>
      <c r="BE256" s="116"/>
      <c r="BF256" s="116"/>
      <c r="BG256" s="116"/>
      <c r="BH256" s="116"/>
      <c r="BI256" s="116"/>
      <c r="BJ256" s="117">
        <v>413176</v>
      </c>
      <c r="BK256" s="133">
        <v>169</v>
      </c>
      <c r="BL256" s="119"/>
      <c r="BM256" s="118">
        <v>0</v>
      </c>
      <c r="BN256" s="131"/>
      <c r="BO256" s="119"/>
      <c r="BP256" s="119"/>
      <c r="BQ256" s="119"/>
      <c r="BR256" s="119"/>
      <c r="BS256" s="119"/>
      <c r="BT256" s="119"/>
      <c r="BU256" s="119"/>
      <c r="BV256" s="119"/>
      <c r="BW256" s="119"/>
      <c r="BX256" s="119"/>
    </row>
    <row r="257" s="96" customFormat="1" ht="15.75" customHeight="1" spans="1:76">
      <c r="A257" s="111">
        <v>256</v>
      </c>
      <c r="B257" s="112" t="s">
        <v>46</v>
      </c>
      <c r="C257" s="112" t="s">
        <v>137</v>
      </c>
      <c r="D257" s="111">
        <v>2024</v>
      </c>
      <c r="E257" s="113" t="s">
        <v>35</v>
      </c>
      <c r="F257" s="114">
        <v>69791</v>
      </c>
      <c r="G257" s="114">
        <v>69791</v>
      </c>
      <c r="H257" s="114">
        <v>2353.1569</v>
      </c>
      <c r="I257" s="114">
        <v>100</v>
      </c>
      <c r="J257" s="115">
        <v>0.00140046296296296</v>
      </c>
      <c r="K257" s="114">
        <v>44.98</v>
      </c>
      <c r="L257" s="114">
        <v>1</v>
      </c>
      <c r="M257" s="114">
        <v>522926</v>
      </c>
      <c r="N257" s="114">
        <v>9.32</v>
      </c>
      <c r="O257" s="114">
        <v>47897</v>
      </c>
      <c r="P257" s="114">
        <v>38814</v>
      </c>
      <c r="Q257" s="114">
        <v>9083</v>
      </c>
      <c r="R257" s="114">
        <v>9083</v>
      </c>
      <c r="S257" s="114">
        <v>0</v>
      </c>
      <c r="T257" s="114">
        <v>357</v>
      </c>
      <c r="U257" s="114">
        <v>257</v>
      </c>
      <c r="V257" s="114">
        <v>146</v>
      </c>
      <c r="W257" s="114">
        <v>-2</v>
      </c>
      <c r="X257" s="114">
        <v>33</v>
      </c>
      <c r="Y257" s="114">
        <v>21</v>
      </c>
      <c r="Z257" s="114">
        <v>163002.246</v>
      </c>
      <c r="AA257" s="114">
        <v>0</v>
      </c>
      <c r="AB257" s="114">
        <v>0</v>
      </c>
      <c r="AC257" s="114">
        <v>2467.727</v>
      </c>
      <c r="AD257" s="114">
        <v>160417.478</v>
      </c>
      <c r="AE257" s="114">
        <v>291669.125</v>
      </c>
      <c r="AF257" s="114">
        <v>35897</v>
      </c>
      <c r="AG257" s="114">
        <v>8125.167</v>
      </c>
      <c r="AH257" s="114">
        <v>32464</v>
      </c>
      <c r="AI257" s="114">
        <v>2335.588</v>
      </c>
      <c r="AJ257" s="114">
        <v>0</v>
      </c>
      <c r="AK257" s="114">
        <v>0</v>
      </c>
      <c r="AL257" s="114">
        <v>0</v>
      </c>
      <c r="AM257" s="114">
        <v>0</v>
      </c>
      <c r="AN257" s="114">
        <v>757</v>
      </c>
      <c r="AO257" s="114">
        <v>22.2727</v>
      </c>
      <c r="AP257" s="114"/>
      <c r="AQ257" s="114">
        <v>0</v>
      </c>
      <c r="AR257" s="114"/>
      <c r="AS257" s="114"/>
      <c r="AT257" s="114"/>
      <c r="AU257" s="114"/>
      <c r="AV257" s="114">
        <v>0</v>
      </c>
      <c r="AW257" s="114">
        <v>0</v>
      </c>
      <c r="AX257" s="114">
        <v>0</v>
      </c>
      <c r="AY257" s="114">
        <v>0</v>
      </c>
      <c r="AZ257" s="114">
        <v>17</v>
      </c>
      <c r="BA257" s="114">
        <v>5318</v>
      </c>
      <c r="BB257" s="116"/>
      <c r="BC257" s="116"/>
      <c r="BD257" s="116"/>
      <c r="BE257" s="116"/>
      <c r="BF257" s="116"/>
      <c r="BG257" s="116"/>
      <c r="BH257" s="116"/>
      <c r="BI257" s="116"/>
      <c r="BJ257" s="117">
        <v>413276</v>
      </c>
      <c r="BK257" s="133">
        <v>100</v>
      </c>
      <c r="BL257" s="119"/>
      <c r="BM257" s="118">
        <v>0</v>
      </c>
      <c r="BN257" s="131"/>
      <c r="BO257" s="119"/>
      <c r="BP257" s="119"/>
      <c r="BQ257" s="119"/>
      <c r="BR257" s="119"/>
      <c r="BS257" s="119"/>
      <c r="BT257" s="119"/>
      <c r="BU257" s="119"/>
      <c r="BV257" s="119"/>
      <c r="BW257" s="119"/>
      <c r="BX257" s="119"/>
    </row>
    <row r="258" s="96" customFormat="1" ht="15.75" customHeight="1" spans="1:76">
      <c r="A258" s="111">
        <v>257</v>
      </c>
      <c r="B258" s="112" t="s">
        <v>46</v>
      </c>
      <c r="C258" s="112" t="s">
        <v>137</v>
      </c>
      <c r="D258" s="111">
        <v>2024</v>
      </c>
      <c r="E258" s="113" t="s">
        <v>36</v>
      </c>
      <c r="F258" s="114">
        <v>229174</v>
      </c>
      <c r="G258" s="114">
        <v>229174</v>
      </c>
      <c r="H258" s="114">
        <v>14038.843</v>
      </c>
      <c r="I258" s="114">
        <v>705</v>
      </c>
      <c r="J258" s="115">
        <v>0.0025462962962963</v>
      </c>
      <c r="K258" s="114">
        <v>46.8</v>
      </c>
      <c r="L258" s="114">
        <v>3</v>
      </c>
      <c r="M258" s="114">
        <v>2387959</v>
      </c>
      <c r="N258" s="114">
        <v>7.72</v>
      </c>
      <c r="O258" s="114">
        <v>186395</v>
      </c>
      <c r="P258" s="114">
        <v>162973</v>
      </c>
      <c r="Q258" s="114">
        <v>23422</v>
      </c>
      <c r="R258" s="114">
        <v>23422</v>
      </c>
      <c r="S258" s="114">
        <v>0</v>
      </c>
      <c r="T258" s="114">
        <v>1063</v>
      </c>
      <c r="U258" s="114">
        <v>358</v>
      </c>
      <c r="V258" s="114">
        <v>1099</v>
      </c>
      <c r="W258" s="114">
        <v>222</v>
      </c>
      <c r="X258" s="114">
        <v>182</v>
      </c>
      <c r="Y258" s="114">
        <v>1783</v>
      </c>
      <c r="Z258" s="114">
        <v>855863.921</v>
      </c>
      <c r="AA258" s="114">
        <v>0</v>
      </c>
      <c r="AB258" s="114">
        <v>0</v>
      </c>
      <c r="AC258" s="114">
        <v>17292.765</v>
      </c>
      <c r="AD258" s="114">
        <v>837595.255</v>
      </c>
      <c r="AE258" s="114">
        <v>1522902.073</v>
      </c>
      <c r="AF258" s="114">
        <v>148121</v>
      </c>
      <c r="AG258" s="114">
        <v>10281.473</v>
      </c>
      <c r="AH258" s="114">
        <v>125321</v>
      </c>
      <c r="AI258" s="114">
        <v>3734.562</v>
      </c>
      <c r="AJ258" s="114">
        <v>0</v>
      </c>
      <c r="AK258" s="114">
        <v>0</v>
      </c>
      <c r="AL258" s="114">
        <v>0</v>
      </c>
      <c r="AM258" s="114">
        <v>0</v>
      </c>
      <c r="AN258" s="114">
        <v>2618</v>
      </c>
      <c r="AO258" s="114">
        <v>163.0338</v>
      </c>
      <c r="AP258" s="114"/>
      <c r="AQ258" s="114">
        <v>0</v>
      </c>
      <c r="AR258" s="114"/>
      <c r="AS258" s="114"/>
      <c r="AT258" s="114"/>
      <c r="AU258" s="114"/>
      <c r="AV258" s="114">
        <v>0</v>
      </c>
      <c r="AW258" s="114">
        <v>0</v>
      </c>
      <c r="AX258" s="114">
        <v>0</v>
      </c>
      <c r="AY258" s="114">
        <v>0</v>
      </c>
      <c r="AZ258" s="114">
        <v>37</v>
      </c>
      <c r="BA258" s="114">
        <v>37007</v>
      </c>
      <c r="BB258" s="116"/>
      <c r="BC258" s="116"/>
      <c r="BD258" s="116"/>
      <c r="BE258" s="116"/>
      <c r="BF258" s="116"/>
      <c r="BG258" s="116"/>
      <c r="BH258" s="116"/>
      <c r="BI258" s="116"/>
      <c r="BJ258" s="117">
        <v>413981</v>
      </c>
      <c r="BK258" s="133">
        <v>705</v>
      </c>
      <c r="BL258" s="119"/>
      <c r="BM258" s="118">
        <v>0</v>
      </c>
      <c r="BN258" s="131"/>
      <c r="BO258" s="119"/>
      <c r="BP258" s="119"/>
      <c r="BQ258" s="119"/>
      <c r="BR258" s="119"/>
      <c r="BS258" s="119"/>
      <c r="BT258" s="119"/>
      <c r="BU258" s="119"/>
      <c r="BV258" s="119"/>
      <c r="BW258" s="119"/>
      <c r="BX258" s="119"/>
    </row>
    <row r="259" s="96" customFormat="1" ht="15.75" customHeight="1" spans="1:76">
      <c r="A259" s="111">
        <v>258</v>
      </c>
      <c r="B259" s="112" t="s">
        <v>46</v>
      </c>
      <c r="C259" s="112" t="s">
        <v>137</v>
      </c>
      <c r="D259" s="111">
        <v>2024</v>
      </c>
      <c r="E259" s="113" t="s">
        <v>37</v>
      </c>
      <c r="F259" s="114">
        <v>106604</v>
      </c>
      <c r="G259" s="114">
        <v>106604</v>
      </c>
      <c r="H259" s="114">
        <v>4230.8781</v>
      </c>
      <c r="I259" s="114">
        <v>321</v>
      </c>
      <c r="J259" s="115">
        <v>0.00164351851851852</v>
      </c>
      <c r="K259" s="114">
        <v>43.38</v>
      </c>
      <c r="L259" s="114"/>
      <c r="M259" s="114">
        <v>949929</v>
      </c>
      <c r="N259" s="114">
        <v>8.75</v>
      </c>
      <c r="O259" s="114">
        <v>74473</v>
      </c>
      <c r="P259" s="114">
        <v>59447</v>
      </c>
      <c r="Q259" s="114">
        <v>15026</v>
      </c>
      <c r="R259" s="114">
        <v>15026</v>
      </c>
      <c r="S259" s="114">
        <v>0</v>
      </c>
      <c r="T259" s="114">
        <v>638</v>
      </c>
      <c r="U259" s="114">
        <v>317</v>
      </c>
      <c r="V259" s="114">
        <v>381</v>
      </c>
      <c r="W259" s="114">
        <v>-19</v>
      </c>
      <c r="X259" s="114">
        <v>59</v>
      </c>
      <c r="Y259" s="114">
        <v>110</v>
      </c>
      <c r="Z259" s="114">
        <v>280867.767</v>
      </c>
      <c r="AA259" s="114">
        <v>0</v>
      </c>
      <c r="AB259" s="114">
        <v>0</v>
      </c>
      <c r="AC259" s="114">
        <v>4424.131</v>
      </c>
      <c r="AD259" s="114">
        <v>276415.74</v>
      </c>
      <c r="AE259" s="114">
        <v>502574.262</v>
      </c>
      <c r="AF259" s="114">
        <v>56974</v>
      </c>
      <c r="AG259" s="114">
        <v>8821.116</v>
      </c>
      <c r="AH259" s="114">
        <v>51836</v>
      </c>
      <c r="AI259" s="114">
        <v>2634.684</v>
      </c>
      <c r="AJ259" s="114">
        <v>0</v>
      </c>
      <c r="AK259" s="114">
        <v>0</v>
      </c>
      <c r="AL259" s="114">
        <v>0</v>
      </c>
      <c r="AM259" s="114">
        <v>0</v>
      </c>
      <c r="AN259" s="114">
        <v>1038</v>
      </c>
      <c r="AO259" s="114">
        <v>40.5862</v>
      </c>
      <c r="AP259" s="114"/>
      <c r="AQ259" s="114">
        <v>0</v>
      </c>
      <c r="AR259" s="114"/>
      <c r="AS259" s="114"/>
      <c r="AT259" s="114"/>
      <c r="AU259" s="114"/>
      <c r="AV259" s="114">
        <v>2</v>
      </c>
      <c r="AW259" s="114">
        <v>0.0355</v>
      </c>
      <c r="AX259" s="114">
        <v>0</v>
      </c>
      <c r="AY259" s="114">
        <v>0</v>
      </c>
      <c r="AZ259" s="114">
        <v>18</v>
      </c>
      <c r="BA259" s="114">
        <v>8033</v>
      </c>
      <c r="BB259" s="116"/>
      <c r="BC259" s="116"/>
      <c r="BD259" s="116"/>
      <c r="BE259" s="116"/>
      <c r="BF259" s="116"/>
      <c r="BG259" s="116"/>
      <c r="BH259" s="116"/>
      <c r="BI259" s="116"/>
      <c r="BJ259" s="117">
        <v>414302</v>
      </c>
      <c r="BK259" s="133">
        <v>321</v>
      </c>
      <c r="BL259" s="119"/>
      <c r="BM259" s="118">
        <v>0</v>
      </c>
      <c r="BN259" s="131"/>
      <c r="BO259" s="119"/>
      <c r="BP259" s="119"/>
      <c r="BQ259" s="119"/>
      <c r="BR259" s="119"/>
      <c r="BS259" s="119"/>
      <c r="BT259" s="119"/>
      <c r="BU259" s="119"/>
      <c r="BV259" s="119"/>
      <c r="BW259" s="119"/>
      <c r="BX259" s="119"/>
    </row>
    <row r="260" s="96" customFormat="1" ht="15.75" customHeight="1" spans="1:76">
      <c r="A260" s="111">
        <v>259</v>
      </c>
      <c r="B260" s="112" t="s">
        <v>46</v>
      </c>
      <c r="C260" s="112" t="s">
        <v>137</v>
      </c>
      <c r="D260" s="111">
        <v>2024</v>
      </c>
      <c r="E260" s="113" t="s">
        <v>38</v>
      </c>
      <c r="F260" s="114">
        <v>120622</v>
      </c>
      <c r="G260" s="114">
        <v>120622</v>
      </c>
      <c r="H260" s="114">
        <v>4650.868</v>
      </c>
      <c r="I260" s="114">
        <v>258</v>
      </c>
      <c r="J260" s="115">
        <v>0.00159722222222222</v>
      </c>
      <c r="K260" s="114">
        <v>41.87</v>
      </c>
      <c r="L260" s="114"/>
      <c r="M260" s="114">
        <v>1046931</v>
      </c>
      <c r="N260" s="114">
        <v>9.07</v>
      </c>
      <c r="O260" s="114">
        <v>85609</v>
      </c>
      <c r="P260" s="114">
        <v>69340</v>
      </c>
      <c r="Q260" s="114">
        <v>16269</v>
      </c>
      <c r="R260" s="114">
        <v>16269</v>
      </c>
      <c r="S260" s="114">
        <v>0</v>
      </c>
      <c r="T260" s="114">
        <v>576</v>
      </c>
      <c r="U260" s="114">
        <v>318</v>
      </c>
      <c r="V260" s="114">
        <v>309</v>
      </c>
      <c r="W260" s="114">
        <v>-12</v>
      </c>
      <c r="X260" s="114">
        <v>89</v>
      </c>
      <c r="Y260" s="114">
        <v>155</v>
      </c>
      <c r="Z260" s="114">
        <v>261466.819</v>
      </c>
      <c r="AA260" s="114">
        <v>0</v>
      </c>
      <c r="AB260" s="114">
        <v>0</v>
      </c>
      <c r="AC260" s="114">
        <v>3791.664</v>
      </c>
      <c r="AD260" s="114">
        <v>257642.544</v>
      </c>
      <c r="AE260" s="114">
        <v>468443.533</v>
      </c>
      <c r="AF260" s="114">
        <v>64081</v>
      </c>
      <c r="AG260" s="114">
        <v>7310.178</v>
      </c>
      <c r="AH260" s="114">
        <v>58734</v>
      </c>
      <c r="AI260" s="114">
        <v>2167.661</v>
      </c>
      <c r="AJ260" s="114">
        <v>0</v>
      </c>
      <c r="AK260" s="114">
        <v>0</v>
      </c>
      <c r="AL260" s="114">
        <v>0</v>
      </c>
      <c r="AM260" s="114">
        <v>0</v>
      </c>
      <c r="AN260" s="114">
        <v>1008</v>
      </c>
      <c r="AO260" s="114">
        <v>39.9818</v>
      </c>
      <c r="AP260" s="114"/>
      <c r="AQ260" s="114">
        <v>0</v>
      </c>
      <c r="AR260" s="114"/>
      <c r="AS260" s="114"/>
      <c r="AT260" s="114"/>
      <c r="AU260" s="114"/>
      <c r="AV260" s="114">
        <v>0</v>
      </c>
      <c r="AW260" s="114">
        <v>0</v>
      </c>
      <c r="AX260" s="114">
        <v>2</v>
      </c>
      <c r="AY260" s="114">
        <v>20</v>
      </c>
      <c r="AZ260" s="114">
        <v>24</v>
      </c>
      <c r="BA260" s="114">
        <v>10836</v>
      </c>
      <c r="BB260" s="116"/>
      <c r="BC260" s="116"/>
      <c r="BD260" s="116"/>
      <c r="BE260" s="116"/>
      <c r="BF260" s="116"/>
      <c r="BG260" s="116"/>
      <c r="BH260" s="116"/>
      <c r="BI260" s="116"/>
      <c r="BJ260" s="117">
        <v>414560</v>
      </c>
      <c r="BK260" s="133">
        <v>258</v>
      </c>
      <c r="BL260" s="119"/>
      <c r="BM260" s="118">
        <v>0</v>
      </c>
      <c r="BN260" s="131"/>
      <c r="BO260" s="119"/>
      <c r="BP260" s="119"/>
      <c r="BQ260" s="119"/>
      <c r="BR260" s="119"/>
      <c r="BS260" s="119"/>
      <c r="BT260" s="119"/>
      <c r="BU260" s="119"/>
      <c r="BV260" s="119"/>
      <c r="BW260" s="119"/>
      <c r="BX260" s="119"/>
    </row>
    <row r="261" s="96" customFormat="1" ht="15.75" customHeight="1" spans="1:76">
      <c r="A261" s="111">
        <v>260</v>
      </c>
      <c r="B261" s="112" t="s">
        <v>46</v>
      </c>
      <c r="C261" s="112" t="s">
        <v>137</v>
      </c>
      <c r="D261" s="111">
        <v>2024</v>
      </c>
      <c r="E261" s="113" t="s">
        <v>39</v>
      </c>
      <c r="F261" s="114">
        <v>123297</v>
      </c>
      <c r="G261" s="114">
        <v>123297</v>
      </c>
      <c r="H261" s="114">
        <v>4152.9247</v>
      </c>
      <c r="I261" s="114">
        <v>211</v>
      </c>
      <c r="J261" s="115">
        <v>0.00140046296296296</v>
      </c>
      <c r="K261" s="114">
        <v>41.46</v>
      </c>
      <c r="L261" s="114">
        <v>26</v>
      </c>
      <c r="M261" s="114">
        <v>1123342</v>
      </c>
      <c r="N261" s="114">
        <v>7.42</v>
      </c>
      <c r="O261" s="114">
        <v>81776</v>
      </c>
      <c r="P261" s="114">
        <v>64971</v>
      </c>
      <c r="Q261" s="114">
        <v>16805</v>
      </c>
      <c r="R261" s="114">
        <v>16805</v>
      </c>
      <c r="S261" s="114">
        <v>0</v>
      </c>
      <c r="T261" s="114">
        <v>571</v>
      </c>
      <c r="U261" s="114">
        <v>360</v>
      </c>
      <c r="V261" s="114">
        <v>297</v>
      </c>
      <c r="W261" s="114">
        <v>8</v>
      </c>
      <c r="X261" s="114">
        <v>78</v>
      </c>
      <c r="Y261" s="114">
        <v>94</v>
      </c>
      <c r="Z261" s="114">
        <v>258836.095</v>
      </c>
      <c r="AA261" s="114">
        <v>0</v>
      </c>
      <c r="AB261" s="114">
        <v>0</v>
      </c>
      <c r="AC261" s="114">
        <v>3701.713</v>
      </c>
      <c r="AD261" s="114">
        <v>252398.506</v>
      </c>
      <c r="AE261" s="114">
        <v>458906.195</v>
      </c>
      <c r="AF261" s="114">
        <v>63934</v>
      </c>
      <c r="AG261" s="114">
        <v>7177.811</v>
      </c>
      <c r="AH261" s="114">
        <v>58496</v>
      </c>
      <c r="AI261" s="114">
        <v>2099.288</v>
      </c>
      <c r="AJ261" s="114">
        <v>0</v>
      </c>
      <c r="AK261" s="114">
        <v>0</v>
      </c>
      <c r="AL261" s="114">
        <v>0</v>
      </c>
      <c r="AM261" s="114">
        <v>0</v>
      </c>
      <c r="AN261" s="114">
        <v>1260</v>
      </c>
      <c r="AO261" s="114">
        <v>39.5431</v>
      </c>
      <c r="AP261" s="114"/>
      <c r="AQ261" s="114">
        <v>0</v>
      </c>
      <c r="AR261" s="114"/>
      <c r="AS261" s="114"/>
      <c r="AT261" s="114"/>
      <c r="AU261" s="114">
        <v>49</v>
      </c>
      <c r="AV261" s="114">
        <v>0</v>
      </c>
      <c r="AW261" s="114">
        <v>0</v>
      </c>
      <c r="AX261" s="114">
        <v>8</v>
      </c>
      <c r="AY261" s="114">
        <v>40</v>
      </c>
      <c r="AZ261" s="114">
        <v>16</v>
      </c>
      <c r="BA261" s="114">
        <v>5279</v>
      </c>
      <c r="BB261" s="116"/>
      <c r="BC261" s="116"/>
      <c r="BD261" s="116"/>
      <c r="BE261" s="116"/>
      <c r="BF261" s="116"/>
      <c r="BG261" s="116"/>
      <c r="BH261" s="116"/>
      <c r="BI261" s="116"/>
      <c r="BJ261" s="117">
        <v>414771</v>
      </c>
      <c r="BK261" s="133">
        <v>211</v>
      </c>
      <c r="BL261" s="119"/>
      <c r="BM261" s="118">
        <v>0</v>
      </c>
      <c r="BN261" s="131"/>
      <c r="BO261" s="119"/>
      <c r="BP261" s="119"/>
      <c r="BQ261" s="119"/>
      <c r="BR261" s="119"/>
      <c r="BS261" s="119"/>
      <c r="BT261" s="119"/>
      <c r="BU261" s="119"/>
      <c r="BV261" s="119"/>
      <c r="BW261" s="119"/>
      <c r="BX261" s="119"/>
    </row>
    <row r="262" s="96" customFormat="1" ht="15.75" customHeight="1" spans="1:76">
      <c r="A262" s="111">
        <v>261</v>
      </c>
      <c r="B262" s="112" t="s">
        <v>46</v>
      </c>
      <c r="C262" s="112" t="s">
        <v>137</v>
      </c>
      <c r="D262" s="111">
        <v>2024</v>
      </c>
      <c r="E262" s="113" t="s">
        <v>40</v>
      </c>
      <c r="F262" s="114">
        <v>245186</v>
      </c>
      <c r="G262" s="114">
        <v>245186</v>
      </c>
      <c r="H262" s="114">
        <v>4736.958</v>
      </c>
      <c r="I262" s="114">
        <v>307</v>
      </c>
      <c r="J262" s="115">
        <v>0.000798611111111111</v>
      </c>
      <c r="K262" s="114">
        <v>45.25</v>
      </c>
      <c r="L262" s="114">
        <v>50</v>
      </c>
      <c r="M262" s="114">
        <v>1273295</v>
      </c>
      <c r="N262" s="114">
        <v>6.76</v>
      </c>
      <c r="O262" s="114">
        <v>188115</v>
      </c>
      <c r="P262" s="114">
        <v>168558</v>
      </c>
      <c r="Q262" s="114">
        <v>19557</v>
      </c>
      <c r="R262" s="114">
        <v>19557</v>
      </c>
      <c r="S262" s="114">
        <v>0</v>
      </c>
      <c r="T262" s="114">
        <v>677</v>
      </c>
      <c r="U262" s="114">
        <v>370</v>
      </c>
      <c r="V262" s="114">
        <v>1934</v>
      </c>
      <c r="W262" s="114">
        <v>102</v>
      </c>
      <c r="X262" s="114">
        <v>98</v>
      </c>
      <c r="Y262" s="114">
        <v>82</v>
      </c>
      <c r="Z262" s="114">
        <v>241201.128</v>
      </c>
      <c r="AA262" s="114">
        <v>0</v>
      </c>
      <c r="AB262" s="114">
        <v>0</v>
      </c>
      <c r="AC262" s="114">
        <v>4484.807</v>
      </c>
      <c r="AD262" s="114">
        <v>209039.082</v>
      </c>
      <c r="AE262" s="114">
        <v>380070.585</v>
      </c>
      <c r="AF262" s="114">
        <v>55367</v>
      </c>
      <c r="AG262" s="114">
        <v>6864.569</v>
      </c>
      <c r="AH262" s="114">
        <v>50540</v>
      </c>
      <c r="AI262" s="114">
        <v>983.747</v>
      </c>
      <c r="AJ262" s="114">
        <v>0</v>
      </c>
      <c r="AK262" s="114">
        <v>0</v>
      </c>
      <c r="AL262" s="114">
        <v>0</v>
      </c>
      <c r="AM262" s="114">
        <v>0</v>
      </c>
      <c r="AN262" s="114">
        <v>4621</v>
      </c>
      <c r="AO262" s="114">
        <v>53.2348</v>
      </c>
      <c r="AP262" s="114"/>
      <c r="AQ262" s="114">
        <v>0</v>
      </c>
      <c r="AR262" s="114"/>
      <c r="AS262" s="114"/>
      <c r="AT262" s="114"/>
      <c r="AU262" s="114">
        <v>1</v>
      </c>
      <c r="AV262" s="114">
        <v>0</v>
      </c>
      <c r="AW262" s="114">
        <v>0</v>
      </c>
      <c r="AX262" s="114">
        <v>2</v>
      </c>
      <c r="AY262" s="114">
        <v>31</v>
      </c>
      <c r="AZ262" s="114">
        <v>16</v>
      </c>
      <c r="BA262" s="114">
        <v>3387</v>
      </c>
      <c r="BB262" s="116"/>
      <c r="BC262" s="116"/>
      <c r="BD262" s="116"/>
      <c r="BE262" s="116"/>
      <c r="BF262" s="116"/>
      <c r="BG262" s="116"/>
      <c r="BH262" s="116"/>
      <c r="BI262" s="116"/>
      <c r="BJ262" s="117">
        <v>415078</v>
      </c>
      <c r="BK262" s="133">
        <v>307</v>
      </c>
      <c r="BL262" s="119"/>
      <c r="BM262" s="118">
        <v>0</v>
      </c>
      <c r="BN262" s="131"/>
      <c r="BO262" s="119"/>
      <c r="BP262" s="119"/>
      <c r="BQ262" s="119"/>
      <c r="BR262" s="119"/>
      <c r="BS262" s="119"/>
      <c r="BT262" s="119"/>
      <c r="BU262" s="119"/>
      <c r="BV262" s="119"/>
      <c r="BW262" s="119"/>
      <c r="BX262" s="119"/>
    </row>
    <row r="263" s="96" customFormat="1" ht="15.75" customHeight="1" spans="1:76">
      <c r="A263" s="111">
        <v>262</v>
      </c>
      <c r="B263" s="112" t="s">
        <v>46</v>
      </c>
      <c r="C263" s="112" t="s">
        <v>137</v>
      </c>
      <c r="D263" s="111">
        <v>2024</v>
      </c>
      <c r="E263" s="113" t="s">
        <v>41</v>
      </c>
      <c r="F263" s="114">
        <v>97029</v>
      </c>
      <c r="G263" s="114">
        <v>97029</v>
      </c>
      <c r="H263" s="114">
        <v>2865.3924</v>
      </c>
      <c r="I263" s="114">
        <v>174</v>
      </c>
      <c r="J263" s="115">
        <v>0.00122685185185185</v>
      </c>
      <c r="K263" s="114">
        <v>34.38</v>
      </c>
      <c r="L263" s="114">
        <v>23</v>
      </c>
      <c r="M263" s="114">
        <v>889111</v>
      </c>
      <c r="N263" s="114">
        <v>8.09</v>
      </c>
      <c r="O263" s="114">
        <v>69838</v>
      </c>
      <c r="P263" s="114">
        <v>57530</v>
      </c>
      <c r="Q263" s="114">
        <v>12308</v>
      </c>
      <c r="R263" s="114">
        <v>12308</v>
      </c>
      <c r="S263" s="114">
        <v>0</v>
      </c>
      <c r="T263" s="114">
        <v>447</v>
      </c>
      <c r="U263" s="114">
        <v>273</v>
      </c>
      <c r="V263" s="114">
        <v>371</v>
      </c>
      <c r="W263" s="114">
        <v>-25</v>
      </c>
      <c r="X263" s="114">
        <v>65</v>
      </c>
      <c r="Y263" s="114">
        <v>57</v>
      </c>
      <c r="Z263" s="114">
        <v>151289.088</v>
      </c>
      <c r="AA263" s="114">
        <v>0</v>
      </c>
      <c r="AB263" s="114">
        <v>0</v>
      </c>
      <c r="AC263" s="114">
        <v>2338.511</v>
      </c>
      <c r="AD263" s="114">
        <v>146562.027</v>
      </c>
      <c r="AE263" s="114">
        <v>266478.005</v>
      </c>
      <c r="AF263" s="114">
        <v>34888</v>
      </c>
      <c r="AG263" s="114">
        <v>7638.099</v>
      </c>
      <c r="AH263" s="114">
        <v>31901</v>
      </c>
      <c r="AI263" s="114">
        <v>1559.221</v>
      </c>
      <c r="AJ263" s="114">
        <v>0</v>
      </c>
      <c r="AK263" s="114">
        <v>0</v>
      </c>
      <c r="AL263" s="114">
        <v>0</v>
      </c>
      <c r="AM263" s="114">
        <v>0</v>
      </c>
      <c r="AN263" s="114">
        <v>835</v>
      </c>
      <c r="AO263" s="114">
        <v>22.2368</v>
      </c>
      <c r="AP263" s="114">
        <v>0.7004</v>
      </c>
      <c r="AQ263" s="114">
        <v>5</v>
      </c>
      <c r="AR263" s="114">
        <v>0</v>
      </c>
      <c r="AS263" s="114">
        <v>0</v>
      </c>
      <c r="AT263" s="114"/>
      <c r="AU263" s="114">
        <v>1</v>
      </c>
      <c r="AV263" s="114">
        <v>1</v>
      </c>
      <c r="AW263" s="114">
        <v>0.0029</v>
      </c>
      <c r="AX263" s="114">
        <v>0</v>
      </c>
      <c r="AY263" s="114">
        <v>2</v>
      </c>
      <c r="AZ263" s="114">
        <v>17</v>
      </c>
      <c r="BA263" s="114">
        <v>2415</v>
      </c>
      <c r="BB263" s="116"/>
      <c r="BC263" s="116"/>
      <c r="BD263" s="116"/>
      <c r="BE263" s="116"/>
      <c r="BF263" s="116"/>
      <c r="BG263" s="116"/>
      <c r="BH263" s="116"/>
      <c r="BI263" s="116"/>
      <c r="BJ263" s="117">
        <v>415252</v>
      </c>
      <c r="BK263" s="133">
        <v>174</v>
      </c>
      <c r="BL263" s="119"/>
      <c r="BM263" s="118">
        <v>0</v>
      </c>
      <c r="BN263" s="131"/>
      <c r="BO263" s="119"/>
      <c r="BP263" s="119"/>
      <c r="BQ263" s="119"/>
      <c r="BR263" s="119"/>
      <c r="BS263" s="119"/>
      <c r="BT263" s="119"/>
      <c r="BU263" s="119"/>
      <c r="BV263" s="119"/>
      <c r="BW263" s="119"/>
      <c r="BX263" s="119"/>
    </row>
    <row r="264" s="96" customFormat="1" ht="15.75" customHeight="1" spans="1:76">
      <c r="A264" s="111">
        <v>263</v>
      </c>
      <c r="B264" s="112" t="s">
        <v>46</v>
      </c>
      <c r="C264" s="112" t="s">
        <v>137</v>
      </c>
      <c r="D264" s="111">
        <v>2024</v>
      </c>
      <c r="E264" s="113" t="s">
        <v>42</v>
      </c>
      <c r="F264" s="114">
        <v>93213</v>
      </c>
      <c r="G264" s="114">
        <v>93213</v>
      </c>
      <c r="H264" s="114">
        <v>2617.8598</v>
      </c>
      <c r="I264" s="114">
        <v>172</v>
      </c>
      <c r="J264" s="115">
        <v>0.00116898148148148</v>
      </c>
      <c r="K264" s="114">
        <v>42.69</v>
      </c>
      <c r="L264" s="114">
        <v>34</v>
      </c>
      <c r="M264" s="114">
        <v>792408</v>
      </c>
      <c r="N264" s="114">
        <v>8.49</v>
      </c>
      <c r="O264" s="114">
        <v>67774</v>
      </c>
      <c r="P264" s="114">
        <v>53980</v>
      </c>
      <c r="Q264" s="114">
        <v>13794</v>
      </c>
      <c r="R264" s="114">
        <v>13794</v>
      </c>
      <c r="S264" s="114">
        <v>0</v>
      </c>
      <c r="T264" s="114">
        <v>432</v>
      </c>
      <c r="U264" s="114">
        <v>260</v>
      </c>
      <c r="V264" s="114">
        <v>170</v>
      </c>
      <c r="W264" s="114">
        <v>-28</v>
      </c>
      <c r="X264" s="114">
        <v>39</v>
      </c>
      <c r="Y264" s="114">
        <v>27</v>
      </c>
      <c r="Z264" s="114">
        <v>180709.172</v>
      </c>
      <c r="AA264" s="114">
        <v>0</v>
      </c>
      <c r="AB264" s="114">
        <v>0</v>
      </c>
      <c r="AC264" s="114">
        <v>2763.327</v>
      </c>
      <c r="AD264" s="114">
        <v>174341.654</v>
      </c>
      <c r="AE264" s="114">
        <v>316983.838</v>
      </c>
      <c r="AF264" s="114">
        <v>42023</v>
      </c>
      <c r="AG264" s="114">
        <v>7543.103</v>
      </c>
      <c r="AH264" s="114">
        <v>37759</v>
      </c>
      <c r="AI264" s="114">
        <v>1938.666</v>
      </c>
      <c r="AJ264" s="114">
        <v>1</v>
      </c>
      <c r="AK264" s="114">
        <v>482</v>
      </c>
      <c r="AL264" s="114">
        <v>0</v>
      </c>
      <c r="AM264" s="114">
        <v>0</v>
      </c>
      <c r="AN264" s="114">
        <v>851</v>
      </c>
      <c r="AO264" s="114">
        <v>19.7374</v>
      </c>
      <c r="AP264" s="114"/>
      <c r="AQ264" s="114">
        <v>0</v>
      </c>
      <c r="AR264" s="114"/>
      <c r="AS264" s="114"/>
      <c r="AT264" s="114"/>
      <c r="AU264" s="114"/>
      <c r="AV264" s="114">
        <v>0</v>
      </c>
      <c r="AW264" s="114">
        <v>0</v>
      </c>
      <c r="AX264" s="114">
        <v>0</v>
      </c>
      <c r="AY264" s="114">
        <v>2</v>
      </c>
      <c r="AZ264" s="114">
        <v>18</v>
      </c>
      <c r="BA264" s="114">
        <v>4683</v>
      </c>
      <c r="BB264" s="116"/>
      <c r="BC264" s="116"/>
      <c r="BD264" s="116"/>
      <c r="BE264" s="116"/>
      <c r="BF264" s="116"/>
      <c r="BG264" s="116"/>
      <c r="BH264" s="116"/>
      <c r="BI264" s="116"/>
      <c r="BJ264" s="117">
        <v>415424</v>
      </c>
      <c r="BK264" s="133">
        <v>172</v>
      </c>
      <c r="BL264" s="119"/>
      <c r="BM264" s="118">
        <v>0</v>
      </c>
      <c r="BN264" s="131"/>
      <c r="BO264" s="119"/>
      <c r="BP264" s="119"/>
      <c r="BQ264" s="119"/>
      <c r="BR264" s="119"/>
      <c r="BS264" s="119"/>
      <c r="BT264" s="119"/>
      <c r="BU264" s="119"/>
      <c r="BV264" s="119"/>
      <c r="BW264" s="119"/>
      <c r="BX264" s="119"/>
    </row>
    <row r="265" s="96" customFormat="1" ht="15.75" customHeight="1" spans="1:76">
      <c r="A265" s="111">
        <v>264</v>
      </c>
      <c r="B265" s="112" t="s">
        <v>46</v>
      </c>
      <c r="C265" s="112" t="s">
        <v>137</v>
      </c>
      <c r="D265" s="111">
        <v>2024</v>
      </c>
      <c r="E265" s="113" t="s">
        <v>43</v>
      </c>
      <c r="F265" s="114">
        <v>172836</v>
      </c>
      <c r="G265" s="114">
        <v>172836</v>
      </c>
      <c r="H265" s="114">
        <v>3483.2966</v>
      </c>
      <c r="I265" s="114">
        <v>370</v>
      </c>
      <c r="J265" s="115">
        <v>0.000833333333333333</v>
      </c>
      <c r="K265" s="114">
        <v>43.9</v>
      </c>
      <c r="L265" s="114">
        <v>157</v>
      </c>
      <c r="M265" s="114">
        <v>1550634</v>
      </c>
      <c r="N265" s="114">
        <v>6.31</v>
      </c>
      <c r="O265" s="114">
        <v>136066</v>
      </c>
      <c r="P265" s="114">
        <v>122293</v>
      </c>
      <c r="Q265" s="114">
        <v>13773</v>
      </c>
      <c r="R265" s="114">
        <v>13773</v>
      </c>
      <c r="S265" s="114">
        <v>0</v>
      </c>
      <c r="T265" s="114">
        <v>674</v>
      </c>
      <c r="U265" s="114">
        <v>304</v>
      </c>
      <c r="V265" s="114">
        <v>1159</v>
      </c>
      <c r="W265" s="114">
        <v>41</v>
      </c>
      <c r="X265" s="114">
        <v>152</v>
      </c>
      <c r="Y265" s="114">
        <v>172</v>
      </c>
      <c r="Z265" s="114">
        <v>313083.526</v>
      </c>
      <c r="AA265" s="114">
        <v>0</v>
      </c>
      <c r="AB265" s="114">
        <v>0</v>
      </c>
      <c r="AC265" s="114">
        <v>3228.351</v>
      </c>
      <c r="AD265" s="114">
        <v>295166.622</v>
      </c>
      <c r="AE265" s="114">
        <v>536665.838</v>
      </c>
      <c r="AF265" s="114">
        <v>55807</v>
      </c>
      <c r="AG265" s="114">
        <v>9616.461</v>
      </c>
      <c r="AH265" s="114">
        <v>49677</v>
      </c>
      <c r="AI265" s="114">
        <v>1811.448</v>
      </c>
      <c r="AJ265" s="114">
        <v>0</v>
      </c>
      <c r="AK265" s="114">
        <v>7</v>
      </c>
      <c r="AL265" s="114">
        <v>0</v>
      </c>
      <c r="AM265" s="114">
        <v>0</v>
      </c>
      <c r="AN265" s="114">
        <v>1610</v>
      </c>
      <c r="AO265" s="114">
        <v>27.2855</v>
      </c>
      <c r="AP265" s="114"/>
      <c r="AQ265" s="114">
        <v>0</v>
      </c>
      <c r="AR265" s="114"/>
      <c r="AS265" s="114"/>
      <c r="AT265" s="114">
        <v>2</v>
      </c>
      <c r="AU265" s="114">
        <v>1</v>
      </c>
      <c r="AV265" s="114">
        <v>0</v>
      </c>
      <c r="AW265" s="114">
        <v>0</v>
      </c>
      <c r="AX265" s="114">
        <v>1</v>
      </c>
      <c r="AY265" s="114">
        <v>5</v>
      </c>
      <c r="AZ265" s="114">
        <v>10</v>
      </c>
      <c r="BA265" s="114">
        <v>1911</v>
      </c>
      <c r="BB265" s="116"/>
      <c r="BC265" s="116"/>
      <c r="BD265" s="116"/>
      <c r="BE265" s="116"/>
      <c r="BF265" s="116"/>
      <c r="BG265" s="116"/>
      <c r="BH265" s="116"/>
      <c r="BI265" s="116"/>
      <c r="BJ265" s="117">
        <v>415794</v>
      </c>
      <c r="BK265" s="133">
        <v>370</v>
      </c>
      <c r="BL265" s="119"/>
      <c r="BM265" s="118">
        <v>0</v>
      </c>
      <c r="BN265" s="131"/>
      <c r="BO265" s="119"/>
      <c r="BP265" s="119"/>
      <c r="BQ265" s="119"/>
      <c r="BR265" s="119"/>
      <c r="BS265" s="119"/>
      <c r="BT265" s="119"/>
      <c r="BU265" s="119"/>
      <c r="BV265" s="119"/>
      <c r="BW265" s="119"/>
      <c r="BX265" s="119"/>
    </row>
    <row r="266" s="96" customFormat="1" ht="15.75" customHeight="1" spans="1:76">
      <c r="A266" s="111">
        <v>265</v>
      </c>
      <c r="B266" s="112" t="s">
        <v>46</v>
      </c>
      <c r="C266" s="112" t="s">
        <v>137</v>
      </c>
      <c r="D266" s="111">
        <v>2025</v>
      </c>
      <c r="E266" s="113" t="s">
        <v>31</v>
      </c>
      <c r="F266" s="114">
        <v>91812</v>
      </c>
      <c r="G266" s="114">
        <v>91812</v>
      </c>
      <c r="H266" s="114">
        <v>2139.9524</v>
      </c>
      <c r="I266" s="114">
        <v>122</v>
      </c>
      <c r="J266" s="115">
        <v>0.000960648148148148</v>
      </c>
      <c r="K266" s="114">
        <v>40.61</v>
      </c>
      <c r="L266" s="114">
        <v>129</v>
      </c>
      <c r="M266" s="114">
        <v>1634351</v>
      </c>
      <c r="N266" s="114">
        <v>4</v>
      </c>
      <c r="O266" s="114">
        <v>70593</v>
      </c>
      <c r="P266" s="114">
        <v>59976</v>
      </c>
      <c r="Q266" s="114">
        <v>10617</v>
      </c>
      <c r="R266" s="114">
        <v>10617</v>
      </c>
      <c r="S266" s="114">
        <v>0</v>
      </c>
      <c r="T266" s="114">
        <v>405</v>
      </c>
      <c r="U266" s="114">
        <v>283</v>
      </c>
      <c r="V266" s="114">
        <v>395</v>
      </c>
      <c r="W266" s="114">
        <v>-1</v>
      </c>
      <c r="X266" s="114">
        <v>86</v>
      </c>
      <c r="Y266" s="114">
        <v>34</v>
      </c>
      <c r="Z266" s="114">
        <v>139136.912</v>
      </c>
      <c r="AA266" s="114">
        <v>0</v>
      </c>
      <c r="AB266" s="114">
        <v>0</v>
      </c>
      <c r="AC266" s="114">
        <v>2504.699</v>
      </c>
      <c r="AD266" s="114">
        <v>133395.634</v>
      </c>
      <c r="AE266" s="114">
        <v>242542.344</v>
      </c>
      <c r="AF266" s="114">
        <v>28617</v>
      </c>
      <c r="AG266" s="114">
        <v>8475.464</v>
      </c>
      <c r="AH266" s="114">
        <v>26340</v>
      </c>
      <c r="AI266" s="114">
        <v>1515.452</v>
      </c>
      <c r="AJ266" s="114">
        <v>0</v>
      </c>
      <c r="AK266" s="114">
        <v>2</v>
      </c>
      <c r="AL266" s="114">
        <v>0</v>
      </c>
      <c r="AM266" s="114">
        <v>0</v>
      </c>
      <c r="AN266" s="114">
        <v>1483</v>
      </c>
      <c r="AO266" s="114">
        <v>30.4238</v>
      </c>
      <c r="AP266" s="114"/>
      <c r="AQ266" s="114">
        <v>0</v>
      </c>
      <c r="AR266" s="114"/>
      <c r="AS266" s="114"/>
      <c r="AT266" s="114"/>
      <c r="AU266" s="114"/>
      <c r="AV266" s="114">
        <v>0</v>
      </c>
      <c r="AW266" s="114">
        <v>0</v>
      </c>
      <c r="AX266" s="114">
        <v>0</v>
      </c>
      <c r="AY266" s="114">
        <v>4</v>
      </c>
      <c r="AZ266" s="114">
        <v>6</v>
      </c>
      <c r="BA266" s="114">
        <v>405</v>
      </c>
      <c r="BB266" s="116"/>
      <c r="BC266" s="116"/>
      <c r="BD266" s="116"/>
      <c r="BE266" s="116"/>
      <c r="BF266" s="116"/>
      <c r="BG266" s="116"/>
      <c r="BH266" s="116"/>
      <c r="BI266" s="116"/>
      <c r="BJ266" s="117">
        <v>415916</v>
      </c>
      <c r="BK266" s="133">
        <v>122</v>
      </c>
      <c r="BL266" s="117">
        <v>44957</v>
      </c>
      <c r="BM266" s="118">
        <v>72420</v>
      </c>
      <c r="BN266" s="118">
        <v>4.26</v>
      </c>
      <c r="BO266" s="119"/>
      <c r="BP266" s="119"/>
      <c r="BQ266" s="119"/>
      <c r="BR266" s="119"/>
      <c r="BS266" s="119"/>
      <c r="BT266" s="119"/>
      <c r="BU266" s="119"/>
      <c r="BV266" s="119"/>
      <c r="BW266" s="119"/>
      <c r="BX266" s="119"/>
    </row>
    <row r="267" s="96" customFormat="1" ht="15.75" customHeight="1" spans="1:76">
      <c r="A267" s="111">
        <v>266</v>
      </c>
      <c r="B267" s="112" t="s">
        <v>46</v>
      </c>
      <c r="C267" s="112" t="s">
        <v>137</v>
      </c>
      <c r="D267" s="111">
        <v>2025</v>
      </c>
      <c r="E267" s="113" t="s">
        <v>33</v>
      </c>
      <c r="F267" s="114">
        <v>58988</v>
      </c>
      <c r="G267" s="114">
        <v>58988</v>
      </c>
      <c r="H267" s="114">
        <v>1562.3317</v>
      </c>
      <c r="I267" s="114">
        <v>87</v>
      </c>
      <c r="J267" s="115">
        <v>0.00109953703703704</v>
      </c>
      <c r="K267" s="114">
        <v>39.74</v>
      </c>
      <c r="L267" s="114">
        <v>19</v>
      </c>
      <c r="M267" s="114">
        <v>994596</v>
      </c>
      <c r="N267" s="114">
        <v>4.7</v>
      </c>
      <c r="O267" s="114">
        <v>42121</v>
      </c>
      <c r="P267" s="114">
        <v>33073</v>
      </c>
      <c r="Q267" s="114">
        <v>9048</v>
      </c>
      <c r="R267" s="114">
        <v>9048</v>
      </c>
      <c r="S267" s="114">
        <v>0</v>
      </c>
      <c r="T267" s="114">
        <v>232</v>
      </c>
      <c r="U267" s="114">
        <v>145</v>
      </c>
      <c r="V267" s="114">
        <v>159</v>
      </c>
      <c r="W267" s="114">
        <v>-5</v>
      </c>
      <c r="X267" s="114">
        <v>34</v>
      </c>
      <c r="Y267" s="114">
        <v>55</v>
      </c>
      <c r="Z267" s="114">
        <v>103059.596</v>
      </c>
      <c r="AA267" s="114">
        <v>0</v>
      </c>
      <c r="AB267" s="114">
        <v>0</v>
      </c>
      <c r="AC267" s="114">
        <v>2087.055</v>
      </c>
      <c r="AD267" s="114">
        <v>100159.7</v>
      </c>
      <c r="AE267" s="114">
        <v>182108.665</v>
      </c>
      <c r="AF267" s="114">
        <v>21589</v>
      </c>
      <c r="AG267" s="114">
        <v>8435.252</v>
      </c>
      <c r="AH267" s="114">
        <v>19579</v>
      </c>
      <c r="AI267" s="114">
        <v>1747.127</v>
      </c>
      <c r="AJ267" s="114">
        <v>6</v>
      </c>
      <c r="AK267" s="114">
        <v>221</v>
      </c>
      <c r="AL267" s="114">
        <v>0</v>
      </c>
      <c r="AM267" s="114">
        <v>0</v>
      </c>
      <c r="AN267" s="114">
        <v>631</v>
      </c>
      <c r="AO267" s="114">
        <v>15.9527</v>
      </c>
      <c r="AP267" s="114"/>
      <c r="AQ267" s="114">
        <v>0</v>
      </c>
      <c r="AR267" s="114"/>
      <c r="AS267" s="114"/>
      <c r="AT267" s="114"/>
      <c r="AU267" s="114"/>
      <c r="AV267" s="114">
        <v>0</v>
      </c>
      <c r="AW267" s="114">
        <v>0</v>
      </c>
      <c r="AX267" s="114">
        <v>0</v>
      </c>
      <c r="AY267" s="114">
        <v>2</v>
      </c>
      <c r="AZ267" s="114">
        <v>0</v>
      </c>
      <c r="BA267" s="114">
        <v>492</v>
      </c>
      <c r="BB267" s="116"/>
      <c r="BC267" s="116"/>
      <c r="BD267" s="116"/>
      <c r="BE267" s="116"/>
      <c r="BF267" s="116"/>
      <c r="BG267" s="116"/>
      <c r="BH267" s="116"/>
      <c r="BI267" s="116"/>
      <c r="BJ267" s="117">
        <v>416003</v>
      </c>
      <c r="BK267" s="133">
        <v>87</v>
      </c>
      <c r="BL267" s="117">
        <v>10491</v>
      </c>
      <c r="BM267" s="118">
        <v>14790</v>
      </c>
      <c r="BN267" s="118">
        <v>0.87</v>
      </c>
      <c r="BO267" s="119"/>
      <c r="BP267" s="119"/>
      <c r="BQ267" s="119"/>
      <c r="BR267" s="119"/>
      <c r="BS267" s="119"/>
      <c r="BT267" s="119"/>
      <c r="BU267" s="119"/>
      <c r="BV267" s="119"/>
      <c r="BW267" s="119"/>
      <c r="BX267" s="119"/>
    </row>
    <row r="268" s="96" customFormat="1" ht="15.75" customHeight="1" spans="1:76">
      <c r="A268" s="111">
        <v>267</v>
      </c>
      <c r="B268" s="112" t="s">
        <v>46</v>
      </c>
      <c r="C268" s="112" t="s">
        <v>137</v>
      </c>
      <c r="D268" s="111">
        <v>2025</v>
      </c>
      <c r="E268" s="113" t="s">
        <v>34</v>
      </c>
      <c r="F268" s="114">
        <v>41963</v>
      </c>
      <c r="G268" s="114">
        <v>41941</v>
      </c>
      <c r="H268" s="114">
        <v>1132.6456</v>
      </c>
      <c r="I268" s="114">
        <v>-116</v>
      </c>
      <c r="J268" s="115">
        <v>0.00112268518518519</v>
      </c>
      <c r="K268" s="114">
        <v>33.81</v>
      </c>
      <c r="L268" s="114">
        <v>0</v>
      </c>
      <c r="M268" s="114">
        <v>535700</v>
      </c>
      <c r="N268" s="114">
        <v>6.13</v>
      </c>
      <c r="O268" s="114">
        <v>25654</v>
      </c>
      <c r="P268" s="114">
        <v>19415</v>
      </c>
      <c r="Q268" s="114">
        <v>6255</v>
      </c>
      <c r="R268" s="114">
        <v>5878</v>
      </c>
      <c r="S268" s="114">
        <v>377</v>
      </c>
      <c r="T268" s="114">
        <v>245</v>
      </c>
      <c r="U268" s="114">
        <v>361</v>
      </c>
      <c r="V268" s="114">
        <v>-86</v>
      </c>
      <c r="W268" s="114">
        <v>-31</v>
      </c>
      <c r="X268" s="114">
        <v>16</v>
      </c>
      <c r="Y268" s="114">
        <v>18</v>
      </c>
      <c r="Z268" s="114">
        <v>88528.152</v>
      </c>
      <c r="AA268" s="114">
        <v>0</v>
      </c>
      <c r="AB268" s="114">
        <v>0</v>
      </c>
      <c r="AC268" s="114">
        <v>1391.618</v>
      </c>
      <c r="AD268" s="114">
        <v>86847.655</v>
      </c>
      <c r="AE268" s="114">
        <v>157904.897</v>
      </c>
      <c r="AF268" s="114">
        <v>18940</v>
      </c>
      <c r="AG268" s="114">
        <v>8337.112</v>
      </c>
      <c r="AH268" s="114">
        <v>17216</v>
      </c>
      <c r="AI268" s="114">
        <v>2110.787</v>
      </c>
      <c r="AJ268" s="114">
        <v>0</v>
      </c>
      <c r="AK268" s="114">
        <v>10</v>
      </c>
      <c r="AL268" s="114">
        <v>0</v>
      </c>
      <c r="AM268" s="114">
        <v>0</v>
      </c>
      <c r="AN268" s="114">
        <v>341</v>
      </c>
      <c r="AO268" s="114">
        <v>9.8314</v>
      </c>
      <c r="AP268" s="114"/>
      <c r="AQ268" s="114">
        <v>-6</v>
      </c>
      <c r="AR268" s="114"/>
      <c r="AS268" s="114"/>
      <c r="AT268" s="114"/>
      <c r="AU268" s="114">
        <v>1</v>
      </c>
      <c r="AV268" s="114">
        <v>0</v>
      </c>
      <c r="AW268" s="114">
        <v>0</v>
      </c>
      <c r="AX268" s="114">
        <v>1</v>
      </c>
      <c r="AY268" s="114">
        <v>73</v>
      </c>
      <c r="AZ268" s="114">
        <v>2</v>
      </c>
      <c r="BA268" s="114">
        <v>416</v>
      </c>
      <c r="BB268" s="116"/>
      <c r="BC268" s="116"/>
      <c r="BD268" s="116"/>
      <c r="BE268" s="116"/>
      <c r="BF268" s="116"/>
      <c r="BG268" s="116"/>
      <c r="BH268" s="116"/>
      <c r="BI268" s="116"/>
      <c r="BJ268" s="117">
        <v>415887</v>
      </c>
      <c r="BK268" s="133">
        <v>-116</v>
      </c>
      <c r="BL268" s="133">
        <v>0</v>
      </c>
      <c r="BM268" s="118">
        <v>0</v>
      </c>
      <c r="BN268" s="118">
        <v>0</v>
      </c>
      <c r="BO268" s="119"/>
      <c r="BP268" s="119"/>
      <c r="BQ268" s="119"/>
      <c r="BR268" s="119"/>
      <c r="BS268" s="119"/>
      <c r="BT268" s="119"/>
      <c r="BU268" s="119"/>
      <c r="BV268" s="119"/>
      <c r="BW268" s="119"/>
      <c r="BX268" s="119"/>
    </row>
    <row r="269" s="96" customFormat="1" ht="15.75" customHeight="1" spans="1:76">
      <c r="A269" s="111">
        <v>268</v>
      </c>
      <c r="B269" s="112" t="s">
        <v>46</v>
      </c>
      <c r="C269" s="112" t="s">
        <v>137</v>
      </c>
      <c r="D269" s="111">
        <v>2025</v>
      </c>
      <c r="E269" s="113" t="s">
        <v>35</v>
      </c>
      <c r="F269" s="114">
        <v>35950</v>
      </c>
      <c r="G269" s="114">
        <v>35383</v>
      </c>
      <c r="H269" s="114">
        <v>928.0914</v>
      </c>
      <c r="I269" s="114">
        <v>-66</v>
      </c>
      <c r="J269" s="115">
        <v>0.00108796296296296</v>
      </c>
      <c r="K269" s="114">
        <v>31.93</v>
      </c>
      <c r="L269" s="114"/>
      <c r="M269" s="114">
        <v>454680</v>
      </c>
      <c r="N269" s="114">
        <v>6.03</v>
      </c>
      <c r="O269" s="114">
        <v>20833</v>
      </c>
      <c r="P269" s="114">
        <v>15421</v>
      </c>
      <c r="Q269" s="114">
        <v>5410</v>
      </c>
      <c r="R269" s="114">
        <v>4806</v>
      </c>
      <c r="S269" s="114">
        <v>604</v>
      </c>
      <c r="T269" s="114">
        <v>265</v>
      </c>
      <c r="U269" s="114">
        <v>331</v>
      </c>
      <c r="V269" s="114">
        <v>-306</v>
      </c>
      <c r="W269" s="114">
        <v>-56</v>
      </c>
      <c r="X269" s="114">
        <v>31</v>
      </c>
      <c r="Y269" s="114">
        <v>7</v>
      </c>
      <c r="Z269" s="114">
        <v>57245.283</v>
      </c>
      <c r="AA269" s="114">
        <v>0</v>
      </c>
      <c r="AB269" s="114">
        <v>0</v>
      </c>
      <c r="AC269" s="114">
        <v>1159.797</v>
      </c>
      <c r="AD269" s="114">
        <v>55984.49</v>
      </c>
      <c r="AE269" s="114">
        <v>101778.613</v>
      </c>
      <c r="AF269" s="114">
        <v>12937</v>
      </c>
      <c r="AG269" s="114">
        <v>7867.25</v>
      </c>
      <c r="AH269" s="114">
        <v>12063</v>
      </c>
      <c r="AI269" s="114">
        <v>1617.876</v>
      </c>
      <c r="AJ269" s="114">
        <v>0</v>
      </c>
      <c r="AK269" s="114">
        <v>2</v>
      </c>
      <c r="AL269" s="114">
        <v>0</v>
      </c>
      <c r="AM269" s="114">
        <v>0</v>
      </c>
      <c r="AN269" s="114">
        <v>327</v>
      </c>
      <c r="AO269" s="114">
        <v>8.1758</v>
      </c>
      <c r="AP269" s="114"/>
      <c r="AQ269" s="114">
        <v>0</v>
      </c>
      <c r="AR269" s="114"/>
      <c r="AS269" s="114"/>
      <c r="AT269" s="114"/>
      <c r="AU269" s="114"/>
      <c r="AV269" s="114">
        <v>0</v>
      </c>
      <c r="AW269" s="114">
        <v>0</v>
      </c>
      <c r="AX269" s="114">
        <v>3</v>
      </c>
      <c r="AY269" s="114">
        <v>120</v>
      </c>
      <c r="AZ269" s="114">
        <v>0</v>
      </c>
      <c r="BA269" s="114">
        <v>301</v>
      </c>
      <c r="BB269" s="116"/>
      <c r="BC269" s="116"/>
      <c r="BD269" s="116"/>
      <c r="BE269" s="116"/>
      <c r="BF269" s="116"/>
      <c r="BG269" s="116"/>
      <c r="BH269" s="116"/>
      <c r="BI269" s="116"/>
      <c r="BJ269" s="117">
        <v>415821</v>
      </c>
      <c r="BK269" s="133">
        <v>-66</v>
      </c>
      <c r="BL269" s="133">
        <v>0</v>
      </c>
      <c r="BM269" s="118">
        <v>0</v>
      </c>
      <c r="BN269" s="118">
        <v>0</v>
      </c>
      <c r="BO269" s="119"/>
      <c r="BP269" s="119"/>
      <c r="BQ269" s="119"/>
      <c r="BR269" s="119"/>
      <c r="BS269" s="119"/>
      <c r="BT269" s="119"/>
      <c r="BU269" s="119"/>
      <c r="BV269" s="119"/>
      <c r="BW269" s="119"/>
      <c r="BX269" s="119"/>
    </row>
    <row r="270" s="96" customFormat="1" ht="15.75" customHeight="1" spans="1:76">
      <c r="A270" s="111">
        <v>269</v>
      </c>
      <c r="B270" s="112" t="s">
        <v>46</v>
      </c>
      <c r="C270" s="112" t="s">
        <v>137</v>
      </c>
      <c r="D270" s="111">
        <v>2025</v>
      </c>
      <c r="E270" s="113" t="s">
        <v>36</v>
      </c>
      <c r="F270" s="114">
        <v>56546</v>
      </c>
      <c r="G270" s="114">
        <v>56013</v>
      </c>
      <c r="H270" s="114">
        <v>1837.425</v>
      </c>
      <c r="I270" s="114">
        <v>28</v>
      </c>
      <c r="J270" s="115">
        <v>0.00136574074074074</v>
      </c>
      <c r="K270" s="114">
        <v>32.48</v>
      </c>
      <c r="L270" s="114">
        <v>10</v>
      </c>
      <c r="M270" s="114">
        <v>625275</v>
      </c>
      <c r="N270" s="114">
        <v>7.25</v>
      </c>
      <c r="O270" s="114">
        <v>36314</v>
      </c>
      <c r="P270" s="114">
        <v>28466</v>
      </c>
      <c r="Q270" s="114">
        <v>7848</v>
      </c>
      <c r="R270" s="114">
        <v>7252</v>
      </c>
      <c r="S270" s="114">
        <v>596</v>
      </c>
      <c r="T270" s="114">
        <v>329</v>
      </c>
      <c r="U270" s="114">
        <v>301</v>
      </c>
      <c r="V270" s="114">
        <v>0</v>
      </c>
      <c r="W270" s="114">
        <v>-31</v>
      </c>
      <c r="X270" s="114">
        <v>46</v>
      </c>
      <c r="Y270" s="114">
        <v>62</v>
      </c>
      <c r="Z270" s="114">
        <v>123748.964</v>
      </c>
      <c r="AA270" s="114">
        <v>0</v>
      </c>
      <c r="AB270" s="114">
        <v>0</v>
      </c>
      <c r="AC270" s="114">
        <v>2951.144</v>
      </c>
      <c r="AD270" s="114">
        <v>120716.349</v>
      </c>
      <c r="AE270" s="114">
        <v>219484.517</v>
      </c>
      <c r="AF270" s="114">
        <v>28533</v>
      </c>
      <c r="AG270" s="114">
        <v>7692.304</v>
      </c>
      <c r="AH270" s="114">
        <v>26384</v>
      </c>
      <c r="AI270" s="114">
        <v>2209.296</v>
      </c>
      <c r="AJ270" s="114">
        <v>0</v>
      </c>
      <c r="AK270" s="114">
        <v>0</v>
      </c>
      <c r="AL270" s="114">
        <v>0</v>
      </c>
      <c r="AM270" s="114">
        <v>0</v>
      </c>
      <c r="AN270" s="114">
        <v>603</v>
      </c>
      <c r="AO270" s="114">
        <v>22.0186</v>
      </c>
      <c r="AP270" s="114"/>
      <c r="AQ270" s="114">
        <v>0</v>
      </c>
      <c r="AR270" s="114"/>
      <c r="AS270" s="114"/>
      <c r="AT270" s="114"/>
      <c r="AU270" s="114">
        <v>4</v>
      </c>
      <c r="AV270" s="114">
        <v>0</v>
      </c>
      <c r="AW270" s="114">
        <v>0</v>
      </c>
      <c r="AX270" s="114">
        <v>0</v>
      </c>
      <c r="AY270" s="114">
        <v>12</v>
      </c>
      <c r="AZ270" s="114">
        <v>6</v>
      </c>
      <c r="BA270" s="114">
        <v>379</v>
      </c>
      <c r="BB270" s="116"/>
      <c r="BC270" s="116"/>
      <c r="BD270" s="116"/>
      <c r="BE270" s="116"/>
      <c r="BF270" s="116"/>
      <c r="BG270" s="116"/>
      <c r="BH270" s="116"/>
      <c r="BI270" s="116"/>
      <c r="BJ270" s="117">
        <v>415849</v>
      </c>
      <c r="BK270" s="133">
        <v>28</v>
      </c>
      <c r="BL270" s="133">
        <v>265</v>
      </c>
      <c r="BM270" s="118">
        <v>680</v>
      </c>
      <c r="BN270" s="118">
        <v>0.04</v>
      </c>
      <c r="BO270" s="119"/>
      <c r="BP270" s="119"/>
      <c r="BQ270" s="119"/>
      <c r="BR270" s="119"/>
      <c r="BS270" s="119"/>
      <c r="BT270" s="119"/>
      <c r="BU270" s="119"/>
      <c r="BV270" s="119"/>
      <c r="BW270" s="119"/>
      <c r="BX270" s="119"/>
    </row>
    <row r="271" s="96" customFormat="1" ht="15.75" customHeight="1" spans="1:76">
      <c r="A271" s="111">
        <v>270</v>
      </c>
      <c r="B271" s="112" t="s">
        <v>46</v>
      </c>
      <c r="C271" s="112" t="s">
        <v>137</v>
      </c>
      <c r="D271" s="111">
        <v>2025</v>
      </c>
      <c r="E271" s="113" t="s">
        <v>37</v>
      </c>
      <c r="F271" s="114">
        <v>49622</v>
      </c>
      <c r="G271" s="114">
        <v>49274</v>
      </c>
      <c r="H271" s="114">
        <v>1523.2009</v>
      </c>
      <c r="I271" s="114">
        <v>3</v>
      </c>
      <c r="J271" s="115">
        <v>0.00128472222222222</v>
      </c>
      <c r="K271" s="114">
        <v>34.93</v>
      </c>
      <c r="L271" s="114"/>
      <c r="M271" s="114">
        <v>574641</v>
      </c>
      <c r="N271" s="114">
        <v>6.92</v>
      </c>
      <c r="O271" s="114">
        <v>31561</v>
      </c>
      <c r="P271" s="114">
        <v>24059</v>
      </c>
      <c r="Q271" s="114">
        <v>7502</v>
      </c>
      <c r="R271" s="114">
        <v>7002</v>
      </c>
      <c r="S271" s="114">
        <v>500</v>
      </c>
      <c r="T271" s="114">
        <v>283</v>
      </c>
      <c r="U271" s="114">
        <v>280</v>
      </c>
      <c r="V271" s="114">
        <v>65</v>
      </c>
      <c r="W271" s="114">
        <v>-21</v>
      </c>
      <c r="X271" s="114">
        <v>26</v>
      </c>
      <c r="Y271" s="114">
        <v>35</v>
      </c>
      <c r="Z271" s="114">
        <v>113999.094</v>
      </c>
      <c r="AA271" s="114">
        <v>0</v>
      </c>
      <c r="AB271" s="114">
        <v>0</v>
      </c>
      <c r="AC271" s="114">
        <v>3163.191</v>
      </c>
      <c r="AD271" s="114">
        <v>110761.427</v>
      </c>
      <c r="AE271" s="114">
        <v>201384.773</v>
      </c>
      <c r="AF271" s="114">
        <v>24663</v>
      </c>
      <c r="AG271" s="114">
        <v>8165.461</v>
      </c>
      <c r="AH271" s="114">
        <v>22964</v>
      </c>
      <c r="AI271" s="114">
        <v>2313.588</v>
      </c>
      <c r="AJ271" s="114">
        <v>0</v>
      </c>
      <c r="AK271" s="114">
        <v>3</v>
      </c>
      <c r="AL271" s="114">
        <v>0</v>
      </c>
      <c r="AM271" s="114">
        <v>0</v>
      </c>
      <c r="AN271" s="114">
        <v>549</v>
      </c>
      <c r="AO271" s="114">
        <v>20.0947</v>
      </c>
      <c r="AP271" s="114"/>
      <c r="AQ271" s="114">
        <v>0</v>
      </c>
      <c r="AR271" s="114"/>
      <c r="AS271" s="114"/>
      <c r="AT271" s="114"/>
      <c r="AU271" s="114">
        <v>1</v>
      </c>
      <c r="AV271" s="114">
        <v>0</v>
      </c>
      <c r="AW271" s="114">
        <v>0</v>
      </c>
      <c r="AX271" s="114">
        <v>0</v>
      </c>
      <c r="AY271" s="114">
        <v>48</v>
      </c>
      <c r="AZ271" s="114">
        <v>1</v>
      </c>
      <c r="BA271" s="114">
        <v>258</v>
      </c>
      <c r="BB271" s="116"/>
      <c r="BC271" s="116"/>
      <c r="BD271" s="116"/>
      <c r="BE271" s="116"/>
      <c r="BF271" s="116"/>
      <c r="BG271" s="116"/>
      <c r="BH271" s="116"/>
      <c r="BI271" s="116"/>
      <c r="BJ271" s="117">
        <v>415852</v>
      </c>
      <c r="BK271" s="133">
        <v>3</v>
      </c>
      <c r="BL271" s="133">
        <v>0</v>
      </c>
      <c r="BM271" s="118">
        <v>0</v>
      </c>
      <c r="BN271" s="118">
        <v>0</v>
      </c>
      <c r="BO271" s="119"/>
      <c r="BP271" s="119"/>
      <c r="BQ271" s="119"/>
      <c r="BR271" s="119"/>
      <c r="BS271" s="119"/>
      <c r="BT271" s="119"/>
      <c r="BU271" s="119"/>
      <c r="BV271" s="119"/>
      <c r="BW271" s="119"/>
      <c r="BX271" s="119"/>
    </row>
    <row r="272" s="96" customFormat="1" ht="15.75" customHeight="1" spans="1:76">
      <c r="A272" s="111">
        <v>271</v>
      </c>
      <c r="B272" s="112" t="s">
        <v>46</v>
      </c>
      <c r="C272" s="112" t="s">
        <v>137</v>
      </c>
      <c r="D272" s="111">
        <v>2025</v>
      </c>
      <c r="E272" s="113" t="s">
        <v>38</v>
      </c>
      <c r="F272" s="114">
        <v>105405</v>
      </c>
      <c r="G272" s="114">
        <v>105178</v>
      </c>
      <c r="H272" s="114">
        <v>13394.2428</v>
      </c>
      <c r="I272" s="114">
        <v>152</v>
      </c>
      <c r="J272" s="115">
        <v>0.00530092592592593</v>
      </c>
      <c r="K272" s="114">
        <v>23.61</v>
      </c>
      <c r="L272" s="114">
        <v>1</v>
      </c>
      <c r="M272" s="114">
        <v>1251909</v>
      </c>
      <c r="N272" s="114">
        <v>6.74</v>
      </c>
      <c r="O272" s="114">
        <v>73895</v>
      </c>
      <c r="P272" s="114">
        <v>63313</v>
      </c>
      <c r="Q272" s="114">
        <v>10582</v>
      </c>
      <c r="R272" s="114">
        <v>10107</v>
      </c>
      <c r="S272" s="114">
        <v>475</v>
      </c>
      <c r="T272" s="114">
        <v>526</v>
      </c>
      <c r="U272" s="114">
        <v>374</v>
      </c>
      <c r="V272" s="114">
        <v>471</v>
      </c>
      <c r="W272" s="114">
        <v>-22</v>
      </c>
      <c r="X272" s="114">
        <v>110</v>
      </c>
      <c r="Y272" s="114">
        <v>110</v>
      </c>
      <c r="Z272" s="114">
        <v>911796.37</v>
      </c>
      <c r="AA272" s="114">
        <v>0</v>
      </c>
      <c r="AB272" s="114">
        <v>0</v>
      </c>
      <c r="AC272" s="114">
        <v>73235.597</v>
      </c>
      <c r="AD272" s="114">
        <v>838506.149</v>
      </c>
      <c r="AE272" s="114">
        <v>1524556.499</v>
      </c>
      <c r="AF272" s="114">
        <v>118250</v>
      </c>
      <c r="AG272" s="114">
        <v>12892.655</v>
      </c>
      <c r="AH272" s="114">
        <v>71365</v>
      </c>
      <c r="AI272" s="114">
        <v>8669.08</v>
      </c>
      <c r="AJ272" s="114">
        <v>0</v>
      </c>
      <c r="AK272" s="114">
        <v>0</v>
      </c>
      <c r="AL272" s="114">
        <v>0</v>
      </c>
      <c r="AM272" s="114">
        <v>0</v>
      </c>
      <c r="AN272" s="114">
        <v>2291</v>
      </c>
      <c r="AO272" s="114">
        <v>575.2579</v>
      </c>
      <c r="AP272" s="114">
        <v>1.0453</v>
      </c>
      <c r="AQ272" s="114">
        <v>0</v>
      </c>
      <c r="AR272" s="114">
        <v>0</v>
      </c>
      <c r="AS272" s="114">
        <v>0</v>
      </c>
      <c r="AT272" s="114"/>
      <c r="AU272" s="114">
        <v>3</v>
      </c>
      <c r="AV272" s="114">
        <v>0</v>
      </c>
      <c r="AW272" s="114">
        <v>0</v>
      </c>
      <c r="AX272" s="114">
        <v>1</v>
      </c>
      <c r="AY272" s="114">
        <v>24</v>
      </c>
      <c r="AZ272" s="114">
        <v>1</v>
      </c>
      <c r="BA272" s="114">
        <v>208</v>
      </c>
      <c r="BB272" s="116"/>
      <c r="BC272" s="116"/>
      <c r="BD272" s="116"/>
      <c r="BE272" s="116"/>
      <c r="BF272" s="116"/>
      <c r="BG272" s="116"/>
      <c r="BH272" s="116"/>
      <c r="BI272" s="116"/>
      <c r="BJ272" s="117">
        <v>416004</v>
      </c>
      <c r="BK272" s="133">
        <v>152</v>
      </c>
      <c r="BL272" s="117">
        <v>51903</v>
      </c>
      <c r="BM272" s="118">
        <v>855270</v>
      </c>
      <c r="BN272" s="118">
        <v>50.31</v>
      </c>
      <c r="BO272" s="120">
        <v>0.689</v>
      </c>
      <c r="BP272" s="120">
        <v>0.311</v>
      </c>
      <c r="BQ272" s="119"/>
      <c r="BR272" s="120">
        <v>0.009</v>
      </c>
      <c r="BS272" s="120">
        <v>0.136</v>
      </c>
      <c r="BT272" s="120">
        <v>0.376</v>
      </c>
      <c r="BU272" s="120">
        <v>0.219</v>
      </c>
      <c r="BV272" s="120">
        <v>0.13</v>
      </c>
      <c r="BW272" s="120">
        <v>0.088</v>
      </c>
      <c r="BX272" s="120">
        <v>0.042</v>
      </c>
    </row>
    <row r="273" s="96" customFormat="1" ht="15.75" customHeight="1" spans="1:76">
      <c r="A273" s="111">
        <v>272</v>
      </c>
      <c r="B273" s="112" t="s">
        <v>46</v>
      </c>
      <c r="C273" s="112" t="s">
        <v>137</v>
      </c>
      <c r="D273" s="111">
        <v>2025</v>
      </c>
      <c r="E273" s="113" t="s">
        <v>39</v>
      </c>
      <c r="F273" s="114">
        <v>339402</v>
      </c>
      <c r="G273" s="114">
        <v>334642</v>
      </c>
      <c r="H273" s="114">
        <v>23278.1962</v>
      </c>
      <c r="I273" s="114">
        <v>1498</v>
      </c>
      <c r="J273" s="115">
        <v>0.00289351851851852</v>
      </c>
      <c r="K273" s="114">
        <v>33.54</v>
      </c>
      <c r="L273" s="114">
        <v>38</v>
      </c>
      <c r="M273" s="114">
        <v>3335055</v>
      </c>
      <c r="N273" s="114">
        <v>7.98</v>
      </c>
      <c r="O273" s="114">
        <v>247346</v>
      </c>
      <c r="P273" s="114">
        <v>210701</v>
      </c>
      <c r="Q273" s="114">
        <v>36645</v>
      </c>
      <c r="R273" s="114">
        <v>36232</v>
      </c>
      <c r="S273" s="114">
        <v>413</v>
      </c>
      <c r="T273" s="114">
        <v>1857</v>
      </c>
      <c r="U273" s="114">
        <v>359</v>
      </c>
      <c r="V273" s="114">
        <v>3227</v>
      </c>
      <c r="W273" s="114">
        <v>47</v>
      </c>
      <c r="X273" s="114">
        <v>223</v>
      </c>
      <c r="Y273" s="114">
        <v>577</v>
      </c>
      <c r="Z273" s="114">
        <v>1587630.269</v>
      </c>
      <c r="AA273" s="114">
        <v>0</v>
      </c>
      <c r="AB273" s="114">
        <v>0</v>
      </c>
      <c r="AC273" s="114">
        <v>72956.147</v>
      </c>
      <c r="AD273" s="114">
        <v>1512231.615</v>
      </c>
      <c r="AE273" s="114">
        <v>2749298.88</v>
      </c>
      <c r="AF273" s="114">
        <v>265379</v>
      </c>
      <c r="AG273" s="114">
        <v>10359.896</v>
      </c>
      <c r="AH273" s="114">
        <v>204507</v>
      </c>
      <c r="AI273" s="114">
        <v>4744.263</v>
      </c>
      <c r="AJ273" s="114">
        <v>0</v>
      </c>
      <c r="AK273" s="114">
        <v>11</v>
      </c>
      <c r="AL273" s="114">
        <v>0</v>
      </c>
      <c r="AM273" s="114">
        <v>0</v>
      </c>
      <c r="AN273" s="114">
        <v>5451</v>
      </c>
      <c r="AO273" s="114">
        <v>562.8774</v>
      </c>
      <c r="AP273" s="114">
        <v>3.0791</v>
      </c>
      <c r="AQ273" s="114">
        <v>16</v>
      </c>
      <c r="AR273" s="114">
        <v>0</v>
      </c>
      <c r="AS273" s="114">
        <v>0</v>
      </c>
      <c r="AT273" s="114"/>
      <c r="AU273" s="114">
        <v>5</v>
      </c>
      <c r="AV273" s="114">
        <v>0</v>
      </c>
      <c r="AW273" s="114">
        <v>0</v>
      </c>
      <c r="AX273" s="114">
        <v>0</v>
      </c>
      <c r="AY273" s="114">
        <v>12</v>
      </c>
      <c r="AZ273" s="114">
        <v>4</v>
      </c>
      <c r="BA273" s="114">
        <v>196</v>
      </c>
      <c r="BB273" s="116"/>
      <c r="BC273" s="116"/>
      <c r="BD273" s="116"/>
      <c r="BE273" s="116"/>
      <c r="BF273" s="116"/>
      <c r="BG273" s="116"/>
      <c r="BH273" s="116"/>
      <c r="BI273" s="116"/>
      <c r="BJ273" s="117">
        <v>417566</v>
      </c>
      <c r="BK273" s="117">
        <v>1498</v>
      </c>
      <c r="BL273" s="117">
        <v>254011</v>
      </c>
      <c r="BM273" s="118">
        <v>1363060</v>
      </c>
      <c r="BN273" s="118">
        <v>80.18</v>
      </c>
      <c r="BO273" s="120">
        <v>0.833</v>
      </c>
      <c r="BP273" s="120">
        <v>0.167</v>
      </c>
      <c r="BQ273" s="134">
        <v>0</v>
      </c>
      <c r="BR273" s="120">
        <v>0.01</v>
      </c>
      <c r="BS273" s="120">
        <v>0.096</v>
      </c>
      <c r="BT273" s="120">
        <v>0.345</v>
      </c>
      <c r="BU273" s="120">
        <v>0.27</v>
      </c>
      <c r="BV273" s="120">
        <v>0.173</v>
      </c>
      <c r="BW273" s="120">
        <v>0.083</v>
      </c>
      <c r="BX273" s="120">
        <v>0.025</v>
      </c>
    </row>
    <row r="274" s="96" customFormat="1" ht="15.75" customHeight="1" spans="1:76">
      <c r="A274" s="111">
        <v>273</v>
      </c>
      <c r="B274" s="112" t="s">
        <v>46</v>
      </c>
      <c r="C274" s="112" t="s">
        <v>137</v>
      </c>
      <c r="D274" s="111">
        <v>2025</v>
      </c>
      <c r="E274" s="113" t="s">
        <v>40</v>
      </c>
      <c r="F274" s="114">
        <v>309262</v>
      </c>
      <c r="G274" s="114">
        <v>290069</v>
      </c>
      <c r="H274" s="114">
        <v>29393.392</v>
      </c>
      <c r="I274" s="114">
        <v>1177</v>
      </c>
      <c r="J274" s="115">
        <v>0.00421296296296296</v>
      </c>
      <c r="K274" s="114">
        <v>28.01</v>
      </c>
      <c r="L274" s="114">
        <v>56</v>
      </c>
      <c r="M274" s="114">
        <v>3144287</v>
      </c>
      <c r="N274" s="114">
        <v>6.42</v>
      </c>
      <c r="O274" s="114">
        <v>204662</v>
      </c>
      <c r="P274" s="114">
        <v>141812</v>
      </c>
      <c r="Q274" s="114">
        <v>62850</v>
      </c>
      <c r="R274" s="114">
        <v>62394</v>
      </c>
      <c r="S274" s="114">
        <v>456</v>
      </c>
      <c r="T274" s="114">
        <v>1524</v>
      </c>
      <c r="U274" s="114">
        <v>347</v>
      </c>
      <c r="V274" s="114">
        <v>2262</v>
      </c>
      <c r="W274" s="114">
        <v>81</v>
      </c>
      <c r="X274" s="114">
        <v>174</v>
      </c>
      <c r="Y274" s="114">
        <v>544</v>
      </c>
      <c r="Z274" s="114">
        <v>1116849.099</v>
      </c>
      <c r="AA274" s="114">
        <v>0</v>
      </c>
      <c r="AB274" s="114">
        <v>0</v>
      </c>
      <c r="AC274" s="114">
        <v>95883.287</v>
      </c>
      <c r="AD274" s="114">
        <v>1016000.706</v>
      </c>
      <c r="AE274" s="114">
        <v>1847273.855</v>
      </c>
      <c r="AF274" s="114">
        <v>214719</v>
      </c>
      <c r="AG274" s="114">
        <v>8603.216</v>
      </c>
      <c r="AH274" s="114">
        <v>170620</v>
      </c>
      <c r="AI274" s="114">
        <v>3850.288</v>
      </c>
      <c r="AJ274" s="114">
        <v>0</v>
      </c>
      <c r="AK274" s="114">
        <v>20</v>
      </c>
      <c r="AL274" s="114">
        <v>0</v>
      </c>
      <c r="AM274" s="114">
        <v>0</v>
      </c>
      <c r="AN274" s="114">
        <v>5073</v>
      </c>
      <c r="AO274" s="114">
        <v>733.9321</v>
      </c>
      <c r="AP274" s="114">
        <v>11.2571</v>
      </c>
      <c r="AQ274" s="114">
        <v>107</v>
      </c>
      <c r="AR274" s="114">
        <v>2</v>
      </c>
      <c r="AS274" s="114">
        <v>0</v>
      </c>
      <c r="AT274" s="114"/>
      <c r="AU274" s="114"/>
      <c r="AV274" s="114">
        <v>1</v>
      </c>
      <c r="AW274" s="114">
        <v>0.6701</v>
      </c>
      <c r="AX274" s="114">
        <v>0</v>
      </c>
      <c r="AY274" s="114">
        <v>6</v>
      </c>
      <c r="AZ274" s="114">
        <v>0</v>
      </c>
      <c r="BA274" s="114">
        <v>184</v>
      </c>
      <c r="BB274" s="116"/>
      <c r="BC274" s="116"/>
      <c r="BD274" s="116"/>
      <c r="BE274" s="116"/>
      <c r="BF274" s="116"/>
      <c r="BG274" s="116"/>
      <c r="BH274" s="116"/>
      <c r="BI274" s="116"/>
      <c r="BJ274" s="117">
        <v>418625</v>
      </c>
      <c r="BK274" s="117">
        <v>1177</v>
      </c>
      <c r="BL274" s="117">
        <v>233570</v>
      </c>
      <c r="BM274" s="118">
        <v>943330</v>
      </c>
      <c r="BN274" s="118">
        <v>55.49</v>
      </c>
      <c r="BO274" s="120">
        <v>0.761</v>
      </c>
      <c r="BP274" s="120">
        <v>0.239</v>
      </c>
      <c r="BQ274" s="134">
        <v>0</v>
      </c>
      <c r="BR274" s="120">
        <v>0.011</v>
      </c>
      <c r="BS274" s="120">
        <v>0.078</v>
      </c>
      <c r="BT274" s="120">
        <v>0.347</v>
      </c>
      <c r="BU274" s="120">
        <v>0.245</v>
      </c>
      <c r="BV274" s="120">
        <v>0.174</v>
      </c>
      <c r="BW274" s="120">
        <v>0.109</v>
      </c>
      <c r="BX274" s="120">
        <v>0.037</v>
      </c>
    </row>
    <row r="275" s="96" customFormat="1" ht="15.75" customHeight="1" spans="1:76">
      <c r="A275" s="111">
        <v>274</v>
      </c>
      <c r="B275" s="112" t="s">
        <v>46</v>
      </c>
      <c r="C275" s="112" t="s">
        <v>137</v>
      </c>
      <c r="D275" s="111">
        <v>2025</v>
      </c>
      <c r="E275" s="113" t="s">
        <v>41</v>
      </c>
      <c r="F275" s="114">
        <v>2676940</v>
      </c>
      <c r="G275" s="114">
        <v>2609377</v>
      </c>
      <c r="H275" s="114">
        <v>269400.1459</v>
      </c>
      <c r="I275" s="114">
        <v>6701</v>
      </c>
      <c r="J275" s="115">
        <v>0.00429398148148148</v>
      </c>
      <c r="K275" s="114">
        <v>3.58</v>
      </c>
      <c r="L275" s="114">
        <v>178</v>
      </c>
      <c r="M275" s="114">
        <v>18487846</v>
      </c>
      <c r="N275" s="114">
        <v>11.86</v>
      </c>
      <c r="O275" s="114">
        <v>1062143</v>
      </c>
      <c r="P275" s="114">
        <v>874466</v>
      </c>
      <c r="Q275" s="114">
        <v>187677</v>
      </c>
      <c r="R275" s="114">
        <v>187187</v>
      </c>
      <c r="S275" s="114">
        <v>490</v>
      </c>
      <c r="T275" s="114">
        <v>7418</v>
      </c>
      <c r="U275" s="114">
        <v>717</v>
      </c>
      <c r="V275" s="114">
        <v>17768</v>
      </c>
      <c r="W275" s="114">
        <v>794</v>
      </c>
      <c r="X275" s="114">
        <v>1678</v>
      </c>
      <c r="Y275" s="114">
        <v>2237</v>
      </c>
      <c r="Z275" s="114">
        <v>9346920.026</v>
      </c>
      <c r="AA275" s="114">
        <v>0</v>
      </c>
      <c r="AB275" s="114">
        <v>1</v>
      </c>
      <c r="AC275" s="114">
        <v>447028.952</v>
      </c>
      <c r="AD275" s="114">
        <v>8865553.128</v>
      </c>
      <c r="AE275" s="114">
        <v>16119343.12</v>
      </c>
      <c r="AF275" s="114">
        <v>2016225</v>
      </c>
      <c r="AG275" s="114">
        <v>7994.814</v>
      </c>
      <c r="AH275" s="114">
        <v>1280828</v>
      </c>
      <c r="AI275" s="114">
        <v>3582.05</v>
      </c>
      <c r="AJ275" s="114">
        <v>66</v>
      </c>
      <c r="AK275" s="114">
        <v>16840</v>
      </c>
      <c r="AL275" s="114">
        <v>18436.28</v>
      </c>
      <c r="AM275" s="114">
        <v>1</v>
      </c>
      <c r="AN275" s="114">
        <v>32096</v>
      </c>
      <c r="AO275" s="114">
        <v>3703.6051</v>
      </c>
      <c r="AP275" s="114">
        <v>155.511</v>
      </c>
      <c r="AQ275" s="114">
        <v>2450</v>
      </c>
      <c r="AR275" s="114">
        <v>54133</v>
      </c>
      <c r="AS275" s="114">
        <v>17512</v>
      </c>
      <c r="AT275" s="114">
        <v>4</v>
      </c>
      <c r="AU275" s="114">
        <v>41086</v>
      </c>
      <c r="AV275" s="114">
        <v>0</v>
      </c>
      <c r="AW275" s="114">
        <v>0</v>
      </c>
      <c r="AX275" s="114">
        <v>0</v>
      </c>
      <c r="AY275" s="114">
        <v>6</v>
      </c>
      <c r="AZ275" s="114">
        <v>2</v>
      </c>
      <c r="BA275" s="114">
        <v>266</v>
      </c>
      <c r="BB275" s="116"/>
      <c r="BC275" s="116"/>
      <c r="BD275" s="116"/>
      <c r="BE275" s="116"/>
      <c r="BF275" s="116"/>
      <c r="BG275" s="116"/>
      <c r="BH275" s="116"/>
      <c r="BI275" s="116"/>
      <c r="BJ275" s="117">
        <v>426326</v>
      </c>
      <c r="BK275" s="117">
        <v>6701</v>
      </c>
      <c r="BL275" s="117">
        <v>2599222</v>
      </c>
      <c r="BM275" s="118">
        <v>9416130</v>
      </c>
      <c r="BN275" s="118">
        <v>553.89</v>
      </c>
      <c r="BO275" s="120">
        <v>0.822</v>
      </c>
      <c r="BP275" s="120">
        <v>0.178</v>
      </c>
      <c r="BQ275" s="120">
        <v>0.001</v>
      </c>
      <c r="BR275" s="120">
        <v>0.011</v>
      </c>
      <c r="BS275" s="120">
        <v>0.076</v>
      </c>
      <c r="BT275" s="120">
        <v>0.326</v>
      </c>
      <c r="BU275" s="120">
        <v>0.254</v>
      </c>
      <c r="BV275" s="120">
        <v>0.196</v>
      </c>
      <c r="BW275" s="120">
        <v>0.11</v>
      </c>
      <c r="BX275" s="120">
        <v>0.028</v>
      </c>
    </row>
    <row r="276" s="96" customFormat="1" ht="15.75" customHeight="1" spans="1:76">
      <c r="A276" s="111">
        <v>275</v>
      </c>
      <c r="B276" s="112" t="s">
        <v>46</v>
      </c>
      <c r="C276" s="112" t="s">
        <v>137</v>
      </c>
      <c r="D276" s="111">
        <v>2025</v>
      </c>
      <c r="E276" s="113" t="s">
        <v>42</v>
      </c>
      <c r="F276" s="114">
        <v>2723402</v>
      </c>
      <c r="G276" s="114">
        <v>2717676</v>
      </c>
      <c r="H276" s="114">
        <v>215403.3973</v>
      </c>
      <c r="I276" s="114">
        <v>4963</v>
      </c>
      <c r="J276" s="115">
        <v>0.00329861111111111</v>
      </c>
      <c r="K276" s="114">
        <v>21.86</v>
      </c>
      <c r="L276" s="114">
        <v>57</v>
      </c>
      <c r="M276" s="114">
        <v>32831494</v>
      </c>
      <c r="N276" s="114">
        <v>6.93</v>
      </c>
      <c r="O276" s="114">
        <v>1711896</v>
      </c>
      <c r="P276" s="114">
        <v>1374948</v>
      </c>
      <c r="Q276" s="114">
        <v>337830</v>
      </c>
      <c r="R276" s="114">
        <v>337303</v>
      </c>
      <c r="S276" s="114">
        <v>527</v>
      </c>
      <c r="T276" s="114">
        <v>5697</v>
      </c>
      <c r="U276" s="114">
        <v>734</v>
      </c>
      <c r="V276" s="114">
        <v>14081</v>
      </c>
      <c r="W276" s="114">
        <v>557</v>
      </c>
      <c r="X276" s="114">
        <v>1086</v>
      </c>
      <c r="Y276" s="114">
        <v>2108</v>
      </c>
      <c r="Z276" s="114">
        <v>17109599.28</v>
      </c>
      <c r="AA276" s="114">
        <v>0</v>
      </c>
      <c r="AB276" s="114">
        <v>0</v>
      </c>
      <c r="AC276" s="114">
        <v>768700.178</v>
      </c>
      <c r="AD276" s="114">
        <v>16335144.82</v>
      </c>
      <c r="AE276" s="114">
        <v>29700261.94</v>
      </c>
      <c r="AF276" s="114">
        <v>2951150</v>
      </c>
      <c r="AG276" s="114">
        <v>10063.962</v>
      </c>
      <c r="AH276" s="114">
        <v>1913352</v>
      </c>
      <c r="AI276" s="114">
        <v>6295.673</v>
      </c>
      <c r="AJ276" s="114">
        <v>2</v>
      </c>
      <c r="AK276" s="114">
        <v>125</v>
      </c>
      <c r="AL276" s="114">
        <v>0</v>
      </c>
      <c r="AM276" s="114">
        <v>0</v>
      </c>
      <c r="AN276" s="114">
        <v>63643</v>
      </c>
      <c r="AO276" s="114">
        <v>6040.0716</v>
      </c>
      <c r="AP276" s="114">
        <v>17.2558</v>
      </c>
      <c r="AQ276" s="114">
        <v>178</v>
      </c>
      <c r="AR276" s="114">
        <v>2405</v>
      </c>
      <c r="AS276" s="114">
        <v>1363</v>
      </c>
      <c r="AT276" s="114">
        <v>6</v>
      </c>
      <c r="AU276" s="114">
        <v>8129</v>
      </c>
      <c r="AV276" s="114">
        <v>0</v>
      </c>
      <c r="AW276" s="114">
        <v>0</v>
      </c>
      <c r="AX276" s="114">
        <v>0</v>
      </c>
      <c r="AY276" s="114">
        <v>2</v>
      </c>
      <c r="AZ276" s="114">
        <v>3</v>
      </c>
      <c r="BA276" s="114">
        <v>145</v>
      </c>
      <c r="BB276" s="116"/>
      <c r="BC276" s="116"/>
      <c r="BD276" s="116"/>
      <c r="BE276" s="116"/>
      <c r="BF276" s="116"/>
      <c r="BG276" s="116"/>
      <c r="BH276" s="116"/>
      <c r="BI276" s="116"/>
      <c r="BJ276" s="117">
        <v>430289</v>
      </c>
      <c r="BK276" s="117">
        <v>4963</v>
      </c>
      <c r="BL276" s="117">
        <v>2368339</v>
      </c>
      <c r="BM276" s="118">
        <v>15862530</v>
      </c>
      <c r="BN276" s="118">
        <v>933.09</v>
      </c>
      <c r="BO276" s="120">
        <v>0.872</v>
      </c>
      <c r="BP276" s="120">
        <v>0.127</v>
      </c>
      <c r="BQ276" s="120">
        <v>0.001</v>
      </c>
      <c r="BR276" s="120">
        <v>0.01</v>
      </c>
      <c r="BS276" s="120">
        <v>0.106</v>
      </c>
      <c r="BT276" s="120">
        <v>0.455</v>
      </c>
      <c r="BU276" s="120">
        <v>0.245</v>
      </c>
      <c r="BV276" s="120">
        <v>0.113</v>
      </c>
      <c r="BW276" s="120">
        <v>0.053</v>
      </c>
      <c r="BX276" s="120">
        <v>0.018</v>
      </c>
    </row>
    <row r="277" s="96" customFormat="1" ht="15.75" customHeight="1" spans="1:76">
      <c r="A277" s="111">
        <v>276</v>
      </c>
      <c r="B277" s="112" t="s">
        <v>46</v>
      </c>
      <c r="C277" s="112" t="s">
        <v>137</v>
      </c>
      <c r="D277" s="111">
        <v>2025</v>
      </c>
      <c r="E277" s="113" t="s">
        <v>43</v>
      </c>
      <c r="F277" s="114">
        <v>8356847</v>
      </c>
      <c r="G277" s="114">
        <v>8332138</v>
      </c>
      <c r="H277" s="114">
        <v>890440.4147</v>
      </c>
      <c r="I277" s="114">
        <v>13415</v>
      </c>
      <c r="J277" s="115">
        <v>0.00444444444444444</v>
      </c>
      <c r="K277" s="114">
        <v>5.28</v>
      </c>
      <c r="L277" s="114">
        <v>207</v>
      </c>
      <c r="M277" s="114">
        <v>79106012</v>
      </c>
      <c r="N277" s="114">
        <v>8.63</v>
      </c>
      <c r="O277" s="114">
        <v>3358777</v>
      </c>
      <c r="P277" s="114">
        <v>2233302</v>
      </c>
      <c r="Q277" s="114">
        <v>1124336</v>
      </c>
      <c r="R277" s="114">
        <v>1122295</v>
      </c>
      <c r="S277" s="114">
        <v>2041</v>
      </c>
      <c r="T277" s="114">
        <v>14762</v>
      </c>
      <c r="U277" s="114">
        <v>1347</v>
      </c>
      <c r="V277" s="114">
        <v>32968</v>
      </c>
      <c r="W277" s="114">
        <v>2838</v>
      </c>
      <c r="X277" s="114">
        <v>3783</v>
      </c>
      <c r="Y277" s="114">
        <v>3231</v>
      </c>
      <c r="Z277" s="114">
        <v>39957558.25</v>
      </c>
      <c r="AA277" s="114">
        <v>0</v>
      </c>
      <c r="AB277" s="114">
        <v>0</v>
      </c>
      <c r="AC277" s="114">
        <v>1857227.698</v>
      </c>
      <c r="AD277" s="114">
        <v>38080235.11</v>
      </c>
      <c r="AE277" s="114">
        <v>69738808.72</v>
      </c>
      <c r="AF277" s="114">
        <v>8463475</v>
      </c>
      <c r="AG277" s="114">
        <v>8239.973</v>
      </c>
      <c r="AH277" s="114">
        <v>5272513</v>
      </c>
      <c r="AI277" s="114">
        <v>4795.595</v>
      </c>
      <c r="AJ277" s="114">
        <v>8</v>
      </c>
      <c r="AK277" s="114">
        <v>213</v>
      </c>
      <c r="AL277" s="114">
        <v>0</v>
      </c>
      <c r="AM277" s="114">
        <v>0</v>
      </c>
      <c r="AN277" s="114">
        <v>141037</v>
      </c>
      <c r="AO277" s="114">
        <v>15843.0402</v>
      </c>
      <c r="AP277" s="114">
        <v>204.8144</v>
      </c>
      <c r="AQ277" s="114">
        <v>2288</v>
      </c>
      <c r="AR277" s="114">
        <v>35428</v>
      </c>
      <c r="AS277" s="114">
        <v>34334</v>
      </c>
      <c r="AT277" s="114">
        <v>2</v>
      </c>
      <c r="AU277" s="114">
        <v>1296</v>
      </c>
      <c r="AV277" s="114">
        <v>1</v>
      </c>
      <c r="AW277" s="114">
        <v>0.0032</v>
      </c>
      <c r="AX277" s="114">
        <v>0</v>
      </c>
      <c r="AY277" s="114">
        <v>4</v>
      </c>
      <c r="AZ277" s="114">
        <v>4</v>
      </c>
      <c r="BA277" s="114">
        <v>237</v>
      </c>
      <c r="BB277" s="116"/>
      <c r="BC277" s="116"/>
      <c r="BD277" s="116"/>
      <c r="BE277" s="116"/>
      <c r="BF277" s="116"/>
      <c r="BG277" s="116"/>
      <c r="BH277" s="116"/>
      <c r="BI277" s="116"/>
      <c r="BJ277" s="117">
        <v>443702</v>
      </c>
      <c r="BK277" s="117">
        <v>13413</v>
      </c>
      <c r="BL277" s="117">
        <v>8143963</v>
      </c>
      <c r="BM277" s="118">
        <v>39759260</v>
      </c>
      <c r="BN277" s="118">
        <v>2338.78</v>
      </c>
      <c r="BO277" s="120">
        <v>0.814</v>
      </c>
      <c r="BP277" s="120">
        <v>0.185</v>
      </c>
      <c r="BQ277" s="120">
        <v>0.001</v>
      </c>
      <c r="BR277" s="120">
        <v>0.012</v>
      </c>
      <c r="BS277" s="120">
        <v>0.081</v>
      </c>
      <c r="BT277" s="120">
        <v>0.351</v>
      </c>
      <c r="BU277" s="120">
        <v>0.253</v>
      </c>
      <c r="BV277" s="120">
        <v>0.175</v>
      </c>
      <c r="BW277" s="120">
        <v>0.098</v>
      </c>
      <c r="BX277" s="120">
        <v>0.029</v>
      </c>
    </row>
    <row r="278" s="96" customFormat="1" ht="15.75" customHeight="1" spans="1:76">
      <c r="A278" s="111">
        <v>277</v>
      </c>
      <c r="B278" s="112" t="s">
        <v>46</v>
      </c>
      <c r="C278" s="112" t="s">
        <v>137</v>
      </c>
      <c r="D278" s="111">
        <v>2026</v>
      </c>
      <c r="E278" s="112" t="s">
        <v>31</v>
      </c>
      <c r="F278" s="121">
        <v>3640810</v>
      </c>
      <c r="G278" s="114">
        <v>3619262</v>
      </c>
      <c r="H278" s="114">
        <v>370737.6241</v>
      </c>
      <c r="I278" s="114">
        <v>6302</v>
      </c>
      <c r="J278" s="115">
        <v>0.00425925925925926</v>
      </c>
      <c r="K278" s="114">
        <v>6.03</v>
      </c>
      <c r="L278" s="114">
        <v>196</v>
      </c>
      <c r="M278" s="114">
        <v>30822193</v>
      </c>
      <c r="N278" s="114">
        <v>9.62</v>
      </c>
      <c r="O278" s="114">
        <v>1670725</v>
      </c>
      <c r="P278" s="114">
        <v>801152</v>
      </c>
      <c r="Q278" s="114">
        <v>869897</v>
      </c>
      <c r="R278" s="114">
        <v>862994</v>
      </c>
      <c r="S278" s="114">
        <v>6903</v>
      </c>
      <c r="T278" s="114">
        <v>7250</v>
      </c>
      <c r="U278" s="114">
        <v>948</v>
      </c>
      <c r="V278" s="114">
        <v>18007</v>
      </c>
      <c r="W278" s="114">
        <v>983</v>
      </c>
      <c r="X278" s="114">
        <v>2018</v>
      </c>
      <c r="Y278" s="114">
        <v>1809</v>
      </c>
      <c r="Z278" s="121">
        <v>16126150</v>
      </c>
      <c r="AA278" s="114">
        <v>10350.216</v>
      </c>
      <c r="AB278" s="114">
        <v>1</v>
      </c>
      <c r="AC278" s="114">
        <v>885752.776</v>
      </c>
      <c r="AD278" s="114">
        <v>14921937.21</v>
      </c>
      <c r="AE278" s="114">
        <v>27605168.98</v>
      </c>
      <c r="AF278" s="114">
        <v>3393344</v>
      </c>
      <c r="AG278" s="114">
        <v>8135.093</v>
      </c>
      <c r="AH278" s="114">
        <v>2138893</v>
      </c>
      <c r="AI278" s="114">
        <v>4373.613</v>
      </c>
      <c r="AJ278" s="114">
        <v>0</v>
      </c>
      <c r="AK278" s="114">
        <v>57</v>
      </c>
      <c r="AL278" s="114">
        <v>0</v>
      </c>
      <c r="AM278" s="114">
        <v>0</v>
      </c>
      <c r="AN278" s="114">
        <v>70097</v>
      </c>
      <c r="AO278" s="114">
        <v>8309.2202</v>
      </c>
      <c r="AP278" s="114">
        <v>161.4053</v>
      </c>
      <c r="AQ278" s="114">
        <v>1997</v>
      </c>
      <c r="AR278" s="114">
        <v>51799</v>
      </c>
      <c r="AS278" s="114">
        <v>66398</v>
      </c>
      <c r="AT278" s="114">
        <v>2</v>
      </c>
      <c r="AU278" s="114">
        <v>8013</v>
      </c>
      <c r="AV278" s="114">
        <v>1</v>
      </c>
      <c r="AW278" s="114">
        <v>0.001</v>
      </c>
      <c r="AX278" s="114">
        <v>0</v>
      </c>
      <c r="AY278" s="114">
        <v>2</v>
      </c>
      <c r="AZ278" s="114">
        <v>0</v>
      </c>
      <c r="BA278" s="114">
        <v>163</v>
      </c>
      <c r="BB278" s="116"/>
      <c r="BC278" s="116"/>
      <c r="BD278" s="116"/>
      <c r="BE278" s="116"/>
      <c r="BF278" s="116"/>
      <c r="BG278" s="116"/>
      <c r="BH278" s="116"/>
      <c r="BI278" s="116"/>
      <c r="BJ278" s="117">
        <v>450003</v>
      </c>
      <c r="BK278" s="117">
        <v>6299</v>
      </c>
      <c r="BL278" s="117">
        <v>3193348</v>
      </c>
      <c r="BM278" s="118">
        <v>14221749</v>
      </c>
      <c r="BN278" s="118"/>
      <c r="BO278" s="120">
        <v>0.855</v>
      </c>
      <c r="BP278" s="120">
        <v>0.145</v>
      </c>
      <c r="BQ278" s="120">
        <v>0.001</v>
      </c>
      <c r="BR278" s="120">
        <v>0.015</v>
      </c>
      <c r="BS278" s="120">
        <v>0.099</v>
      </c>
      <c r="BT278" s="120">
        <v>0.399</v>
      </c>
      <c r="BU278" s="120">
        <v>0.242</v>
      </c>
      <c r="BV278" s="120">
        <v>0.145</v>
      </c>
      <c r="BW278" s="120">
        <v>0.077</v>
      </c>
      <c r="BX278" s="120">
        <v>0.023</v>
      </c>
    </row>
    <row r="279" s="96" customFormat="1" ht="15.75" customHeight="1" spans="1:76">
      <c r="A279" s="111">
        <v>278</v>
      </c>
      <c r="B279" s="112" t="s">
        <v>46</v>
      </c>
      <c r="C279" s="112" t="s">
        <v>137</v>
      </c>
      <c r="D279" s="111">
        <v>2026</v>
      </c>
      <c r="E279" s="112" t="s">
        <v>33</v>
      </c>
      <c r="F279" s="114">
        <v>4076014</v>
      </c>
      <c r="G279" s="114">
        <v>4068529</v>
      </c>
      <c r="H279" s="114">
        <v>324471.4077</v>
      </c>
      <c r="I279" s="114">
        <v>3461</v>
      </c>
      <c r="J279" s="115">
        <v>0.00332175925925926</v>
      </c>
      <c r="K279" s="114">
        <v>3.2</v>
      </c>
      <c r="L279" s="114">
        <v>80</v>
      </c>
      <c r="M279" s="114">
        <v>27735209</v>
      </c>
      <c r="N279" s="114">
        <v>12.31</v>
      </c>
      <c r="O279" s="114">
        <v>2287929</v>
      </c>
      <c r="P279" s="114">
        <v>1218609</v>
      </c>
      <c r="Q279" s="114">
        <v>1070402</v>
      </c>
      <c r="R279" s="114">
        <v>1055225</v>
      </c>
      <c r="S279" s="114">
        <v>15177</v>
      </c>
      <c r="T279" s="114">
        <v>4398</v>
      </c>
      <c r="U279" s="114">
        <v>937</v>
      </c>
      <c r="V279" s="114">
        <v>12028</v>
      </c>
      <c r="W279" s="114">
        <v>1135</v>
      </c>
      <c r="X279" s="114">
        <v>1621</v>
      </c>
      <c r="Y279" s="114">
        <v>1109</v>
      </c>
      <c r="Z279" s="114">
        <v>17084145.43</v>
      </c>
      <c r="AA279" s="114">
        <v>0</v>
      </c>
      <c r="AB279" s="114">
        <v>0</v>
      </c>
      <c r="AC279" s="114">
        <v>777347.381</v>
      </c>
      <c r="AD279" s="114">
        <v>16304013.47</v>
      </c>
      <c r="AE279" s="114">
        <v>29633609.24</v>
      </c>
      <c r="AF279" s="114">
        <v>3850592</v>
      </c>
      <c r="AG279" s="114">
        <v>7695.858</v>
      </c>
      <c r="AH279" s="114">
        <v>2444311</v>
      </c>
      <c r="AI279" s="114">
        <v>4198.101</v>
      </c>
      <c r="AJ279" s="114">
        <v>0</v>
      </c>
      <c r="AK279" s="114">
        <v>7</v>
      </c>
      <c r="AL279" s="114">
        <v>0</v>
      </c>
      <c r="AM279" s="114">
        <v>0</v>
      </c>
      <c r="AN279" s="114">
        <v>83171</v>
      </c>
      <c r="AO279" s="114">
        <v>6326.4059</v>
      </c>
      <c r="AP279" s="114">
        <v>125.8765</v>
      </c>
      <c r="AQ279" s="114">
        <v>541</v>
      </c>
      <c r="AR279" s="114">
        <v>13054</v>
      </c>
      <c r="AS279" s="114">
        <v>28553</v>
      </c>
      <c r="AT279" s="114">
        <v>0</v>
      </c>
      <c r="AU279" s="114">
        <v>99</v>
      </c>
      <c r="AV279" s="114">
        <v>5</v>
      </c>
      <c r="AW279" s="114">
        <v>0.1632</v>
      </c>
      <c r="AX279" s="114">
        <v>0</v>
      </c>
      <c r="AY279" s="114">
        <v>0</v>
      </c>
      <c r="AZ279" s="114">
        <v>2</v>
      </c>
      <c r="BA279" s="114">
        <v>237</v>
      </c>
      <c r="BB279" s="116"/>
      <c r="BC279" s="116"/>
      <c r="BD279" s="116"/>
      <c r="BE279" s="116"/>
      <c r="BF279" s="116"/>
      <c r="BG279" s="116"/>
      <c r="BH279" s="116"/>
      <c r="BI279" s="116"/>
      <c r="BJ279" s="117">
        <v>453467</v>
      </c>
      <c r="BK279" s="117">
        <v>3461</v>
      </c>
      <c r="BL279" s="117">
        <v>3711350</v>
      </c>
      <c r="BM279" s="118">
        <v>15387699</v>
      </c>
      <c r="BN279" s="118"/>
      <c r="BO279" s="120">
        <v>0.861</v>
      </c>
      <c r="BP279" s="120">
        <v>0.138</v>
      </c>
      <c r="BQ279" s="134">
        <v>0</v>
      </c>
      <c r="BR279" s="120">
        <v>0.021</v>
      </c>
      <c r="BS279" s="120">
        <v>0.118</v>
      </c>
      <c r="BT279" s="120">
        <v>0.43</v>
      </c>
      <c r="BU279" s="120">
        <v>0.233</v>
      </c>
      <c r="BV279" s="120">
        <v>0.123</v>
      </c>
      <c r="BW279" s="120">
        <v>0.059</v>
      </c>
      <c r="BX279" s="120">
        <v>0.017</v>
      </c>
    </row>
    <row r="280" s="96" customFormat="1" ht="15.75" customHeight="1" spans="1:76">
      <c r="A280" s="111">
        <v>279</v>
      </c>
      <c r="B280" s="112" t="s">
        <v>46</v>
      </c>
      <c r="C280" s="112" t="s">
        <v>137</v>
      </c>
      <c r="D280" s="111">
        <v>2026</v>
      </c>
      <c r="E280" s="113" t="s">
        <v>34</v>
      </c>
      <c r="F280" s="114">
        <v>1115549</v>
      </c>
      <c r="G280" s="114">
        <v>1099611</v>
      </c>
      <c r="H280" s="114">
        <v>78994.6332</v>
      </c>
      <c r="I280" s="114">
        <v>1467</v>
      </c>
      <c r="J280" s="115">
        <v>0.00298611111111111</v>
      </c>
      <c r="K280" s="114">
        <v>4.93</v>
      </c>
      <c r="L280" s="114">
        <v>88</v>
      </c>
      <c r="M280" s="114">
        <v>10608218</v>
      </c>
      <c r="N280" s="114">
        <v>7.55</v>
      </c>
      <c r="O280" s="114">
        <v>821192</v>
      </c>
      <c r="P280" s="114">
        <v>276229</v>
      </c>
      <c r="Q280" s="114">
        <v>306180</v>
      </c>
      <c r="R280" s="114">
        <v>292296</v>
      </c>
      <c r="S280" s="114">
        <v>13884</v>
      </c>
      <c r="T280" s="114">
        <v>2028</v>
      </c>
      <c r="U280" s="114">
        <v>561</v>
      </c>
      <c r="V280" s="114">
        <v>4535</v>
      </c>
      <c r="W280" s="114">
        <v>265</v>
      </c>
      <c r="X280" s="114">
        <v>504</v>
      </c>
      <c r="Y280" s="114">
        <v>482</v>
      </c>
      <c r="Z280" s="114">
        <v>5489605.796</v>
      </c>
      <c r="AA280" s="114">
        <v>0</v>
      </c>
      <c r="AB280" s="114">
        <v>0</v>
      </c>
      <c r="AC280" s="114">
        <v>179767.284</v>
      </c>
      <c r="AD280" s="114">
        <v>5304510.216</v>
      </c>
      <c r="AE280" s="114">
        <v>9644564.618</v>
      </c>
      <c r="AF280" s="114">
        <v>1023348</v>
      </c>
      <c r="AG280" s="114">
        <v>9424.521</v>
      </c>
      <c r="AH280" s="114">
        <v>664116</v>
      </c>
      <c r="AI280" s="114">
        <v>5349.93</v>
      </c>
      <c r="AJ280" s="114">
        <v>0</v>
      </c>
      <c r="AK280" s="114">
        <v>119</v>
      </c>
      <c r="AL280" s="114">
        <v>0</v>
      </c>
      <c r="AM280" s="114">
        <v>0</v>
      </c>
      <c r="AN280" s="114">
        <v>20167</v>
      </c>
      <c r="AO280" s="114">
        <v>1599.6768</v>
      </c>
      <c r="AP280" s="114">
        <v>17.1773</v>
      </c>
      <c r="AQ280" s="114">
        <v>90</v>
      </c>
      <c r="AR280" s="114">
        <v>4813</v>
      </c>
      <c r="AS280" s="114">
        <v>16482</v>
      </c>
      <c r="AT280" s="114">
        <v>1</v>
      </c>
      <c r="AU280" s="114">
        <v>554</v>
      </c>
      <c r="AV280" s="114">
        <v>0</v>
      </c>
      <c r="AW280" s="114">
        <v>0</v>
      </c>
      <c r="AX280" s="114">
        <v>0</v>
      </c>
      <c r="AY280" s="114">
        <v>0</v>
      </c>
      <c r="AZ280" s="114">
        <v>3</v>
      </c>
      <c r="BA280" s="114">
        <v>209</v>
      </c>
      <c r="BB280" s="116"/>
      <c r="BC280" s="116"/>
      <c r="BD280" s="116"/>
      <c r="BE280" s="116"/>
      <c r="BF280" s="116"/>
      <c r="BG280" s="116"/>
      <c r="BH280" s="116"/>
      <c r="BI280" s="116"/>
      <c r="BJ280" s="117">
        <v>454934</v>
      </c>
      <c r="BK280" s="117">
        <v>1467</v>
      </c>
      <c r="BL280" s="117">
        <v>869265</v>
      </c>
      <c r="BM280" s="118">
        <v>4026047</v>
      </c>
      <c r="BN280" s="118"/>
      <c r="BO280" s="120">
        <v>0.809</v>
      </c>
      <c r="BP280" s="120">
        <v>0.191</v>
      </c>
      <c r="BQ280" s="120">
        <v>0.001</v>
      </c>
      <c r="BR280" s="120">
        <v>0.025</v>
      </c>
      <c r="BS280" s="120">
        <v>0.098</v>
      </c>
      <c r="BT280" s="120">
        <v>0.383</v>
      </c>
      <c r="BU280" s="120">
        <v>0.251</v>
      </c>
      <c r="BV280" s="120">
        <v>0.148</v>
      </c>
      <c r="BW280" s="120">
        <v>0.07</v>
      </c>
      <c r="BX280" s="120">
        <v>0.025</v>
      </c>
    </row>
    <row r="281" s="96" customFormat="1" ht="15.75" customHeight="1" spans="1:76">
      <c r="A281" s="111">
        <v>280</v>
      </c>
      <c r="B281" s="112" t="s">
        <v>46</v>
      </c>
      <c r="C281" s="112" t="s">
        <v>137</v>
      </c>
      <c r="D281" s="111">
        <v>2026</v>
      </c>
      <c r="E281" s="113" t="s">
        <v>35</v>
      </c>
      <c r="F281" s="114">
        <v>1476491</v>
      </c>
      <c r="G281" s="114">
        <v>1474361</v>
      </c>
      <c r="H281" s="114">
        <v>143796.8912</v>
      </c>
      <c r="I281" s="114">
        <v>2197</v>
      </c>
      <c r="J281" s="115">
        <v>0.0040625</v>
      </c>
      <c r="K281" s="114">
        <v>15.13</v>
      </c>
      <c r="L281" s="114">
        <v>70</v>
      </c>
      <c r="M281" s="114">
        <v>17556563</v>
      </c>
      <c r="N281" s="114">
        <v>6.47</v>
      </c>
      <c r="O281" s="114">
        <v>1039062</v>
      </c>
      <c r="P281" s="114">
        <v>439612</v>
      </c>
      <c r="Q281" s="114">
        <v>560949</v>
      </c>
      <c r="R281" s="114">
        <v>526415</v>
      </c>
      <c r="S281" s="114">
        <v>34534</v>
      </c>
      <c r="T281" s="114">
        <v>2950</v>
      </c>
      <c r="U281" s="114">
        <v>753</v>
      </c>
      <c r="V281" s="114">
        <v>7465</v>
      </c>
      <c r="W281" s="114">
        <v>400</v>
      </c>
      <c r="X281" s="114">
        <v>933</v>
      </c>
      <c r="Y281" s="114">
        <v>1748</v>
      </c>
      <c r="Z281" s="114">
        <v>7574827.502</v>
      </c>
      <c r="AA281" s="114">
        <v>0</v>
      </c>
      <c r="AB281" s="114">
        <v>0</v>
      </c>
      <c r="AC281" s="114">
        <v>329681.286</v>
      </c>
      <c r="AD281" s="114">
        <v>7244127.622</v>
      </c>
      <c r="AE281" s="114">
        <v>13115996.01</v>
      </c>
      <c r="AF281" s="114">
        <v>1356441</v>
      </c>
      <c r="AG281" s="114">
        <v>9669.419</v>
      </c>
      <c r="AH281" s="114">
        <v>930763</v>
      </c>
      <c r="AI281" s="114">
        <v>5095.963</v>
      </c>
      <c r="AJ281" s="114">
        <v>0</v>
      </c>
      <c r="AK281" s="114">
        <v>85</v>
      </c>
      <c r="AL281" s="114">
        <v>0</v>
      </c>
      <c r="AM281" s="114">
        <v>0</v>
      </c>
      <c r="AN281" s="114">
        <v>24829</v>
      </c>
      <c r="AO281" s="114">
        <v>2765.7072</v>
      </c>
      <c r="AP281" s="114">
        <v>17.679</v>
      </c>
      <c r="AQ281" s="114">
        <v>161</v>
      </c>
      <c r="AR281" s="114">
        <v>144</v>
      </c>
      <c r="AS281" s="114">
        <v>117</v>
      </c>
      <c r="AT281" s="114">
        <v>0</v>
      </c>
      <c r="AU281" s="114">
        <v>21</v>
      </c>
      <c r="AV281" s="114">
        <v>0</v>
      </c>
      <c r="AW281" s="114">
        <v>0</v>
      </c>
      <c r="AX281" s="114">
        <v>0</v>
      </c>
      <c r="AY281" s="114">
        <v>24</v>
      </c>
      <c r="AZ281" s="114">
        <v>0</v>
      </c>
      <c r="BA281" s="114">
        <v>143</v>
      </c>
      <c r="BB281" s="116"/>
      <c r="BC281" s="116"/>
      <c r="BD281" s="116"/>
      <c r="BE281" s="116"/>
      <c r="BF281" s="116"/>
      <c r="BG281" s="116"/>
      <c r="BH281" s="116"/>
      <c r="BI281" s="116"/>
      <c r="BJ281" s="117">
        <v>457131</v>
      </c>
      <c r="BK281" s="117">
        <v>2197</v>
      </c>
      <c r="BL281" s="117">
        <v>878525</v>
      </c>
      <c r="BM281" s="118">
        <v>4366973</v>
      </c>
      <c r="BN281" s="118"/>
      <c r="BO281" s="120">
        <v>0.822</v>
      </c>
      <c r="BP281" s="120">
        <v>0.178</v>
      </c>
      <c r="BQ281" s="120">
        <v>0</v>
      </c>
      <c r="BR281" s="120">
        <v>0.012</v>
      </c>
      <c r="BS281" s="120">
        <v>0.068</v>
      </c>
      <c r="BT281" s="120">
        <v>0.322</v>
      </c>
      <c r="BU281" s="120">
        <v>0.259</v>
      </c>
      <c r="BV281" s="120">
        <v>0.191</v>
      </c>
      <c r="BW281" s="120">
        <v>0.111</v>
      </c>
      <c r="BX281" s="120">
        <v>0.037</v>
      </c>
    </row>
    <row r="282" s="96" customFormat="1" ht="15.75" customHeight="1" spans="1:76">
      <c r="A282" s="111">
        <v>281</v>
      </c>
      <c r="B282" s="112" t="s">
        <v>46</v>
      </c>
      <c r="C282" s="112" t="s">
        <v>137</v>
      </c>
      <c r="D282" s="111">
        <v>2026</v>
      </c>
      <c r="E282" s="113" t="s">
        <v>36</v>
      </c>
      <c r="F282" s="114">
        <v>1011645</v>
      </c>
      <c r="G282" s="114">
        <v>1010174</v>
      </c>
      <c r="H282" s="114">
        <v>128804.5276</v>
      </c>
      <c r="I282" s="114">
        <v>1616</v>
      </c>
      <c r="J282" s="115">
        <v>0.0053125</v>
      </c>
      <c r="K282" s="114">
        <v>7.76</v>
      </c>
      <c r="L282" s="114">
        <v>123</v>
      </c>
      <c r="M282" s="114">
        <v>10920339</v>
      </c>
      <c r="N282" s="114">
        <v>6.96</v>
      </c>
      <c r="O282" s="114">
        <v>684046</v>
      </c>
      <c r="P282" s="114">
        <v>317654</v>
      </c>
      <c r="Q282" s="114">
        <v>329228</v>
      </c>
      <c r="R282" s="114">
        <v>300737</v>
      </c>
      <c r="S282" s="114">
        <v>28491</v>
      </c>
      <c r="T282" s="114">
        <v>2132</v>
      </c>
      <c r="U282" s="114">
        <v>516</v>
      </c>
      <c r="V282" s="114">
        <v>5292</v>
      </c>
      <c r="W282" s="114">
        <v>335</v>
      </c>
      <c r="X282" s="114">
        <v>776</v>
      </c>
      <c r="Y282" s="114">
        <v>999</v>
      </c>
      <c r="Z282" s="114">
        <v>6268073.182</v>
      </c>
      <c r="AA282" s="114">
        <v>0</v>
      </c>
      <c r="AB282" s="114">
        <v>0</v>
      </c>
      <c r="AC282" s="114">
        <v>197043.243</v>
      </c>
      <c r="AD282" s="114">
        <v>6070422.313</v>
      </c>
      <c r="AE282" s="114">
        <v>11007527.54</v>
      </c>
      <c r="AF282" s="114">
        <v>1059740</v>
      </c>
      <c r="AG282" s="114">
        <v>10387.008</v>
      </c>
      <c r="AH282" s="114">
        <v>684759</v>
      </c>
      <c r="AI282" s="114">
        <v>6176.376</v>
      </c>
      <c r="AJ282" s="114">
        <v>0</v>
      </c>
      <c r="AK282" s="114">
        <v>81</v>
      </c>
      <c r="AL282" s="114">
        <v>0</v>
      </c>
      <c r="AM282" s="114">
        <v>0</v>
      </c>
      <c r="AN282" s="114">
        <v>14196</v>
      </c>
      <c r="AO282" s="114">
        <v>1791.1504</v>
      </c>
      <c r="AP282" s="114">
        <v>44.7486</v>
      </c>
      <c r="AQ282" s="114">
        <v>277</v>
      </c>
      <c r="AR282" s="114">
        <v>1337</v>
      </c>
      <c r="AS282" s="114">
        <v>2233</v>
      </c>
      <c r="AT282" s="114"/>
      <c r="AU282" s="114">
        <v>8</v>
      </c>
      <c r="AV282" s="114">
        <v>0</v>
      </c>
      <c r="AW282" s="114">
        <v>0</v>
      </c>
      <c r="AX282" s="114">
        <v>2</v>
      </c>
      <c r="AY282" s="114">
        <v>10</v>
      </c>
      <c r="AZ282" s="114">
        <v>20</v>
      </c>
      <c r="BA282" s="114">
        <v>1545</v>
      </c>
      <c r="BB282" s="116"/>
      <c r="BC282" s="116"/>
      <c r="BD282" s="116"/>
      <c r="BE282" s="116"/>
      <c r="BF282" s="116"/>
      <c r="BG282" s="116"/>
      <c r="BH282" s="116"/>
      <c r="BI282" s="116"/>
      <c r="BJ282" s="117">
        <v>458748</v>
      </c>
      <c r="BK282" s="117">
        <v>1616</v>
      </c>
      <c r="BL282" s="117">
        <v>573384</v>
      </c>
      <c r="BM282" s="118">
        <v>3485481</v>
      </c>
      <c r="BN282" s="118"/>
      <c r="BO282" s="120">
        <v>0.783</v>
      </c>
      <c r="BP282" s="120">
        <v>0.217</v>
      </c>
      <c r="BQ282" s="120">
        <v>0</v>
      </c>
      <c r="BR282" s="120">
        <v>0.016</v>
      </c>
      <c r="BS282" s="120">
        <v>0.08</v>
      </c>
      <c r="BT282" s="120">
        <v>0.354</v>
      </c>
      <c r="BU282" s="120">
        <v>0.227</v>
      </c>
      <c r="BV282" s="120">
        <v>0.162</v>
      </c>
      <c r="BW282" s="120">
        <v>0.112</v>
      </c>
      <c r="BX282" s="120">
        <v>0.049</v>
      </c>
    </row>
    <row r="283" s="96" customFormat="1" ht="15.75" customHeight="1" spans="1:76">
      <c r="A283" s="111">
        <v>282</v>
      </c>
      <c r="B283" s="96" t="s">
        <v>46</v>
      </c>
      <c r="C283" s="96" t="s">
        <v>67</v>
      </c>
      <c r="D283" s="122">
        <v>2026</v>
      </c>
      <c r="E283" s="96" t="s">
        <v>37</v>
      </c>
      <c r="F283" s="123">
        <v>1651458</v>
      </c>
      <c r="G283" s="123">
        <v>1650537</v>
      </c>
      <c r="H283" s="123">
        <v>128896</v>
      </c>
      <c r="I283" s="123">
        <v>3006</v>
      </c>
      <c r="J283" s="124">
        <v>0.00325231481481481</v>
      </c>
      <c r="K283" s="125">
        <v>3</v>
      </c>
      <c r="L283" s="125">
        <v>123</v>
      </c>
      <c r="M283" s="123">
        <v>13987828</v>
      </c>
      <c r="N283" s="125">
        <v>9</v>
      </c>
      <c r="O283" s="123">
        <v>1136169</v>
      </c>
      <c r="P283" s="123">
        <v>555803</v>
      </c>
      <c r="Q283" s="123">
        <v>539013</v>
      </c>
      <c r="R283" s="123">
        <v>471132</v>
      </c>
      <c r="S283" s="123">
        <v>67881</v>
      </c>
      <c r="T283" s="123">
        <v>3689</v>
      </c>
      <c r="U283" s="125">
        <v>683</v>
      </c>
      <c r="V283" s="123">
        <v>8163</v>
      </c>
      <c r="W283" s="125">
        <v>531</v>
      </c>
      <c r="X283" s="125">
        <v>924</v>
      </c>
      <c r="Y283" s="123">
        <v>1241</v>
      </c>
      <c r="Z283" s="123">
        <v>15240348</v>
      </c>
      <c r="AA283" s="125">
        <v>0</v>
      </c>
      <c r="AB283" s="125">
        <v>0</v>
      </c>
      <c r="AC283" s="123">
        <v>224737</v>
      </c>
      <c r="AD283" s="123">
        <v>15015151</v>
      </c>
      <c r="AE283" s="123">
        <v>27296729</v>
      </c>
      <c r="AF283" s="123">
        <v>1934776</v>
      </c>
      <c r="AG283" s="123">
        <v>14108</v>
      </c>
      <c r="AH283" s="123">
        <v>1330222</v>
      </c>
      <c r="AI283" s="123">
        <v>9196</v>
      </c>
      <c r="AJ283" s="125">
        <v>0</v>
      </c>
      <c r="AK283" s="125">
        <v>46</v>
      </c>
      <c r="AL283" s="125">
        <v>0</v>
      </c>
      <c r="AM283" s="125">
        <v>0</v>
      </c>
      <c r="AN283" s="123">
        <v>25037</v>
      </c>
      <c r="AO283" s="123">
        <v>1936</v>
      </c>
      <c r="AP283" s="125">
        <v>33</v>
      </c>
      <c r="AQ283" s="125">
        <v>396</v>
      </c>
      <c r="AR283" s="123">
        <v>13587</v>
      </c>
      <c r="AS283" s="123">
        <v>22127</v>
      </c>
      <c r="AT283" s="125"/>
      <c r="AU283" s="125">
        <v>208</v>
      </c>
      <c r="AV283" s="125">
        <v>1</v>
      </c>
      <c r="AW283" s="125">
        <v>0</v>
      </c>
      <c r="AX283" s="125">
        <v>1</v>
      </c>
      <c r="AY283" s="125">
        <v>20</v>
      </c>
      <c r="AZ283" s="125">
        <v>2</v>
      </c>
      <c r="BA283" s="125">
        <v>161</v>
      </c>
      <c r="BB283" s="125"/>
      <c r="BC283" s="125"/>
      <c r="BD283" s="125"/>
      <c r="BE283" s="125"/>
      <c r="BF283" s="125"/>
      <c r="BG283" s="125"/>
      <c r="BH283" s="125"/>
      <c r="BI283" s="125"/>
      <c r="BJ283" s="117">
        <v>461754</v>
      </c>
      <c r="BK283" s="117">
        <v>3006</v>
      </c>
      <c r="BL283" s="117">
        <v>1255623</v>
      </c>
      <c r="BM283" s="118">
        <v>10741003</v>
      </c>
      <c r="BN283" s="118"/>
      <c r="BO283" s="120">
        <v>0.802</v>
      </c>
      <c r="BP283" s="120">
        <v>0.198</v>
      </c>
      <c r="BQ283" s="120">
        <v>0.001</v>
      </c>
      <c r="BR283" s="120">
        <v>0.02</v>
      </c>
      <c r="BS283" s="120">
        <v>0.091</v>
      </c>
      <c r="BT283" s="120">
        <v>0.363</v>
      </c>
      <c r="BU283" s="120">
        <v>0.241</v>
      </c>
      <c r="BV283" s="120">
        <v>0.161</v>
      </c>
      <c r="BW283" s="120">
        <v>0.092</v>
      </c>
      <c r="BX283" s="120">
        <v>0.032</v>
      </c>
    </row>
    <row r="284" s="96" customFormat="1" ht="15.75" customHeight="1" spans="1:76">
      <c r="A284" s="111">
        <v>283</v>
      </c>
      <c r="B284" s="96" t="s">
        <v>46</v>
      </c>
      <c r="C284" s="96" t="s">
        <v>67</v>
      </c>
      <c r="D284" s="122">
        <v>2026</v>
      </c>
      <c r="E284" s="96" t="s">
        <v>38</v>
      </c>
      <c r="F284" s="126">
        <v>1676552</v>
      </c>
      <c r="G284" s="126">
        <v>1670950</v>
      </c>
      <c r="H284" s="126">
        <v>125792</v>
      </c>
      <c r="I284" s="126">
        <v>2849</v>
      </c>
      <c r="J284" s="127">
        <v>0.00313657407407407</v>
      </c>
      <c r="K284" s="128">
        <v>3</v>
      </c>
      <c r="L284" s="128">
        <v>96</v>
      </c>
      <c r="M284" s="126">
        <v>13706438</v>
      </c>
      <c r="N284" s="128">
        <v>10</v>
      </c>
      <c r="O284" s="126">
        <v>1222463</v>
      </c>
      <c r="P284" s="126">
        <v>490203</v>
      </c>
      <c r="Q284" s="126">
        <v>366301</v>
      </c>
      <c r="R284" s="126">
        <v>312251</v>
      </c>
      <c r="S284" s="126">
        <v>54050</v>
      </c>
      <c r="T284" s="126">
        <v>3458</v>
      </c>
      <c r="U284" s="128">
        <v>609</v>
      </c>
      <c r="V284" s="126">
        <v>5855</v>
      </c>
      <c r="W284" s="128">
        <v>521</v>
      </c>
      <c r="X284" s="128">
        <v>837</v>
      </c>
      <c r="Y284" s="128">
        <v>703</v>
      </c>
      <c r="Z284" s="126">
        <v>14391011</v>
      </c>
      <c r="AA284" s="128">
        <v>0</v>
      </c>
      <c r="AB284" s="128">
        <v>0</v>
      </c>
      <c r="AC284" s="126">
        <v>211524</v>
      </c>
      <c r="AD284" s="126">
        <v>14178932</v>
      </c>
      <c r="AE284" s="126">
        <v>25780673</v>
      </c>
      <c r="AF284" s="126">
        <v>1938278</v>
      </c>
      <c r="AG284" s="126">
        <v>13301</v>
      </c>
      <c r="AH284" s="126">
        <v>1274949</v>
      </c>
      <c r="AI284" s="126">
        <v>9090</v>
      </c>
      <c r="AJ284" s="128">
        <v>0</v>
      </c>
      <c r="AK284" s="128">
        <v>36</v>
      </c>
      <c r="AL284" s="128">
        <v>0</v>
      </c>
      <c r="AM284" s="128">
        <v>0</v>
      </c>
      <c r="AN284" s="126">
        <v>25481</v>
      </c>
      <c r="AO284" s="126">
        <v>1865</v>
      </c>
      <c r="AP284" s="128">
        <v>76</v>
      </c>
      <c r="AQ284" s="128">
        <v>188</v>
      </c>
      <c r="AR284" s="126">
        <v>18783</v>
      </c>
      <c r="AS284" s="126">
        <v>12239</v>
      </c>
      <c r="AT284" s="128">
        <v>1</v>
      </c>
      <c r="AU284" s="128">
        <v>21</v>
      </c>
      <c r="AV284" s="128">
        <v>0</v>
      </c>
      <c r="AW284" s="128">
        <v>0</v>
      </c>
      <c r="AX284" s="128">
        <v>0</v>
      </c>
      <c r="AY284" s="128">
        <v>0</v>
      </c>
      <c r="AZ284" s="128">
        <v>0</v>
      </c>
      <c r="BA284" s="128">
        <v>195</v>
      </c>
      <c r="BB284" s="129"/>
      <c r="BC284" s="129"/>
      <c r="BD284" s="129"/>
      <c r="BE284" s="129"/>
      <c r="BF284" s="129"/>
      <c r="BG284" s="129"/>
      <c r="BH284" s="129"/>
      <c r="BI284" s="129"/>
      <c r="BJ284" s="130">
        <v>464603</v>
      </c>
      <c r="BK284" s="130">
        <v>2849</v>
      </c>
      <c r="BL284" s="130">
        <v>1341649</v>
      </c>
      <c r="BM284" s="131">
        <v>10226853.57</v>
      </c>
      <c r="BN284" s="131"/>
      <c r="BO284" s="132">
        <v>0.802</v>
      </c>
      <c r="BP284" s="132">
        <v>0.197</v>
      </c>
      <c r="BQ284" s="132">
        <v>0.001</v>
      </c>
      <c r="BR284" s="132">
        <v>0.02</v>
      </c>
      <c r="BS284" s="132">
        <v>0.098</v>
      </c>
      <c r="BT284" s="132">
        <v>0.376</v>
      </c>
      <c r="BU284" s="132">
        <v>0.24</v>
      </c>
      <c r="BV284" s="132">
        <v>0.149</v>
      </c>
      <c r="BW284" s="132">
        <v>0.086</v>
      </c>
      <c r="BX284" s="119"/>
    </row>
    <row r="285" s="96" customFormat="1" ht="15.75" customHeight="1" spans="1:76">
      <c r="A285" s="111">
        <v>284</v>
      </c>
      <c r="B285" s="96" t="s">
        <v>46</v>
      </c>
      <c r="C285" s="96" t="s">
        <v>67</v>
      </c>
      <c r="D285" s="122">
        <v>2026</v>
      </c>
      <c r="E285" s="96" t="s">
        <v>39</v>
      </c>
      <c r="F285" s="128"/>
      <c r="G285" s="128"/>
      <c r="H285" s="128"/>
      <c r="I285" s="128"/>
      <c r="J285" s="127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9"/>
      <c r="BC285" s="129"/>
      <c r="BD285" s="129"/>
      <c r="BE285" s="129"/>
      <c r="BF285" s="129"/>
      <c r="BG285" s="129"/>
      <c r="BH285" s="129"/>
      <c r="BI285" s="129"/>
      <c r="BJ285" s="119"/>
      <c r="BK285" s="119"/>
      <c r="BL285" s="119"/>
      <c r="BM285" s="131"/>
      <c r="BN285" s="131"/>
      <c r="BO285" s="119"/>
      <c r="BP285" s="119"/>
      <c r="BQ285" s="119"/>
      <c r="BR285" s="119"/>
      <c r="BS285" s="119"/>
      <c r="BT285" s="119"/>
      <c r="BU285" s="119"/>
      <c r="BV285" s="119"/>
      <c r="BW285" s="119"/>
      <c r="BX285" s="119"/>
    </row>
    <row r="286" s="96" customFormat="1" ht="15.75" customHeight="1" spans="1:76">
      <c r="A286" s="111">
        <v>285</v>
      </c>
      <c r="B286" s="96" t="s">
        <v>46</v>
      </c>
      <c r="C286" s="96" t="s">
        <v>67</v>
      </c>
      <c r="D286" s="122">
        <v>2026</v>
      </c>
      <c r="E286" s="96" t="s">
        <v>40</v>
      </c>
      <c r="F286" s="128"/>
      <c r="G286" s="128"/>
      <c r="H286" s="128"/>
      <c r="I286" s="128"/>
      <c r="J286" s="127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9"/>
      <c r="BC286" s="129"/>
      <c r="BD286" s="129"/>
      <c r="BE286" s="129"/>
      <c r="BF286" s="129"/>
      <c r="BG286" s="129"/>
      <c r="BH286" s="129"/>
      <c r="BI286" s="129"/>
      <c r="BJ286" s="119"/>
      <c r="BK286" s="119"/>
      <c r="BL286" s="119"/>
      <c r="BM286" s="131"/>
      <c r="BN286" s="131"/>
      <c r="BO286" s="119"/>
      <c r="BP286" s="119"/>
      <c r="BQ286" s="119"/>
      <c r="BR286" s="119"/>
      <c r="BS286" s="119"/>
      <c r="BT286" s="119"/>
      <c r="BU286" s="119"/>
      <c r="BV286" s="119"/>
      <c r="BW286" s="119"/>
      <c r="BX286" s="119"/>
    </row>
    <row r="287" s="96" customFormat="1" ht="15.75" customHeight="1" spans="1:76">
      <c r="A287" s="111">
        <v>286</v>
      </c>
      <c r="B287" s="96" t="s">
        <v>46</v>
      </c>
      <c r="C287" s="96" t="s">
        <v>67</v>
      </c>
      <c r="D287" s="122">
        <v>2026</v>
      </c>
      <c r="E287" s="96" t="s">
        <v>41</v>
      </c>
      <c r="F287" s="128"/>
      <c r="G287" s="128"/>
      <c r="H287" s="128"/>
      <c r="I287" s="128"/>
      <c r="J287" s="127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9"/>
      <c r="BC287" s="129"/>
      <c r="BD287" s="129"/>
      <c r="BE287" s="129"/>
      <c r="BF287" s="129"/>
      <c r="BG287" s="129"/>
      <c r="BH287" s="129"/>
      <c r="BI287" s="129"/>
      <c r="BJ287" s="119"/>
      <c r="BK287" s="119"/>
      <c r="BL287" s="119"/>
      <c r="BM287" s="131"/>
      <c r="BN287" s="131"/>
      <c r="BO287" s="119"/>
      <c r="BP287" s="119"/>
      <c r="BQ287" s="119"/>
      <c r="BR287" s="119"/>
      <c r="BS287" s="119"/>
      <c r="BT287" s="119"/>
      <c r="BU287" s="119"/>
      <c r="BV287" s="119"/>
      <c r="BW287" s="119"/>
      <c r="BX287" s="119"/>
    </row>
    <row r="288" s="96" customFormat="1" ht="15.75" customHeight="1" spans="1:76">
      <c r="A288" s="111">
        <v>287</v>
      </c>
      <c r="B288" s="96" t="s">
        <v>46</v>
      </c>
      <c r="C288" s="96" t="s">
        <v>67</v>
      </c>
      <c r="D288" s="122">
        <v>2026</v>
      </c>
      <c r="E288" s="96" t="s">
        <v>42</v>
      </c>
      <c r="F288" s="128"/>
      <c r="G288" s="128"/>
      <c r="H288" s="128"/>
      <c r="I288" s="128"/>
      <c r="J288" s="127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9"/>
      <c r="BC288" s="129"/>
      <c r="BD288" s="129"/>
      <c r="BE288" s="129"/>
      <c r="BF288" s="129"/>
      <c r="BG288" s="129"/>
      <c r="BH288" s="129"/>
      <c r="BI288" s="129"/>
      <c r="BJ288" s="119"/>
      <c r="BK288" s="119"/>
      <c r="BL288" s="119"/>
      <c r="BM288" s="131"/>
      <c r="BN288" s="131"/>
      <c r="BO288" s="119"/>
      <c r="BP288" s="119"/>
      <c r="BQ288" s="119"/>
      <c r="BR288" s="119"/>
      <c r="BS288" s="119"/>
      <c r="BT288" s="119"/>
      <c r="BU288" s="119"/>
      <c r="BV288" s="119"/>
      <c r="BW288" s="119"/>
      <c r="BX288" s="119"/>
    </row>
    <row r="289" s="96" customFormat="1" ht="15.75" customHeight="1" spans="1:76">
      <c r="A289" s="111">
        <v>288</v>
      </c>
      <c r="B289" s="96" t="s">
        <v>46</v>
      </c>
      <c r="C289" s="96" t="s">
        <v>67</v>
      </c>
      <c r="D289" s="122">
        <v>2026</v>
      </c>
      <c r="E289" s="96" t="s">
        <v>43</v>
      </c>
      <c r="F289" s="128"/>
      <c r="G289" s="128"/>
      <c r="H289" s="128"/>
      <c r="I289" s="128"/>
      <c r="J289" s="127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9"/>
      <c r="BC289" s="129"/>
      <c r="BD289" s="129"/>
      <c r="BE289" s="129"/>
      <c r="BF289" s="129"/>
      <c r="BG289" s="129"/>
      <c r="BH289" s="129"/>
      <c r="BI289" s="129"/>
      <c r="BJ289" s="119"/>
      <c r="BK289" s="119"/>
      <c r="BL289" s="119"/>
      <c r="BM289" s="131"/>
      <c r="BN289" s="131"/>
      <c r="BO289" s="119"/>
      <c r="BP289" s="119"/>
      <c r="BQ289" s="119"/>
      <c r="BR289" s="119"/>
      <c r="BS289" s="119"/>
      <c r="BT289" s="119"/>
      <c r="BU289" s="119"/>
      <c r="BV289" s="119"/>
      <c r="BW289" s="119"/>
      <c r="BX289" s="119"/>
    </row>
    <row r="290" s="96" customFormat="1" ht="15.75" customHeight="1" spans="1:76">
      <c r="A290" s="111">
        <v>289</v>
      </c>
      <c r="B290" s="112" t="s">
        <v>46</v>
      </c>
      <c r="C290" s="112" t="s">
        <v>138</v>
      </c>
      <c r="D290" s="111">
        <v>2024</v>
      </c>
      <c r="E290" s="113" t="s">
        <v>31</v>
      </c>
      <c r="F290" s="114">
        <v>57271</v>
      </c>
      <c r="G290" s="114">
        <v>57271</v>
      </c>
      <c r="H290" s="114">
        <v>1420.6303</v>
      </c>
      <c r="I290" s="114">
        <v>250</v>
      </c>
      <c r="J290" s="115">
        <v>0.00103009259259259</v>
      </c>
      <c r="K290" s="114">
        <v>47.38</v>
      </c>
      <c r="L290" s="114">
        <v>106</v>
      </c>
      <c r="M290" s="114">
        <v>648595</v>
      </c>
      <c r="N290" s="114">
        <v>7.12</v>
      </c>
      <c r="O290" s="114">
        <v>40778</v>
      </c>
      <c r="P290" s="114">
        <v>34286</v>
      </c>
      <c r="Q290" s="114">
        <v>6492</v>
      </c>
      <c r="R290" s="114">
        <v>6492</v>
      </c>
      <c r="S290" s="114">
        <v>0</v>
      </c>
      <c r="T290" s="114">
        <v>316</v>
      </c>
      <c r="U290" s="114">
        <v>66</v>
      </c>
      <c r="V290" s="114">
        <v>676</v>
      </c>
      <c r="W290" s="114">
        <v>4</v>
      </c>
      <c r="X290" s="114">
        <v>757</v>
      </c>
      <c r="Y290" s="114">
        <v>118</v>
      </c>
      <c r="Z290" s="114">
        <v>83972.631</v>
      </c>
      <c r="AA290" s="114">
        <v>0</v>
      </c>
      <c r="AB290" s="114">
        <v>0</v>
      </c>
      <c r="AC290" s="114">
        <v>643.009</v>
      </c>
      <c r="AD290" s="114">
        <v>83329.622</v>
      </c>
      <c r="AE290" s="114">
        <v>151912.421</v>
      </c>
      <c r="AF290" s="114">
        <v>20325</v>
      </c>
      <c r="AG290" s="114">
        <v>7474.166</v>
      </c>
      <c r="AH290" s="114">
        <v>18318</v>
      </c>
      <c r="AI290" s="114">
        <v>1466.233</v>
      </c>
      <c r="AJ290" s="114">
        <v>0</v>
      </c>
      <c r="AK290" s="114">
        <v>0</v>
      </c>
      <c r="AL290" s="114">
        <v>0</v>
      </c>
      <c r="AM290" s="114">
        <v>0</v>
      </c>
      <c r="AN290" s="114">
        <v>585</v>
      </c>
      <c r="AO290" s="114">
        <v>12.5071</v>
      </c>
      <c r="AP290" s="114"/>
      <c r="AQ290" s="114">
        <v>0</v>
      </c>
      <c r="AR290" s="114"/>
      <c r="AS290" s="114"/>
      <c r="AT290" s="114"/>
      <c r="AU290" s="114"/>
      <c r="AV290" s="114">
        <v>0</v>
      </c>
      <c r="AW290" s="114">
        <v>0</v>
      </c>
      <c r="AX290" s="114">
        <v>0</v>
      </c>
      <c r="AY290" s="114">
        <v>0</v>
      </c>
      <c r="AZ290" s="114">
        <v>0</v>
      </c>
      <c r="BA290" s="114">
        <v>0</v>
      </c>
      <c r="BB290" s="116"/>
      <c r="BC290" s="116"/>
      <c r="BD290" s="116"/>
      <c r="BE290" s="116"/>
      <c r="BF290" s="116"/>
      <c r="BG290" s="116"/>
      <c r="BH290" s="116"/>
      <c r="BI290" s="116"/>
      <c r="BJ290" s="117">
        <v>52173</v>
      </c>
      <c r="BK290" s="133">
        <v>250</v>
      </c>
      <c r="BL290" s="117">
        <v>19160</v>
      </c>
      <c r="BM290" s="118">
        <v>51000</v>
      </c>
      <c r="BN290" s="118">
        <v>3</v>
      </c>
      <c r="BO290" s="119"/>
      <c r="BP290" s="119"/>
      <c r="BQ290" s="119"/>
      <c r="BR290" s="119"/>
      <c r="BS290" s="119"/>
      <c r="BT290" s="119"/>
      <c r="BU290" s="119"/>
      <c r="BV290" s="119"/>
      <c r="BW290" s="119"/>
      <c r="BX290" s="119"/>
    </row>
    <row r="291" s="96" customFormat="1" ht="15.75" customHeight="1" spans="1:76">
      <c r="A291" s="111">
        <v>290</v>
      </c>
      <c r="B291" s="112" t="s">
        <v>46</v>
      </c>
      <c r="C291" s="112" t="s">
        <v>138</v>
      </c>
      <c r="D291" s="111">
        <v>2024</v>
      </c>
      <c r="E291" s="113" t="s">
        <v>33</v>
      </c>
      <c r="F291" s="114">
        <v>53669</v>
      </c>
      <c r="G291" s="114">
        <v>53669</v>
      </c>
      <c r="H291" s="114">
        <v>1286.3602</v>
      </c>
      <c r="I291" s="114">
        <v>156</v>
      </c>
      <c r="J291" s="115">
        <v>0.00099537037037037</v>
      </c>
      <c r="K291" s="114">
        <v>43.43</v>
      </c>
      <c r="L291" s="114">
        <v>139</v>
      </c>
      <c r="M291" s="114">
        <v>635010</v>
      </c>
      <c r="N291" s="114">
        <v>6.71</v>
      </c>
      <c r="O291" s="114">
        <v>37215</v>
      </c>
      <c r="P291" s="114">
        <v>30661</v>
      </c>
      <c r="Q291" s="114">
        <v>6517</v>
      </c>
      <c r="R291" s="114">
        <v>6517</v>
      </c>
      <c r="S291" s="114">
        <v>0</v>
      </c>
      <c r="T291" s="114">
        <v>220</v>
      </c>
      <c r="U291" s="114">
        <v>64</v>
      </c>
      <c r="V291" s="114">
        <v>531</v>
      </c>
      <c r="W291" s="114">
        <v>2</v>
      </c>
      <c r="X291" s="114">
        <v>1016</v>
      </c>
      <c r="Y291" s="114">
        <v>69</v>
      </c>
      <c r="Z291" s="114">
        <v>93771.386</v>
      </c>
      <c r="AA291" s="114">
        <v>0</v>
      </c>
      <c r="AB291" s="114">
        <v>0</v>
      </c>
      <c r="AC291" s="114">
        <v>781.932</v>
      </c>
      <c r="AD291" s="114">
        <v>92989.454</v>
      </c>
      <c r="AE291" s="114">
        <v>169070.804</v>
      </c>
      <c r="AF291" s="114">
        <v>20621</v>
      </c>
      <c r="AG291" s="114">
        <v>8198.962</v>
      </c>
      <c r="AH291" s="114">
        <v>18124</v>
      </c>
      <c r="AI291" s="114">
        <v>1747.217</v>
      </c>
      <c r="AJ291" s="114">
        <v>0</v>
      </c>
      <c r="AK291" s="114">
        <v>0</v>
      </c>
      <c r="AL291" s="114">
        <v>0</v>
      </c>
      <c r="AM291" s="114">
        <v>0</v>
      </c>
      <c r="AN291" s="114">
        <v>540</v>
      </c>
      <c r="AO291" s="114">
        <v>12.2483</v>
      </c>
      <c r="AP291" s="114"/>
      <c r="AQ291" s="114">
        <v>0</v>
      </c>
      <c r="AR291" s="114"/>
      <c r="AS291" s="114"/>
      <c r="AT291" s="114"/>
      <c r="AU291" s="114"/>
      <c r="AV291" s="114">
        <v>0</v>
      </c>
      <c r="AW291" s="114">
        <v>0</v>
      </c>
      <c r="AX291" s="114">
        <v>0</v>
      </c>
      <c r="AY291" s="114">
        <v>0</v>
      </c>
      <c r="AZ291" s="114">
        <v>0</v>
      </c>
      <c r="BA291" s="114">
        <v>0</v>
      </c>
      <c r="BB291" s="116"/>
      <c r="BC291" s="116"/>
      <c r="BD291" s="116"/>
      <c r="BE291" s="116"/>
      <c r="BF291" s="116"/>
      <c r="BG291" s="116"/>
      <c r="BH291" s="116"/>
      <c r="BI291" s="116"/>
      <c r="BJ291" s="117">
        <v>52329</v>
      </c>
      <c r="BK291" s="133">
        <v>156</v>
      </c>
      <c r="BL291" s="117">
        <v>28989</v>
      </c>
      <c r="BM291" s="118">
        <v>78370</v>
      </c>
      <c r="BN291" s="118">
        <v>4.61</v>
      </c>
      <c r="BO291" s="119"/>
      <c r="BP291" s="119"/>
      <c r="BQ291" s="119"/>
      <c r="BR291" s="119"/>
      <c r="BS291" s="119"/>
      <c r="BT291" s="119"/>
      <c r="BU291" s="119"/>
      <c r="BV291" s="119"/>
      <c r="BW291" s="119"/>
      <c r="BX291" s="119"/>
    </row>
    <row r="292" s="96" customFormat="1" ht="15.75" customHeight="1" spans="1:76">
      <c r="A292" s="111">
        <v>291</v>
      </c>
      <c r="B292" s="112" t="s">
        <v>46</v>
      </c>
      <c r="C292" s="112" t="s">
        <v>138</v>
      </c>
      <c r="D292" s="111">
        <v>2024</v>
      </c>
      <c r="E292" s="113" t="s">
        <v>34</v>
      </c>
      <c r="F292" s="114">
        <v>54318</v>
      </c>
      <c r="G292" s="114">
        <v>54318</v>
      </c>
      <c r="H292" s="114">
        <v>1272.7842</v>
      </c>
      <c r="I292" s="114">
        <v>146</v>
      </c>
      <c r="J292" s="115">
        <v>0.000972222222222222</v>
      </c>
      <c r="K292" s="114">
        <v>44.81</v>
      </c>
      <c r="L292" s="114">
        <v>128</v>
      </c>
      <c r="M292" s="114">
        <v>750831</v>
      </c>
      <c r="N292" s="114">
        <v>5.75</v>
      </c>
      <c r="O292" s="114">
        <v>36614</v>
      </c>
      <c r="P292" s="114">
        <v>30063</v>
      </c>
      <c r="Q292" s="114">
        <v>6551</v>
      </c>
      <c r="R292" s="114">
        <v>6551</v>
      </c>
      <c r="S292" s="114">
        <v>0</v>
      </c>
      <c r="T292" s="114">
        <v>201</v>
      </c>
      <c r="U292" s="114">
        <v>55</v>
      </c>
      <c r="V292" s="114">
        <v>519</v>
      </c>
      <c r="W292" s="114">
        <v>9</v>
      </c>
      <c r="X292" s="114">
        <v>860</v>
      </c>
      <c r="Y292" s="114">
        <v>56</v>
      </c>
      <c r="Z292" s="114">
        <v>114485.592</v>
      </c>
      <c r="AA292" s="114">
        <v>0</v>
      </c>
      <c r="AB292" s="114">
        <v>0</v>
      </c>
      <c r="AC292" s="114">
        <v>1050.653</v>
      </c>
      <c r="AD292" s="114">
        <v>113434.939</v>
      </c>
      <c r="AE292" s="114">
        <v>208492.702</v>
      </c>
      <c r="AF292" s="114">
        <v>23623</v>
      </c>
      <c r="AG292" s="114">
        <v>8825.835</v>
      </c>
      <c r="AH292" s="114">
        <v>20359</v>
      </c>
      <c r="AI292" s="114">
        <v>2107.692</v>
      </c>
      <c r="AJ292" s="114">
        <v>0</v>
      </c>
      <c r="AK292" s="114">
        <v>0</v>
      </c>
      <c r="AL292" s="114">
        <v>0</v>
      </c>
      <c r="AM292" s="114">
        <v>0</v>
      </c>
      <c r="AN292" s="114">
        <v>600</v>
      </c>
      <c r="AO292" s="114">
        <v>16.3402</v>
      </c>
      <c r="AP292" s="114"/>
      <c r="AQ292" s="114">
        <v>0</v>
      </c>
      <c r="AR292" s="114"/>
      <c r="AS292" s="114"/>
      <c r="AT292" s="114"/>
      <c r="AU292" s="114"/>
      <c r="AV292" s="114">
        <v>0</v>
      </c>
      <c r="AW292" s="114">
        <v>0</v>
      </c>
      <c r="AX292" s="114">
        <v>0</v>
      </c>
      <c r="AY292" s="114">
        <v>0</v>
      </c>
      <c r="AZ292" s="114">
        <v>0</v>
      </c>
      <c r="BA292" s="114">
        <v>0</v>
      </c>
      <c r="BB292" s="116"/>
      <c r="BC292" s="116"/>
      <c r="BD292" s="116"/>
      <c r="BE292" s="116"/>
      <c r="BF292" s="116"/>
      <c r="BG292" s="116"/>
      <c r="BH292" s="116"/>
      <c r="BI292" s="116"/>
      <c r="BJ292" s="117">
        <v>52475</v>
      </c>
      <c r="BK292" s="133">
        <v>146</v>
      </c>
      <c r="BL292" s="117">
        <v>29630</v>
      </c>
      <c r="BM292" s="118">
        <v>99110</v>
      </c>
      <c r="BN292" s="118">
        <v>5.83</v>
      </c>
      <c r="BO292" s="119"/>
      <c r="BP292" s="119"/>
      <c r="BQ292" s="119"/>
      <c r="BR292" s="119"/>
      <c r="BS292" s="119"/>
      <c r="BT292" s="119"/>
      <c r="BU292" s="119"/>
      <c r="BV292" s="119"/>
      <c r="BW292" s="119"/>
      <c r="BX292" s="119"/>
    </row>
    <row r="293" s="96" customFormat="1" ht="15.75" customHeight="1" spans="1:76">
      <c r="A293" s="111">
        <v>292</v>
      </c>
      <c r="B293" s="112" t="s">
        <v>46</v>
      </c>
      <c r="C293" s="112" t="s">
        <v>138</v>
      </c>
      <c r="D293" s="111">
        <v>2024</v>
      </c>
      <c r="E293" s="113" t="s">
        <v>35</v>
      </c>
      <c r="F293" s="114">
        <v>44133</v>
      </c>
      <c r="G293" s="114">
        <v>44133</v>
      </c>
      <c r="H293" s="114">
        <v>981.3244</v>
      </c>
      <c r="I293" s="114">
        <v>123</v>
      </c>
      <c r="J293" s="115">
        <v>0.000925925925925926</v>
      </c>
      <c r="K293" s="114">
        <v>43.84</v>
      </c>
      <c r="L293" s="114">
        <v>93</v>
      </c>
      <c r="M293" s="114">
        <v>658540</v>
      </c>
      <c r="N293" s="114">
        <v>5.36</v>
      </c>
      <c r="O293" s="114">
        <v>32126</v>
      </c>
      <c r="P293" s="114">
        <v>26096</v>
      </c>
      <c r="Q293" s="114">
        <v>6030</v>
      </c>
      <c r="R293" s="114">
        <v>6030</v>
      </c>
      <c r="S293" s="114">
        <v>0</v>
      </c>
      <c r="T293" s="114">
        <v>190</v>
      </c>
      <c r="U293" s="114">
        <v>67</v>
      </c>
      <c r="V293" s="114">
        <v>371</v>
      </c>
      <c r="W293" s="114">
        <v>10</v>
      </c>
      <c r="X293" s="114">
        <v>607</v>
      </c>
      <c r="Y293" s="114">
        <v>65</v>
      </c>
      <c r="Z293" s="114">
        <v>61863.66</v>
      </c>
      <c r="AA293" s="114">
        <v>0</v>
      </c>
      <c r="AB293" s="114">
        <v>0</v>
      </c>
      <c r="AC293" s="114">
        <v>743.193</v>
      </c>
      <c r="AD293" s="114">
        <v>61120.468</v>
      </c>
      <c r="AE293" s="114">
        <v>113907.363</v>
      </c>
      <c r="AF293" s="114">
        <v>12504</v>
      </c>
      <c r="AG293" s="114">
        <v>9109.674</v>
      </c>
      <c r="AH293" s="114">
        <v>10881</v>
      </c>
      <c r="AI293" s="114">
        <v>1401.75</v>
      </c>
      <c r="AJ293" s="114">
        <v>0</v>
      </c>
      <c r="AK293" s="114">
        <v>0</v>
      </c>
      <c r="AL293" s="114">
        <v>0</v>
      </c>
      <c r="AM293" s="114">
        <v>0</v>
      </c>
      <c r="AN293" s="114">
        <v>504</v>
      </c>
      <c r="AO293" s="114">
        <v>12.3274</v>
      </c>
      <c r="AP293" s="114"/>
      <c r="AQ293" s="114">
        <v>0</v>
      </c>
      <c r="AR293" s="114"/>
      <c r="AS293" s="114"/>
      <c r="AT293" s="114"/>
      <c r="AU293" s="114"/>
      <c r="AV293" s="114">
        <v>0</v>
      </c>
      <c r="AW293" s="114">
        <v>0</v>
      </c>
      <c r="AX293" s="114">
        <v>0</v>
      </c>
      <c r="AY293" s="114">
        <v>0</v>
      </c>
      <c r="AZ293" s="114">
        <v>0</v>
      </c>
      <c r="BA293" s="114">
        <v>0</v>
      </c>
      <c r="BB293" s="116"/>
      <c r="BC293" s="116"/>
      <c r="BD293" s="116"/>
      <c r="BE293" s="116"/>
      <c r="BF293" s="116"/>
      <c r="BG293" s="116"/>
      <c r="BH293" s="116"/>
      <c r="BI293" s="116"/>
      <c r="BJ293" s="117">
        <v>52598</v>
      </c>
      <c r="BK293" s="133">
        <v>123</v>
      </c>
      <c r="BL293" s="117">
        <v>22214</v>
      </c>
      <c r="BM293" s="118">
        <v>51000</v>
      </c>
      <c r="BN293" s="118">
        <v>3</v>
      </c>
      <c r="BO293" s="119"/>
      <c r="BP293" s="119"/>
      <c r="BQ293" s="119"/>
      <c r="BR293" s="119"/>
      <c r="BS293" s="119"/>
      <c r="BT293" s="119"/>
      <c r="BU293" s="119"/>
      <c r="BV293" s="119"/>
      <c r="BW293" s="119"/>
      <c r="BX293" s="119"/>
    </row>
    <row r="294" s="96" customFormat="1" ht="15.75" customHeight="1" spans="1:76">
      <c r="A294" s="111">
        <v>293</v>
      </c>
      <c r="B294" s="112" t="s">
        <v>46</v>
      </c>
      <c r="C294" s="112" t="s">
        <v>138</v>
      </c>
      <c r="D294" s="111">
        <v>2024</v>
      </c>
      <c r="E294" s="113" t="s">
        <v>36</v>
      </c>
      <c r="F294" s="114">
        <v>50184</v>
      </c>
      <c r="G294" s="114">
        <v>50184</v>
      </c>
      <c r="H294" s="114">
        <v>1169.2667</v>
      </c>
      <c r="I294" s="114">
        <v>115</v>
      </c>
      <c r="J294" s="115">
        <v>0.000960648148148148</v>
      </c>
      <c r="K294" s="114">
        <v>43.32</v>
      </c>
      <c r="L294" s="114">
        <v>117</v>
      </c>
      <c r="M294" s="114">
        <v>702733</v>
      </c>
      <c r="N294" s="114">
        <v>5.67</v>
      </c>
      <c r="O294" s="114">
        <v>34373</v>
      </c>
      <c r="P294" s="114">
        <v>28266</v>
      </c>
      <c r="Q294" s="114">
        <v>6107</v>
      </c>
      <c r="R294" s="114">
        <v>6107</v>
      </c>
      <c r="S294" s="114">
        <v>0</v>
      </c>
      <c r="T294" s="114">
        <v>178</v>
      </c>
      <c r="U294" s="114">
        <v>63</v>
      </c>
      <c r="V294" s="114">
        <v>448</v>
      </c>
      <c r="W294" s="114">
        <v>3</v>
      </c>
      <c r="X294" s="114">
        <v>887</v>
      </c>
      <c r="Y294" s="114">
        <v>83</v>
      </c>
      <c r="Z294" s="114">
        <v>75677.371</v>
      </c>
      <c r="AA294" s="114">
        <v>0</v>
      </c>
      <c r="AB294" s="114">
        <v>0</v>
      </c>
      <c r="AC294" s="114">
        <v>541.607</v>
      </c>
      <c r="AD294" s="114">
        <v>75135.764</v>
      </c>
      <c r="AE294" s="114">
        <v>136690.447</v>
      </c>
      <c r="AF294" s="114">
        <v>14540</v>
      </c>
      <c r="AG294" s="114">
        <v>9400.994</v>
      </c>
      <c r="AH294" s="114">
        <v>12938</v>
      </c>
      <c r="AI294" s="114">
        <v>1507.999</v>
      </c>
      <c r="AJ294" s="114">
        <v>0</v>
      </c>
      <c r="AK294" s="114">
        <v>0</v>
      </c>
      <c r="AL294" s="114">
        <v>0</v>
      </c>
      <c r="AM294" s="114">
        <v>0</v>
      </c>
      <c r="AN294" s="114">
        <v>379</v>
      </c>
      <c r="AO294" s="114">
        <v>9.2189</v>
      </c>
      <c r="AP294" s="114"/>
      <c r="AQ294" s="114">
        <v>0</v>
      </c>
      <c r="AR294" s="114"/>
      <c r="AS294" s="114"/>
      <c r="AT294" s="114"/>
      <c r="AU294" s="114"/>
      <c r="AV294" s="114">
        <v>0</v>
      </c>
      <c r="AW294" s="114">
        <v>0</v>
      </c>
      <c r="AX294" s="114">
        <v>0</v>
      </c>
      <c r="AY294" s="114">
        <v>0</v>
      </c>
      <c r="AZ294" s="114">
        <v>0</v>
      </c>
      <c r="BA294" s="114">
        <v>0</v>
      </c>
      <c r="BB294" s="116"/>
      <c r="BC294" s="116"/>
      <c r="BD294" s="116"/>
      <c r="BE294" s="116"/>
      <c r="BF294" s="116"/>
      <c r="BG294" s="116"/>
      <c r="BH294" s="116"/>
      <c r="BI294" s="116"/>
      <c r="BJ294" s="117">
        <v>52713</v>
      </c>
      <c r="BK294" s="133">
        <v>115</v>
      </c>
      <c r="BL294" s="117">
        <v>24360</v>
      </c>
      <c r="BM294" s="118">
        <v>64260</v>
      </c>
      <c r="BN294" s="118">
        <v>3.78</v>
      </c>
      <c r="BO294" s="119"/>
      <c r="BP294" s="119"/>
      <c r="BQ294" s="119"/>
      <c r="BR294" s="119"/>
      <c r="BS294" s="119"/>
      <c r="BT294" s="119"/>
      <c r="BU294" s="119"/>
      <c r="BV294" s="119"/>
      <c r="BW294" s="119"/>
      <c r="BX294" s="119"/>
    </row>
    <row r="295" s="96" customFormat="1" ht="15.75" customHeight="1" spans="1:76">
      <c r="A295" s="111">
        <v>294</v>
      </c>
      <c r="B295" s="112" t="s">
        <v>46</v>
      </c>
      <c r="C295" s="112" t="s">
        <v>138</v>
      </c>
      <c r="D295" s="111">
        <v>2024</v>
      </c>
      <c r="E295" s="113" t="s">
        <v>37</v>
      </c>
      <c r="F295" s="114">
        <v>39003</v>
      </c>
      <c r="G295" s="114">
        <v>39003</v>
      </c>
      <c r="H295" s="114">
        <v>895.9355</v>
      </c>
      <c r="I295" s="114">
        <v>100</v>
      </c>
      <c r="J295" s="115">
        <v>0.000949074074074074</v>
      </c>
      <c r="K295" s="114">
        <v>44.02</v>
      </c>
      <c r="L295" s="114">
        <v>125</v>
      </c>
      <c r="M295" s="114">
        <v>587736</v>
      </c>
      <c r="N295" s="114">
        <v>5.18</v>
      </c>
      <c r="O295" s="114">
        <v>25431</v>
      </c>
      <c r="P295" s="114">
        <v>20100</v>
      </c>
      <c r="Q295" s="114">
        <v>5331</v>
      </c>
      <c r="R295" s="114">
        <v>5331</v>
      </c>
      <c r="S295" s="114">
        <v>0</v>
      </c>
      <c r="T295" s="114">
        <v>157</v>
      </c>
      <c r="U295" s="114">
        <v>57</v>
      </c>
      <c r="V295" s="114">
        <v>404</v>
      </c>
      <c r="W295" s="114">
        <v>0</v>
      </c>
      <c r="X295" s="114">
        <v>820</v>
      </c>
      <c r="Y295" s="114">
        <v>78</v>
      </c>
      <c r="Z295" s="114">
        <v>66524.744</v>
      </c>
      <c r="AA295" s="114">
        <v>0</v>
      </c>
      <c r="AB295" s="114">
        <v>0</v>
      </c>
      <c r="AC295" s="114">
        <v>491.469</v>
      </c>
      <c r="AD295" s="114">
        <v>66033.275</v>
      </c>
      <c r="AE295" s="114">
        <v>120060.871</v>
      </c>
      <c r="AF295" s="114">
        <v>12512</v>
      </c>
      <c r="AG295" s="114">
        <v>9595.658</v>
      </c>
      <c r="AH295" s="114">
        <v>10839</v>
      </c>
      <c r="AI295" s="114">
        <v>1705.635</v>
      </c>
      <c r="AJ295" s="114">
        <v>0</v>
      </c>
      <c r="AK295" s="114">
        <v>0</v>
      </c>
      <c r="AL295" s="114">
        <v>0</v>
      </c>
      <c r="AM295" s="114">
        <v>0</v>
      </c>
      <c r="AN295" s="114">
        <v>353</v>
      </c>
      <c r="AO295" s="114">
        <v>7.9518</v>
      </c>
      <c r="AP295" s="114"/>
      <c r="AQ295" s="114">
        <v>0</v>
      </c>
      <c r="AR295" s="114"/>
      <c r="AS295" s="114"/>
      <c r="AT295" s="114"/>
      <c r="AU295" s="114"/>
      <c r="AV295" s="114">
        <v>0</v>
      </c>
      <c r="AW295" s="114">
        <v>0</v>
      </c>
      <c r="AX295" s="114">
        <v>0</v>
      </c>
      <c r="AY295" s="114">
        <v>0</v>
      </c>
      <c r="AZ295" s="114">
        <v>0</v>
      </c>
      <c r="BA295" s="114">
        <v>0</v>
      </c>
      <c r="BB295" s="116"/>
      <c r="BC295" s="116"/>
      <c r="BD295" s="116"/>
      <c r="BE295" s="116"/>
      <c r="BF295" s="116"/>
      <c r="BG295" s="116"/>
      <c r="BH295" s="116"/>
      <c r="BI295" s="116"/>
      <c r="BJ295" s="117">
        <v>52813</v>
      </c>
      <c r="BK295" s="133">
        <v>100</v>
      </c>
      <c r="BL295" s="117">
        <v>16935</v>
      </c>
      <c r="BM295" s="118">
        <v>53210</v>
      </c>
      <c r="BN295" s="118">
        <v>3.13</v>
      </c>
      <c r="BO295" s="119"/>
      <c r="BP295" s="119"/>
      <c r="BQ295" s="119"/>
      <c r="BR295" s="119"/>
      <c r="BS295" s="119"/>
      <c r="BT295" s="119"/>
      <c r="BU295" s="119"/>
      <c r="BV295" s="119"/>
      <c r="BW295" s="119"/>
      <c r="BX295" s="119"/>
    </row>
    <row r="296" s="96" customFormat="1" ht="15.75" customHeight="1" spans="1:76">
      <c r="A296" s="111">
        <v>295</v>
      </c>
      <c r="B296" s="112" t="s">
        <v>46</v>
      </c>
      <c r="C296" s="112" t="s">
        <v>138</v>
      </c>
      <c r="D296" s="111">
        <v>2024</v>
      </c>
      <c r="E296" s="113" t="s">
        <v>38</v>
      </c>
      <c r="F296" s="114">
        <v>43054</v>
      </c>
      <c r="G296" s="114">
        <v>43054</v>
      </c>
      <c r="H296" s="114">
        <v>1042.7346</v>
      </c>
      <c r="I296" s="114">
        <v>109</v>
      </c>
      <c r="J296" s="115">
        <v>0.00100694444444444</v>
      </c>
      <c r="K296" s="114">
        <v>46.15</v>
      </c>
      <c r="L296" s="114">
        <v>134</v>
      </c>
      <c r="M296" s="114">
        <v>609924</v>
      </c>
      <c r="N296" s="114">
        <v>5.27</v>
      </c>
      <c r="O296" s="114">
        <v>26757</v>
      </c>
      <c r="P296" s="114">
        <v>21250</v>
      </c>
      <c r="Q296" s="114">
        <v>5507</v>
      </c>
      <c r="R296" s="114">
        <v>5507</v>
      </c>
      <c r="S296" s="114">
        <v>0</v>
      </c>
      <c r="T296" s="114">
        <v>168</v>
      </c>
      <c r="U296" s="114">
        <v>59</v>
      </c>
      <c r="V296" s="114">
        <v>506</v>
      </c>
      <c r="W296" s="114">
        <v>-1</v>
      </c>
      <c r="X296" s="114">
        <v>847</v>
      </c>
      <c r="Y296" s="114">
        <v>50</v>
      </c>
      <c r="Z296" s="114">
        <v>95264.549</v>
      </c>
      <c r="AA296" s="114">
        <v>0</v>
      </c>
      <c r="AB296" s="114">
        <v>0</v>
      </c>
      <c r="AC296" s="114">
        <v>332.099</v>
      </c>
      <c r="AD296" s="114">
        <v>94932.45</v>
      </c>
      <c r="AE296" s="114">
        <v>173522.011</v>
      </c>
      <c r="AF296" s="114">
        <v>16914</v>
      </c>
      <c r="AG296" s="114">
        <v>10259.076</v>
      </c>
      <c r="AH296" s="114">
        <v>14572</v>
      </c>
      <c r="AI296" s="114">
        <v>2212.667</v>
      </c>
      <c r="AJ296" s="114">
        <v>0</v>
      </c>
      <c r="AK296" s="114">
        <v>0</v>
      </c>
      <c r="AL296" s="114">
        <v>0</v>
      </c>
      <c r="AM296" s="114">
        <v>0</v>
      </c>
      <c r="AN296" s="114">
        <v>403</v>
      </c>
      <c r="AO296" s="114">
        <v>9.0212</v>
      </c>
      <c r="AP296" s="114"/>
      <c r="AQ296" s="114">
        <v>0</v>
      </c>
      <c r="AR296" s="114"/>
      <c r="AS296" s="114"/>
      <c r="AT296" s="114"/>
      <c r="AU296" s="114"/>
      <c r="AV296" s="114">
        <v>0</v>
      </c>
      <c r="AW296" s="114">
        <v>0</v>
      </c>
      <c r="AX296" s="114">
        <v>0</v>
      </c>
      <c r="AY296" s="114">
        <v>1</v>
      </c>
      <c r="AZ296" s="114">
        <v>0</v>
      </c>
      <c r="BA296" s="114">
        <v>0</v>
      </c>
      <c r="BB296" s="116"/>
      <c r="BC296" s="116"/>
      <c r="BD296" s="116"/>
      <c r="BE296" s="116"/>
      <c r="BF296" s="116"/>
      <c r="BG296" s="116"/>
      <c r="BH296" s="116"/>
      <c r="BI296" s="116"/>
      <c r="BJ296" s="117">
        <v>52922</v>
      </c>
      <c r="BK296" s="133">
        <v>109</v>
      </c>
      <c r="BL296" s="117">
        <v>21309</v>
      </c>
      <c r="BM296" s="118">
        <v>87720</v>
      </c>
      <c r="BN296" s="118">
        <v>5.16</v>
      </c>
      <c r="BO296" s="119"/>
      <c r="BP296" s="119"/>
      <c r="BQ296" s="119"/>
      <c r="BR296" s="119"/>
      <c r="BS296" s="119"/>
      <c r="BT296" s="119"/>
      <c r="BU296" s="119"/>
      <c r="BV296" s="119"/>
      <c r="BW296" s="119"/>
      <c r="BX296" s="119"/>
    </row>
    <row r="297" s="96" customFormat="1" ht="15.75" customHeight="1" spans="1:76">
      <c r="A297" s="111">
        <v>296</v>
      </c>
      <c r="B297" s="112" t="s">
        <v>46</v>
      </c>
      <c r="C297" s="112" t="s">
        <v>138</v>
      </c>
      <c r="D297" s="111">
        <v>2024</v>
      </c>
      <c r="E297" s="113" t="s">
        <v>39</v>
      </c>
      <c r="F297" s="114">
        <v>42975</v>
      </c>
      <c r="G297" s="114">
        <v>42975</v>
      </c>
      <c r="H297" s="114">
        <v>1020.0097</v>
      </c>
      <c r="I297" s="114">
        <v>136</v>
      </c>
      <c r="J297" s="115">
        <v>0.000983796296296296</v>
      </c>
      <c r="K297" s="114">
        <v>47.61</v>
      </c>
      <c r="L297" s="114">
        <v>133</v>
      </c>
      <c r="M297" s="114">
        <v>583139</v>
      </c>
      <c r="N297" s="114">
        <v>5.61</v>
      </c>
      <c r="O297" s="114">
        <v>27076</v>
      </c>
      <c r="P297" s="114">
        <v>21158</v>
      </c>
      <c r="Q297" s="114">
        <v>5918</v>
      </c>
      <c r="R297" s="114">
        <v>5918</v>
      </c>
      <c r="S297" s="114">
        <v>0</v>
      </c>
      <c r="T297" s="114">
        <v>193</v>
      </c>
      <c r="U297" s="114">
        <v>57</v>
      </c>
      <c r="V297" s="114">
        <v>540</v>
      </c>
      <c r="W297" s="114">
        <v>0</v>
      </c>
      <c r="X297" s="114">
        <v>965</v>
      </c>
      <c r="Y297" s="114">
        <v>47</v>
      </c>
      <c r="Z297" s="114">
        <v>103076.501</v>
      </c>
      <c r="AA297" s="114">
        <v>0</v>
      </c>
      <c r="AB297" s="114">
        <v>0</v>
      </c>
      <c r="AC297" s="114">
        <v>481.876</v>
      </c>
      <c r="AD297" s="114">
        <v>102594.625</v>
      </c>
      <c r="AE297" s="114">
        <v>186536.04</v>
      </c>
      <c r="AF297" s="114">
        <v>19416</v>
      </c>
      <c r="AG297" s="114">
        <v>9607.336</v>
      </c>
      <c r="AH297" s="114">
        <v>16702</v>
      </c>
      <c r="AI297" s="114">
        <v>2398.521</v>
      </c>
      <c r="AJ297" s="114">
        <v>0</v>
      </c>
      <c r="AK297" s="114">
        <v>0</v>
      </c>
      <c r="AL297" s="114">
        <v>0</v>
      </c>
      <c r="AM297" s="114">
        <v>0</v>
      </c>
      <c r="AN297" s="114">
        <v>472</v>
      </c>
      <c r="AO297" s="114">
        <v>9.322</v>
      </c>
      <c r="AP297" s="114"/>
      <c r="AQ297" s="114">
        <v>0</v>
      </c>
      <c r="AR297" s="114"/>
      <c r="AS297" s="114"/>
      <c r="AT297" s="114"/>
      <c r="AU297" s="114"/>
      <c r="AV297" s="114">
        <v>0</v>
      </c>
      <c r="AW297" s="114">
        <v>0</v>
      </c>
      <c r="AX297" s="114">
        <v>0</v>
      </c>
      <c r="AY297" s="114">
        <v>0</v>
      </c>
      <c r="AZ297" s="114">
        <v>0</v>
      </c>
      <c r="BA297" s="114">
        <v>0</v>
      </c>
      <c r="BB297" s="116"/>
      <c r="BC297" s="116"/>
      <c r="BD297" s="116"/>
      <c r="BE297" s="116"/>
      <c r="BF297" s="116"/>
      <c r="BG297" s="116"/>
      <c r="BH297" s="116"/>
      <c r="BI297" s="116"/>
      <c r="BJ297" s="117">
        <v>53058</v>
      </c>
      <c r="BK297" s="133">
        <v>136</v>
      </c>
      <c r="BL297" s="117">
        <v>19973</v>
      </c>
      <c r="BM297" s="118">
        <v>92650</v>
      </c>
      <c r="BN297" s="118">
        <v>5.45</v>
      </c>
      <c r="BO297" s="119"/>
      <c r="BP297" s="119"/>
      <c r="BQ297" s="119"/>
      <c r="BR297" s="119"/>
      <c r="BS297" s="119"/>
      <c r="BT297" s="119"/>
      <c r="BU297" s="119"/>
      <c r="BV297" s="119"/>
      <c r="BW297" s="119"/>
      <c r="BX297" s="119"/>
    </row>
    <row r="298" s="96" customFormat="1" ht="15.75" customHeight="1" spans="1:76">
      <c r="A298" s="111">
        <v>297</v>
      </c>
      <c r="B298" s="112" t="s">
        <v>46</v>
      </c>
      <c r="C298" s="112" t="s">
        <v>138</v>
      </c>
      <c r="D298" s="111">
        <v>2024</v>
      </c>
      <c r="E298" s="113" t="s">
        <v>40</v>
      </c>
      <c r="F298" s="114">
        <v>36176</v>
      </c>
      <c r="G298" s="114">
        <v>36176</v>
      </c>
      <c r="H298" s="114">
        <v>877.8617</v>
      </c>
      <c r="I298" s="114">
        <v>118</v>
      </c>
      <c r="J298" s="115">
        <v>0.00100694444444444</v>
      </c>
      <c r="K298" s="114">
        <v>47.4</v>
      </c>
      <c r="L298" s="114">
        <v>101</v>
      </c>
      <c r="M298" s="114">
        <v>472507</v>
      </c>
      <c r="N298" s="114">
        <v>5.61</v>
      </c>
      <c r="O298" s="114">
        <v>24333</v>
      </c>
      <c r="P298" s="114">
        <v>19038</v>
      </c>
      <c r="Q298" s="114">
        <v>5295</v>
      </c>
      <c r="R298" s="114">
        <v>5295</v>
      </c>
      <c r="S298" s="114">
        <v>0</v>
      </c>
      <c r="T298" s="114">
        <v>183</v>
      </c>
      <c r="U298" s="114">
        <v>65</v>
      </c>
      <c r="V298" s="114">
        <v>495</v>
      </c>
      <c r="W298" s="114">
        <v>7</v>
      </c>
      <c r="X298" s="114">
        <v>856</v>
      </c>
      <c r="Y298" s="114">
        <v>46</v>
      </c>
      <c r="Z298" s="114">
        <v>70510.166</v>
      </c>
      <c r="AA298" s="114">
        <v>0</v>
      </c>
      <c r="AB298" s="114">
        <v>0</v>
      </c>
      <c r="AC298" s="114">
        <v>428.546</v>
      </c>
      <c r="AD298" s="114">
        <v>70080.166</v>
      </c>
      <c r="AE298" s="114">
        <v>127418.009</v>
      </c>
      <c r="AF298" s="114">
        <v>15769</v>
      </c>
      <c r="AG298" s="114">
        <v>8080.285</v>
      </c>
      <c r="AH298" s="114">
        <v>13669</v>
      </c>
      <c r="AI298" s="114">
        <v>1949.092</v>
      </c>
      <c r="AJ298" s="114">
        <v>0</v>
      </c>
      <c r="AK298" s="114">
        <v>0</v>
      </c>
      <c r="AL298" s="114">
        <v>0</v>
      </c>
      <c r="AM298" s="114">
        <v>0</v>
      </c>
      <c r="AN298" s="114">
        <v>373</v>
      </c>
      <c r="AO298" s="114">
        <v>7.7186</v>
      </c>
      <c r="AP298" s="114"/>
      <c r="AQ298" s="114">
        <v>0</v>
      </c>
      <c r="AR298" s="114"/>
      <c r="AS298" s="114"/>
      <c r="AT298" s="114"/>
      <c r="AU298" s="114"/>
      <c r="AV298" s="114">
        <v>0</v>
      </c>
      <c r="AW298" s="114">
        <v>0</v>
      </c>
      <c r="AX298" s="114">
        <v>0</v>
      </c>
      <c r="AY298" s="114">
        <v>0</v>
      </c>
      <c r="AZ298" s="114">
        <v>0</v>
      </c>
      <c r="BA298" s="114">
        <v>0</v>
      </c>
      <c r="BB298" s="116"/>
      <c r="BC298" s="116"/>
      <c r="BD298" s="116"/>
      <c r="BE298" s="116"/>
      <c r="BF298" s="116"/>
      <c r="BG298" s="116"/>
      <c r="BH298" s="116"/>
      <c r="BI298" s="116"/>
      <c r="BJ298" s="117">
        <v>53176</v>
      </c>
      <c r="BK298" s="133">
        <v>118</v>
      </c>
      <c r="BL298" s="117">
        <v>14722</v>
      </c>
      <c r="BM298" s="118">
        <v>60690</v>
      </c>
      <c r="BN298" s="118">
        <v>3.57</v>
      </c>
      <c r="BO298" s="119"/>
      <c r="BP298" s="119"/>
      <c r="BQ298" s="119"/>
      <c r="BR298" s="119"/>
      <c r="BS298" s="119"/>
      <c r="BT298" s="119"/>
      <c r="BU298" s="119"/>
      <c r="BV298" s="119"/>
      <c r="BW298" s="119"/>
      <c r="BX298" s="119"/>
    </row>
    <row r="299" s="96" customFormat="1" ht="15.75" customHeight="1" spans="1:76">
      <c r="A299" s="111">
        <v>298</v>
      </c>
      <c r="B299" s="112" t="s">
        <v>46</v>
      </c>
      <c r="C299" s="112" t="s">
        <v>138</v>
      </c>
      <c r="D299" s="111">
        <v>2024</v>
      </c>
      <c r="E299" s="113" t="s">
        <v>41</v>
      </c>
      <c r="F299" s="114">
        <v>24082</v>
      </c>
      <c r="G299" s="114">
        <v>24082</v>
      </c>
      <c r="H299" s="114">
        <v>551.037</v>
      </c>
      <c r="I299" s="114">
        <v>52</v>
      </c>
      <c r="J299" s="115">
        <v>0.000949074074074074</v>
      </c>
      <c r="K299" s="114">
        <v>44.75</v>
      </c>
      <c r="L299" s="114">
        <v>32</v>
      </c>
      <c r="M299" s="114">
        <v>281543</v>
      </c>
      <c r="N299" s="114">
        <v>6.77</v>
      </c>
      <c r="O299" s="114">
        <v>17442</v>
      </c>
      <c r="P299" s="114">
        <v>13647</v>
      </c>
      <c r="Q299" s="114">
        <v>3795</v>
      </c>
      <c r="R299" s="114">
        <v>3795</v>
      </c>
      <c r="S299" s="114">
        <v>0</v>
      </c>
      <c r="T299" s="114">
        <v>104</v>
      </c>
      <c r="U299" s="114">
        <v>52</v>
      </c>
      <c r="V299" s="114">
        <v>162</v>
      </c>
      <c r="W299" s="114">
        <v>-1</v>
      </c>
      <c r="X299" s="114">
        <v>261</v>
      </c>
      <c r="Y299" s="114">
        <v>36</v>
      </c>
      <c r="Z299" s="114">
        <v>24890.447</v>
      </c>
      <c r="AA299" s="114">
        <v>0</v>
      </c>
      <c r="AB299" s="114">
        <v>0</v>
      </c>
      <c r="AC299" s="114">
        <v>192.49</v>
      </c>
      <c r="AD299" s="114">
        <v>24696.84</v>
      </c>
      <c r="AE299" s="114">
        <v>44902.957</v>
      </c>
      <c r="AF299" s="114">
        <v>4721</v>
      </c>
      <c r="AG299" s="114">
        <v>9511.323</v>
      </c>
      <c r="AH299" s="114">
        <v>4136</v>
      </c>
      <c r="AI299" s="114">
        <v>1033.569</v>
      </c>
      <c r="AJ299" s="114">
        <v>0</v>
      </c>
      <c r="AK299" s="114">
        <v>0</v>
      </c>
      <c r="AL299" s="114">
        <v>0</v>
      </c>
      <c r="AM299" s="114">
        <v>0</v>
      </c>
      <c r="AN299" s="114">
        <v>263</v>
      </c>
      <c r="AO299" s="114">
        <v>5.5427</v>
      </c>
      <c r="AP299" s="114"/>
      <c r="AQ299" s="114">
        <v>0</v>
      </c>
      <c r="AR299" s="114"/>
      <c r="AS299" s="114"/>
      <c r="AT299" s="114"/>
      <c r="AU299" s="114"/>
      <c r="AV299" s="114">
        <v>0</v>
      </c>
      <c r="AW299" s="114">
        <v>0</v>
      </c>
      <c r="AX299" s="114">
        <v>0</v>
      </c>
      <c r="AY299" s="114">
        <v>3</v>
      </c>
      <c r="AZ299" s="114">
        <v>0</v>
      </c>
      <c r="BA299" s="114">
        <v>0</v>
      </c>
      <c r="BB299" s="116"/>
      <c r="BC299" s="116"/>
      <c r="BD299" s="116"/>
      <c r="BE299" s="116"/>
      <c r="BF299" s="116"/>
      <c r="BG299" s="116"/>
      <c r="BH299" s="116"/>
      <c r="BI299" s="116"/>
      <c r="BJ299" s="117">
        <v>53228</v>
      </c>
      <c r="BK299" s="133">
        <v>52</v>
      </c>
      <c r="BL299" s="117">
        <v>4696</v>
      </c>
      <c r="BM299" s="118">
        <v>13430</v>
      </c>
      <c r="BN299" s="118">
        <v>0.79</v>
      </c>
      <c r="BO299" s="119"/>
      <c r="BP299" s="119"/>
      <c r="BQ299" s="119"/>
      <c r="BR299" s="119"/>
      <c r="BS299" s="119"/>
      <c r="BT299" s="119"/>
      <c r="BU299" s="119"/>
      <c r="BV299" s="119"/>
      <c r="BW299" s="119"/>
      <c r="BX299" s="119"/>
    </row>
    <row r="300" s="96" customFormat="1" ht="15.75" customHeight="1" spans="1:76">
      <c r="A300" s="111">
        <v>299</v>
      </c>
      <c r="B300" s="112" t="s">
        <v>46</v>
      </c>
      <c r="C300" s="112" t="s">
        <v>138</v>
      </c>
      <c r="D300" s="111">
        <v>2024</v>
      </c>
      <c r="E300" s="113" t="s">
        <v>42</v>
      </c>
      <c r="F300" s="114">
        <v>37964</v>
      </c>
      <c r="G300" s="114">
        <v>37964</v>
      </c>
      <c r="H300" s="114">
        <v>865.5937</v>
      </c>
      <c r="I300" s="114">
        <v>115</v>
      </c>
      <c r="J300" s="115">
        <v>0.000949074074074074</v>
      </c>
      <c r="K300" s="114">
        <v>36.06</v>
      </c>
      <c r="L300" s="114">
        <v>84</v>
      </c>
      <c r="M300" s="114">
        <v>485675</v>
      </c>
      <c r="N300" s="114">
        <v>6.05</v>
      </c>
      <c r="O300" s="114">
        <v>27077</v>
      </c>
      <c r="P300" s="114">
        <v>22066</v>
      </c>
      <c r="Q300" s="114">
        <v>5011</v>
      </c>
      <c r="R300" s="114">
        <v>5011</v>
      </c>
      <c r="S300" s="114">
        <v>0</v>
      </c>
      <c r="T300" s="114">
        <v>156</v>
      </c>
      <c r="U300" s="114">
        <v>41</v>
      </c>
      <c r="V300" s="114">
        <v>331</v>
      </c>
      <c r="W300" s="114">
        <v>5</v>
      </c>
      <c r="X300" s="114">
        <v>540</v>
      </c>
      <c r="Y300" s="114">
        <v>59</v>
      </c>
      <c r="Z300" s="114">
        <v>55857.405</v>
      </c>
      <c r="AA300" s="114">
        <v>0</v>
      </c>
      <c r="AB300" s="114">
        <v>0</v>
      </c>
      <c r="AC300" s="114">
        <v>562.299</v>
      </c>
      <c r="AD300" s="114">
        <v>55292.664</v>
      </c>
      <c r="AE300" s="114">
        <v>100532.087</v>
      </c>
      <c r="AF300" s="114">
        <v>10806</v>
      </c>
      <c r="AG300" s="114">
        <v>9303.358</v>
      </c>
      <c r="AH300" s="114">
        <v>9705</v>
      </c>
      <c r="AI300" s="114">
        <v>1471.321</v>
      </c>
      <c r="AJ300" s="114">
        <v>0</v>
      </c>
      <c r="AK300" s="114">
        <v>0</v>
      </c>
      <c r="AL300" s="114">
        <v>0</v>
      </c>
      <c r="AM300" s="114">
        <v>0</v>
      </c>
      <c r="AN300" s="114">
        <v>329</v>
      </c>
      <c r="AO300" s="114">
        <v>8.0667</v>
      </c>
      <c r="AP300" s="114">
        <v>1.7617</v>
      </c>
      <c r="AQ300" s="114">
        <v>0</v>
      </c>
      <c r="AR300" s="114">
        <v>1</v>
      </c>
      <c r="AS300" s="114">
        <v>3</v>
      </c>
      <c r="AT300" s="114"/>
      <c r="AU300" s="114"/>
      <c r="AV300" s="114">
        <v>0</v>
      </c>
      <c r="AW300" s="114">
        <v>0</v>
      </c>
      <c r="AX300" s="114">
        <v>0</v>
      </c>
      <c r="AY300" s="114">
        <v>1</v>
      </c>
      <c r="AZ300" s="114">
        <v>0</v>
      </c>
      <c r="BA300" s="114">
        <v>0</v>
      </c>
      <c r="BB300" s="116"/>
      <c r="BC300" s="116"/>
      <c r="BD300" s="116"/>
      <c r="BE300" s="116"/>
      <c r="BF300" s="116"/>
      <c r="BG300" s="116"/>
      <c r="BH300" s="116"/>
      <c r="BI300" s="116"/>
      <c r="BJ300" s="117">
        <v>53343</v>
      </c>
      <c r="BK300" s="133">
        <v>115</v>
      </c>
      <c r="BL300" s="117">
        <v>19355</v>
      </c>
      <c r="BM300" s="118">
        <v>46580</v>
      </c>
      <c r="BN300" s="118">
        <v>2.74</v>
      </c>
      <c r="BO300" s="119"/>
      <c r="BP300" s="119"/>
      <c r="BQ300" s="119"/>
      <c r="BR300" s="119"/>
      <c r="BS300" s="119"/>
      <c r="BT300" s="119"/>
      <c r="BU300" s="119"/>
      <c r="BV300" s="119"/>
      <c r="BW300" s="119"/>
      <c r="BX300" s="119"/>
    </row>
    <row r="301" s="96" customFormat="1" ht="15.75" customHeight="1" spans="1:76">
      <c r="A301" s="111">
        <v>300</v>
      </c>
      <c r="B301" s="112" t="s">
        <v>46</v>
      </c>
      <c r="C301" s="112" t="s">
        <v>138</v>
      </c>
      <c r="D301" s="111">
        <v>2024</v>
      </c>
      <c r="E301" s="113" t="s">
        <v>43</v>
      </c>
      <c r="F301" s="114">
        <v>38101</v>
      </c>
      <c r="G301" s="114">
        <v>38101</v>
      </c>
      <c r="H301" s="114">
        <v>886.2987</v>
      </c>
      <c r="I301" s="114">
        <v>117</v>
      </c>
      <c r="J301" s="115">
        <v>0.000960648148148148</v>
      </c>
      <c r="K301" s="114">
        <v>46.01</v>
      </c>
      <c r="L301" s="114">
        <v>90</v>
      </c>
      <c r="M301" s="114">
        <v>542467</v>
      </c>
      <c r="N301" s="114">
        <v>5.59</v>
      </c>
      <c r="O301" s="114">
        <v>24581</v>
      </c>
      <c r="P301" s="114">
        <v>19432</v>
      </c>
      <c r="Q301" s="114">
        <v>5149</v>
      </c>
      <c r="R301" s="114">
        <v>5149</v>
      </c>
      <c r="S301" s="114">
        <v>0</v>
      </c>
      <c r="T301" s="114">
        <v>161</v>
      </c>
      <c r="U301" s="114">
        <v>44</v>
      </c>
      <c r="V301" s="114">
        <v>310</v>
      </c>
      <c r="W301" s="114">
        <v>5</v>
      </c>
      <c r="X301" s="114">
        <v>464</v>
      </c>
      <c r="Y301" s="114">
        <v>37</v>
      </c>
      <c r="Z301" s="114">
        <v>65385.07</v>
      </c>
      <c r="AA301" s="114">
        <v>0</v>
      </c>
      <c r="AB301" s="114">
        <v>0</v>
      </c>
      <c r="AC301" s="114">
        <v>435.548</v>
      </c>
      <c r="AD301" s="114">
        <v>64944.839</v>
      </c>
      <c r="AE301" s="114">
        <v>118317.427</v>
      </c>
      <c r="AF301" s="114">
        <v>11557</v>
      </c>
      <c r="AG301" s="114">
        <v>10237.728</v>
      </c>
      <c r="AH301" s="114">
        <v>10440</v>
      </c>
      <c r="AI301" s="114">
        <v>1716.096</v>
      </c>
      <c r="AJ301" s="114">
        <v>0</v>
      </c>
      <c r="AK301" s="114">
        <v>0</v>
      </c>
      <c r="AL301" s="114">
        <v>0</v>
      </c>
      <c r="AM301" s="114">
        <v>0</v>
      </c>
      <c r="AN301" s="114">
        <v>373</v>
      </c>
      <c r="AO301" s="114">
        <v>7.9063</v>
      </c>
      <c r="AP301" s="114"/>
      <c r="AQ301" s="114">
        <v>0</v>
      </c>
      <c r="AR301" s="114"/>
      <c r="AS301" s="114"/>
      <c r="AT301" s="114"/>
      <c r="AU301" s="114"/>
      <c r="AV301" s="114">
        <v>0</v>
      </c>
      <c r="AW301" s="114">
        <v>0</v>
      </c>
      <c r="AX301" s="114">
        <v>0</v>
      </c>
      <c r="AY301" s="114">
        <v>0</v>
      </c>
      <c r="AZ301" s="114">
        <v>0</v>
      </c>
      <c r="BA301" s="114">
        <v>0</v>
      </c>
      <c r="BB301" s="116"/>
      <c r="BC301" s="116"/>
      <c r="BD301" s="116"/>
      <c r="BE301" s="116"/>
      <c r="BF301" s="116"/>
      <c r="BG301" s="116"/>
      <c r="BH301" s="116"/>
      <c r="BI301" s="116"/>
      <c r="BJ301" s="117">
        <v>53460</v>
      </c>
      <c r="BK301" s="133">
        <v>117</v>
      </c>
      <c r="BL301" s="117">
        <v>17199</v>
      </c>
      <c r="BM301" s="118">
        <v>53210</v>
      </c>
      <c r="BN301" s="118">
        <v>3.13</v>
      </c>
      <c r="BO301" s="119"/>
      <c r="BP301" s="119"/>
      <c r="BQ301" s="119"/>
      <c r="BR301" s="119"/>
      <c r="BS301" s="119"/>
      <c r="BT301" s="119"/>
      <c r="BU301" s="119"/>
      <c r="BV301" s="119"/>
      <c r="BW301" s="119"/>
      <c r="BX301" s="119"/>
    </row>
    <row r="302" s="96" customFormat="1" ht="15.75" customHeight="1" spans="1:76">
      <c r="A302" s="111">
        <v>301</v>
      </c>
      <c r="B302" s="112" t="s">
        <v>46</v>
      </c>
      <c r="C302" s="112" t="s">
        <v>138</v>
      </c>
      <c r="D302" s="111">
        <v>2025</v>
      </c>
      <c r="E302" s="113" t="s">
        <v>31</v>
      </c>
      <c r="F302" s="114">
        <v>41714</v>
      </c>
      <c r="G302" s="114">
        <v>41714</v>
      </c>
      <c r="H302" s="114">
        <v>909.212</v>
      </c>
      <c r="I302" s="114">
        <v>128</v>
      </c>
      <c r="J302" s="115">
        <v>0.000902777777777778</v>
      </c>
      <c r="K302" s="114">
        <v>44.73</v>
      </c>
      <c r="L302" s="114">
        <v>80</v>
      </c>
      <c r="M302" s="114">
        <v>562919</v>
      </c>
      <c r="N302" s="114">
        <v>6.1</v>
      </c>
      <c r="O302" s="114">
        <v>28656</v>
      </c>
      <c r="P302" s="114">
        <v>23883</v>
      </c>
      <c r="Q302" s="114">
        <v>4773</v>
      </c>
      <c r="R302" s="114">
        <v>4773</v>
      </c>
      <c r="S302" s="114">
        <v>0</v>
      </c>
      <c r="T302" s="114">
        <v>176</v>
      </c>
      <c r="U302" s="114">
        <v>48</v>
      </c>
      <c r="V302" s="114">
        <v>358</v>
      </c>
      <c r="W302" s="114">
        <v>1</v>
      </c>
      <c r="X302" s="114">
        <v>512</v>
      </c>
      <c r="Y302" s="114">
        <v>115</v>
      </c>
      <c r="Z302" s="114">
        <v>65529.823</v>
      </c>
      <c r="AA302" s="114">
        <v>0</v>
      </c>
      <c r="AB302" s="114">
        <v>0</v>
      </c>
      <c r="AC302" s="114">
        <v>623.736</v>
      </c>
      <c r="AD302" s="114">
        <v>64898.483</v>
      </c>
      <c r="AE302" s="114">
        <v>117997.776</v>
      </c>
      <c r="AF302" s="114">
        <v>12051</v>
      </c>
      <c r="AG302" s="114">
        <v>9791.534</v>
      </c>
      <c r="AH302" s="114">
        <v>11225</v>
      </c>
      <c r="AI302" s="114">
        <v>1570.935</v>
      </c>
      <c r="AJ302" s="114">
        <v>0</v>
      </c>
      <c r="AK302" s="114">
        <v>0</v>
      </c>
      <c r="AL302" s="114">
        <v>0</v>
      </c>
      <c r="AM302" s="114">
        <v>0</v>
      </c>
      <c r="AN302" s="114">
        <v>414</v>
      </c>
      <c r="AO302" s="114">
        <v>8.6822</v>
      </c>
      <c r="AP302" s="114"/>
      <c r="AQ302" s="114">
        <v>0</v>
      </c>
      <c r="AR302" s="114"/>
      <c r="AS302" s="114"/>
      <c r="AT302" s="114"/>
      <c r="AU302" s="114"/>
      <c r="AV302" s="114">
        <v>0</v>
      </c>
      <c r="AW302" s="114">
        <v>0</v>
      </c>
      <c r="AX302" s="114">
        <v>0</v>
      </c>
      <c r="AY302" s="114">
        <v>2</v>
      </c>
      <c r="AZ302" s="114">
        <v>0</v>
      </c>
      <c r="BA302" s="114">
        <v>0</v>
      </c>
      <c r="BB302" s="116"/>
      <c r="BC302" s="116"/>
      <c r="BD302" s="116"/>
      <c r="BE302" s="116"/>
      <c r="BF302" s="116"/>
      <c r="BG302" s="116"/>
      <c r="BH302" s="116"/>
      <c r="BI302" s="116"/>
      <c r="BJ302" s="117">
        <v>53588</v>
      </c>
      <c r="BK302" s="133">
        <v>128</v>
      </c>
      <c r="BL302" s="117">
        <v>22964</v>
      </c>
      <c r="BM302" s="118">
        <v>52530</v>
      </c>
      <c r="BN302" s="118">
        <v>3.09</v>
      </c>
      <c r="BO302" s="119"/>
      <c r="BP302" s="119"/>
      <c r="BQ302" s="119"/>
      <c r="BR302" s="119"/>
      <c r="BS302" s="119"/>
      <c r="BT302" s="119"/>
      <c r="BU302" s="119"/>
      <c r="BV302" s="119"/>
      <c r="BW302" s="119"/>
      <c r="BX302" s="119"/>
    </row>
    <row r="303" s="96" customFormat="1" ht="15.75" customHeight="1" spans="1:76">
      <c r="A303" s="111">
        <v>302</v>
      </c>
      <c r="B303" s="112" t="s">
        <v>46</v>
      </c>
      <c r="C303" s="112" t="s">
        <v>138</v>
      </c>
      <c r="D303" s="111">
        <v>2025</v>
      </c>
      <c r="E303" s="113" t="s">
        <v>33</v>
      </c>
      <c r="F303" s="114">
        <v>140175</v>
      </c>
      <c r="G303" s="114">
        <v>140175</v>
      </c>
      <c r="H303" s="114">
        <v>4546.8585</v>
      </c>
      <c r="I303" s="114">
        <v>698</v>
      </c>
      <c r="J303" s="115">
        <v>0.00134259259259259</v>
      </c>
      <c r="K303" s="114">
        <v>50.13</v>
      </c>
      <c r="L303" s="114">
        <v>85</v>
      </c>
      <c r="M303" s="114">
        <v>1666824</v>
      </c>
      <c r="N303" s="114">
        <v>7.16</v>
      </c>
      <c r="O303" s="114">
        <v>114671</v>
      </c>
      <c r="P303" s="114">
        <v>105787</v>
      </c>
      <c r="Q303" s="114">
        <v>8884</v>
      </c>
      <c r="R303" s="114">
        <v>8884</v>
      </c>
      <c r="S303" s="114">
        <v>0</v>
      </c>
      <c r="T303" s="114">
        <v>789</v>
      </c>
      <c r="U303" s="114">
        <v>91</v>
      </c>
      <c r="V303" s="114">
        <v>1432</v>
      </c>
      <c r="W303" s="114">
        <v>23</v>
      </c>
      <c r="X303" s="114">
        <v>1637</v>
      </c>
      <c r="Y303" s="114">
        <v>1889</v>
      </c>
      <c r="Z303" s="114">
        <v>457044.221</v>
      </c>
      <c r="AA303" s="114">
        <v>0</v>
      </c>
      <c r="AB303" s="114">
        <v>0</v>
      </c>
      <c r="AC303" s="114">
        <v>18077.894</v>
      </c>
      <c r="AD303" s="114">
        <v>438962.588</v>
      </c>
      <c r="AE303" s="114">
        <v>798113.726</v>
      </c>
      <c r="AF303" s="114">
        <v>79850</v>
      </c>
      <c r="AG303" s="114">
        <v>9995.163</v>
      </c>
      <c r="AH303" s="114">
        <v>72119</v>
      </c>
      <c r="AI303" s="114">
        <v>3260.526</v>
      </c>
      <c r="AJ303" s="114">
        <v>0</v>
      </c>
      <c r="AK303" s="114">
        <v>0</v>
      </c>
      <c r="AL303" s="114">
        <v>0</v>
      </c>
      <c r="AM303" s="114">
        <v>0</v>
      </c>
      <c r="AN303" s="114">
        <v>3011</v>
      </c>
      <c r="AO303" s="114">
        <v>107.9372</v>
      </c>
      <c r="AP303" s="114"/>
      <c r="AQ303" s="114">
        <v>0</v>
      </c>
      <c r="AR303" s="114"/>
      <c r="AS303" s="114"/>
      <c r="AT303" s="114">
        <v>1</v>
      </c>
      <c r="AU303" s="114">
        <v>509</v>
      </c>
      <c r="AV303" s="114">
        <v>0</v>
      </c>
      <c r="AW303" s="114">
        <v>0</v>
      </c>
      <c r="AX303" s="114">
        <v>0</v>
      </c>
      <c r="AY303" s="114">
        <v>0</v>
      </c>
      <c r="AZ303" s="114">
        <v>0</v>
      </c>
      <c r="BA303" s="114">
        <v>0</v>
      </c>
      <c r="BB303" s="116"/>
      <c r="BC303" s="116"/>
      <c r="BD303" s="116"/>
      <c r="BE303" s="116"/>
      <c r="BF303" s="116"/>
      <c r="BG303" s="116"/>
      <c r="BH303" s="116"/>
      <c r="BI303" s="116"/>
      <c r="BJ303" s="117">
        <v>54286</v>
      </c>
      <c r="BK303" s="133">
        <v>698</v>
      </c>
      <c r="BL303" s="117">
        <v>118976</v>
      </c>
      <c r="BM303" s="118">
        <v>458320</v>
      </c>
      <c r="BN303" s="118">
        <v>26.96</v>
      </c>
      <c r="BO303" s="119"/>
      <c r="BP303" s="119"/>
      <c r="BQ303" s="119"/>
      <c r="BR303" s="119"/>
      <c r="BS303" s="119"/>
      <c r="BT303" s="119"/>
      <c r="BU303" s="119"/>
      <c r="BV303" s="119"/>
      <c r="BW303" s="119"/>
      <c r="BX303" s="119"/>
    </row>
    <row r="304" s="96" customFormat="1" ht="15.75" customHeight="1" spans="1:76">
      <c r="A304" s="111">
        <v>303</v>
      </c>
      <c r="B304" s="112" t="s">
        <v>46</v>
      </c>
      <c r="C304" s="112" t="s">
        <v>138</v>
      </c>
      <c r="D304" s="111">
        <v>2025</v>
      </c>
      <c r="E304" s="113" t="s">
        <v>34</v>
      </c>
      <c r="F304" s="114">
        <v>32392</v>
      </c>
      <c r="G304" s="114">
        <v>32391</v>
      </c>
      <c r="H304" s="114">
        <v>742.7233</v>
      </c>
      <c r="I304" s="114">
        <v>82</v>
      </c>
      <c r="J304" s="115">
        <v>0.000949074074074074</v>
      </c>
      <c r="K304" s="114">
        <v>45.17</v>
      </c>
      <c r="L304" s="114">
        <v>77</v>
      </c>
      <c r="M304" s="114">
        <v>425609</v>
      </c>
      <c r="N304" s="114">
        <v>5.87</v>
      </c>
      <c r="O304" s="114">
        <v>20909</v>
      </c>
      <c r="P304" s="114">
        <v>16193</v>
      </c>
      <c r="Q304" s="114">
        <v>4727</v>
      </c>
      <c r="R304" s="114">
        <v>4215</v>
      </c>
      <c r="S304" s="114">
        <v>512</v>
      </c>
      <c r="T304" s="114">
        <v>162</v>
      </c>
      <c r="U304" s="114">
        <v>80</v>
      </c>
      <c r="V304" s="114">
        <v>255</v>
      </c>
      <c r="W304" s="114">
        <v>-2</v>
      </c>
      <c r="X304" s="114">
        <v>414</v>
      </c>
      <c r="Y304" s="114">
        <v>43</v>
      </c>
      <c r="Z304" s="114">
        <v>72362.879</v>
      </c>
      <c r="AA304" s="114">
        <v>0</v>
      </c>
      <c r="AB304" s="114">
        <v>0</v>
      </c>
      <c r="AC304" s="114">
        <v>647.818</v>
      </c>
      <c r="AD304" s="114">
        <v>71714.367</v>
      </c>
      <c r="AE304" s="114">
        <v>130389.104</v>
      </c>
      <c r="AF304" s="114">
        <v>13199</v>
      </c>
      <c r="AG304" s="114">
        <v>9878.711</v>
      </c>
      <c r="AH304" s="114">
        <v>12137</v>
      </c>
      <c r="AI304" s="114">
        <v>2234.041</v>
      </c>
      <c r="AJ304" s="114">
        <v>0</v>
      </c>
      <c r="AK304" s="114">
        <v>0</v>
      </c>
      <c r="AL304" s="114">
        <v>0</v>
      </c>
      <c r="AM304" s="114">
        <v>0</v>
      </c>
      <c r="AN304" s="114">
        <v>368</v>
      </c>
      <c r="AO304" s="114">
        <v>9.3712</v>
      </c>
      <c r="AP304" s="114"/>
      <c r="AQ304" s="114">
        <v>0</v>
      </c>
      <c r="AR304" s="114"/>
      <c r="AS304" s="114"/>
      <c r="AT304" s="114"/>
      <c r="AU304" s="114">
        <v>4</v>
      </c>
      <c r="AV304" s="114">
        <v>0</v>
      </c>
      <c r="AW304" s="114">
        <v>0</v>
      </c>
      <c r="AX304" s="114">
        <v>0</v>
      </c>
      <c r="AY304" s="114">
        <v>1</v>
      </c>
      <c r="AZ304" s="114">
        <v>0</v>
      </c>
      <c r="BA304" s="114">
        <v>0</v>
      </c>
      <c r="BB304" s="116"/>
      <c r="BC304" s="116"/>
      <c r="BD304" s="116"/>
      <c r="BE304" s="116"/>
      <c r="BF304" s="116"/>
      <c r="BG304" s="116"/>
      <c r="BH304" s="116"/>
      <c r="BI304" s="116"/>
      <c r="BJ304" s="117">
        <v>54368</v>
      </c>
      <c r="BK304" s="133">
        <v>82</v>
      </c>
      <c r="BL304" s="117">
        <v>12381</v>
      </c>
      <c r="BM304" s="118">
        <v>44200</v>
      </c>
      <c r="BN304" s="118">
        <v>2.6</v>
      </c>
      <c r="BO304" s="119"/>
      <c r="BP304" s="119"/>
      <c r="BQ304" s="119"/>
      <c r="BR304" s="119"/>
      <c r="BS304" s="119"/>
      <c r="BT304" s="119"/>
      <c r="BU304" s="119"/>
      <c r="BV304" s="119"/>
      <c r="BW304" s="119"/>
      <c r="BX304" s="119"/>
    </row>
    <row r="305" s="96" customFormat="1" ht="15.75" customHeight="1" spans="1:76">
      <c r="A305" s="111">
        <v>304</v>
      </c>
      <c r="B305" s="112" t="s">
        <v>46</v>
      </c>
      <c r="C305" s="112" t="s">
        <v>138</v>
      </c>
      <c r="D305" s="111">
        <v>2025</v>
      </c>
      <c r="E305" s="113" t="s">
        <v>35</v>
      </c>
      <c r="F305" s="114">
        <v>18175</v>
      </c>
      <c r="G305" s="114">
        <v>18165</v>
      </c>
      <c r="H305" s="114">
        <v>395.3423</v>
      </c>
      <c r="I305" s="114">
        <v>32</v>
      </c>
      <c r="J305" s="115">
        <v>0.000902777777777778</v>
      </c>
      <c r="K305" s="114">
        <v>39.87</v>
      </c>
      <c r="L305" s="114"/>
      <c r="M305" s="114">
        <v>219056</v>
      </c>
      <c r="N305" s="114">
        <v>6.46</v>
      </c>
      <c r="O305" s="114">
        <v>12489</v>
      </c>
      <c r="P305" s="114">
        <v>9589</v>
      </c>
      <c r="Q305" s="114">
        <v>2904</v>
      </c>
      <c r="R305" s="114">
        <v>2540</v>
      </c>
      <c r="S305" s="114">
        <v>364</v>
      </c>
      <c r="T305" s="114">
        <v>93</v>
      </c>
      <c r="U305" s="114">
        <v>61</v>
      </c>
      <c r="V305" s="114">
        <v>-5</v>
      </c>
      <c r="W305" s="114">
        <v>-1</v>
      </c>
      <c r="X305" s="114">
        <v>166</v>
      </c>
      <c r="Y305" s="114">
        <v>11</v>
      </c>
      <c r="Z305" s="114">
        <v>13097.689</v>
      </c>
      <c r="AA305" s="114">
        <v>0</v>
      </c>
      <c r="AB305" s="114">
        <v>0</v>
      </c>
      <c r="AC305" s="114">
        <v>199.107</v>
      </c>
      <c r="AD305" s="114">
        <v>12898.181</v>
      </c>
      <c r="AE305" s="114">
        <v>23450.967</v>
      </c>
      <c r="AF305" s="114">
        <v>2508</v>
      </c>
      <c r="AG305" s="114">
        <v>9350.465</v>
      </c>
      <c r="AH305" s="114">
        <v>2267</v>
      </c>
      <c r="AI305" s="114">
        <v>721.032</v>
      </c>
      <c r="AJ305" s="114">
        <v>0</v>
      </c>
      <c r="AK305" s="114">
        <v>0</v>
      </c>
      <c r="AL305" s="114">
        <v>0</v>
      </c>
      <c r="AM305" s="114">
        <v>0</v>
      </c>
      <c r="AN305" s="114">
        <v>165</v>
      </c>
      <c r="AO305" s="114">
        <v>4.005</v>
      </c>
      <c r="AP305" s="114"/>
      <c r="AQ305" s="114">
        <v>0</v>
      </c>
      <c r="AR305" s="114"/>
      <c r="AS305" s="114"/>
      <c r="AT305" s="114"/>
      <c r="AU305" s="114">
        <v>8</v>
      </c>
      <c r="AV305" s="114">
        <v>0</v>
      </c>
      <c r="AW305" s="114">
        <v>0</v>
      </c>
      <c r="AX305" s="114">
        <v>0</v>
      </c>
      <c r="AY305" s="114">
        <v>4</v>
      </c>
      <c r="AZ305" s="114">
        <v>0</v>
      </c>
      <c r="BA305" s="114">
        <v>0</v>
      </c>
      <c r="BB305" s="116"/>
      <c r="BC305" s="116"/>
      <c r="BD305" s="116"/>
      <c r="BE305" s="116"/>
      <c r="BF305" s="116"/>
      <c r="BG305" s="116"/>
      <c r="BH305" s="116"/>
      <c r="BI305" s="116"/>
      <c r="BJ305" s="117">
        <v>54400</v>
      </c>
      <c r="BK305" s="133">
        <v>32</v>
      </c>
      <c r="BL305" s="133">
        <v>0</v>
      </c>
      <c r="BM305" s="118">
        <v>0</v>
      </c>
      <c r="BN305" s="118">
        <v>0</v>
      </c>
      <c r="BO305" s="119"/>
      <c r="BP305" s="119"/>
      <c r="BQ305" s="119"/>
      <c r="BR305" s="119"/>
      <c r="BS305" s="119"/>
      <c r="BT305" s="119"/>
      <c r="BU305" s="119"/>
      <c r="BV305" s="119"/>
      <c r="BW305" s="119"/>
      <c r="BX305" s="119"/>
    </row>
    <row r="306" s="96" customFormat="1" ht="15.75" customHeight="1" spans="1:76">
      <c r="A306" s="111">
        <v>305</v>
      </c>
      <c r="B306" s="112" t="s">
        <v>46</v>
      </c>
      <c r="C306" s="112" t="s">
        <v>138</v>
      </c>
      <c r="D306" s="111">
        <v>2025</v>
      </c>
      <c r="E306" s="113" t="s">
        <v>36</v>
      </c>
      <c r="F306" s="114">
        <v>17621</v>
      </c>
      <c r="G306" s="114">
        <v>17621</v>
      </c>
      <c r="H306" s="114">
        <v>393.5063</v>
      </c>
      <c r="I306" s="114">
        <v>23</v>
      </c>
      <c r="J306" s="115">
        <v>0.000925925925925926</v>
      </c>
      <c r="K306" s="114">
        <v>41.25</v>
      </c>
      <c r="L306" s="114"/>
      <c r="M306" s="114">
        <v>211084</v>
      </c>
      <c r="N306" s="114">
        <v>6.52</v>
      </c>
      <c r="O306" s="114">
        <v>12291</v>
      </c>
      <c r="P306" s="114">
        <v>9503</v>
      </c>
      <c r="Q306" s="114">
        <v>2788</v>
      </c>
      <c r="R306" s="114">
        <v>2461</v>
      </c>
      <c r="S306" s="114">
        <v>327</v>
      </c>
      <c r="T306" s="114">
        <v>75</v>
      </c>
      <c r="U306" s="114">
        <v>52</v>
      </c>
      <c r="V306" s="114">
        <v>23</v>
      </c>
      <c r="W306" s="114">
        <v>-6</v>
      </c>
      <c r="X306" s="114">
        <v>180</v>
      </c>
      <c r="Y306" s="114">
        <v>21</v>
      </c>
      <c r="Z306" s="114">
        <v>11053.442</v>
      </c>
      <c r="AA306" s="114">
        <v>0</v>
      </c>
      <c r="AB306" s="114">
        <v>0</v>
      </c>
      <c r="AC306" s="114">
        <v>189.593</v>
      </c>
      <c r="AD306" s="114">
        <v>10863.849</v>
      </c>
      <c r="AE306" s="114">
        <v>19752.392</v>
      </c>
      <c r="AF306" s="114">
        <v>2008</v>
      </c>
      <c r="AG306" s="114">
        <v>9836.849</v>
      </c>
      <c r="AH306" s="114">
        <v>1822</v>
      </c>
      <c r="AI306" s="114">
        <v>627.285</v>
      </c>
      <c r="AJ306" s="114">
        <v>0</v>
      </c>
      <c r="AK306" s="114">
        <v>0</v>
      </c>
      <c r="AL306" s="114">
        <v>0</v>
      </c>
      <c r="AM306" s="114">
        <v>0</v>
      </c>
      <c r="AN306" s="114">
        <v>217</v>
      </c>
      <c r="AO306" s="114">
        <v>5.0655</v>
      </c>
      <c r="AP306" s="114"/>
      <c r="AQ306" s="114">
        <v>0</v>
      </c>
      <c r="AR306" s="114"/>
      <c r="AS306" s="114"/>
      <c r="AT306" s="114"/>
      <c r="AU306" s="114">
        <v>5</v>
      </c>
      <c r="AV306" s="114">
        <v>0</v>
      </c>
      <c r="AW306" s="114">
        <v>0</v>
      </c>
      <c r="AX306" s="114">
        <v>0</v>
      </c>
      <c r="AY306" s="114">
        <v>1</v>
      </c>
      <c r="AZ306" s="114">
        <v>0</v>
      </c>
      <c r="BA306" s="114">
        <v>0</v>
      </c>
      <c r="BB306" s="116"/>
      <c r="BC306" s="116"/>
      <c r="BD306" s="116"/>
      <c r="BE306" s="116"/>
      <c r="BF306" s="116"/>
      <c r="BG306" s="116"/>
      <c r="BH306" s="116"/>
      <c r="BI306" s="116"/>
      <c r="BJ306" s="117">
        <v>54432</v>
      </c>
      <c r="BK306" s="133">
        <v>23</v>
      </c>
      <c r="BL306" s="133">
        <v>0</v>
      </c>
      <c r="BM306" s="118">
        <v>0</v>
      </c>
      <c r="BN306" s="118">
        <v>0</v>
      </c>
      <c r="BO306" s="119"/>
      <c r="BP306" s="119"/>
      <c r="BQ306" s="119"/>
      <c r="BR306" s="119"/>
      <c r="BS306" s="119"/>
      <c r="BT306" s="119"/>
      <c r="BU306" s="119"/>
      <c r="BV306" s="119"/>
      <c r="BW306" s="119"/>
      <c r="BX306" s="119"/>
    </row>
    <row r="307" s="96" customFormat="1" ht="15.75" customHeight="1" spans="1:76">
      <c r="A307" s="111">
        <v>306</v>
      </c>
      <c r="B307" s="112" t="s">
        <v>46</v>
      </c>
      <c r="C307" s="112" t="s">
        <v>138</v>
      </c>
      <c r="D307" s="111">
        <v>2025</v>
      </c>
      <c r="E307" s="113" t="s">
        <v>37</v>
      </c>
      <c r="F307" s="114">
        <v>16982</v>
      </c>
      <c r="G307" s="114">
        <v>16982</v>
      </c>
      <c r="H307" s="114">
        <v>401.8669</v>
      </c>
      <c r="I307" s="114">
        <v>35</v>
      </c>
      <c r="J307" s="115">
        <v>0.000983796296296296</v>
      </c>
      <c r="K307" s="114">
        <v>41.57</v>
      </c>
      <c r="L307" s="114"/>
      <c r="M307" s="114">
        <v>173156</v>
      </c>
      <c r="N307" s="114">
        <v>7.8</v>
      </c>
      <c r="O307" s="114">
        <v>12376</v>
      </c>
      <c r="P307" s="114">
        <v>9737</v>
      </c>
      <c r="Q307" s="114">
        <v>2639</v>
      </c>
      <c r="R307" s="114">
        <v>2354</v>
      </c>
      <c r="S307" s="114">
        <v>285</v>
      </c>
      <c r="T307" s="114">
        <v>94</v>
      </c>
      <c r="U307" s="114">
        <v>59</v>
      </c>
      <c r="V307" s="114">
        <v>45</v>
      </c>
      <c r="W307" s="114">
        <v>-10</v>
      </c>
      <c r="X307" s="114">
        <v>128</v>
      </c>
      <c r="Y307" s="114">
        <v>27</v>
      </c>
      <c r="Z307" s="114">
        <v>9659.964</v>
      </c>
      <c r="AA307" s="114">
        <v>0</v>
      </c>
      <c r="AB307" s="114">
        <v>0</v>
      </c>
      <c r="AC307" s="114">
        <v>97.537</v>
      </c>
      <c r="AD307" s="114">
        <v>9562.427</v>
      </c>
      <c r="AE307" s="114">
        <v>17386.047</v>
      </c>
      <c r="AF307" s="114">
        <v>2021</v>
      </c>
      <c r="AG307" s="114">
        <v>8602.695</v>
      </c>
      <c r="AH307" s="114">
        <v>1861</v>
      </c>
      <c r="AI307" s="114">
        <v>568.833</v>
      </c>
      <c r="AJ307" s="114">
        <v>0</v>
      </c>
      <c r="AK307" s="114">
        <v>0</v>
      </c>
      <c r="AL307" s="114">
        <v>0</v>
      </c>
      <c r="AM307" s="114">
        <v>0</v>
      </c>
      <c r="AN307" s="114">
        <v>131</v>
      </c>
      <c r="AO307" s="114">
        <v>3.1261</v>
      </c>
      <c r="AP307" s="114"/>
      <c r="AQ307" s="114">
        <v>0</v>
      </c>
      <c r="AR307" s="114"/>
      <c r="AS307" s="114"/>
      <c r="AT307" s="114"/>
      <c r="AU307" s="114"/>
      <c r="AV307" s="114">
        <v>0</v>
      </c>
      <c r="AW307" s="114">
        <v>0</v>
      </c>
      <c r="AX307" s="114">
        <v>0</v>
      </c>
      <c r="AY307" s="114">
        <v>1</v>
      </c>
      <c r="AZ307" s="114">
        <v>0</v>
      </c>
      <c r="BA307" s="114">
        <v>0</v>
      </c>
      <c r="BB307" s="116"/>
      <c r="BC307" s="116"/>
      <c r="BD307" s="116"/>
      <c r="BE307" s="116"/>
      <c r="BF307" s="116"/>
      <c r="BG307" s="116"/>
      <c r="BH307" s="116"/>
      <c r="BI307" s="116"/>
      <c r="BJ307" s="117">
        <v>54455</v>
      </c>
      <c r="BK307" s="133">
        <v>35</v>
      </c>
      <c r="BL307" s="133">
        <v>0</v>
      </c>
      <c r="BM307" s="118">
        <v>0</v>
      </c>
      <c r="BN307" s="118">
        <v>0</v>
      </c>
      <c r="BO307" s="119"/>
      <c r="BP307" s="119"/>
      <c r="BQ307" s="119"/>
      <c r="BR307" s="119"/>
      <c r="BS307" s="119"/>
      <c r="BT307" s="119"/>
      <c r="BU307" s="119"/>
      <c r="BV307" s="119"/>
      <c r="BW307" s="119"/>
      <c r="BX307" s="119"/>
    </row>
    <row r="308" s="96" customFormat="1" ht="15.75" customHeight="1" spans="1:76">
      <c r="A308" s="111">
        <v>307</v>
      </c>
      <c r="B308" s="112" t="s">
        <v>46</v>
      </c>
      <c r="C308" s="112" t="s">
        <v>138</v>
      </c>
      <c r="D308" s="111">
        <v>2025</v>
      </c>
      <c r="E308" s="113" t="s">
        <v>38</v>
      </c>
      <c r="F308" s="114">
        <v>20005</v>
      </c>
      <c r="G308" s="114">
        <v>20000</v>
      </c>
      <c r="H308" s="114">
        <v>491.0656</v>
      </c>
      <c r="I308" s="114">
        <v>48</v>
      </c>
      <c r="J308" s="115">
        <v>0.00101851851851852</v>
      </c>
      <c r="K308" s="114">
        <v>43.44</v>
      </c>
      <c r="L308" s="114">
        <v>1</v>
      </c>
      <c r="M308" s="114">
        <v>197409</v>
      </c>
      <c r="N308" s="114">
        <v>7.95</v>
      </c>
      <c r="O308" s="114">
        <v>14913</v>
      </c>
      <c r="P308" s="114">
        <v>12001</v>
      </c>
      <c r="Q308" s="114">
        <v>2912</v>
      </c>
      <c r="R308" s="114">
        <v>2646</v>
      </c>
      <c r="S308" s="114">
        <v>266</v>
      </c>
      <c r="T308" s="114">
        <v>122</v>
      </c>
      <c r="U308" s="114">
        <v>74</v>
      </c>
      <c r="V308" s="114">
        <v>44</v>
      </c>
      <c r="W308" s="114">
        <v>-12</v>
      </c>
      <c r="X308" s="114">
        <v>129</v>
      </c>
      <c r="Y308" s="114">
        <v>24</v>
      </c>
      <c r="Z308" s="114">
        <v>8783.045</v>
      </c>
      <c r="AA308" s="114">
        <v>0</v>
      </c>
      <c r="AB308" s="114">
        <v>0</v>
      </c>
      <c r="AC308" s="114">
        <v>110.849</v>
      </c>
      <c r="AD308" s="114">
        <v>8671.986</v>
      </c>
      <c r="AE308" s="114">
        <v>15767.242</v>
      </c>
      <c r="AF308" s="114">
        <v>1717</v>
      </c>
      <c r="AG308" s="114">
        <v>9183.018</v>
      </c>
      <c r="AH308" s="114">
        <v>1550</v>
      </c>
      <c r="AI308" s="114">
        <v>439.141</v>
      </c>
      <c r="AJ308" s="114">
        <v>0</v>
      </c>
      <c r="AK308" s="114">
        <v>0</v>
      </c>
      <c r="AL308" s="114">
        <v>0</v>
      </c>
      <c r="AM308" s="114">
        <v>0</v>
      </c>
      <c r="AN308" s="114">
        <v>151</v>
      </c>
      <c r="AO308" s="114">
        <v>3.1368</v>
      </c>
      <c r="AP308" s="114"/>
      <c r="AQ308" s="114">
        <v>0</v>
      </c>
      <c r="AR308" s="114"/>
      <c r="AS308" s="114"/>
      <c r="AT308" s="114"/>
      <c r="AU308" s="114">
        <v>2</v>
      </c>
      <c r="AV308" s="114">
        <v>0</v>
      </c>
      <c r="AW308" s="114">
        <v>0</v>
      </c>
      <c r="AX308" s="114">
        <v>0</v>
      </c>
      <c r="AY308" s="114">
        <v>0</v>
      </c>
      <c r="AZ308" s="114">
        <v>0</v>
      </c>
      <c r="BA308" s="114">
        <v>0</v>
      </c>
      <c r="BB308" s="116"/>
      <c r="BC308" s="116"/>
      <c r="BD308" s="116"/>
      <c r="BE308" s="116"/>
      <c r="BF308" s="116"/>
      <c r="BG308" s="116"/>
      <c r="BH308" s="116"/>
      <c r="BI308" s="116"/>
      <c r="BJ308" s="117">
        <v>54503</v>
      </c>
      <c r="BK308" s="133">
        <v>48</v>
      </c>
      <c r="BL308" s="133">
        <v>5</v>
      </c>
      <c r="BM308" s="118">
        <v>0</v>
      </c>
      <c r="BN308" s="118">
        <v>0</v>
      </c>
      <c r="BO308" s="120">
        <v>0.714</v>
      </c>
      <c r="BP308" s="120">
        <v>0.286</v>
      </c>
      <c r="BQ308" s="119"/>
      <c r="BR308" s="134">
        <v>0</v>
      </c>
      <c r="BS308" s="120">
        <v>0.106</v>
      </c>
      <c r="BT308" s="120">
        <v>0.462</v>
      </c>
      <c r="BU308" s="120">
        <v>0.242</v>
      </c>
      <c r="BV308" s="120">
        <v>0.116</v>
      </c>
      <c r="BW308" s="120">
        <v>0.071</v>
      </c>
      <c r="BX308" s="120">
        <v>0.003</v>
      </c>
    </row>
    <row r="309" s="96" customFormat="1" ht="15.75" customHeight="1" spans="1:76">
      <c r="A309" s="111">
        <v>308</v>
      </c>
      <c r="B309" s="112" t="s">
        <v>46</v>
      </c>
      <c r="C309" s="112" t="s">
        <v>138</v>
      </c>
      <c r="D309" s="111">
        <v>2025</v>
      </c>
      <c r="E309" s="113" t="s">
        <v>39</v>
      </c>
      <c r="F309" s="114">
        <v>384131</v>
      </c>
      <c r="G309" s="114">
        <v>384131</v>
      </c>
      <c r="H309" s="114">
        <v>36149.2753</v>
      </c>
      <c r="I309" s="114">
        <v>2171</v>
      </c>
      <c r="J309" s="115">
        <v>0.00391203703703704</v>
      </c>
      <c r="K309" s="114">
        <v>36.87</v>
      </c>
      <c r="L309" s="114">
        <v>137</v>
      </c>
      <c r="M309" s="114">
        <v>4027300</v>
      </c>
      <c r="N309" s="114">
        <v>7.48</v>
      </c>
      <c r="O309" s="114">
        <v>321996</v>
      </c>
      <c r="P309" s="114">
        <v>308859</v>
      </c>
      <c r="Q309" s="114">
        <v>13137</v>
      </c>
      <c r="R309" s="114">
        <v>12792</v>
      </c>
      <c r="S309" s="114">
        <v>345</v>
      </c>
      <c r="T309" s="114">
        <v>2298</v>
      </c>
      <c r="U309" s="114">
        <v>127</v>
      </c>
      <c r="V309" s="114">
        <v>2241</v>
      </c>
      <c r="W309" s="114">
        <v>175</v>
      </c>
      <c r="X309" s="114">
        <v>386</v>
      </c>
      <c r="Y309" s="114">
        <v>3095</v>
      </c>
      <c r="Z309" s="114">
        <v>1948649.425</v>
      </c>
      <c r="AA309" s="114">
        <v>0</v>
      </c>
      <c r="AB309" s="114">
        <v>0</v>
      </c>
      <c r="AC309" s="114">
        <v>49985.699</v>
      </c>
      <c r="AD309" s="114">
        <v>1898663.726</v>
      </c>
      <c r="AE309" s="114">
        <v>3452061.753</v>
      </c>
      <c r="AF309" s="114">
        <v>379840</v>
      </c>
      <c r="AG309" s="114">
        <v>9088.2</v>
      </c>
      <c r="AH309" s="114">
        <v>318653</v>
      </c>
      <c r="AI309" s="114">
        <v>5072.877</v>
      </c>
      <c r="AJ309" s="114">
        <v>0</v>
      </c>
      <c r="AK309" s="114">
        <v>0</v>
      </c>
      <c r="AL309" s="114">
        <v>0</v>
      </c>
      <c r="AM309" s="114">
        <v>0</v>
      </c>
      <c r="AN309" s="114">
        <v>3741</v>
      </c>
      <c r="AO309" s="114">
        <v>380.4849</v>
      </c>
      <c r="AP309" s="114"/>
      <c r="AQ309" s="114">
        <v>0</v>
      </c>
      <c r="AR309" s="114"/>
      <c r="AS309" s="114"/>
      <c r="AT309" s="114">
        <v>2</v>
      </c>
      <c r="AU309" s="114">
        <v>2829</v>
      </c>
      <c r="AV309" s="114">
        <v>0</v>
      </c>
      <c r="AW309" s="114">
        <v>0</v>
      </c>
      <c r="AX309" s="114">
        <v>0</v>
      </c>
      <c r="AY309" s="114">
        <v>7</v>
      </c>
      <c r="AZ309" s="114">
        <v>0</v>
      </c>
      <c r="BA309" s="114">
        <v>0</v>
      </c>
      <c r="BB309" s="116"/>
      <c r="BC309" s="116"/>
      <c r="BD309" s="116"/>
      <c r="BE309" s="116"/>
      <c r="BF309" s="116"/>
      <c r="BG309" s="116"/>
      <c r="BH309" s="116"/>
      <c r="BI309" s="116"/>
      <c r="BJ309" s="117">
        <v>56719</v>
      </c>
      <c r="BK309" s="117">
        <v>2171</v>
      </c>
      <c r="BL309" s="117">
        <v>361989</v>
      </c>
      <c r="BM309" s="118">
        <v>2043570</v>
      </c>
      <c r="BN309" s="118">
        <v>120.21</v>
      </c>
      <c r="BO309" s="120">
        <v>0.776</v>
      </c>
      <c r="BP309" s="120">
        <v>0.224</v>
      </c>
      <c r="BQ309" s="120">
        <v>0</v>
      </c>
      <c r="BR309" s="120">
        <v>0.01</v>
      </c>
      <c r="BS309" s="120">
        <v>0.063</v>
      </c>
      <c r="BT309" s="120">
        <v>0.251</v>
      </c>
      <c r="BU309" s="120">
        <v>0.188</v>
      </c>
      <c r="BV309" s="120">
        <v>0.183</v>
      </c>
      <c r="BW309" s="120">
        <v>0.195</v>
      </c>
      <c r="BX309" s="120">
        <v>0.111</v>
      </c>
    </row>
    <row r="310" s="96" customFormat="1" ht="15.75" customHeight="1" spans="1:76">
      <c r="A310" s="111">
        <v>309</v>
      </c>
      <c r="B310" s="112" t="s">
        <v>46</v>
      </c>
      <c r="C310" s="112" t="s">
        <v>138</v>
      </c>
      <c r="D310" s="111">
        <v>2025</v>
      </c>
      <c r="E310" s="113" t="s">
        <v>40</v>
      </c>
      <c r="F310" s="114">
        <v>238639</v>
      </c>
      <c r="G310" s="114">
        <v>238639</v>
      </c>
      <c r="H310" s="114">
        <v>9988.1698</v>
      </c>
      <c r="I310" s="114">
        <v>820</v>
      </c>
      <c r="J310" s="115">
        <v>0.00173611111111111</v>
      </c>
      <c r="K310" s="114">
        <v>10.67</v>
      </c>
      <c r="L310" s="114">
        <v>195</v>
      </c>
      <c r="M310" s="114">
        <v>2121019</v>
      </c>
      <c r="N310" s="114">
        <v>9.78</v>
      </c>
      <c r="O310" s="114">
        <v>186599</v>
      </c>
      <c r="P310" s="114">
        <v>166526</v>
      </c>
      <c r="Q310" s="114">
        <v>20073</v>
      </c>
      <c r="R310" s="114">
        <v>19792</v>
      </c>
      <c r="S310" s="114">
        <v>281</v>
      </c>
      <c r="T310" s="114">
        <v>915</v>
      </c>
      <c r="U310" s="114">
        <v>95</v>
      </c>
      <c r="V310" s="114">
        <v>1361</v>
      </c>
      <c r="W310" s="114">
        <v>62</v>
      </c>
      <c r="X310" s="114">
        <v>421</v>
      </c>
      <c r="Y310" s="114">
        <v>510</v>
      </c>
      <c r="Z310" s="114">
        <v>698614.339</v>
      </c>
      <c r="AA310" s="114">
        <v>0</v>
      </c>
      <c r="AB310" s="114">
        <v>0</v>
      </c>
      <c r="AC310" s="114">
        <v>13217.431</v>
      </c>
      <c r="AD310" s="114">
        <v>685396.908</v>
      </c>
      <c r="AE310" s="114">
        <v>1246175.471</v>
      </c>
      <c r="AF310" s="114">
        <v>153615</v>
      </c>
      <c r="AG310" s="114">
        <v>8112.329</v>
      </c>
      <c r="AH310" s="114">
        <v>129651</v>
      </c>
      <c r="AI310" s="114">
        <v>2927.493</v>
      </c>
      <c r="AJ310" s="114">
        <v>0</v>
      </c>
      <c r="AK310" s="114">
        <v>0</v>
      </c>
      <c r="AL310" s="114">
        <v>0</v>
      </c>
      <c r="AM310" s="114">
        <v>0</v>
      </c>
      <c r="AN310" s="114">
        <v>1836</v>
      </c>
      <c r="AO310" s="114">
        <v>101.5146</v>
      </c>
      <c r="AP310" s="114">
        <v>373.5917</v>
      </c>
      <c r="AQ310" s="114">
        <v>1</v>
      </c>
      <c r="AR310" s="114">
        <v>219</v>
      </c>
      <c r="AS310" s="114">
        <v>0</v>
      </c>
      <c r="AT310" s="114"/>
      <c r="AU310" s="114">
        <v>110</v>
      </c>
      <c r="AV310" s="114">
        <v>0</v>
      </c>
      <c r="AW310" s="114">
        <v>0</v>
      </c>
      <c r="AX310" s="114">
        <v>0</v>
      </c>
      <c r="AY310" s="114">
        <v>5</v>
      </c>
      <c r="AZ310" s="114">
        <v>0</v>
      </c>
      <c r="BA310" s="114">
        <v>0</v>
      </c>
      <c r="BB310" s="116"/>
      <c r="BC310" s="116"/>
      <c r="BD310" s="116"/>
      <c r="BE310" s="116"/>
      <c r="BF310" s="116"/>
      <c r="BG310" s="116"/>
      <c r="BH310" s="116"/>
      <c r="BI310" s="116"/>
      <c r="BJ310" s="117">
        <v>57534</v>
      </c>
      <c r="BK310" s="133">
        <v>820</v>
      </c>
      <c r="BL310" s="117">
        <v>198682</v>
      </c>
      <c r="BM310" s="118">
        <v>631380</v>
      </c>
      <c r="BN310" s="118">
        <v>37.14</v>
      </c>
      <c r="BO310" s="120">
        <v>0.69</v>
      </c>
      <c r="BP310" s="120">
        <v>0.31</v>
      </c>
      <c r="BQ310" s="134">
        <v>0</v>
      </c>
      <c r="BR310" s="120">
        <v>0.015</v>
      </c>
      <c r="BS310" s="120">
        <v>0.076</v>
      </c>
      <c r="BT310" s="120">
        <v>0.321</v>
      </c>
      <c r="BU310" s="120">
        <v>0.23</v>
      </c>
      <c r="BV310" s="120">
        <v>0.16</v>
      </c>
      <c r="BW310" s="120">
        <v>0.132</v>
      </c>
      <c r="BX310" s="120">
        <v>0.068</v>
      </c>
    </row>
    <row r="311" s="96" customFormat="1" ht="15.75" customHeight="1" spans="1:76">
      <c r="A311" s="111">
        <v>310</v>
      </c>
      <c r="B311" s="112" t="s">
        <v>46</v>
      </c>
      <c r="C311" s="112" t="s">
        <v>138</v>
      </c>
      <c r="D311" s="111">
        <v>2025</v>
      </c>
      <c r="E311" s="113" t="s">
        <v>41</v>
      </c>
      <c r="F311" s="114">
        <v>192821</v>
      </c>
      <c r="G311" s="114">
        <v>192384</v>
      </c>
      <c r="H311" s="114">
        <v>7984.0365</v>
      </c>
      <c r="I311" s="114">
        <v>576</v>
      </c>
      <c r="J311" s="115">
        <v>0.00172453703703704</v>
      </c>
      <c r="K311" s="114">
        <v>12.14</v>
      </c>
      <c r="L311" s="114">
        <v>204</v>
      </c>
      <c r="M311" s="114">
        <v>1734305</v>
      </c>
      <c r="N311" s="114">
        <v>9.6</v>
      </c>
      <c r="O311" s="114">
        <v>157405</v>
      </c>
      <c r="P311" s="114">
        <v>126096</v>
      </c>
      <c r="Q311" s="114">
        <v>31309</v>
      </c>
      <c r="R311" s="114">
        <v>31004</v>
      </c>
      <c r="S311" s="114">
        <v>305</v>
      </c>
      <c r="T311" s="114">
        <v>667</v>
      </c>
      <c r="U311" s="114">
        <v>91</v>
      </c>
      <c r="V311" s="114">
        <v>1022</v>
      </c>
      <c r="W311" s="114">
        <v>48</v>
      </c>
      <c r="X311" s="114">
        <v>447</v>
      </c>
      <c r="Y311" s="114">
        <v>653</v>
      </c>
      <c r="Z311" s="114">
        <v>481864.299</v>
      </c>
      <c r="AA311" s="114">
        <v>0</v>
      </c>
      <c r="AB311" s="114">
        <v>0</v>
      </c>
      <c r="AC311" s="114">
        <v>11781.025</v>
      </c>
      <c r="AD311" s="114">
        <v>469956.998</v>
      </c>
      <c r="AE311" s="114">
        <v>854494.909</v>
      </c>
      <c r="AF311" s="114">
        <v>98484</v>
      </c>
      <c r="AG311" s="114">
        <v>8676.485</v>
      </c>
      <c r="AH311" s="114">
        <v>83809</v>
      </c>
      <c r="AI311" s="114">
        <v>2504.698</v>
      </c>
      <c r="AJ311" s="114">
        <v>0</v>
      </c>
      <c r="AK311" s="114">
        <v>0</v>
      </c>
      <c r="AL311" s="114">
        <v>0</v>
      </c>
      <c r="AM311" s="114">
        <v>0</v>
      </c>
      <c r="AN311" s="114">
        <v>1498</v>
      </c>
      <c r="AO311" s="114">
        <v>90.6225</v>
      </c>
      <c r="AP311" s="114">
        <v>743.68</v>
      </c>
      <c r="AQ311" s="114">
        <v>1</v>
      </c>
      <c r="AR311" s="114">
        <v>419</v>
      </c>
      <c r="AS311" s="114">
        <v>0</v>
      </c>
      <c r="AT311" s="114">
        <v>2</v>
      </c>
      <c r="AU311" s="114">
        <v>1998</v>
      </c>
      <c r="AV311" s="114">
        <v>0</v>
      </c>
      <c r="AW311" s="114">
        <v>0</v>
      </c>
      <c r="AX311" s="114">
        <v>0</v>
      </c>
      <c r="AY311" s="114">
        <v>0</v>
      </c>
      <c r="AZ311" s="114">
        <v>0</v>
      </c>
      <c r="BA311" s="114">
        <v>0</v>
      </c>
      <c r="BB311" s="116"/>
      <c r="BC311" s="116"/>
      <c r="BD311" s="116"/>
      <c r="BE311" s="116"/>
      <c r="BF311" s="116"/>
      <c r="BG311" s="116"/>
      <c r="BH311" s="116"/>
      <c r="BI311" s="116"/>
      <c r="BJ311" s="117">
        <v>58110</v>
      </c>
      <c r="BK311" s="133">
        <v>576</v>
      </c>
      <c r="BL311" s="117">
        <v>156356</v>
      </c>
      <c r="BM311" s="118">
        <v>415310</v>
      </c>
      <c r="BN311" s="118">
        <v>24.43</v>
      </c>
      <c r="BO311" s="120">
        <v>0.777</v>
      </c>
      <c r="BP311" s="120">
        <v>0.223</v>
      </c>
      <c r="BQ311" s="134">
        <v>0</v>
      </c>
      <c r="BR311" s="120">
        <v>0.009</v>
      </c>
      <c r="BS311" s="120">
        <v>0.051</v>
      </c>
      <c r="BT311" s="120">
        <v>0.273</v>
      </c>
      <c r="BU311" s="120">
        <v>0.233</v>
      </c>
      <c r="BV311" s="120">
        <v>0.192</v>
      </c>
      <c r="BW311" s="120">
        <v>0.161</v>
      </c>
      <c r="BX311" s="120">
        <v>0.082</v>
      </c>
    </row>
    <row r="312" s="96" customFormat="1" ht="15.75" customHeight="1" spans="1:76">
      <c r="A312" s="111">
        <v>311</v>
      </c>
      <c r="B312" s="112" t="s">
        <v>46</v>
      </c>
      <c r="C312" s="112" t="s">
        <v>138</v>
      </c>
      <c r="D312" s="111">
        <v>2025</v>
      </c>
      <c r="E312" s="113" t="s">
        <v>42</v>
      </c>
      <c r="F312" s="114">
        <v>883316</v>
      </c>
      <c r="G312" s="114">
        <v>883311</v>
      </c>
      <c r="H312" s="114">
        <v>41050.5748</v>
      </c>
      <c r="I312" s="114">
        <v>1715</v>
      </c>
      <c r="J312" s="115">
        <v>0.00193287037037037</v>
      </c>
      <c r="K312" s="114">
        <v>22.6</v>
      </c>
      <c r="L312" s="114">
        <v>201</v>
      </c>
      <c r="M312" s="114">
        <v>6598127</v>
      </c>
      <c r="N312" s="114">
        <v>11.34</v>
      </c>
      <c r="O312" s="114">
        <v>654097</v>
      </c>
      <c r="P312" s="114">
        <v>535159</v>
      </c>
      <c r="Q312" s="114">
        <v>118621</v>
      </c>
      <c r="R312" s="114">
        <v>118275</v>
      </c>
      <c r="S312" s="114">
        <v>346</v>
      </c>
      <c r="T312" s="114">
        <v>1890</v>
      </c>
      <c r="U312" s="114">
        <v>175</v>
      </c>
      <c r="V312" s="114">
        <v>4940</v>
      </c>
      <c r="W312" s="114">
        <v>252</v>
      </c>
      <c r="X312" s="114">
        <v>741</v>
      </c>
      <c r="Y312" s="114">
        <v>3557</v>
      </c>
      <c r="Z312" s="114">
        <v>2482880.22</v>
      </c>
      <c r="AA312" s="114">
        <v>0</v>
      </c>
      <c r="AB312" s="114">
        <v>0</v>
      </c>
      <c r="AC312" s="114">
        <v>74608.902</v>
      </c>
      <c r="AD312" s="114">
        <v>2408269.213</v>
      </c>
      <c r="AE312" s="114">
        <v>4413042.03</v>
      </c>
      <c r="AF312" s="114">
        <v>513997</v>
      </c>
      <c r="AG312" s="114">
        <v>8585.735</v>
      </c>
      <c r="AH312" s="114">
        <v>427300</v>
      </c>
      <c r="AI312" s="114">
        <v>2810.88</v>
      </c>
      <c r="AJ312" s="114">
        <v>0</v>
      </c>
      <c r="AK312" s="114">
        <v>0</v>
      </c>
      <c r="AL312" s="114">
        <v>0</v>
      </c>
      <c r="AM312" s="114">
        <v>0</v>
      </c>
      <c r="AN312" s="114">
        <v>10141</v>
      </c>
      <c r="AO312" s="114">
        <v>514.4659</v>
      </c>
      <c r="AP312" s="114">
        <v>724.6493</v>
      </c>
      <c r="AQ312" s="114">
        <v>0</v>
      </c>
      <c r="AR312" s="114">
        <v>84</v>
      </c>
      <c r="AS312" s="114">
        <v>1</v>
      </c>
      <c r="AT312" s="114">
        <v>1</v>
      </c>
      <c r="AU312" s="114">
        <v>1631</v>
      </c>
      <c r="AV312" s="114">
        <v>0</v>
      </c>
      <c r="AW312" s="114">
        <v>0</v>
      </c>
      <c r="AX312" s="114">
        <v>0</v>
      </c>
      <c r="AY312" s="114">
        <v>1</v>
      </c>
      <c r="AZ312" s="114">
        <v>0</v>
      </c>
      <c r="BA312" s="114">
        <v>0</v>
      </c>
      <c r="BB312" s="116"/>
      <c r="BC312" s="116"/>
      <c r="BD312" s="116"/>
      <c r="BE312" s="116"/>
      <c r="BF312" s="116"/>
      <c r="BG312" s="116"/>
      <c r="BH312" s="116"/>
      <c r="BI312" s="116"/>
      <c r="BJ312" s="117">
        <v>59825</v>
      </c>
      <c r="BK312" s="117">
        <v>1715</v>
      </c>
      <c r="BL312" s="117">
        <v>861039</v>
      </c>
      <c r="BM312" s="118">
        <v>2495090</v>
      </c>
      <c r="BN312" s="118">
        <v>146.77</v>
      </c>
      <c r="BO312" s="120">
        <v>0.805</v>
      </c>
      <c r="BP312" s="120">
        <v>0.194</v>
      </c>
      <c r="BQ312" s="120">
        <v>0.001</v>
      </c>
      <c r="BR312" s="120">
        <v>0.01</v>
      </c>
      <c r="BS312" s="120">
        <v>0.058</v>
      </c>
      <c r="BT312" s="120">
        <v>0.295</v>
      </c>
      <c r="BU312" s="120">
        <v>0.251</v>
      </c>
      <c r="BV312" s="120">
        <v>0.187</v>
      </c>
      <c r="BW312" s="120">
        <v>0.138</v>
      </c>
      <c r="BX312" s="120">
        <v>0.061</v>
      </c>
    </row>
    <row r="313" s="96" customFormat="1" ht="15.75" customHeight="1" spans="1:76">
      <c r="A313" s="111">
        <v>312</v>
      </c>
      <c r="B313" s="112" t="s">
        <v>46</v>
      </c>
      <c r="C313" s="112" t="s">
        <v>138</v>
      </c>
      <c r="D313" s="111">
        <v>2025</v>
      </c>
      <c r="E313" s="113" t="s">
        <v>43</v>
      </c>
      <c r="F313" s="114">
        <v>224762</v>
      </c>
      <c r="G313" s="114">
        <v>224757</v>
      </c>
      <c r="H313" s="114">
        <v>9790.1532</v>
      </c>
      <c r="I313" s="114">
        <v>344</v>
      </c>
      <c r="J313" s="115">
        <v>0.00180555555555556</v>
      </c>
      <c r="K313" s="114">
        <v>14.43</v>
      </c>
      <c r="L313" s="114">
        <v>224</v>
      </c>
      <c r="M313" s="114">
        <v>1914747</v>
      </c>
      <c r="N313" s="114">
        <v>9.54</v>
      </c>
      <c r="O313" s="114">
        <v>183368</v>
      </c>
      <c r="P313" s="114">
        <v>135927</v>
      </c>
      <c r="Q313" s="114">
        <v>47480</v>
      </c>
      <c r="R313" s="114">
        <v>47236</v>
      </c>
      <c r="S313" s="114">
        <v>244</v>
      </c>
      <c r="T313" s="114">
        <v>425</v>
      </c>
      <c r="U313" s="114">
        <v>81</v>
      </c>
      <c r="V313" s="114">
        <v>861</v>
      </c>
      <c r="W313" s="114">
        <v>58</v>
      </c>
      <c r="X313" s="114">
        <v>301</v>
      </c>
      <c r="Y313" s="114">
        <v>699</v>
      </c>
      <c r="Z313" s="114">
        <v>727517.173</v>
      </c>
      <c r="AA313" s="114">
        <v>0</v>
      </c>
      <c r="AB313" s="114">
        <v>0</v>
      </c>
      <c r="AC313" s="114">
        <v>22494.873</v>
      </c>
      <c r="AD313" s="114">
        <v>705020.246</v>
      </c>
      <c r="AE313" s="114">
        <v>1281854.757</v>
      </c>
      <c r="AF313" s="114">
        <v>132749</v>
      </c>
      <c r="AG313" s="114">
        <v>9656.229</v>
      </c>
      <c r="AH313" s="114">
        <v>110810</v>
      </c>
      <c r="AI313" s="114">
        <v>3236.904</v>
      </c>
      <c r="AJ313" s="114">
        <v>0</v>
      </c>
      <c r="AK313" s="114">
        <v>0</v>
      </c>
      <c r="AL313" s="114">
        <v>0</v>
      </c>
      <c r="AM313" s="114">
        <v>0</v>
      </c>
      <c r="AN313" s="114">
        <v>2814</v>
      </c>
      <c r="AO313" s="114">
        <v>141.3064</v>
      </c>
      <c r="AP313" s="114">
        <v>34.8933</v>
      </c>
      <c r="AQ313" s="114">
        <v>0</v>
      </c>
      <c r="AR313" s="114">
        <v>2</v>
      </c>
      <c r="AS313" s="114">
        <v>0</v>
      </c>
      <c r="AT313" s="114"/>
      <c r="AU313" s="114">
        <v>18</v>
      </c>
      <c r="AV313" s="114">
        <v>0</v>
      </c>
      <c r="AW313" s="114">
        <v>0</v>
      </c>
      <c r="AX313" s="114">
        <v>0</v>
      </c>
      <c r="AY313" s="114">
        <v>1</v>
      </c>
      <c r="AZ313" s="114">
        <v>0</v>
      </c>
      <c r="BA313" s="114">
        <v>0</v>
      </c>
      <c r="BB313" s="116"/>
      <c r="BC313" s="116"/>
      <c r="BD313" s="116"/>
      <c r="BE313" s="116"/>
      <c r="BF313" s="116"/>
      <c r="BG313" s="116"/>
      <c r="BH313" s="116"/>
      <c r="BI313" s="116"/>
      <c r="BJ313" s="117">
        <v>60168</v>
      </c>
      <c r="BK313" s="133">
        <v>343</v>
      </c>
      <c r="BL313" s="117">
        <v>98643</v>
      </c>
      <c r="BM313" s="118">
        <v>362780</v>
      </c>
      <c r="BN313" s="118">
        <v>21.34</v>
      </c>
      <c r="BO313" s="120">
        <v>0.767</v>
      </c>
      <c r="BP313" s="120">
        <v>0.233</v>
      </c>
      <c r="BQ313" s="134">
        <v>0</v>
      </c>
      <c r="BR313" s="120">
        <v>0.012</v>
      </c>
      <c r="BS313" s="120">
        <v>0.059</v>
      </c>
      <c r="BT313" s="120">
        <v>0.28</v>
      </c>
      <c r="BU313" s="120">
        <v>0.219</v>
      </c>
      <c r="BV313" s="120">
        <v>0.185</v>
      </c>
      <c r="BW313" s="120">
        <v>0.161</v>
      </c>
      <c r="BX313" s="120">
        <v>0.083</v>
      </c>
    </row>
    <row r="314" s="96" customFormat="1" ht="15.75" customHeight="1" spans="1:76">
      <c r="A314" s="111">
        <v>313</v>
      </c>
      <c r="B314" s="112" t="s">
        <v>46</v>
      </c>
      <c r="C314" s="112" t="s">
        <v>138</v>
      </c>
      <c r="D314" s="111">
        <v>2026</v>
      </c>
      <c r="E314" s="112" t="s">
        <v>31</v>
      </c>
      <c r="F314" s="121">
        <v>285283</v>
      </c>
      <c r="G314" s="114">
        <v>281426</v>
      </c>
      <c r="H314" s="114">
        <v>30019.6776</v>
      </c>
      <c r="I314" s="114">
        <v>1080</v>
      </c>
      <c r="J314" s="115">
        <v>0.00443287037037037</v>
      </c>
      <c r="K314" s="114">
        <v>23.84</v>
      </c>
      <c r="L314" s="114">
        <v>252</v>
      </c>
      <c r="M314" s="114">
        <v>2254953</v>
      </c>
      <c r="N314" s="114">
        <v>9.09</v>
      </c>
      <c r="O314" s="114">
        <v>229171</v>
      </c>
      <c r="P314" s="114">
        <v>156316</v>
      </c>
      <c r="Q314" s="114">
        <v>72831</v>
      </c>
      <c r="R314" s="114">
        <v>72565</v>
      </c>
      <c r="S314" s="114">
        <v>266</v>
      </c>
      <c r="T314" s="114">
        <v>1197</v>
      </c>
      <c r="U314" s="114">
        <v>117</v>
      </c>
      <c r="V314" s="114">
        <v>2305</v>
      </c>
      <c r="W314" s="114">
        <v>127</v>
      </c>
      <c r="X314" s="114">
        <v>680</v>
      </c>
      <c r="Y314" s="114">
        <v>1433</v>
      </c>
      <c r="Z314" s="121">
        <v>1556890</v>
      </c>
      <c r="AA314" s="114">
        <v>0</v>
      </c>
      <c r="AB314" s="114">
        <v>0</v>
      </c>
      <c r="AC314" s="114">
        <v>48491.243</v>
      </c>
      <c r="AD314" s="114">
        <v>1438487.635</v>
      </c>
      <c r="AE314" s="114">
        <v>2616449.089</v>
      </c>
      <c r="AF314" s="114">
        <v>304119</v>
      </c>
      <c r="AG314" s="114">
        <v>8603.373</v>
      </c>
      <c r="AH314" s="114">
        <v>237002</v>
      </c>
      <c r="AI314" s="114">
        <v>5290.447</v>
      </c>
      <c r="AJ314" s="114">
        <v>0</v>
      </c>
      <c r="AK314" s="114">
        <v>1</v>
      </c>
      <c r="AL314" s="114">
        <v>0</v>
      </c>
      <c r="AM314" s="114">
        <v>0</v>
      </c>
      <c r="AN314" s="114">
        <v>3113</v>
      </c>
      <c r="AO314" s="114">
        <v>366.0441</v>
      </c>
      <c r="AP314" s="114"/>
      <c r="AQ314" s="114">
        <v>0</v>
      </c>
      <c r="AR314" s="114"/>
      <c r="AS314" s="114"/>
      <c r="AT314" s="114"/>
      <c r="AU314" s="114"/>
      <c r="AV314" s="114">
        <v>0</v>
      </c>
      <c r="AW314" s="114">
        <v>0</v>
      </c>
      <c r="AX314" s="114">
        <v>0</v>
      </c>
      <c r="AY314" s="114">
        <v>4</v>
      </c>
      <c r="AZ314" s="114">
        <v>0</v>
      </c>
      <c r="BA314" s="114">
        <v>0</v>
      </c>
      <c r="BB314" s="116"/>
      <c r="BC314" s="116"/>
      <c r="BD314" s="116"/>
      <c r="BE314" s="116"/>
      <c r="BF314" s="116"/>
      <c r="BG314" s="116"/>
      <c r="BH314" s="116"/>
      <c r="BI314" s="116"/>
      <c r="BJ314" s="117">
        <v>61249</v>
      </c>
      <c r="BK314" s="117">
        <v>1080</v>
      </c>
      <c r="BL314" s="117">
        <v>244134</v>
      </c>
      <c r="BM314" s="118">
        <v>1464989</v>
      </c>
      <c r="BN314" s="118"/>
      <c r="BO314" s="120">
        <v>0.792</v>
      </c>
      <c r="BP314" s="120">
        <v>0.208</v>
      </c>
      <c r="BQ314" s="134">
        <v>0</v>
      </c>
      <c r="BR314" s="120">
        <v>0.01</v>
      </c>
      <c r="BS314" s="120">
        <v>0.052</v>
      </c>
      <c r="BT314" s="120">
        <v>0.257</v>
      </c>
      <c r="BU314" s="120">
        <v>0.182</v>
      </c>
      <c r="BV314" s="120">
        <v>0.169</v>
      </c>
      <c r="BW314" s="120">
        <v>0.201</v>
      </c>
      <c r="BX314" s="120">
        <v>0.129</v>
      </c>
    </row>
    <row r="315" s="96" customFormat="1" ht="15.75" customHeight="1" spans="1:76">
      <c r="A315" s="111">
        <v>314</v>
      </c>
      <c r="B315" s="112" t="s">
        <v>46</v>
      </c>
      <c r="C315" s="112" t="s">
        <v>138</v>
      </c>
      <c r="D315" s="111">
        <v>2026</v>
      </c>
      <c r="E315" s="112" t="s">
        <v>33</v>
      </c>
      <c r="F315" s="114">
        <v>377212</v>
      </c>
      <c r="G315" s="114">
        <v>369729</v>
      </c>
      <c r="H315" s="114">
        <v>45185.9367</v>
      </c>
      <c r="I315" s="114">
        <v>666</v>
      </c>
      <c r="J315" s="115">
        <v>0.00508101851851852</v>
      </c>
      <c r="K315" s="114">
        <v>18.01</v>
      </c>
      <c r="L315" s="114">
        <v>350</v>
      </c>
      <c r="M315" s="114">
        <v>2806215</v>
      </c>
      <c r="N315" s="114">
        <v>10.82</v>
      </c>
      <c r="O315" s="114">
        <v>291584</v>
      </c>
      <c r="P315" s="114">
        <v>185028</v>
      </c>
      <c r="Q315" s="114">
        <v>105605</v>
      </c>
      <c r="R315" s="114">
        <v>104969</v>
      </c>
      <c r="S315" s="114">
        <v>636</v>
      </c>
      <c r="T315" s="114">
        <v>773</v>
      </c>
      <c r="U315" s="114">
        <v>107</v>
      </c>
      <c r="V315" s="114">
        <v>1687</v>
      </c>
      <c r="W315" s="114">
        <v>157</v>
      </c>
      <c r="X315" s="114">
        <v>500</v>
      </c>
      <c r="Y315" s="114">
        <v>1909</v>
      </c>
      <c r="Z315" s="114">
        <v>2098408.438</v>
      </c>
      <c r="AA315" s="114">
        <v>0</v>
      </c>
      <c r="AB315" s="114">
        <v>0</v>
      </c>
      <c r="AC315" s="114">
        <v>54510.964</v>
      </c>
      <c r="AD315" s="114">
        <v>2040374.997</v>
      </c>
      <c r="AE315" s="114">
        <v>3705598.815</v>
      </c>
      <c r="AF315" s="114">
        <v>424186</v>
      </c>
      <c r="AG315" s="114">
        <v>8735.788</v>
      </c>
      <c r="AH315" s="114">
        <v>289532</v>
      </c>
      <c r="AI315" s="114">
        <v>5675.407</v>
      </c>
      <c r="AJ315" s="114">
        <v>0</v>
      </c>
      <c r="AK315" s="114">
        <v>0</v>
      </c>
      <c r="AL315" s="114">
        <v>0</v>
      </c>
      <c r="AM315" s="114">
        <v>0</v>
      </c>
      <c r="AN315" s="114">
        <v>3050</v>
      </c>
      <c r="AO315" s="114">
        <v>449.5792</v>
      </c>
      <c r="AP315" s="114">
        <v>0</v>
      </c>
      <c r="AQ315" s="114">
        <v>0</v>
      </c>
      <c r="AR315" s="114">
        <v>0</v>
      </c>
      <c r="AS315" s="114">
        <v>0</v>
      </c>
      <c r="AT315" s="114">
        <v>0</v>
      </c>
      <c r="AU315" s="114">
        <v>3</v>
      </c>
      <c r="AV315" s="114">
        <v>0</v>
      </c>
      <c r="AW315" s="114">
        <v>0</v>
      </c>
      <c r="AX315" s="114">
        <v>0</v>
      </c>
      <c r="AY315" s="114">
        <v>0</v>
      </c>
      <c r="AZ315" s="114">
        <v>0</v>
      </c>
      <c r="BA315" s="114">
        <v>0</v>
      </c>
      <c r="BB315" s="116"/>
      <c r="BC315" s="116"/>
      <c r="BD315" s="116"/>
      <c r="BE315" s="116"/>
      <c r="BF315" s="116"/>
      <c r="BG315" s="116"/>
      <c r="BH315" s="116"/>
      <c r="BI315" s="116"/>
      <c r="BJ315" s="117">
        <v>61915</v>
      </c>
      <c r="BK315" s="133">
        <v>666</v>
      </c>
      <c r="BL315" s="117">
        <v>337132</v>
      </c>
      <c r="BM315" s="118">
        <v>1993765</v>
      </c>
      <c r="BN315" s="118"/>
      <c r="BO315" s="120">
        <v>0.79</v>
      </c>
      <c r="BP315" s="120">
        <v>0.21</v>
      </c>
      <c r="BQ315" s="120">
        <v>0</v>
      </c>
      <c r="BR315" s="120">
        <v>0.012</v>
      </c>
      <c r="BS315" s="120">
        <v>0.053</v>
      </c>
      <c r="BT315" s="120">
        <v>0.274</v>
      </c>
      <c r="BU315" s="120">
        <v>0.207</v>
      </c>
      <c r="BV315" s="120">
        <v>0.179</v>
      </c>
      <c r="BW315" s="120">
        <v>0.179</v>
      </c>
      <c r="BX315" s="120">
        <v>0.098</v>
      </c>
    </row>
    <row r="316" s="96" customFormat="1" ht="15.75" customHeight="1" spans="1:76">
      <c r="A316" s="111">
        <v>315</v>
      </c>
      <c r="B316" s="112" t="s">
        <v>46</v>
      </c>
      <c r="C316" s="112" t="s">
        <v>138</v>
      </c>
      <c r="D316" s="111">
        <v>2026</v>
      </c>
      <c r="E316" s="113" t="s">
        <v>34</v>
      </c>
      <c r="F316" s="114">
        <v>230589</v>
      </c>
      <c r="G316" s="114">
        <v>230506</v>
      </c>
      <c r="H316" s="114">
        <v>23046.3156</v>
      </c>
      <c r="I316" s="114">
        <v>325</v>
      </c>
      <c r="J316" s="115">
        <v>0.00415509259259259</v>
      </c>
      <c r="K316" s="114">
        <v>18.45</v>
      </c>
      <c r="L316" s="114">
        <v>341</v>
      </c>
      <c r="M316" s="114">
        <v>2023952</v>
      </c>
      <c r="N316" s="114">
        <v>9.95</v>
      </c>
      <c r="O316" s="114">
        <v>189901</v>
      </c>
      <c r="P316" s="114">
        <v>124024</v>
      </c>
      <c r="Q316" s="114">
        <v>58826</v>
      </c>
      <c r="R316" s="114">
        <v>58251</v>
      </c>
      <c r="S316" s="114">
        <v>575</v>
      </c>
      <c r="T316" s="114">
        <v>440</v>
      </c>
      <c r="U316" s="114">
        <v>115</v>
      </c>
      <c r="V316" s="114">
        <v>957</v>
      </c>
      <c r="W316" s="114">
        <v>61</v>
      </c>
      <c r="X316" s="114">
        <v>463</v>
      </c>
      <c r="Y316" s="114">
        <v>742</v>
      </c>
      <c r="Z316" s="114">
        <v>1436392.918</v>
      </c>
      <c r="AA316" s="114">
        <v>0</v>
      </c>
      <c r="AB316" s="114">
        <v>0</v>
      </c>
      <c r="AC316" s="114">
        <v>45550.575</v>
      </c>
      <c r="AD316" s="114">
        <v>1390813.835</v>
      </c>
      <c r="AE316" s="114">
        <v>2529245.887</v>
      </c>
      <c r="AF316" s="114">
        <v>217563</v>
      </c>
      <c r="AG316" s="114">
        <v>11625.349</v>
      </c>
      <c r="AH316" s="114">
        <v>128749</v>
      </c>
      <c r="AI316" s="114">
        <v>6348.178</v>
      </c>
      <c r="AJ316" s="114">
        <v>0</v>
      </c>
      <c r="AK316" s="114">
        <v>0</v>
      </c>
      <c r="AL316" s="114">
        <v>0</v>
      </c>
      <c r="AM316" s="114">
        <v>0</v>
      </c>
      <c r="AN316" s="114">
        <v>2561</v>
      </c>
      <c r="AO316" s="114">
        <v>360.4214</v>
      </c>
      <c r="AP316" s="114">
        <v>0</v>
      </c>
      <c r="AQ316" s="114">
        <v>0</v>
      </c>
      <c r="AR316" s="114">
        <v>0</v>
      </c>
      <c r="AS316" s="114">
        <v>0</v>
      </c>
      <c r="AT316" s="114">
        <v>0</v>
      </c>
      <c r="AU316" s="114">
        <v>7</v>
      </c>
      <c r="AV316" s="114">
        <v>0</v>
      </c>
      <c r="AW316" s="114">
        <v>0</v>
      </c>
      <c r="AX316" s="114">
        <v>0</v>
      </c>
      <c r="AY316" s="114">
        <v>1</v>
      </c>
      <c r="AZ316" s="114">
        <v>0</v>
      </c>
      <c r="BA316" s="114">
        <v>0</v>
      </c>
      <c r="BB316" s="116"/>
      <c r="BC316" s="116"/>
      <c r="BD316" s="116"/>
      <c r="BE316" s="116"/>
      <c r="BF316" s="116"/>
      <c r="BG316" s="116"/>
      <c r="BH316" s="116"/>
      <c r="BI316" s="116"/>
      <c r="BJ316" s="117">
        <v>62240</v>
      </c>
      <c r="BK316" s="133">
        <v>325</v>
      </c>
      <c r="BL316" s="117">
        <v>197702</v>
      </c>
      <c r="BM316" s="118">
        <v>1325787</v>
      </c>
      <c r="BN316" s="118"/>
      <c r="BO316" s="120">
        <v>0.814</v>
      </c>
      <c r="BP316" s="120">
        <v>0.186</v>
      </c>
      <c r="BQ316" s="120">
        <v>0</v>
      </c>
      <c r="BR316" s="120">
        <v>0.008</v>
      </c>
      <c r="BS316" s="120">
        <v>0.046</v>
      </c>
      <c r="BT316" s="120">
        <v>0.294</v>
      </c>
      <c r="BU316" s="120">
        <v>0.276</v>
      </c>
      <c r="BV316" s="120">
        <v>0.199</v>
      </c>
      <c r="BW316" s="120">
        <v>0.123</v>
      </c>
      <c r="BX316" s="120">
        <v>0.054</v>
      </c>
    </row>
    <row r="317" s="96" customFormat="1" ht="15.75" customHeight="1" spans="1:76">
      <c r="A317" s="111">
        <v>316</v>
      </c>
      <c r="B317" s="112" t="s">
        <v>46</v>
      </c>
      <c r="C317" s="112" t="s">
        <v>138</v>
      </c>
      <c r="D317" s="111">
        <v>2026</v>
      </c>
      <c r="E317" s="113" t="s">
        <v>35</v>
      </c>
      <c r="F317" s="114">
        <v>509943</v>
      </c>
      <c r="G317" s="114">
        <v>509769</v>
      </c>
      <c r="H317" s="114">
        <v>125232.0298</v>
      </c>
      <c r="I317" s="114">
        <v>1175</v>
      </c>
      <c r="J317" s="115">
        <v>0.0102314814814815</v>
      </c>
      <c r="K317" s="114">
        <v>18.88</v>
      </c>
      <c r="L317" s="114">
        <v>186</v>
      </c>
      <c r="M317" s="114">
        <v>5210855</v>
      </c>
      <c r="N317" s="114">
        <v>7.69</v>
      </c>
      <c r="O317" s="114">
        <v>399424</v>
      </c>
      <c r="P317" s="114">
        <v>256952</v>
      </c>
      <c r="Q317" s="114">
        <v>124859</v>
      </c>
      <c r="R317" s="114">
        <v>123268</v>
      </c>
      <c r="S317" s="114">
        <v>1591</v>
      </c>
      <c r="T317" s="114">
        <v>1344</v>
      </c>
      <c r="U317" s="114">
        <v>169</v>
      </c>
      <c r="V317" s="114">
        <v>2907</v>
      </c>
      <c r="W317" s="114">
        <v>278</v>
      </c>
      <c r="X317" s="114">
        <v>843</v>
      </c>
      <c r="Y317" s="114">
        <v>2490</v>
      </c>
      <c r="Z317" s="114">
        <v>5567605.112</v>
      </c>
      <c r="AA317" s="114">
        <v>0</v>
      </c>
      <c r="AB317" s="114">
        <v>0</v>
      </c>
      <c r="AC317" s="114">
        <v>422267.936</v>
      </c>
      <c r="AD317" s="114">
        <v>5145269.109</v>
      </c>
      <c r="AE317" s="114">
        <v>9352617.081</v>
      </c>
      <c r="AF317" s="114">
        <v>812632</v>
      </c>
      <c r="AG317" s="114">
        <v>11509.044</v>
      </c>
      <c r="AH317" s="114">
        <v>442138</v>
      </c>
      <c r="AI317" s="114">
        <v>11552.6</v>
      </c>
      <c r="AJ317" s="114">
        <v>0</v>
      </c>
      <c r="AK317" s="114">
        <v>0</v>
      </c>
      <c r="AL317" s="114">
        <v>0</v>
      </c>
      <c r="AM317" s="114">
        <v>0</v>
      </c>
      <c r="AN317" s="114">
        <v>9936</v>
      </c>
      <c r="AO317" s="114">
        <v>3177.3179</v>
      </c>
      <c r="AP317" s="114">
        <v>13.2631</v>
      </c>
      <c r="AQ317" s="114">
        <v>1</v>
      </c>
      <c r="AR317" s="114">
        <v>9</v>
      </c>
      <c r="AS317" s="114">
        <v>0</v>
      </c>
      <c r="AT317" s="114">
        <v>0</v>
      </c>
      <c r="AU317" s="114">
        <v>0</v>
      </c>
      <c r="AV317" s="114">
        <v>0</v>
      </c>
      <c r="AW317" s="114">
        <v>0</v>
      </c>
      <c r="AX317" s="114">
        <v>0</v>
      </c>
      <c r="AY317" s="114">
        <v>0</v>
      </c>
      <c r="AZ317" s="114">
        <v>0</v>
      </c>
      <c r="BA317" s="114">
        <v>0</v>
      </c>
      <c r="BB317" s="116"/>
      <c r="BC317" s="116"/>
      <c r="BD317" s="116"/>
      <c r="BE317" s="116"/>
      <c r="BF317" s="116"/>
      <c r="BG317" s="116"/>
      <c r="BH317" s="116"/>
      <c r="BI317" s="116"/>
      <c r="BJ317" s="117">
        <v>63415</v>
      </c>
      <c r="BK317" s="117">
        <v>1175</v>
      </c>
      <c r="BL317" s="117">
        <v>450045</v>
      </c>
      <c r="BM317" s="118">
        <v>4985474</v>
      </c>
      <c r="BN317" s="118"/>
      <c r="BO317" s="120">
        <v>0.812</v>
      </c>
      <c r="BP317" s="120">
        <v>0.188</v>
      </c>
      <c r="BQ317" s="120">
        <v>0</v>
      </c>
      <c r="BR317" s="120">
        <v>0.009</v>
      </c>
      <c r="BS317" s="120">
        <v>0.043</v>
      </c>
      <c r="BT317" s="120">
        <v>0.255</v>
      </c>
      <c r="BU317" s="120">
        <v>0.238</v>
      </c>
      <c r="BV317" s="120">
        <v>0.203</v>
      </c>
      <c r="BW317" s="120">
        <v>0.162</v>
      </c>
      <c r="BX317" s="120">
        <v>0.09</v>
      </c>
    </row>
    <row r="318" s="96" customFormat="1" ht="15.75" customHeight="1" spans="1:76">
      <c r="A318" s="111">
        <v>317</v>
      </c>
      <c r="B318" s="112" t="s">
        <v>46</v>
      </c>
      <c r="C318" s="112" t="s">
        <v>138</v>
      </c>
      <c r="D318" s="111">
        <v>2026</v>
      </c>
      <c r="E318" s="113" t="s">
        <v>36</v>
      </c>
      <c r="F318" s="114">
        <v>692135</v>
      </c>
      <c r="G318" s="114">
        <v>691795</v>
      </c>
      <c r="H318" s="114">
        <v>100412.1991</v>
      </c>
      <c r="I318" s="114">
        <v>1280</v>
      </c>
      <c r="J318" s="115">
        <v>0.00604166666666667</v>
      </c>
      <c r="K318" s="114">
        <v>20.95</v>
      </c>
      <c r="L318" s="114">
        <v>431</v>
      </c>
      <c r="M318" s="114">
        <v>6304089</v>
      </c>
      <c r="N318" s="114">
        <v>9.14</v>
      </c>
      <c r="O318" s="114">
        <v>511558</v>
      </c>
      <c r="P318" s="114">
        <v>276007</v>
      </c>
      <c r="Q318" s="114">
        <v>173345</v>
      </c>
      <c r="R318" s="114">
        <v>169815</v>
      </c>
      <c r="S318" s="114">
        <v>3530</v>
      </c>
      <c r="T318" s="114">
        <v>1471</v>
      </c>
      <c r="U318" s="114">
        <v>191</v>
      </c>
      <c r="V318" s="114">
        <v>3549</v>
      </c>
      <c r="W318" s="114">
        <v>216</v>
      </c>
      <c r="X318" s="114">
        <v>903</v>
      </c>
      <c r="Y318" s="114">
        <v>3189</v>
      </c>
      <c r="Z318" s="114">
        <v>5926119.826</v>
      </c>
      <c r="AA318" s="114">
        <v>0</v>
      </c>
      <c r="AB318" s="114">
        <v>0</v>
      </c>
      <c r="AC318" s="114">
        <v>259210.767</v>
      </c>
      <c r="AD318" s="114">
        <v>5666776.612</v>
      </c>
      <c r="AE318" s="114">
        <v>10288316.91</v>
      </c>
      <c r="AF318" s="114">
        <v>890961</v>
      </c>
      <c r="AG318" s="114">
        <v>11547.438</v>
      </c>
      <c r="AH318" s="114">
        <v>570552</v>
      </c>
      <c r="AI318" s="114">
        <v>8560.825</v>
      </c>
      <c r="AJ318" s="114">
        <v>0</v>
      </c>
      <c r="AK318" s="114">
        <v>0</v>
      </c>
      <c r="AL318" s="114">
        <v>0</v>
      </c>
      <c r="AM318" s="114">
        <v>0</v>
      </c>
      <c r="AN318" s="114">
        <v>12037</v>
      </c>
      <c r="AO318" s="114">
        <v>2117.643</v>
      </c>
      <c r="AP318" s="114">
        <v>19.1773</v>
      </c>
      <c r="AQ318" s="114">
        <v>3</v>
      </c>
      <c r="AR318" s="114">
        <v>1</v>
      </c>
      <c r="AS318" s="114">
        <v>0</v>
      </c>
      <c r="AT318" s="114"/>
      <c r="AU318" s="114">
        <v>1</v>
      </c>
      <c r="AV318" s="114">
        <v>0</v>
      </c>
      <c r="AW318" s="114">
        <v>0</v>
      </c>
      <c r="AX318" s="114">
        <v>0</v>
      </c>
      <c r="AY318" s="114">
        <v>0</v>
      </c>
      <c r="AZ318" s="114">
        <v>0</v>
      </c>
      <c r="BA318" s="114">
        <v>0</v>
      </c>
      <c r="BB318" s="116"/>
      <c r="BC318" s="116"/>
      <c r="BD318" s="116"/>
      <c r="BE318" s="116"/>
      <c r="BF318" s="116"/>
      <c r="BG318" s="116"/>
      <c r="BH318" s="116"/>
      <c r="BI318" s="116"/>
      <c r="BJ318" s="117">
        <v>64696</v>
      </c>
      <c r="BK318" s="117">
        <v>1280</v>
      </c>
      <c r="BL318" s="117">
        <v>629390</v>
      </c>
      <c r="BM318" s="118">
        <v>5450993</v>
      </c>
      <c r="BN318" s="118"/>
      <c r="BO318" s="120">
        <v>0.804</v>
      </c>
      <c r="BP318" s="120">
        <v>0.196</v>
      </c>
      <c r="BQ318" s="120">
        <v>0</v>
      </c>
      <c r="BR318" s="120">
        <v>0.009</v>
      </c>
      <c r="BS318" s="120">
        <v>0.045</v>
      </c>
      <c r="BT318" s="120">
        <v>0.286</v>
      </c>
      <c r="BU318" s="120">
        <v>0.262</v>
      </c>
      <c r="BV318" s="120">
        <v>0.191</v>
      </c>
      <c r="BW318" s="120">
        <v>0.138</v>
      </c>
      <c r="BX318" s="120">
        <v>0.071</v>
      </c>
    </row>
    <row r="319" s="96" customFormat="1" ht="15.75" customHeight="1" spans="1:76">
      <c r="A319" s="111">
        <v>318</v>
      </c>
      <c r="B319" s="96" t="s">
        <v>46</v>
      </c>
      <c r="C319" s="96" t="s">
        <v>138</v>
      </c>
      <c r="D319" s="122">
        <v>2026</v>
      </c>
      <c r="E319" s="96" t="s">
        <v>37</v>
      </c>
      <c r="F319" s="123">
        <v>695504</v>
      </c>
      <c r="G319" s="123">
        <v>694962</v>
      </c>
      <c r="H319" s="123">
        <v>88708</v>
      </c>
      <c r="I319" s="123">
        <v>1150</v>
      </c>
      <c r="J319" s="124">
        <v>0.0053125</v>
      </c>
      <c r="K319" s="125">
        <v>17</v>
      </c>
      <c r="L319" s="125">
        <v>481</v>
      </c>
      <c r="M319" s="123">
        <v>6264014</v>
      </c>
      <c r="N319" s="125">
        <v>10</v>
      </c>
      <c r="O319" s="123">
        <v>553769</v>
      </c>
      <c r="P319" s="123">
        <v>297762</v>
      </c>
      <c r="Q319" s="123">
        <v>134458</v>
      </c>
      <c r="R319" s="123">
        <v>131076</v>
      </c>
      <c r="S319" s="123">
        <v>3382</v>
      </c>
      <c r="T319" s="123">
        <v>1324</v>
      </c>
      <c r="U319" s="125">
        <v>174</v>
      </c>
      <c r="V319" s="123">
        <v>3164</v>
      </c>
      <c r="W319" s="125">
        <v>250</v>
      </c>
      <c r="X319" s="125">
        <v>894</v>
      </c>
      <c r="Y319" s="123">
        <v>3420</v>
      </c>
      <c r="Z319" s="123">
        <v>5730994</v>
      </c>
      <c r="AA319" s="125">
        <v>0</v>
      </c>
      <c r="AB319" s="125">
        <v>0</v>
      </c>
      <c r="AC319" s="123">
        <v>402102</v>
      </c>
      <c r="AD319" s="123">
        <v>5328623</v>
      </c>
      <c r="AE319" s="123">
        <v>9690326</v>
      </c>
      <c r="AF319" s="123">
        <v>767227</v>
      </c>
      <c r="AG319" s="123">
        <v>12630</v>
      </c>
      <c r="AH319" s="123">
        <v>489638</v>
      </c>
      <c r="AI319" s="123">
        <v>8439</v>
      </c>
      <c r="AJ319" s="125">
        <v>0</v>
      </c>
      <c r="AK319" s="125">
        <v>0</v>
      </c>
      <c r="AL319" s="125">
        <v>0</v>
      </c>
      <c r="AM319" s="125">
        <v>0</v>
      </c>
      <c r="AN319" s="123">
        <v>13647</v>
      </c>
      <c r="AO319" s="123">
        <v>2859</v>
      </c>
      <c r="AP319" s="125">
        <v>276</v>
      </c>
      <c r="AQ319" s="125">
        <v>0</v>
      </c>
      <c r="AR319" s="123">
        <v>1927</v>
      </c>
      <c r="AS319" s="125">
        <v>57</v>
      </c>
      <c r="AT319" s="125"/>
      <c r="AU319" s="125">
        <v>9</v>
      </c>
      <c r="AV319" s="125">
        <v>0</v>
      </c>
      <c r="AW319" s="125">
        <v>0</v>
      </c>
      <c r="AX319" s="125">
        <v>0</v>
      </c>
      <c r="AY319" s="125">
        <v>1</v>
      </c>
      <c r="AZ319" s="125">
        <v>0</v>
      </c>
      <c r="BA319" s="125">
        <v>0</v>
      </c>
      <c r="BB319" s="125"/>
      <c r="BC319" s="125"/>
      <c r="BD319" s="125"/>
      <c r="BE319" s="125"/>
      <c r="BF319" s="125"/>
      <c r="BG319" s="125"/>
      <c r="BH319" s="125"/>
      <c r="BI319" s="125"/>
      <c r="BJ319" s="117">
        <v>65846</v>
      </c>
      <c r="BK319" s="117">
        <v>1150</v>
      </c>
      <c r="BL319" s="117">
        <v>591520</v>
      </c>
      <c r="BM319" s="118">
        <v>4486285</v>
      </c>
      <c r="BN319" s="118"/>
      <c r="BO319" s="120">
        <v>0.754</v>
      </c>
      <c r="BP319" s="120">
        <v>0.246</v>
      </c>
      <c r="BQ319" s="120">
        <v>0</v>
      </c>
      <c r="BR319" s="120">
        <v>0.014</v>
      </c>
      <c r="BS319" s="120">
        <v>0.055</v>
      </c>
      <c r="BT319" s="120">
        <v>0.292</v>
      </c>
      <c r="BU319" s="120">
        <v>0.242</v>
      </c>
      <c r="BV319" s="120">
        <v>0.193</v>
      </c>
      <c r="BW319" s="120">
        <v>0.138</v>
      </c>
      <c r="BX319" s="120">
        <v>0.067</v>
      </c>
    </row>
    <row r="320" s="96" customFormat="1" ht="15.75" customHeight="1" spans="1:76">
      <c r="A320" s="111">
        <v>319</v>
      </c>
      <c r="B320" s="96" t="s">
        <v>46</v>
      </c>
      <c r="C320" s="96" t="s">
        <v>138</v>
      </c>
      <c r="D320" s="122">
        <v>2026</v>
      </c>
      <c r="E320" s="96" t="s">
        <v>38</v>
      </c>
      <c r="F320" s="126">
        <v>922972</v>
      </c>
      <c r="G320" s="126">
        <v>921173</v>
      </c>
      <c r="H320" s="126">
        <v>234585</v>
      </c>
      <c r="I320" s="126">
        <v>1868</v>
      </c>
      <c r="J320" s="127">
        <v>0.0106018518518519</v>
      </c>
      <c r="K320" s="128">
        <v>20</v>
      </c>
      <c r="L320" s="128">
        <v>974</v>
      </c>
      <c r="M320" s="126">
        <v>7264917</v>
      </c>
      <c r="N320" s="128">
        <v>10</v>
      </c>
      <c r="O320" s="126">
        <v>701877</v>
      </c>
      <c r="P320" s="126">
        <v>395989</v>
      </c>
      <c r="Q320" s="126">
        <v>237967</v>
      </c>
      <c r="R320" s="126">
        <v>230626</v>
      </c>
      <c r="S320" s="126">
        <v>7341</v>
      </c>
      <c r="T320" s="126">
        <v>2101</v>
      </c>
      <c r="U320" s="128">
        <v>233</v>
      </c>
      <c r="V320" s="126">
        <v>4440</v>
      </c>
      <c r="W320" s="128">
        <v>430</v>
      </c>
      <c r="X320" s="128">
        <v>982</v>
      </c>
      <c r="Y320" s="126">
        <v>2816</v>
      </c>
      <c r="Z320" s="126">
        <v>11397308</v>
      </c>
      <c r="AA320" s="128">
        <v>0</v>
      </c>
      <c r="AB320" s="128">
        <v>0</v>
      </c>
      <c r="AC320" s="126">
        <v>974390</v>
      </c>
      <c r="AD320" s="126">
        <v>10422787</v>
      </c>
      <c r="AE320" s="126">
        <v>18948590</v>
      </c>
      <c r="AF320" s="126">
        <v>1459256</v>
      </c>
      <c r="AG320" s="126">
        <v>12985</v>
      </c>
      <c r="AH320" s="126">
        <v>759676</v>
      </c>
      <c r="AI320" s="126">
        <v>12355</v>
      </c>
      <c r="AJ320" s="128">
        <v>0</v>
      </c>
      <c r="AK320" s="128">
        <v>0</v>
      </c>
      <c r="AL320" s="128">
        <v>0</v>
      </c>
      <c r="AM320" s="128">
        <v>0</v>
      </c>
      <c r="AN320" s="126">
        <v>19578</v>
      </c>
      <c r="AO320" s="126">
        <v>7064</v>
      </c>
      <c r="AP320" s="128">
        <v>390</v>
      </c>
      <c r="AQ320" s="128">
        <v>0</v>
      </c>
      <c r="AR320" s="126">
        <v>3343</v>
      </c>
      <c r="AS320" s="128">
        <v>624</v>
      </c>
      <c r="AT320" s="128"/>
      <c r="AU320" s="128">
        <v>20</v>
      </c>
      <c r="AV320" s="128">
        <v>0</v>
      </c>
      <c r="AW320" s="128">
        <v>0</v>
      </c>
      <c r="AX320" s="128">
        <v>0</v>
      </c>
      <c r="AY320" s="128">
        <v>1</v>
      </c>
      <c r="AZ320" s="128">
        <v>0</v>
      </c>
      <c r="BA320" s="128">
        <v>0</v>
      </c>
      <c r="BB320" s="129"/>
      <c r="BC320" s="129"/>
      <c r="BD320" s="129"/>
      <c r="BE320" s="129"/>
      <c r="BF320" s="129"/>
      <c r="BG320" s="129"/>
      <c r="BH320" s="129"/>
      <c r="BI320" s="129"/>
      <c r="BJ320" s="130">
        <v>67714</v>
      </c>
      <c r="BK320" s="130">
        <v>1868</v>
      </c>
      <c r="BL320" s="130">
        <v>776683</v>
      </c>
      <c r="BM320" s="131">
        <v>9823327.42</v>
      </c>
      <c r="BN320" s="131"/>
      <c r="BO320" s="132">
        <v>0.782</v>
      </c>
      <c r="BP320" s="132">
        <v>0.218</v>
      </c>
      <c r="BQ320" s="132">
        <v>0</v>
      </c>
      <c r="BR320" s="132">
        <v>0.011</v>
      </c>
      <c r="BS320" s="132">
        <v>0.05</v>
      </c>
      <c r="BT320" s="132">
        <v>0.272</v>
      </c>
      <c r="BU320" s="132">
        <v>0.224</v>
      </c>
      <c r="BV320" s="132">
        <v>0.194</v>
      </c>
      <c r="BW320" s="132">
        <v>0.156</v>
      </c>
      <c r="BX320" s="119"/>
    </row>
    <row r="321" s="96" customFormat="1" ht="15.75" customHeight="1" spans="1:76">
      <c r="A321" s="111">
        <v>320</v>
      </c>
      <c r="B321" s="96" t="s">
        <v>46</v>
      </c>
      <c r="C321" s="96" t="s">
        <v>138</v>
      </c>
      <c r="D321" s="122">
        <v>2026</v>
      </c>
      <c r="E321" s="96" t="s">
        <v>39</v>
      </c>
      <c r="F321" s="128"/>
      <c r="G321" s="128"/>
      <c r="H321" s="128"/>
      <c r="I321" s="128"/>
      <c r="J321" s="127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9"/>
      <c r="BC321" s="129"/>
      <c r="BD321" s="129"/>
      <c r="BE321" s="129"/>
      <c r="BF321" s="129"/>
      <c r="BG321" s="129"/>
      <c r="BH321" s="129"/>
      <c r="BI321" s="129"/>
      <c r="BJ321" s="119"/>
      <c r="BK321" s="119"/>
      <c r="BL321" s="119"/>
      <c r="BM321" s="131"/>
      <c r="BN321" s="131"/>
      <c r="BO321" s="119"/>
      <c r="BP321" s="119"/>
      <c r="BQ321" s="119"/>
      <c r="BR321" s="119"/>
      <c r="BS321" s="119"/>
      <c r="BT321" s="119"/>
      <c r="BU321" s="119"/>
      <c r="BV321" s="119"/>
      <c r="BW321" s="119"/>
      <c r="BX321" s="119"/>
    </row>
    <row r="322" s="96" customFormat="1" ht="15.75" customHeight="1" spans="1:76">
      <c r="A322" s="111">
        <v>321</v>
      </c>
      <c r="B322" s="96" t="s">
        <v>46</v>
      </c>
      <c r="C322" s="96" t="s">
        <v>138</v>
      </c>
      <c r="D322" s="122">
        <v>2026</v>
      </c>
      <c r="E322" s="96" t="s">
        <v>40</v>
      </c>
      <c r="F322" s="128"/>
      <c r="G322" s="128"/>
      <c r="H322" s="128"/>
      <c r="I322" s="128"/>
      <c r="J322" s="127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9"/>
      <c r="BC322" s="129"/>
      <c r="BD322" s="129"/>
      <c r="BE322" s="129"/>
      <c r="BF322" s="129"/>
      <c r="BG322" s="129"/>
      <c r="BH322" s="129"/>
      <c r="BI322" s="129"/>
      <c r="BJ322" s="119"/>
      <c r="BK322" s="119"/>
      <c r="BL322" s="119"/>
      <c r="BM322" s="131"/>
      <c r="BN322" s="131"/>
      <c r="BO322" s="119"/>
      <c r="BP322" s="119"/>
      <c r="BQ322" s="119"/>
      <c r="BR322" s="119"/>
      <c r="BS322" s="119"/>
      <c r="BT322" s="119"/>
      <c r="BU322" s="119"/>
      <c r="BV322" s="119"/>
      <c r="BW322" s="119"/>
      <c r="BX322" s="119"/>
    </row>
    <row r="323" s="96" customFormat="1" ht="15.75" customHeight="1" spans="1:76">
      <c r="A323" s="111">
        <v>322</v>
      </c>
      <c r="B323" s="96" t="s">
        <v>46</v>
      </c>
      <c r="C323" s="96" t="s">
        <v>138</v>
      </c>
      <c r="D323" s="122">
        <v>2026</v>
      </c>
      <c r="E323" s="96" t="s">
        <v>41</v>
      </c>
      <c r="F323" s="128"/>
      <c r="G323" s="128"/>
      <c r="H323" s="128"/>
      <c r="I323" s="128"/>
      <c r="J323" s="127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9"/>
      <c r="BC323" s="129"/>
      <c r="BD323" s="129"/>
      <c r="BE323" s="129"/>
      <c r="BF323" s="129"/>
      <c r="BG323" s="129"/>
      <c r="BH323" s="129"/>
      <c r="BI323" s="129"/>
      <c r="BJ323" s="119"/>
      <c r="BK323" s="119"/>
      <c r="BL323" s="119"/>
      <c r="BM323" s="131"/>
      <c r="BN323" s="131"/>
      <c r="BO323" s="119"/>
      <c r="BP323" s="119"/>
      <c r="BQ323" s="119"/>
      <c r="BR323" s="119"/>
      <c r="BS323" s="119"/>
      <c r="BT323" s="119"/>
      <c r="BU323" s="119"/>
      <c r="BV323" s="119"/>
      <c r="BW323" s="119"/>
      <c r="BX323" s="119"/>
    </row>
    <row r="324" s="96" customFormat="1" ht="15.75" customHeight="1" spans="1:76">
      <c r="A324" s="111">
        <v>323</v>
      </c>
      <c r="B324" s="96" t="s">
        <v>46</v>
      </c>
      <c r="C324" s="96" t="s">
        <v>138</v>
      </c>
      <c r="D324" s="122">
        <v>2026</v>
      </c>
      <c r="E324" s="96" t="s">
        <v>42</v>
      </c>
      <c r="F324" s="128"/>
      <c r="G324" s="128"/>
      <c r="H324" s="128"/>
      <c r="I324" s="128"/>
      <c r="J324" s="127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9"/>
      <c r="BC324" s="129"/>
      <c r="BD324" s="129"/>
      <c r="BE324" s="129"/>
      <c r="BF324" s="129"/>
      <c r="BG324" s="129"/>
      <c r="BH324" s="129"/>
      <c r="BI324" s="129"/>
      <c r="BJ324" s="119"/>
      <c r="BK324" s="119"/>
      <c r="BL324" s="119"/>
      <c r="BM324" s="131"/>
      <c r="BN324" s="131"/>
      <c r="BO324" s="119"/>
      <c r="BP324" s="119"/>
      <c r="BQ324" s="119"/>
      <c r="BR324" s="119"/>
      <c r="BS324" s="119"/>
      <c r="BT324" s="119"/>
      <c r="BU324" s="119"/>
      <c r="BV324" s="119"/>
      <c r="BW324" s="119"/>
      <c r="BX324" s="119"/>
    </row>
    <row r="325" s="96" customFormat="1" ht="15.75" customHeight="1" spans="1:76">
      <c r="A325" s="111">
        <v>324</v>
      </c>
      <c r="B325" s="96" t="s">
        <v>46</v>
      </c>
      <c r="C325" s="96" t="s">
        <v>138</v>
      </c>
      <c r="D325" s="122">
        <v>2026</v>
      </c>
      <c r="E325" s="96" t="s">
        <v>43</v>
      </c>
      <c r="F325" s="128"/>
      <c r="G325" s="128"/>
      <c r="H325" s="128"/>
      <c r="I325" s="128"/>
      <c r="J325" s="127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9"/>
      <c r="BC325" s="129"/>
      <c r="BD325" s="129"/>
      <c r="BE325" s="129"/>
      <c r="BF325" s="129"/>
      <c r="BG325" s="129"/>
      <c r="BH325" s="129"/>
      <c r="BI325" s="129"/>
      <c r="BJ325" s="119"/>
      <c r="BK325" s="119"/>
      <c r="BL325" s="119"/>
      <c r="BM325" s="131"/>
      <c r="BN325" s="131"/>
      <c r="BO325" s="119"/>
      <c r="BP325" s="119"/>
      <c r="BQ325" s="119"/>
      <c r="BR325" s="119"/>
      <c r="BS325" s="119"/>
      <c r="BT325" s="119"/>
      <c r="BU325" s="119"/>
      <c r="BV325" s="119"/>
      <c r="BW325" s="119"/>
      <c r="BX325" s="119"/>
    </row>
    <row r="326" s="96" customFormat="1" ht="15.75" customHeight="1" spans="1:76">
      <c r="A326" s="111">
        <v>325</v>
      </c>
      <c r="B326" s="112" t="s">
        <v>46</v>
      </c>
      <c r="C326" s="112" t="s">
        <v>49</v>
      </c>
      <c r="D326" s="111">
        <v>2024</v>
      </c>
      <c r="E326" s="113" t="s">
        <v>31</v>
      </c>
      <c r="F326" s="114">
        <v>10669635</v>
      </c>
      <c r="G326" s="114">
        <v>10669635</v>
      </c>
      <c r="H326" s="114">
        <v>460706.7723</v>
      </c>
      <c r="I326" s="114">
        <v>17604</v>
      </c>
      <c r="J326" s="115">
        <v>0.00179398148148148</v>
      </c>
      <c r="K326" s="114">
        <v>30.02</v>
      </c>
      <c r="L326" s="114">
        <v>1210</v>
      </c>
      <c r="M326" s="114">
        <v>89515939</v>
      </c>
      <c r="N326" s="114">
        <v>8.38</v>
      </c>
      <c r="O326" s="114">
        <v>4978879</v>
      </c>
      <c r="P326" s="114">
        <v>2084176</v>
      </c>
      <c r="Q326" s="114">
        <v>2894703</v>
      </c>
      <c r="R326" s="114">
        <v>2894703</v>
      </c>
      <c r="S326" s="114">
        <v>0</v>
      </c>
      <c r="T326" s="114">
        <v>19904</v>
      </c>
      <c r="U326" s="114">
        <v>2300</v>
      </c>
      <c r="V326" s="114">
        <v>102452</v>
      </c>
      <c r="W326" s="114">
        <v>1787</v>
      </c>
      <c r="X326" s="114">
        <v>19792</v>
      </c>
      <c r="Y326" s="114">
        <v>36581</v>
      </c>
      <c r="Z326" s="114">
        <v>9330266.929</v>
      </c>
      <c r="AA326" s="114">
        <v>0</v>
      </c>
      <c r="AB326" s="114">
        <v>0</v>
      </c>
      <c r="AC326" s="114">
        <v>969633.232</v>
      </c>
      <c r="AD326" s="114">
        <v>8346238.353</v>
      </c>
      <c r="AE326" s="114">
        <v>15174930.38</v>
      </c>
      <c r="AF326" s="114">
        <v>1914974</v>
      </c>
      <c r="AG326" s="114">
        <v>7924.353</v>
      </c>
      <c r="AH326" s="114">
        <v>1837192</v>
      </c>
      <c r="AI326" s="114">
        <v>874.469</v>
      </c>
      <c r="AJ326" s="114">
        <v>0</v>
      </c>
      <c r="AK326" s="114">
        <v>0</v>
      </c>
      <c r="AL326" s="114">
        <v>0</v>
      </c>
      <c r="AM326" s="114">
        <v>0</v>
      </c>
      <c r="AN326" s="114">
        <v>117646</v>
      </c>
      <c r="AO326" s="114">
        <v>9521.6202</v>
      </c>
      <c r="AP326" s="114"/>
      <c r="AQ326" s="114">
        <v>-1</v>
      </c>
      <c r="AR326" s="114"/>
      <c r="AS326" s="114"/>
      <c r="AT326" s="114">
        <v>5</v>
      </c>
      <c r="AU326" s="114">
        <v>9959</v>
      </c>
      <c r="AV326" s="114">
        <v>0</v>
      </c>
      <c r="AW326" s="114">
        <v>0</v>
      </c>
      <c r="AX326" s="114">
        <v>0</v>
      </c>
      <c r="AY326" s="114">
        <v>0</v>
      </c>
      <c r="AZ326" s="114">
        <v>19</v>
      </c>
      <c r="BA326" s="114">
        <v>1167</v>
      </c>
      <c r="BB326" s="116"/>
      <c r="BC326" s="116"/>
      <c r="BD326" s="116"/>
      <c r="BE326" s="116"/>
      <c r="BF326" s="116"/>
      <c r="BG326" s="116"/>
      <c r="BH326" s="116"/>
      <c r="BI326" s="116"/>
      <c r="BJ326" s="117">
        <v>339777</v>
      </c>
      <c r="BK326" s="117">
        <v>17604</v>
      </c>
      <c r="BL326" s="119"/>
      <c r="BM326" s="118">
        <v>0</v>
      </c>
      <c r="BN326" s="131"/>
      <c r="BO326" s="119"/>
      <c r="BP326" s="119"/>
      <c r="BQ326" s="119"/>
      <c r="BR326" s="119"/>
      <c r="BS326" s="119"/>
      <c r="BT326" s="119"/>
      <c r="BU326" s="119"/>
      <c r="BV326" s="119"/>
      <c r="BW326" s="119"/>
      <c r="BX326" s="119"/>
    </row>
    <row r="327" s="96" customFormat="1" ht="15.75" customHeight="1" spans="1:76">
      <c r="A327" s="111">
        <v>326</v>
      </c>
      <c r="B327" s="112" t="s">
        <v>46</v>
      </c>
      <c r="C327" s="112" t="s">
        <v>49</v>
      </c>
      <c r="D327" s="111">
        <v>2024</v>
      </c>
      <c r="E327" s="113" t="s">
        <v>33</v>
      </c>
      <c r="F327" s="114">
        <v>14830818</v>
      </c>
      <c r="G327" s="114">
        <v>14830818</v>
      </c>
      <c r="H327" s="114">
        <v>437022.2126</v>
      </c>
      <c r="I327" s="114">
        <v>24174</v>
      </c>
      <c r="J327" s="115">
        <v>0.00122685185185185</v>
      </c>
      <c r="K327" s="114">
        <v>38.24</v>
      </c>
      <c r="L327" s="114">
        <v>1039</v>
      </c>
      <c r="M327" s="114">
        <v>112681788</v>
      </c>
      <c r="N327" s="114">
        <v>8.82</v>
      </c>
      <c r="O327" s="114">
        <v>7248934</v>
      </c>
      <c r="P327" s="114">
        <v>3042726</v>
      </c>
      <c r="Q327" s="114">
        <v>4199796</v>
      </c>
      <c r="R327" s="114">
        <v>4199796</v>
      </c>
      <c r="S327" s="114">
        <v>0</v>
      </c>
      <c r="T327" s="114">
        <v>26739</v>
      </c>
      <c r="U327" s="114">
        <v>2565</v>
      </c>
      <c r="V327" s="114">
        <v>77047</v>
      </c>
      <c r="W327" s="114">
        <v>2359</v>
      </c>
      <c r="X327" s="114">
        <v>24305</v>
      </c>
      <c r="Y327" s="114">
        <v>41359</v>
      </c>
      <c r="Z327" s="114">
        <v>16130586.2</v>
      </c>
      <c r="AA327" s="114">
        <v>0</v>
      </c>
      <c r="AB327" s="114">
        <v>0</v>
      </c>
      <c r="AC327" s="114">
        <v>712776.842</v>
      </c>
      <c r="AD327" s="114">
        <v>15405890.23</v>
      </c>
      <c r="AE327" s="114">
        <v>28010681.41</v>
      </c>
      <c r="AF327" s="114">
        <v>3559428</v>
      </c>
      <c r="AG327" s="114">
        <v>7869.433</v>
      </c>
      <c r="AH327" s="114">
        <v>3387909</v>
      </c>
      <c r="AI327" s="114">
        <v>1087.64</v>
      </c>
      <c r="AJ327" s="114">
        <v>0</v>
      </c>
      <c r="AK327" s="114">
        <v>0</v>
      </c>
      <c r="AL327" s="114">
        <v>0</v>
      </c>
      <c r="AM327" s="114">
        <v>0</v>
      </c>
      <c r="AN327" s="114">
        <v>142383</v>
      </c>
      <c r="AO327" s="114">
        <v>6384.893</v>
      </c>
      <c r="AP327" s="114"/>
      <c r="AQ327" s="114">
        <v>0</v>
      </c>
      <c r="AR327" s="114"/>
      <c r="AS327" s="114"/>
      <c r="AT327" s="114">
        <v>15</v>
      </c>
      <c r="AU327" s="114">
        <v>61084</v>
      </c>
      <c r="AV327" s="114">
        <v>1</v>
      </c>
      <c r="AW327" s="114">
        <v>0.0047</v>
      </c>
      <c r="AX327" s="114">
        <v>0</v>
      </c>
      <c r="AY327" s="114">
        <v>0</v>
      </c>
      <c r="AZ327" s="114">
        <v>19</v>
      </c>
      <c r="BA327" s="114">
        <v>1145</v>
      </c>
      <c r="BB327" s="116"/>
      <c r="BC327" s="116"/>
      <c r="BD327" s="116"/>
      <c r="BE327" s="116"/>
      <c r="BF327" s="116"/>
      <c r="BG327" s="116"/>
      <c r="BH327" s="116"/>
      <c r="BI327" s="116"/>
      <c r="BJ327" s="117">
        <v>363951</v>
      </c>
      <c r="BK327" s="117">
        <v>24174</v>
      </c>
      <c r="BL327" s="119"/>
      <c r="BM327" s="118">
        <v>0</v>
      </c>
      <c r="BN327" s="131"/>
      <c r="BO327" s="119"/>
      <c r="BP327" s="119"/>
      <c r="BQ327" s="119"/>
      <c r="BR327" s="119"/>
      <c r="BS327" s="119"/>
      <c r="BT327" s="119"/>
      <c r="BU327" s="119"/>
      <c r="BV327" s="119"/>
      <c r="BW327" s="119"/>
      <c r="BX327" s="119"/>
    </row>
    <row r="328" s="96" customFormat="1" ht="15.75" customHeight="1" spans="1:76">
      <c r="A328" s="111">
        <v>327</v>
      </c>
      <c r="B328" s="112" t="s">
        <v>46</v>
      </c>
      <c r="C328" s="112" t="s">
        <v>49</v>
      </c>
      <c r="D328" s="111">
        <v>2024</v>
      </c>
      <c r="E328" s="113" t="s">
        <v>34</v>
      </c>
      <c r="F328" s="114">
        <v>8559632</v>
      </c>
      <c r="G328" s="114">
        <v>8559632</v>
      </c>
      <c r="H328" s="114">
        <v>285684.9927</v>
      </c>
      <c r="I328" s="114">
        <v>8637</v>
      </c>
      <c r="J328" s="115">
        <v>0.00138888888888889</v>
      </c>
      <c r="K328" s="114">
        <v>27.74</v>
      </c>
      <c r="L328" s="114">
        <v>629</v>
      </c>
      <c r="M328" s="114">
        <v>59233042</v>
      </c>
      <c r="N328" s="114">
        <v>6.64</v>
      </c>
      <c r="O328" s="114">
        <v>4828280</v>
      </c>
      <c r="P328" s="114">
        <v>2051486</v>
      </c>
      <c r="Q328" s="114">
        <v>2776794</v>
      </c>
      <c r="R328" s="114">
        <v>2776794</v>
      </c>
      <c r="S328" s="114">
        <v>0</v>
      </c>
      <c r="T328" s="114">
        <v>10273</v>
      </c>
      <c r="U328" s="114">
        <v>1636</v>
      </c>
      <c r="V328" s="114">
        <v>23450</v>
      </c>
      <c r="W328" s="114">
        <v>1043</v>
      </c>
      <c r="X328" s="114">
        <v>11524</v>
      </c>
      <c r="Y328" s="114">
        <v>7025</v>
      </c>
      <c r="Z328" s="114">
        <v>7879022.125</v>
      </c>
      <c r="AA328" s="114">
        <v>0</v>
      </c>
      <c r="AB328" s="114">
        <v>0</v>
      </c>
      <c r="AC328" s="114">
        <v>434877.171</v>
      </c>
      <c r="AD328" s="114">
        <v>7431517.261</v>
      </c>
      <c r="AE328" s="114">
        <v>13511831.05</v>
      </c>
      <c r="AF328" s="114">
        <v>1602026</v>
      </c>
      <c r="AG328" s="114">
        <v>8434.215</v>
      </c>
      <c r="AH328" s="114">
        <v>1449703</v>
      </c>
      <c r="AI328" s="114">
        <v>920.486</v>
      </c>
      <c r="AJ328" s="114">
        <v>0</v>
      </c>
      <c r="AK328" s="114">
        <v>0</v>
      </c>
      <c r="AL328" s="114">
        <v>0</v>
      </c>
      <c r="AM328" s="114">
        <v>0</v>
      </c>
      <c r="AN328" s="114">
        <v>67821</v>
      </c>
      <c r="AO328" s="114">
        <v>4395.2579</v>
      </c>
      <c r="AP328" s="114">
        <v>0.2555</v>
      </c>
      <c r="AQ328" s="114">
        <v>0</v>
      </c>
      <c r="AR328" s="114">
        <v>0</v>
      </c>
      <c r="AS328" s="114">
        <v>0</v>
      </c>
      <c r="AT328" s="114">
        <v>2</v>
      </c>
      <c r="AU328" s="114">
        <v>10805</v>
      </c>
      <c r="AV328" s="114">
        <v>0</v>
      </c>
      <c r="AW328" s="114">
        <v>0</v>
      </c>
      <c r="AX328" s="114">
        <v>0</v>
      </c>
      <c r="AY328" s="114">
        <v>0</v>
      </c>
      <c r="AZ328" s="114">
        <v>34</v>
      </c>
      <c r="BA328" s="114">
        <v>1663</v>
      </c>
      <c r="BB328" s="116"/>
      <c r="BC328" s="116"/>
      <c r="BD328" s="116"/>
      <c r="BE328" s="116"/>
      <c r="BF328" s="116"/>
      <c r="BG328" s="116"/>
      <c r="BH328" s="116"/>
      <c r="BI328" s="116"/>
      <c r="BJ328" s="117">
        <v>372588</v>
      </c>
      <c r="BK328" s="117">
        <v>8637</v>
      </c>
      <c r="BL328" s="119"/>
      <c r="BM328" s="118">
        <v>0</v>
      </c>
      <c r="BN328" s="131"/>
      <c r="BO328" s="119"/>
      <c r="BP328" s="119"/>
      <c r="BQ328" s="119"/>
      <c r="BR328" s="119"/>
      <c r="BS328" s="119"/>
      <c r="BT328" s="119"/>
      <c r="BU328" s="119"/>
      <c r="BV328" s="119"/>
      <c r="BW328" s="119"/>
      <c r="BX328" s="119"/>
    </row>
    <row r="329" s="96" customFormat="1" ht="15.75" customHeight="1" spans="1:76">
      <c r="A329" s="111">
        <v>328</v>
      </c>
      <c r="B329" s="112" t="s">
        <v>46</v>
      </c>
      <c r="C329" s="112" t="s">
        <v>49</v>
      </c>
      <c r="D329" s="111">
        <v>2024</v>
      </c>
      <c r="E329" s="113" t="s">
        <v>35</v>
      </c>
      <c r="F329" s="114">
        <v>4133239</v>
      </c>
      <c r="G329" s="114">
        <v>4133239</v>
      </c>
      <c r="H329" s="114">
        <v>155853.7036</v>
      </c>
      <c r="I329" s="114">
        <v>6038</v>
      </c>
      <c r="J329" s="115">
        <v>0.0015625</v>
      </c>
      <c r="K329" s="114">
        <v>29.41</v>
      </c>
      <c r="L329" s="114">
        <v>874</v>
      </c>
      <c r="M329" s="114">
        <v>46579353</v>
      </c>
      <c r="N329" s="114">
        <v>5.95</v>
      </c>
      <c r="O329" s="114">
        <v>2657384</v>
      </c>
      <c r="P329" s="114">
        <v>1082717</v>
      </c>
      <c r="Q329" s="114">
        <v>1574667</v>
      </c>
      <c r="R329" s="114">
        <v>1574667</v>
      </c>
      <c r="S329" s="114">
        <v>0</v>
      </c>
      <c r="T329" s="114">
        <v>7302</v>
      </c>
      <c r="U329" s="114">
        <v>1264</v>
      </c>
      <c r="V329" s="114">
        <v>16384</v>
      </c>
      <c r="W329" s="114">
        <v>829</v>
      </c>
      <c r="X329" s="114">
        <v>7137</v>
      </c>
      <c r="Y329" s="114">
        <v>4316</v>
      </c>
      <c r="Z329" s="114">
        <v>4694510.21</v>
      </c>
      <c r="AA329" s="114">
        <v>0</v>
      </c>
      <c r="AB329" s="114">
        <v>0</v>
      </c>
      <c r="AC329" s="114">
        <v>310015.709</v>
      </c>
      <c r="AD329" s="114">
        <v>4380509.824</v>
      </c>
      <c r="AE329" s="114">
        <v>7964570.277</v>
      </c>
      <c r="AF329" s="114">
        <v>893093</v>
      </c>
      <c r="AG329" s="114">
        <v>8917.963</v>
      </c>
      <c r="AH329" s="114">
        <v>812014</v>
      </c>
      <c r="AI329" s="114">
        <v>1135.795</v>
      </c>
      <c r="AJ329" s="114">
        <v>0</v>
      </c>
      <c r="AK329" s="114">
        <v>0</v>
      </c>
      <c r="AL329" s="114">
        <v>0</v>
      </c>
      <c r="AM329" s="114">
        <v>0</v>
      </c>
      <c r="AN329" s="114">
        <v>41546</v>
      </c>
      <c r="AO329" s="114">
        <v>2564.9642</v>
      </c>
      <c r="AP329" s="114"/>
      <c r="AQ329" s="114">
        <v>0</v>
      </c>
      <c r="AR329" s="114"/>
      <c r="AS329" s="114"/>
      <c r="AT329" s="114">
        <v>1</v>
      </c>
      <c r="AU329" s="114">
        <v>17479</v>
      </c>
      <c r="AV329" s="114">
        <v>0</v>
      </c>
      <c r="AW329" s="114">
        <v>0</v>
      </c>
      <c r="AX329" s="114">
        <v>0</v>
      </c>
      <c r="AY329" s="114">
        <v>0</v>
      </c>
      <c r="AZ329" s="114">
        <v>26</v>
      </c>
      <c r="BA329" s="114">
        <v>1254</v>
      </c>
      <c r="BB329" s="116"/>
      <c r="BC329" s="116"/>
      <c r="BD329" s="116"/>
      <c r="BE329" s="116"/>
      <c r="BF329" s="116"/>
      <c r="BG329" s="116"/>
      <c r="BH329" s="116"/>
      <c r="BI329" s="116"/>
      <c r="BJ329" s="117">
        <v>378626</v>
      </c>
      <c r="BK329" s="117">
        <v>6038</v>
      </c>
      <c r="BL329" s="119"/>
      <c r="BM329" s="118">
        <v>0</v>
      </c>
      <c r="BN329" s="131"/>
      <c r="BO329" s="119"/>
      <c r="BP329" s="119"/>
      <c r="BQ329" s="119"/>
      <c r="BR329" s="119"/>
      <c r="BS329" s="119"/>
      <c r="BT329" s="119"/>
      <c r="BU329" s="119"/>
      <c r="BV329" s="119"/>
      <c r="BW329" s="119"/>
      <c r="BX329" s="119"/>
    </row>
    <row r="330" s="96" customFormat="1" ht="15.75" customHeight="1" spans="1:76">
      <c r="A330" s="111">
        <v>329</v>
      </c>
      <c r="B330" s="112" t="s">
        <v>46</v>
      </c>
      <c r="C330" s="112" t="s">
        <v>49</v>
      </c>
      <c r="D330" s="111">
        <v>2024</v>
      </c>
      <c r="E330" s="113" t="s">
        <v>36</v>
      </c>
      <c r="F330" s="114">
        <v>6709859</v>
      </c>
      <c r="G330" s="114">
        <v>6709859</v>
      </c>
      <c r="H330" s="114">
        <v>282391.1749</v>
      </c>
      <c r="I330" s="114">
        <v>10085</v>
      </c>
      <c r="J330" s="115">
        <v>0.00174768518518519</v>
      </c>
      <c r="K330" s="114">
        <v>23.39</v>
      </c>
      <c r="L330" s="114">
        <v>1125</v>
      </c>
      <c r="M330" s="114">
        <v>64011604</v>
      </c>
      <c r="N330" s="114">
        <v>7.84</v>
      </c>
      <c r="O330" s="114">
        <v>3844641</v>
      </c>
      <c r="P330" s="114">
        <v>1505991</v>
      </c>
      <c r="Q330" s="114">
        <v>2338650</v>
      </c>
      <c r="R330" s="114">
        <v>2338650</v>
      </c>
      <c r="S330" s="114">
        <v>0</v>
      </c>
      <c r="T330" s="114">
        <v>11782</v>
      </c>
      <c r="U330" s="114">
        <v>1697</v>
      </c>
      <c r="V330" s="114">
        <v>31077</v>
      </c>
      <c r="W330" s="114">
        <v>1164</v>
      </c>
      <c r="X330" s="114">
        <v>14096</v>
      </c>
      <c r="Y330" s="114">
        <v>9164</v>
      </c>
      <c r="Z330" s="114">
        <v>5209452.267</v>
      </c>
      <c r="AA330" s="114">
        <v>0</v>
      </c>
      <c r="AB330" s="114">
        <v>0</v>
      </c>
      <c r="AC330" s="114">
        <v>553822.673</v>
      </c>
      <c r="AD330" s="114">
        <v>4650936.589</v>
      </c>
      <c r="AE330" s="114">
        <v>8456252.292</v>
      </c>
      <c r="AF330" s="114">
        <v>943612</v>
      </c>
      <c r="AG330" s="114">
        <v>8961.578</v>
      </c>
      <c r="AH330" s="114">
        <v>888149</v>
      </c>
      <c r="AI330" s="114">
        <v>776.388</v>
      </c>
      <c r="AJ330" s="114">
        <v>0</v>
      </c>
      <c r="AK330" s="114">
        <v>0</v>
      </c>
      <c r="AL330" s="114">
        <v>0</v>
      </c>
      <c r="AM330" s="114">
        <v>0</v>
      </c>
      <c r="AN330" s="114">
        <v>64266</v>
      </c>
      <c r="AO330" s="114">
        <v>4836.356</v>
      </c>
      <c r="AP330" s="114"/>
      <c r="AQ330" s="114">
        <v>0</v>
      </c>
      <c r="AR330" s="114"/>
      <c r="AS330" s="114"/>
      <c r="AT330" s="114">
        <v>18</v>
      </c>
      <c r="AU330" s="114">
        <v>320704</v>
      </c>
      <c r="AV330" s="114">
        <v>0</v>
      </c>
      <c r="AW330" s="114">
        <v>0</v>
      </c>
      <c r="AX330" s="114">
        <v>0</v>
      </c>
      <c r="AY330" s="114">
        <v>0</v>
      </c>
      <c r="AZ330" s="114">
        <v>15</v>
      </c>
      <c r="BA330" s="114">
        <v>953</v>
      </c>
      <c r="BB330" s="116"/>
      <c r="BC330" s="116"/>
      <c r="BD330" s="116"/>
      <c r="BE330" s="116"/>
      <c r="BF330" s="116"/>
      <c r="BG330" s="116"/>
      <c r="BH330" s="116"/>
      <c r="BI330" s="116"/>
      <c r="BJ330" s="117">
        <v>388711</v>
      </c>
      <c r="BK330" s="117">
        <v>10085</v>
      </c>
      <c r="BL330" s="119"/>
      <c r="BM330" s="118">
        <v>0</v>
      </c>
      <c r="BN330" s="131"/>
      <c r="BO330" s="119"/>
      <c r="BP330" s="119"/>
      <c r="BQ330" s="119"/>
      <c r="BR330" s="119"/>
      <c r="BS330" s="119"/>
      <c r="BT330" s="119"/>
      <c r="BU330" s="119"/>
      <c r="BV330" s="119"/>
      <c r="BW330" s="119"/>
      <c r="BX330" s="119"/>
    </row>
    <row r="331" s="96" customFormat="1" ht="15.75" customHeight="1" spans="1:76">
      <c r="A331" s="111">
        <v>330</v>
      </c>
      <c r="B331" s="112" t="s">
        <v>46</v>
      </c>
      <c r="C331" s="112" t="s">
        <v>49</v>
      </c>
      <c r="D331" s="111">
        <v>2024</v>
      </c>
      <c r="E331" s="113" t="s">
        <v>37</v>
      </c>
      <c r="F331" s="114">
        <v>4781195</v>
      </c>
      <c r="G331" s="114">
        <v>4781195</v>
      </c>
      <c r="H331" s="114">
        <v>140197.62</v>
      </c>
      <c r="I331" s="114">
        <v>6787</v>
      </c>
      <c r="J331" s="115">
        <v>0.00121527777777778</v>
      </c>
      <c r="K331" s="114">
        <v>34.48</v>
      </c>
      <c r="L331" s="114">
        <v>932</v>
      </c>
      <c r="M331" s="114">
        <v>48358410</v>
      </c>
      <c r="N331" s="114">
        <v>7.11</v>
      </c>
      <c r="O331" s="114">
        <v>2917058</v>
      </c>
      <c r="P331" s="114">
        <v>1249159</v>
      </c>
      <c r="Q331" s="114">
        <v>1667899</v>
      </c>
      <c r="R331" s="114">
        <v>1667899</v>
      </c>
      <c r="S331" s="114">
        <v>0</v>
      </c>
      <c r="T331" s="114">
        <v>8322</v>
      </c>
      <c r="U331" s="114">
        <v>1535</v>
      </c>
      <c r="V331" s="114">
        <v>20198</v>
      </c>
      <c r="W331" s="114">
        <v>937</v>
      </c>
      <c r="X331" s="114">
        <v>9677</v>
      </c>
      <c r="Y331" s="114">
        <v>6229</v>
      </c>
      <c r="Z331" s="114">
        <v>6105712.279</v>
      </c>
      <c r="AA331" s="114">
        <v>0</v>
      </c>
      <c r="AB331" s="114">
        <v>0</v>
      </c>
      <c r="AC331" s="114">
        <v>261598.624</v>
      </c>
      <c r="AD331" s="114">
        <v>5830531.291</v>
      </c>
      <c r="AE331" s="114">
        <v>10600968.04</v>
      </c>
      <c r="AF331" s="114">
        <v>1019541</v>
      </c>
      <c r="AG331" s="114">
        <v>10397.785</v>
      </c>
      <c r="AH331" s="114">
        <v>949159</v>
      </c>
      <c r="AI331" s="114">
        <v>1277.027</v>
      </c>
      <c r="AJ331" s="114">
        <v>0</v>
      </c>
      <c r="AK331" s="114">
        <v>0</v>
      </c>
      <c r="AL331" s="114">
        <v>0</v>
      </c>
      <c r="AM331" s="114">
        <v>0</v>
      </c>
      <c r="AN331" s="114">
        <v>44885</v>
      </c>
      <c r="AO331" s="114">
        <v>2303.5254</v>
      </c>
      <c r="AP331" s="114"/>
      <c r="AQ331" s="114">
        <v>0</v>
      </c>
      <c r="AR331" s="114"/>
      <c r="AS331" s="114"/>
      <c r="AT331" s="114">
        <v>7</v>
      </c>
      <c r="AU331" s="114">
        <v>827737</v>
      </c>
      <c r="AV331" s="114">
        <v>1</v>
      </c>
      <c r="AW331" s="114">
        <v>0.0217</v>
      </c>
      <c r="AX331" s="114">
        <v>0</v>
      </c>
      <c r="AY331" s="114">
        <v>0</v>
      </c>
      <c r="AZ331" s="114">
        <v>28</v>
      </c>
      <c r="BA331" s="114">
        <v>980</v>
      </c>
      <c r="BB331" s="116"/>
      <c r="BC331" s="116"/>
      <c r="BD331" s="116"/>
      <c r="BE331" s="116"/>
      <c r="BF331" s="116"/>
      <c r="BG331" s="116"/>
      <c r="BH331" s="116"/>
      <c r="BI331" s="116"/>
      <c r="BJ331" s="117">
        <v>395498</v>
      </c>
      <c r="BK331" s="117">
        <v>6787</v>
      </c>
      <c r="BL331" s="119"/>
      <c r="BM331" s="118">
        <v>0</v>
      </c>
      <c r="BN331" s="131"/>
      <c r="BO331" s="119"/>
      <c r="BP331" s="119"/>
      <c r="BQ331" s="119"/>
      <c r="BR331" s="119"/>
      <c r="BS331" s="119"/>
      <c r="BT331" s="119"/>
      <c r="BU331" s="119"/>
      <c r="BV331" s="119"/>
      <c r="BW331" s="119"/>
      <c r="BX331" s="119"/>
    </row>
    <row r="332" s="96" customFormat="1" ht="15.75" customHeight="1" spans="1:76">
      <c r="A332" s="111">
        <v>331</v>
      </c>
      <c r="B332" s="112" t="s">
        <v>46</v>
      </c>
      <c r="C332" s="112" t="s">
        <v>49</v>
      </c>
      <c r="D332" s="111">
        <v>2024</v>
      </c>
      <c r="E332" s="113" t="s">
        <v>38</v>
      </c>
      <c r="F332" s="114">
        <v>4740376</v>
      </c>
      <c r="G332" s="114">
        <v>4740376</v>
      </c>
      <c r="H332" s="114">
        <v>184092.7015</v>
      </c>
      <c r="I332" s="114">
        <v>7679</v>
      </c>
      <c r="J332" s="115">
        <v>0.0016087962962963</v>
      </c>
      <c r="K332" s="114">
        <v>32.83</v>
      </c>
      <c r="L332" s="114">
        <v>1106</v>
      </c>
      <c r="M332" s="114">
        <v>51487348</v>
      </c>
      <c r="N332" s="114">
        <v>6.83</v>
      </c>
      <c r="O332" s="114">
        <v>2719437</v>
      </c>
      <c r="P332" s="114">
        <v>1081444</v>
      </c>
      <c r="Q332" s="114">
        <v>1637993</v>
      </c>
      <c r="R332" s="114">
        <v>1637993</v>
      </c>
      <c r="S332" s="114">
        <v>0</v>
      </c>
      <c r="T332" s="114">
        <v>9377</v>
      </c>
      <c r="U332" s="114">
        <v>1698</v>
      </c>
      <c r="V332" s="114">
        <v>25324</v>
      </c>
      <c r="W332" s="114">
        <v>917</v>
      </c>
      <c r="X332" s="114">
        <v>10489</v>
      </c>
      <c r="Y332" s="114">
        <v>9185</v>
      </c>
      <c r="Z332" s="114">
        <v>6032999.709</v>
      </c>
      <c r="AA332" s="114">
        <v>0</v>
      </c>
      <c r="AB332" s="114">
        <v>0</v>
      </c>
      <c r="AC332" s="114">
        <v>410079.665</v>
      </c>
      <c r="AD332" s="114">
        <v>5621101.835</v>
      </c>
      <c r="AE332" s="114">
        <v>10220191.55</v>
      </c>
      <c r="AF332" s="114">
        <v>1119342</v>
      </c>
      <c r="AG332" s="114">
        <v>9130.535</v>
      </c>
      <c r="AH332" s="114">
        <v>1046195</v>
      </c>
      <c r="AI332" s="114">
        <v>1272.684</v>
      </c>
      <c r="AJ332" s="114">
        <v>0</v>
      </c>
      <c r="AK332" s="114">
        <v>0</v>
      </c>
      <c r="AL332" s="114">
        <v>0</v>
      </c>
      <c r="AM332" s="114">
        <v>0</v>
      </c>
      <c r="AN332" s="114">
        <v>53249</v>
      </c>
      <c r="AO332" s="114">
        <v>3639.3144</v>
      </c>
      <c r="AP332" s="114"/>
      <c r="AQ332" s="114">
        <v>0</v>
      </c>
      <c r="AR332" s="114"/>
      <c r="AS332" s="114"/>
      <c r="AT332" s="114">
        <v>12</v>
      </c>
      <c r="AU332" s="114">
        <v>210499</v>
      </c>
      <c r="AV332" s="114">
        <v>0</v>
      </c>
      <c r="AW332" s="114">
        <v>0</v>
      </c>
      <c r="AX332" s="114">
        <v>0</v>
      </c>
      <c r="AY332" s="114">
        <v>1</v>
      </c>
      <c r="AZ332" s="114">
        <v>18</v>
      </c>
      <c r="BA332" s="114">
        <v>947</v>
      </c>
      <c r="BB332" s="116"/>
      <c r="BC332" s="116"/>
      <c r="BD332" s="116"/>
      <c r="BE332" s="116"/>
      <c r="BF332" s="116"/>
      <c r="BG332" s="116"/>
      <c r="BH332" s="116"/>
      <c r="BI332" s="116"/>
      <c r="BJ332" s="117">
        <v>403177</v>
      </c>
      <c r="BK332" s="117">
        <v>7679</v>
      </c>
      <c r="BL332" s="119"/>
      <c r="BM332" s="118">
        <v>0</v>
      </c>
      <c r="BN332" s="131"/>
      <c r="BO332" s="119"/>
      <c r="BP332" s="119"/>
      <c r="BQ332" s="119"/>
      <c r="BR332" s="119"/>
      <c r="BS332" s="119"/>
      <c r="BT332" s="119"/>
      <c r="BU332" s="119"/>
      <c r="BV332" s="119"/>
      <c r="BW332" s="119"/>
      <c r="BX332" s="119"/>
    </row>
    <row r="333" s="96" customFormat="1" ht="15.75" customHeight="1" spans="1:76">
      <c r="A333" s="111">
        <v>332</v>
      </c>
      <c r="B333" s="112" t="s">
        <v>46</v>
      </c>
      <c r="C333" s="112" t="s">
        <v>49</v>
      </c>
      <c r="D333" s="111">
        <v>2024</v>
      </c>
      <c r="E333" s="113" t="s">
        <v>39</v>
      </c>
      <c r="F333" s="114">
        <v>5819902</v>
      </c>
      <c r="G333" s="114">
        <v>5819902</v>
      </c>
      <c r="H333" s="114">
        <v>234385.8099</v>
      </c>
      <c r="I333" s="114">
        <v>10245</v>
      </c>
      <c r="J333" s="115">
        <v>0.00166666666666667</v>
      </c>
      <c r="K333" s="114">
        <v>26.15</v>
      </c>
      <c r="L333" s="114">
        <v>993</v>
      </c>
      <c r="M333" s="114">
        <v>62510986</v>
      </c>
      <c r="N333" s="114">
        <v>7.21</v>
      </c>
      <c r="O333" s="114">
        <v>3366164</v>
      </c>
      <c r="P333" s="114">
        <v>1327649</v>
      </c>
      <c r="Q333" s="114">
        <v>2038515</v>
      </c>
      <c r="R333" s="114">
        <v>2038515</v>
      </c>
      <c r="S333" s="114">
        <v>0</v>
      </c>
      <c r="T333" s="114">
        <v>12005</v>
      </c>
      <c r="U333" s="114">
        <v>1760</v>
      </c>
      <c r="V333" s="114">
        <v>29603</v>
      </c>
      <c r="W333" s="114">
        <v>1201</v>
      </c>
      <c r="X333" s="114">
        <v>11574</v>
      </c>
      <c r="Y333" s="114">
        <v>12544</v>
      </c>
      <c r="Z333" s="114">
        <v>8283434.643</v>
      </c>
      <c r="AA333" s="114">
        <v>0</v>
      </c>
      <c r="AB333" s="114">
        <v>0</v>
      </c>
      <c r="AC333" s="114">
        <v>461849.027</v>
      </c>
      <c r="AD333" s="114">
        <v>7817566.317</v>
      </c>
      <c r="AE333" s="114">
        <v>14213765.16</v>
      </c>
      <c r="AF333" s="114">
        <v>1582614</v>
      </c>
      <c r="AG333" s="114">
        <v>8981.195</v>
      </c>
      <c r="AH333" s="114">
        <v>1438105</v>
      </c>
      <c r="AI333" s="114">
        <v>1423.295</v>
      </c>
      <c r="AJ333" s="114">
        <v>0</v>
      </c>
      <c r="AK333" s="114">
        <v>0</v>
      </c>
      <c r="AL333" s="114">
        <v>0</v>
      </c>
      <c r="AM333" s="114">
        <v>0</v>
      </c>
      <c r="AN333" s="114">
        <v>65959</v>
      </c>
      <c r="AO333" s="114">
        <v>4099.6148</v>
      </c>
      <c r="AP333" s="114"/>
      <c r="AQ333" s="114">
        <v>0</v>
      </c>
      <c r="AR333" s="114"/>
      <c r="AS333" s="114"/>
      <c r="AT333" s="114">
        <v>15</v>
      </c>
      <c r="AU333" s="114">
        <v>267236</v>
      </c>
      <c r="AV333" s="114">
        <v>8</v>
      </c>
      <c r="AW333" s="114">
        <v>0.0954</v>
      </c>
      <c r="AX333" s="114">
        <v>0</v>
      </c>
      <c r="AY333" s="114">
        <v>2</v>
      </c>
      <c r="AZ333" s="114">
        <v>33</v>
      </c>
      <c r="BA333" s="114">
        <v>1048</v>
      </c>
      <c r="BB333" s="116"/>
      <c r="BC333" s="116"/>
      <c r="BD333" s="116"/>
      <c r="BE333" s="116"/>
      <c r="BF333" s="116"/>
      <c r="BG333" s="116"/>
      <c r="BH333" s="116"/>
      <c r="BI333" s="116"/>
      <c r="BJ333" s="117">
        <v>413422</v>
      </c>
      <c r="BK333" s="117">
        <v>10245</v>
      </c>
      <c r="BL333" s="119"/>
      <c r="BM333" s="118">
        <v>0</v>
      </c>
      <c r="BN333" s="131"/>
      <c r="BO333" s="119"/>
      <c r="BP333" s="119"/>
      <c r="BQ333" s="119"/>
      <c r="BR333" s="119"/>
      <c r="BS333" s="119"/>
      <c r="BT333" s="119"/>
      <c r="BU333" s="119"/>
      <c r="BV333" s="119"/>
      <c r="BW333" s="119"/>
      <c r="BX333" s="119"/>
    </row>
    <row r="334" s="96" customFormat="1" ht="15.75" customHeight="1" spans="1:76">
      <c r="A334" s="111">
        <v>333</v>
      </c>
      <c r="B334" s="112" t="s">
        <v>46</v>
      </c>
      <c r="C334" s="112" t="s">
        <v>49</v>
      </c>
      <c r="D334" s="111">
        <v>2024</v>
      </c>
      <c r="E334" s="113" t="s">
        <v>40</v>
      </c>
      <c r="F334" s="114">
        <v>5741926</v>
      </c>
      <c r="G334" s="114">
        <v>5741926</v>
      </c>
      <c r="H334" s="114">
        <v>161041.1416</v>
      </c>
      <c r="I334" s="114">
        <v>10448</v>
      </c>
      <c r="J334" s="115">
        <v>0.00115740740740741</v>
      </c>
      <c r="K334" s="114">
        <v>36.68</v>
      </c>
      <c r="L334" s="114">
        <v>964</v>
      </c>
      <c r="M334" s="114">
        <v>58657716</v>
      </c>
      <c r="N334" s="114">
        <v>7.84</v>
      </c>
      <c r="O334" s="114">
        <v>3390089</v>
      </c>
      <c r="P334" s="114">
        <v>1305106</v>
      </c>
      <c r="Q334" s="114">
        <v>2084983</v>
      </c>
      <c r="R334" s="114">
        <v>2084983</v>
      </c>
      <c r="S334" s="114">
        <v>0</v>
      </c>
      <c r="T334" s="114">
        <v>12184</v>
      </c>
      <c r="U334" s="114">
        <v>1736</v>
      </c>
      <c r="V334" s="114">
        <v>29623</v>
      </c>
      <c r="W334" s="114">
        <v>1209</v>
      </c>
      <c r="X334" s="114">
        <v>11874</v>
      </c>
      <c r="Y334" s="114">
        <v>10824</v>
      </c>
      <c r="Z334" s="114">
        <v>6530733.239</v>
      </c>
      <c r="AA334" s="114">
        <v>0</v>
      </c>
      <c r="AB334" s="114">
        <v>0</v>
      </c>
      <c r="AC334" s="114">
        <v>294447.391</v>
      </c>
      <c r="AD334" s="114">
        <v>6233472.301</v>
      </c>
      <c r="AE334" s="114">
        <v>11333583.83</v>
      </c>
      <c r="AF334" s="114">
        <v>1298650</v>
      </c>
      <c r="AG334" s="114">
        <v>8727.204</v>
      </c>
      <c r="AH334" s="114">
        <v>1207555</v>
      </c>
      <c r="AI334" s="114">
        <v>1137.377</v>
      </c>
      <c r="AJ334" s="114">
        <v>26</v>
      </c>
      <c r="AK334" s="114">
        <v>355</v>
      </c>
      <c r="AL334" s="114">
        <v>0</v>
      </c>
      <c r="AM334" s="114">
        <v>0</v>
      </c>
      <c r="AN334" s="114">
        <v>62522</v>
      </c>
      <c r="AO334" s="114">
        <v>2449.6264</v>
      </c>
      <c r="AP334" s="114"/>
      <c r="AQ334" s="114">
        <v>0</v>
      </c>
      <c r="AR334" s="114"/>
      <c r="AS334" s="114"/>
      <c r="AT334" s="114">
        <v>9</v>
      </c>
      <c r="AU334" s="114">
        <v>149760</v>
      </c>
      <c r="AV334" s="114">
        <v>0</v>
      </c>
      <c r="AW334" s="114">
        <v>0</v>
      </c>
      <c r="AX334" s="114">
        <v>0</v>
      </c>
      <c r="AY334" s="114">
        <v>7</v>
      </c>
      <c r="AZ334" s="114">
        <v>27</v>
      </c>
      <c r="BA334" s="114">
        <v>1156</v>
      </c>
      <c r="BB334" s="116"/>
      <c r="BC334" s="116"/>
      <c r="BD334" s="116"/>
      <c r="BE334" s="116"/>
      <c r="BF334" s="116"/>
      <c r="BG334" s="116"/>
      <c r="BH334" s="116"/>
      <c r="BI334" s="116"/>
      <c r="BJ334" s="117">
        <v>423870</v>
      </c>
      <c r="BK334" s="117">
        <v>10448</v>
      </c>
      <c r="BL334" s="119"/>
      <c r="BM334" s="118">
        <v>0</v>
      </c>
      <c r="BN334" s="131"/>
      <c r="BO334" s="119"/>
      <c r="BP334" s="119"/>
      <c r="BQ334" s="119"/>
      <c r="BR334" s="119"/>
      <c r="BS334" s="119"/>
      <c r="BT334" s="119"/>
      <c r="BU334" s="119"/>
      <c r="BV334" s="119"/>
      <c r="BW334" s="119"/>
      <c r="BX334" s="119"/>
    </row>
    <row r="335" s="96" customFormat="1" ht="15.75" customHeight="1" spans="1:76">
      <c r="A335" s="111">
        <v>334</v>
      </c>
      <c r="B335" s="112" t="s">
        <v>46</v>
      </c>
      <c r="C335" s="112" t="s">
        <v>49</v>
      </c>
      <c r="D335" s="111">
        <v>2024</v>
      </c>
      <c r="E335" s="113" t="s">
        <v>41</v>
      </c>
      <c r="F335" s="114">
        <v>6000529</v>
      </c>
      <c r="G335" s="114">
        <v>6000529</v>
      </c>
      <c r="H335" s="114">
        <v>182675.9801</v>
      </c>
      <c r="I335" s="114">
        <v>11363</v>
      </c>
      <c r="J335" s="115">
        <v>0.00126157407407407</v>
      </c>
      <c r="K335" s="114">
        <v>31.53</v>
      </c>
      <c r="L335" s="114">
        <v>1178</v>
      </c>
      <c r="M335" s="114">
        <v>66293192</v>
      </c>
      <c r="N335" s="114">
        <v>7.42</v>
      </c>
      <c r="O335" s="114">
        <v>3557372</v>
      </c>
      <c r="P335" s="114">
        <v>1404436</v>
      </c>
      <c r="Q335" s="114">
        <v>2152936</v>
      </c>
      <c r="R335" s="114">
        <v>2152936</v>
      </c>
      <c r="S335" s="114">
        <v>0</v>
      </c>
      <c r="T335" s="114">
        <v>13239</v>
      </c>
      <c r="U335" s="114">
        <v>1876</v>
      </c>
      <c r="V335" s="114">
        <v>35229</v>
      </c>
      <c r="W335" s="114">
        <v>1355</v>
      </c>
      <c r="X335" s="114">
        <v>13059</v>
      </c>
      <c r="Y335" s="114">
        <v>12060</v>
      </c>
      <c r="Z335" s="114">
        <v>6919147.051</v>
      </c>
      <c r="AA335" s="114">
        <v>13800.297</v>
      </c>
      <c r="AB335" s="114">
        <v>1</v>
      </c>
      <c r="AC335" s="114">
        <v>361117.668</v>
      </c>
      <c r="AD335" s="114">
        <v>6533566.071</v>
      </c>
      <c r="AE335" s="114">
        <v>11879212.4</v>
      </c>
      <c r="AF335" s="114">
        <v>1395144</v>
      </c>
      <c r="AG335" s="114">
        <v>8514.686</v>
      </c>
      <c r="AH335" s="114">
        <v>1339236</v>
      </c>
      <c r="AI335" s="114">
        <v>1153.089</v>
      </c>
      <c r="AJ335" s="114">
        <v>0</v>
      </c>
      <c r="AK335" s="114">
        <v>66</v>
      </c>
      <c r="AL335" s="114">
        <v>0</v>
      </c>
      <c r="AM335" s="114">
        <v>0</v>
      </c>
      <c r="AN335" s="114">
        <v>67958</v>
      </c>
      <c r="AO335" s="114">
        <v>2734.265</v>
      </c>
      <c r="AP335" s="114"/>
      <c r="AQ335" s="114">
        <v>0</v>
      </c>
      <c r="AR335" s="114"/>
      <c r="AS335" s="114"/>
      <c r="AT335" s="114">
        <v>19</v>
      </c>
      <c r="AU335" s="114">
        <v>42614</v>
      </c>
      <c r="AV335" s="114">
        <v>1</v>
      </c>
      <c r="AW335" s="114">
        <v>0.0375</v>
      </c>
      <c r="AX335" s="114">
        <v>0</v>
      </c>
      <c r="AY335" s="114">
        <v>3</v>
      </c>
      <c r="AZ335" s="114">
        <v>21</v>
      </c>
      <c r="BA335" s="114">
        <v>1180</v>
      </c>
      <c r="BB335" s="116"/>
      <c r="BC335" s="116"/>
      <c r="BD335" s="116"/>
      <c r="BE335" s="116"/>
      <c r="BF335" s="116"/>
      <c r="BG335" s="116"/>
      <c r="BH335" s="116"/>
      <c r="BI335" s="116"/>
      <c r="BJ335" s="117">
        <v>435233</v>
      </c>
      <c r="BK335" s="117">
        <v>11363</v>
      </c>
      <c r="BL335" s="119"/>
      <c r="BM335" s="118">
        <v>0</v>
      </c>
      <c r="BN335" s="131"/>
      <c r="BO335" s="119"/>
      <c r="BP335" s="119"/>
      <c r="BQ335" s="119"/>
      <c r="BR335" s="119"/>
      <c r="BS335" s="119"/>
      <c r="BT335" s="119"/>
      <c r="BU335" s="119"/>
      <c r="BV335" s="119"/>
      <c r="BW335" s="119"/>
      <c r="BX335" s="119"/>
    </row>
    <row r="336" s="96" customFormat="1" ht="15.75" customHeight="1" spans="1:76">
      <c r="A336" s="111">
        <v>335</v>
      </c>
      <c r="B336" s="112" t="s">
        <v>46</v>
      </c>
      <c r="C336" s="112" t="s">
        <v>49</v>
      </c>
      <c r="D336" s="111">
        <v>2024</v>
      </c>
      <c r="E336" s="113" t="s">
        <v>42</v>
      </c>
      <c r="F336" s="114">
        <v>7405795</v>
      </c>
      <c r="G336" s="114">
        <v>7405795</v>
      </c>
      <c r="H336" s="114">
        <v>254228.686</v>
      </c>
      <c r="I336" s="114">
        <v>16753</v>
      </c>
      <c r="J336" s="115">
        <v>0.00142361111111111</v>
      </c>
      <c r="K336" s="114">
        <v>33.08</v>
      </c>
      <c r="L336" s="114">
        <v>1018</v>
      </c>
      <c r="M336" s="114">
        <v>69652013</v>
      </c>
      <c r="N336" s="114">
        <v>7.65</v>
      </c>
      <c r="O336" s="114">
        <v>4292425</v>
      </c>
      <c r="P336" s="114">
        <v>1796256</v>
      </c>
      <c r="Q336" s="114">
        <v>2496169</v>
      </c>
      <c r="R336" s="114">
        <v>2496169</v>
      </c>
      <c r="S336" s="114">
        <v>0</v>
      </c>
      <c r="T336" s="114">
        <v>18775</v>
      </c>
      <c r="U336" s="114">
        <v>2022</v>
      </c>
      <c r="V336" s="114">
        <v>46365</v>
      </c>
      <c r="W336" s="114">
        <v>3295</v>
      </c>
      <c r="X336" s="114">
        <v>13577</v>
      </c>
      <c r="Y336" s="114">
        <v>11530</v>
      </c>
      <c r="Z336" s="114">
        <v>8139291.597</v>
      </c>
      <c r="AA336" s="114">
        <v>0</v>
      </c>
      <c r="AB336" s="114">
        <v>0</v>
      </c>
      <c r="AC336" s="114">
        <v>547916.428</v>
      </c>
      <c r="AD336" s="114">
        <v>7395952.416</v>
      </c>
      <c r="AE336" s="114">
        <v>13447362.56</v>
      </c>
      <c r="AF336" s="114">
        <v>1565332</v>
      </c>
      <c r="AG336" s="114">
        <v>8590.741</v>
      </c>
      <c r="AH336" s="114">
        <v>1446944</v>
      </c>
      <c r="AI336" s="114">
        <v>1099.044</v>
      </c>
      <c r="AJ336" s="114">
        <v>116</v>
      </c>
      <c r="AK336" s="114">
        <v>91829</v>
      </c>
      <c r="AL336" s="114">
        <v>0</v>
      </c>
      <c r="AM336" s="114">
        <v>0</v>
      </c>
      <c r="AN336" s="114">
        <v>71329</v>
      </c>
      <c r="AO336" s="114">
        <v>3660.9522</v>
      </c>
      <c r="AP336" s="114">
        <v>1.5363</v>
      </c>
      <c r="AQ336" s="114">
        <v>6</v>
      </c>
      <c r="AR336" s="114">
        <v>0</v>
      </c>
      <c r="AS336" s="114">
        <v>0</v>
      </c>
      <c r="AT336" s="114">
        <v>13</v>
      </c>
      <c r="AU336" s="114">
        <v>38149</v>
      </c>
      <c r="AV336" s="114">
        <v>0</v>
      </c>
      <c r="AW336" s="114">
        <v>0</v>
      </c>
      <c r="AX336" s="114">
        <v>0</v>
      </c>
      <c r="AY336" s="114">
        <v>7</v>
      </c>
      <c r="AZ336" s="114">
        <v>12</v>
      </c>
      <c r="BA336" s="114">
        <v>1136</v>
      </c>
      <c r="BB336" s="116"/>
      <c r="BC336" s="116"/>
      <c r="BD336" s="116"/>
      <c r="BE336" s="116"/>
      <c r="BF336" s="116"/>
      <c r="BG336" s="116"/>
      <c r="BH336" s="116"/>
      <c r="BI336" s="116"/>
      <c r="BJ336" s="117">
        <v>451986</v>
      </c>
      <c r="BK336" s="117">
        <v>16753</v>
      </c>
      <c r="BL336" s="119"/>
      <c r="BM336" s="118">
        <v>0</v>
      </c>
      <c r="BN336" s="131"/>
      <c r="BO336" s="119"/>
      <c r="BP336" s="119"/>
      <c r="BQ336" s="119"/>
      <c r="BR336" s="119"/>
      <c r="BS336" s="119"/>
      <c r="BT336" s="119"/>
      <c r="BU336" s="119"/>
      <c r="BV336" s="119"/>
      <c r="BW336" s="119"/>
      <c r="BX336" s="119"/>
    </row>
    <row r="337" s="96" customFormat="1" ht="15.75" customHeight="1" spans="1:76">
      <c r="A337" s="111">
        <v>336</v>
      </c>
      <c r="B337" s="112" t="s">
        <v>46</v>
      </c>
      <c r="C337" s="112" t="s">
        <v>49</v>
      </c>
      <c r="D337" s="111">
        <v>2024</v>
      </c>
      <c r="E337" s="113" t="s">
        <v>43</v>
      </c>
      <c r="F337" s="114">
        <v>6683189</v>
      </c>
      <c r="G337" s="114">
        <v>6683189</v>
      </c>
      <c r="H337" s="114">
        <v>190385.6134</v>
      </c>
      <c r="I337" s="114">
        <v>15414</v>
      </c>
      <c r="J337" s="115">
        <v>0.00118055555555556</v>
      </c>
      <c r="K337" s="114">
        <v>37.24</v>
      </c>
      <c r="L337" s="114">
        <v>1362</v>
      </c>
      <c r="M337" s="114">
        <v>70358941</v>
      </c>
      <c r="N337" s="114">
        <v>7.63</v>
      </c>
      <c r="O337" s="114">
        <v>3984000</v>
      </c>
      <c r="P337" s="114">
        <v>1810305</v>
      </c>
      <c r="Q337" s="114">
        <v>2173695</v>
      </c>
      <c r="R337" s="114">
        <v>2173695</v>
      </c>
      <c r="S337" s="114">
        <v>0</v>
      </c>
      <c r="T337" s="114">
        <v>17759</v>
      </c>
      <c r="U337" s="114">
        <v>2345</v>
      </c>
      <c r="V337" s="114">
        <v>32532</v>
      </c>
      <c r="W337" s="114">
        <v>1691</v>
      </c>
      <c r="X337" s="114">
        <v>12585</v>
      </c>
      <c r="Y337" s="114">
        <v>10011</v>
      </c>
      <c r="Z337" s="114">
        <v>12530942.14</v>
      </c>
      <c r="AA337" s="114">
        <v>0</v>
      </c>
      <c r="AB337" s="114">
        <v>3</v>
      </c>
      <c r="AC337" s="114">
        <v>270229.331</v>
      </c>
      <c r="AD337" s="114">
        <v>12205756.08</v>
      </c>
      <c r="AE337" s="114">
        <v>22192284.73</v>
      </c>
      <c r="AF337" s="114">
        <v>2537621</v>
      </c>
      <c r="AG337" s="114">
        <v>8745.311</v>
      </c>
      <c r="AH337" s="114">
        <v>2333155</v>
      </c>
      <c r="AI337" s="114">
        <v>1874.995</v>
      </c>
      <c r="AJ337" s="114">
        <v>239</v>
      </c>
      <c r="AK337" s="114">
        <v>54974</v>
      </c>
      <c r="AL337" s="114">
        <v>356639.247</v>
      </c>
      <c r="AM337" s="114">
        <v>3</v>
      </c>
      <c r="AN337" s="114">
        <v>60423</v>
      </c>
      <c r="AO337" s="114">
        <v>1980.4481</v>
      </c>
      <c r="AP337" s="114"/>
      <c r="AQ337" s="114">
        <v>0</v>
      </c>
      <c r="AR337" s="114"/>
      <c r="AS337" s="114"/>
      <c r="AT337" s="114">
        <v>15</v>
      </c>
      <c r="AU337" s="114">
        <v>22665</v>
      </c>
      <c r="AV337" s="114">
        <v>0</v>
      </c>
      <c r="AW337" s="114">
        <v>0</v>
      </c>
      <c r="AX337" s="114">
        <v>0</v>
      </c>
      <c r="AY337" s="114">
        <v>15</v>
      </c>
      <c r="AZ337" s="114">
        <v>18</v>
      </c>
      <c r="BA337" s="114">
        <v>1109</v>
      </c>
      <c r="BB337" s="116"/>
      <c r="BC337" s="116"/>
      <c r="BD337" s="116"/>
      <c r="BE337" s="116"/>
      <c r="BF337" s="116"/>
      <c r="BG337" s="116"/>
      <c r="BH337" s="116"/>
      <c r="BI337" s="116"/>
      <c r="BJ337" s="117">
        <v>467400</v>
      </c>
      <c r="BK337" s="117">
        <v>15414</v>
      </c>
      <c r="BL337" s="119"/>
      <c r="BM337" s="118">
        <v>0</v>
      </c>
      <c r="BN337" s="131"/>
      <c r="BO337" s="119"/>
      <c r="BP337" s="119"/>
      <c r="BQ337" s="119"/>
      <c r="BR337" s="119"/>
      <c r="BS337" s="119"/>
      <c r="BT337" s="119"/>
      <c r="BU337" s="119"/>
      <c r="BV337" s="119"/>
      <c r="BW337" s="119"/>
      <c r="BX337" s="119"/>
    </row>
    <row r="338" s="96" customFormat="1" ht="15.75" customHeight="1" spans="1:76">
      <c r="A338" s="111">
        <v>337</v>
      </c>
      <c r="B338" s="112" t="s">
        <v>46</v>
      </c>
      <c r="C338" s="112" t="s">
        <v>49</v>
      </c>
      <c r="D338" s="111">
        <v>2025</v>
      </c>
      <c r="E338" s="113" t="s">
        <v>31</v>
      </c>
      <c r="F338" s="114">
        <v>5389353</v>
      </c>
      <c r="G338" s="114">
        <v>5389353</v>
      </c>
      <c r="H338" s="114">
        <v>182850.7594</v>
      </c>
      <c r="I338" s="114">
        <v>11047</v>
      </c>
      <c r="J338" s="115">
        <v>0.00141203703703704</v>
      </c>
      <c r="K338" s="114">
        <v>32.72</v>
      </c>
      <c r="L338" s="114">
        <v>1344</v>
      </c>
      <c r="M338" s="114">
        <v>58241693</v>
      </c>
      <c r="N338" s="114">
        <v>7.26</v>
      </c>
      <c r="O338" s="114">
        <v>3036849</v>
      </c>
      <c r="P338" s="114">
        <v>1154681</v>
      </c>
      <c r="Q338" s="114">
        <v>1882168</v>
      </c>
      <c r="R338" s="114">
        <v>1882168</v>
      </c>
      <c r="S338" s="114">
        <v>0</v>
      </c>
      <c r="T338" s="114">
        <v>13174</v>
      </c>
      <c r="U338" s="114">
        <v>2127</v>
      </c>
      <c r="V338" s="114">
        <v>28375</v>
      </c>
      <c r="W338" s="114">
        <v>1357</v>
      </c>
      <c r="X338" s="114">
        <v>9794</v>
      </c>
      <c r="Y338" s="114">
        <v>9250</v>
      </c>
      <c r="Z338" s="114">
        <v>5384427.574</v>
      </c>
      <c r="AA338" s="114">
        <v>0</v>
      </c>
      <c r="AB338" s="114">
        <v>1</v>
      </c>
      <c r="AC338" s="114">
        <v>324536.089</v>
      </c>
      <c r="AD338" s="114">
        <v>5042817.818</v>
      </c>
      <c r="AE338" s="114">
        <v>9168762.949</v>
      </c>
      <c r="AF338" s="114">
        <v>1054139</v>
      </c>
      <c r="AG338" s="114">
        <v>8697.869</v>
      </c>
      <c r="AH338" s="114">
        <v>1003389</v>
      </c>
      <c r="AI338" s="114">
        <v>999.086</v>
      </c>
      <c r="AJ338" s="114">
        <v>51</v>
      </c>
      <c r="AK338" s="114">
        <v>34854</v>
      </c>
      <c r="AL338" s="114">
        <v>21820.667</v>
      </c>
      <c r="AM338" s="114">
        <v>1</v>
      </c>
      <c r="AN338" s="114">
        <v>51415</v>
      </c>
      <c r="AO338" s="114">
        <v>2398.1512</v>
      </c>
      <c r="AP338" s="114"/>
      <c r="AQ338" s="114">
        <v>0</v>
      </c>
      <c r="AR338" s="114"/>
      <c r="AS338" s="114"/>
      <c r="AT338" s="114">
        <v>10</v>
      </c>
      <c r="AU338" s="114">
        <v>29098</v>
      </c>
      <c r="AV338" s="114">
        <v>0</v>
      </c>
      <c r="AW338" s="114">
        <v>0</v>
      </c>
      <c r="AX338" s="114">
        <v>10</v>
      </c>
      <c r="AY338" s="114">
        <v>67</v>
      </c>
      <c r="AZ338" s="114">
        <v>15</v>
      </c>
      <c r="BA338" s="114">
        <v>1298</v>
      </c>
      <c r="BB338" s="116"/>
      <c r="BC338" s="116"/>
      <c r="BD338" s="116"/>
      <c r="BE338" s="116"/>
      <c r="BF338" s="116"/>
      <c r="BG338" s="116"/>
      <c r="BH338" s="116"/>
      <c r="BI338" s="116"/>
      <c r="BJ338" s="117">
        <v>478447</v>
      </c>
      <c r="BK338" s="117">
        <v>11047</v>
      </c>
      <c r="BL338" s="117">
        <v>3386321</v>
      </c>
      <c r="BM338" s="118">
        <v>3510330</v>
      </c>
      <c r="BN338" s="118">
        <v>206.49</v>
      </c>
      <c r="BO338" s="119"/>
      <c r="BP338" s="119"/>
      <c r="BQ338" s="119"/>
      <c r="BR338" s="119"/>
      <c r="BS338" s="119"/>
      <c r="BT338" s="119"/>
      <c r="BU338" s="119"/>
      <c r="BV338" s="119"/>
      <c r="BW338" s="119"/>
      <c r="BX338" s="119"/>
    </row>
    <row r="339" s="96" customFormat="1" ht="15.75" customHeight="1" spans="1:76">
      <c r="A339" s="111">
        <v>338</v>
      </c>
      <c r="B339" s="112" t="s">
        <v>46</v>
      </c>
      <c r="C339" s="112" t="s">
        <v>49</v>
      </c>
      <c r="D339" s="111">
        <v>2025</v>
      </c>
      <c r="E339" s="113" t="s">
        <v>33</v>
      </c>
      <c r="F339" s="114">
        <v>5174232</v>
      </c>
      <c r="G339" s="114">
        <v>5174232</v>
      </c>
      <c r="H339" s="114">
        <v>171846.4095</v>
      </c>
      <c r="I339" s="114">
        <v>11218</v>
      </c>
      <c r="J339" s="115">
        <v>0.00137731481481481</v>
      </c>
      <c r="K339" s="114">
        <v>36.63</v>
      </c>
      <c r="L339" s="114">
        <v>1261</v>
      </c>
      <c r="M339" s="114">
        <v>52074757</v>
      </c>
      <c r="N339" s="114">
        <v>7.54</v>
      </c>
      <c r="O339" s="114">
        <v>2957076</v>
      </c>
      <c r="P339" s="114">
        <v>1095182</v>
      </c>
      <c r="Q339" s="114">
        <v>1861894</v>
      </c>
      <c r="R339" s="114">
        <v>1861894</v>
      </c>
      <c r="S339" s="114">
        <v>0</v>
      </c>
      <c r="T339" s="114">
        <v>13077</v>
      </c>
      <c r="U339" s="114">
        <v>1859</v>
      </c>
      <c r="V339" s="114">
        <v>31186</v>
      </c>
      <c r="W339" s="114">
        <v>1293</v>
      </c>
      <c r="X339" s="114">
        <v>8787</v>
      </c>
      <c r="Y339" s="114">
        <v>31961</v>
      </c>
      <c r="Z339" s="114">
        <v>7552997.113</v>
      </c>
      <c r="AA339" s="114">
        <v>0</v>
      </c>
      <c r="AB339" s="114">
        <v>3</v>
      </c>
      <c r="AC339" s="114">
        <v>358735.383</v>
      </c>
      <c r="AD339" s="114">
        <v>7158620.381</v>
      </c>
      <c r="AE339" s="114">
        <v>13015800.01</v>
      </c>
      <c r="AF339" s="114">
        <v>1452968</v>
      </c>
      <c r="AG339" s="114">
        <v>8958.078</v>
      </c>
      <c r="AH339" s="114">
        <v>1340400</v>
      </c>
      <c r="AI339" s="114">
        <v>1459.732</v>
      </c>
      <c r="AJ339" s="114">
        <v>62</v>
      </c>
      <c r="AK339" s="114">
        <v>21239</v>
      </c>
      <c r="AL339" s="114">
        <v>90381.759</v>
      </c>
      <c r="AM339" s="114">
        <v>2</v>
      </c>
      <c r="AN339" s="114">
        <v>49518</v>
      </c>
      <c r="AO339" s="114">
        <v>2198.8092</v>
      </c>
      <c r="AP339" s="114"/>
      <c r="AQ339" s="114">
        <v>0</v>
      </c>
      <c r="AR339" s="114"/>
      <c r="AS339" s="114"/>
      <c r="AT339" s="114">
        <v>9</v>
      </c>
      <c r="AU339" s="114">
        <v>10520</v>
      </c>
      <c r="AV339" s="114">
        <v>0</v>
      </c>
      <c r="AW339" s="114">
        <v>0</v>
      </c>
      <c r="AX339" s="114">
        <v>1</v>
      </c>
      <c r="AY339" s="114">
        <v>14</v>
      </c>
      <c r="AZ339" s="114">
        <v>14</v>
      </c>
      <c r="BA339" s="114">
        <v>986</v>
      </c>
      <c r="BB339" s="116"/>
      <c r="BC339" s="116"/>
      <c r="BD339" s="116"/>
      <c r="BE339" s="116"/>
      <c r="BF339" s="116"/>
      <c r="BG339" s="116"/>
      <c r="BH339" s="116"/>
      <c r="BI339" s="116"/>
      <c r="BJ339" s="117">
        <v>489665</v>
      </c>
      <c r="BK339" s="117">
        <v>11218</v>
      </c>
      <c r="BL339" s="117">
        <v>3298195</v>
      </c>
      <c r="BM339" s="118">
        <v>5510380</v>
      </c>
      <c r="BN339" s="118">
        <v>324.14</v>
      </c>
      <c r="BO339" s="119"/>
      <c r="BP339" s="119"/>
      <c r="BQ339" s="119"/>
      <c r="BR339" s="119"/>
      <c r="BS339" s="119"/>
      <c r="BT339" s="119"/>
      <c r="BU339" s="119"/>
      <c r="BV339" s="119"/>
      <c r="BW339" s="119"/>
      <c r="BX339" s="119"/>
    </row>
    <row r="340" s="96" customFormat="1" ht="15.75" customHeight="1" spans="1:76">
      <c r="A340" s="111">
        <v>339</v>
      </c>
      <c r="B340" s="112" t="s">
        <v>46</v>
      </c>
      <c r="C340" s="112" t="s">
        <v>49</v>
      </c>
      <c r="D340" s="111">
        <v>2025</v>
      </c>
      <c r="E340" s="113" t="s">
        <v>34</v>
      </c>
      <c r="F340" s="114">
        <v>4129418</v>
      </c>
      <c r="G340" s="114">
        <v>4123678</v>
      </c>
      <c r="H340" s="114">
        <v>95027.6718</v>
      </c>
      <c r="I340" s="114">
        <v>7293</v>
      </c>
      <c r="J340" s="115">
        <v>0.000949074074074074</v>
      </c>
      <c r="K340" s="114">
        <v>38.28</v>
      </c>
      <c r="L340" s="114">
        <v>905</v>
      </c>
      <c r="M340" s="114">
        <v>36325063</v>
      </c>
      <c r="N340" s="114">
        <v>8.49</v>
      </c>
      <c r="O340" s="114">
        <v>2370812</v>
      </c>
      <c r="P340" s="114">
        <v>964561</v>
      </c>
      <c r="Q340" s="114">
        <v>1406455</v>
      </c>
      <c r="R340" s="114">
        <v>1247297</v>
      </c>
      <c r="S340" s="114">
        <v>159158</v>
      </c>
      <c r="T340" s="114">
        <v>9715</v>
      </c>
      <c r="U340" s="114">
        <v>2422</v>
      </c>
      <c r="V340" s="114">
        <v>21189</v>
      </c>
      <c r="W340" s="114">
        <v>936</v>
      </c>
      <c r="X340" s="114">
        <v>5457</v>
      </c>
      <c r="Y340" s="114">
        <v>5148</v>
      </c>
      <c r="Z340" s="114">
        <v>6521686.4</v>
      </c>
      <c r="AA340" s="114">
        <v>0</v>
      </c>
      <c r="AB340" s="114">
        <v>1</v>
      </c>
      <c r="AC340" s="114">
        <v>130691.615</v>
      </c>
      <c r="AD340" s="114">
        <v>6351607.43</v>
      </c>
      <c r="AE340" s="114">
        <v>11548371.84</v>
      </c>
      <c r="AF340" s="114">
        <v>1330198</v>
      </c>
      <c r="AG340" s="114">
        <v>8681.694</v>
      </c>
      <c r="AH340" s="114">
        <v>1199291</v>
      </c>
      <c r="AI340" s="114">
        <v>1581.521</v>
      </c>
      <c r="AJ340" s="114">
        <v>48</v>
      </c>
      <c r="AK340" s="114">
        <v>15640</v>
      </c>
      <c r="AL340" s="114">
        <v>33999.742</v>
      </c>
      <c r="AM340" s="114">
        <v>1</v>
      </c>
      <c r="AN340" s="114">
        <v>30858</v>
      </c>
      <c r="AO340" s="114">
        <v>991.2443</v>
      </c>
      <c r="AP340" s="114"/>
      <c r="AQ340" s="114">
        <v>0</v>
      </c>
      <c r="AR340" s="114"/>
      <c r="AS340" s="114"/>
      <c r="AT340" s="114">
        <v>8</v>
      </c>
      <c r="AU340" s="114">
        <v>164762</v>
      </c>
      <c r="AV340" s="114">
        <v>0</v>
      </c>
      <c r="AW340" s="114">
        <v>0</v>
      </c>
      <c r="AX340" s="114">
        <v>0</v>
      </c>
      <c r="AY340" s="114">
        <v>0</v>
      </c>
      <c r="AZ340" s="114">
        <v>21</v>
      </c>
      <c r="BA340" s="114">
        <v>949</v>
      </c>
      <c r="BB340" s="116"/>
      <c r="BC340" s="116"/>
      <c r="BD340" s="116"/>
      <c r="BE340" s="116"/>
      <c r="BF340" s="116"/>
      <c r="BG340" s="116"/>
      <c r="BH340" s="116"/>
      <c r="BI340" s="116"/>
      <c r="BJ340" s="117">
        <v>496958</v>
      </c>
      <c r="BK340" s="117">
        <v>7293</v>
      </c>
      <c r="BL340" s="117">
        <v>2353894</v>
      </c>
      <c r="BM340" s="118">
        <v>4575040</v>
      </c>
      <c r="BN340" s="118">
        <v>269.12</v>
      </c>
      <c r="BO340" s="119"/>
      <c r="BP340" s="119"/>
      <c r="BQ340" s="119"/>
      <c r="BR340" s="119"/>
      <c r="BS340" s="119"/>
      <c r="BT340" s="119"/>
      <c r="BU340" s="119"/>
      <c r="BV340" s="119"/>
      <c r="BW340" s="119"/>
      <c r="BX340" s="119"/>
    </row>
    <row r="341" s="96" customFormat="1" ht="15.75" customHeight="1" spans="1:76">
      <c r="A341" s="111">
        <v>340</v>
      </c>
      <c r="B341" s="112" t="s">
        <v>46</v>
      </c>
      <c r="C341" s="112" t="s">
        <v>49</v>
      </c>
      <c r="D341" s="111">
        <v>2025</v>
      </c>
      <c r="E341" s="113" t="s">
        <v>35</v>
      </c>
      <c r="F341" s="114">
        <v>5487973</v>
      </c>
      <c r="G341" s="114">
        <v>5125254</v>
      </c>
      <c r="H341" s="114">
        <v>224850.258</v>
      </c>
      <c r="I341" s="114">
        <v>9073</v>
      </c>
      <c r="J341" s="115">
        <v>0.00181712962962963</v>
      </c>
      <c r="K341" s="114">
        <v>27.22</v>
      </c>
      <c r="L341" s="114">
        <v>1147</v>
      </c>
      <c r="M341" s="114">
        <v>47573470</v>
      </c>
      <c r="N341" s="114">
        <v>7.87</v>
      </c>
      <c r="O341" s="114">
        <v>2664413</v>
      </c>
      <c r="P341" s="114">
        <v>1038630</v>
      </c>
      <c r="Q341" s="114">
        <v>1629989</v>
      </c>
      <c r="R341" s="114">
        <v>1227311</v>
      </c>
      <c r="S341" s="114">
        <v>402678</v>
      </c>
      <c r="T341" s="114">
        <v>11226</v>
      </c>
      <c r="U341" s="114">
        <v>2153</v>
      </c>
      <c r="V341" s="114">
        <v>30031</v>
      </c>
      <c r="W341" s="114">
        <v>1593</v>
      </c>
      <c r="X341" s="114">
        <v>7470</v>
      </c>
      <c r="Y341" s="114">
        <v>11639</v>
      </c>
      <c r="Z341" s="114">
        <v>9004107.677</v>
      </c>
      <c r="AA341" s="114">
        <v>0</v>
      </c>
      <c r="AB341" s="114">
        <v>4</v>
      </c>
      <c r="AC341" s="114">
        <v>543120.689</v>
      </c>
      <c r="AD341" s="114">
        <v>8404742.62</v>
      </c>
      <c r="AE341" s="114">
        <v>15281615.29</v>
      </c>
      <c r="AF341" s="114">
        <v>1497478</v>
      </c>
      <c r="AG341" s="114">
        <v>10204.901</v>
      </c>
      <c r="AH341" s="114">
        <v>1243195</v>
      </c>
      <c r="AI341" s="114">
        <v>1756.812</v>
      </c>
      <c r="AJ341" s="114">
        <v>74</v>
      </c>
      <c r="AK341" s="114">
        <v>13780</v>
      </c>
      <c r="AL341" s="114">
        <v>108419.501</v>
      </c>
      <c r="AM341" s="114">
        <v>3</v>
      </c>
      <c r="AN341" s="114">
        <v>55755</v>
      </c>
      <c r="AO341" s="114">
        <v>3766.5819</v>
      </c>
      <c r="AP341" s="114"/>
      <c r="AQ341" s="114">
        <v>0</v>
      </c>
      <c r="AR341" s="114"/>
      <c r="AS341" s="114"/>
      <c r="AT341" s="114">
        <v>11</v>
      </c>
      <c r="AU341" s="114">
        <v>17518</v>
      </c>
      <c r="AV341" s="114">
        <v>0</v>
      </c>
      <c r="AW341" s="114">
        <v>0</v>
      </c>
      <c r="AX341" s="114">
        <v>0</v>
      </c>
      <c r="AY341" s="114">
        <v>2</v>
      </c>
      <c r="AZ341" s="114">
        <v>12</v>
      </c>
      <c r="BA341" s="114">
        <v>930</v>
      </c>
      <c r="BB341" s="116"/>
      <c r="BC341" s="116"/>
      <c r="BD341" s="116"/>
      <c r="BE341" s="116"/>
      <c r="BF341" s="116"/>
      <c r="BG341" s="116"/>
      <c r="BH341" s="116"/>
      <c r="BI341" s="116"/>
      <c r="BJ341" s="117">
        <v>506031</v>
      </c>
      <c r="BK341" s="117">
        <v>9073</v>
      </c>
      <c r="BL341" s="117">
        <v>4030990</v>
      </c>
      <c r="BM341" s="118">
        <v>7784810</v>
      </c>
      <c r="BN341" s="118">
        <v>457.93</v>
      </c>
      <c r="BO341" s="119"/>
      <c r="BP341" s="119"/>
      <c r="BQ341" s="119"/>
      <c r="BR341" s="119"/>
      <c r="BS341" s="119"/>
      <c r="BT341" s="119"/>
      <c r="BU341" s="119"/>
      <c r="BV341" s="119"/>
      <c r="BW341" s="119"/>
      <c r="BX341" s="119"/>
    </row>
    <row r="342" s="96" customFormat="1" ht="15.75" customHeight="1" spans="1:76">
      <c r="A342" s="111">
        <v>341</v>
      </c>
      <c r="B342" s="112" t="s">
        <v>46</v>
      </c>
      <c r="C342" s="112" t="s">
        <v>49</v>
      </c>
      <c r="D342" s="111">
        <v>2025</v>
      </c>
      <c r="E342" s="113" t="s">
        <v>36</v>
      </c>
      <c r="F342" s="114">
        <v>3723034</v>
      </c>
      <c r="G342" s="114">
        <v>3485538</v>
      </c>
      <c r="H342" s="114">
        <v>149458.7296</v>
      </c>
      <c r="I342" s="114">
        <v>5038</v>
      </c>
      <c r="J342" s="115">
        <v>0.00178240740740741</v>
      </c>
      <c r="K342" s="114">
        <v>28.96</v>
      </c>
      <c r="L342" s="114">
        <v>809</v>
      </c>
      <c r="M342" s="114">
        <v>32835142</v>
      </c>
      <c r="N342" s="114">
        <v>7.83</v>
      </c>
      <c r="O342" s="114">
        <v>1974489</v>
      </c>
      <c r="P342" s="114">
        <v>800243</v>
      </c>
      <c r="Q342" s="114">
        <v>1174246</v>
      </c>
      <c r="R342" s="114">
        <v>860114</v>
      </c>
      <c r="S342" s="114">
        <v>314132</v>
      </c>
      <c r="T342" s="114">
        <v>7153</v>
      </c>
      <c r="U342" s="114">
        <v>2115</v>
      </c>
      <c r="V342" s="114">
        <v>17042</v>
      </c>
      <c r="W342" s="114">
        <v>954</v>
      </c>
      <c r="X342" s="114">
        <v>6102</v>
      </c>
      <c r="Y342" s="114">
        <v>9332</v>
      </c>
      <c r="Z342" s="114">
        <v>5606732.368</v>
      </c>
      <c r="AA342" s="114">
        <v>0</v>
      </c>
      <c r="AB342" s="114">
        <v>1</v>
      </c>
      <c r="AC342" s="114">
        <v>387781.391</v>
      </c>
      <c r="AD342" s="114">
        <v>5188542.337</v>
      </c>
      <c r="AE342" s="114">
        <v>9433712.541</v>
      </c>
      <c r="AF342" s="114">
        <v>984667</v>
      </c>
      <c r="AG342" s="114">
        <v>9580.612</v>
      </c>
      <c r="AH342" s="114">
        <v>820625</v>
      </c>
      <c r="AI342" s="114">
        <v>1608.57</v>
      </c>
      <c r="AJ342" s="114">
        <v>65</v>
      </c>
      <c r="AK342" s="114">
        <v>11872</v>
      </c>
      <c r="AL342" s="114">
        <v>28382.792</v>
      </c>
      <c r="AM342" s="114">
        <v>1</v>
      </c>
      <c r="AN342" s="114">
        <v>40082</v>
      </c>
      <c r="AO342" s="114">
        <v>2766.253</v>
      </c>
      <c r="AP342" s="114"/>
      <c r="AQ342" s="114">
        <v>0</v>
      </c>
      <c r="AR342" s="114"/>
      <c r="AS342" s="114"/>
      <c r="AT342" s="114">
        <v>4</v>
      </c>
      <c r="AU342" s="114">
        <v>29338</v>
      </c>
      <c r="AV342" s="114">
        <v>0</v>
      </c>
      <c r="AW342" s="114">
        <v>0</v>
      </c>
      <c r="AX342" s="114">
        <v>0</v>
      </c>
      <c r="AY342" s="114">
        <v>0</v>
      </c>
      <c r="AZ342" s="114">
        <v>15</v>
      </c>
      <c r="BA342" s="114">
        <v>1125</v>
      </c>
      <c r="BB342" s="116"/>
      <c r="BC342" s="116"/>
      <c r="BD342" s="116"/>
      <c r="BE342" s="116"/>
      <c r="BF342" s="116"/>
      <c r="BG342" s="116"/>
      <c r="BH342" s="116"/>
      <c r="BI342" s="116"/>
      <c r="BJ342" s="117">
        <v>511069</v>
      </c>
      <c r="BK342" s="117">
        <v>5038</v>
      </c>
      <c r="BL342" s="117">
        <v>1927704</v>
      </c>
      <c r="BM342" s="118">
        <v>3539740</v>
      </c>
      <c r="BN342" s="118">
        <v>208.22</v>
      </c>
      <c r="BO342" s="119"/>
      <c r="BP342" s="119"/>
      <c r="BQ342" s="119"/>
      <c r="BR342" s="119"/>
      <c r="BS342" s="119"/>
      <c r="BT342" s="119"/>
      <c r="BU342" s="119"/>
      <c r="BV342" s="119"/>
      <c r="BW342" s="119"/>
      <c r="BX342" s="119"/>
    </row>
    <row r="343" s="96" customFormat="1" ht="15.75" customHeight="1" spans="1:76">
      <c r="A343" s="111">
        <v>342</v>
      </c>
      <c r="B343" s="112" t="s">
        <v>46</v>
      </c>
      <c r="C343" s="112" t="s">
        <v>49</v>
      </c>
      <c r="D343" s="111">
        <v>2025</v>
      </c>
      <c r="E343" s="113" t="s">
        <v>37</v>
      </c>
      <c r="F343" s="114">
        <v>2647442</v>
      </c>
      <c r="G343" s="114">
        <v>2591973</v>
      </c>
      <c r="H343" s="114">
        <v>68606.1952</v>
      </c>
      <c r="I343" s="114">
        <v>4879</v>
      </c>
      <c r="J343" s="115">
        <v>0.00109953703703704</v>
      </c>
      <c r="K343" s="114">
        <v>30.48</v>
      </c>
      <c r="L343" s="114">
        <v>506</v>
      </c>
      <c r="M343" s="114">
        <v>28052230</v>
      </c>
      <c r="N343" s="114">
        <v>7.29</v>
      </c>
      <c r="O343" s="114">
        <v>1695446</v>
      </c>
      <c r="P343" s="114">
        <v>703907</v>
      </c>
      <c r="Q343" s="114">
        <v>991539</v>
      </c>
      <c r="R343" s="114">
        <v>735623</v>
      </c>
      <c r="S343" s="114">
        <v>255916</v>
      </c>
      <c r="T343" s="114">
        <v>6240</v>
      </c>
      <c r="U343" s="114">
        <v>1361</v>
      </c>
      <c r="V343" s="114">
        <v>13195</v>
      </c>
      <c r="W343" s="114">
        <v>524</v>
      </c>
      <c r="X343" s="114">
        <v>3937</v>
      </c>
      <c r="Y343" s="114">
        <v>4740</v>
      </c>
      <c r="Z343" s="114">
        <v>4422415.871</v>
      </c>
      <c r="AA343" s="114">
        <v>0</v>
      </c>
      <c r="AB343" s="114">
        <v>1</v>
      </c>
      <c r="AC343" s="114">
        <v>116500.748</v>
      </c>
      <c r="AD343" s="114">
        <v>4299534.838</v>
      </c>
      <c r="AE343" s="114">
        <v>7817500.235</v>
      </c>
      <c r="AF343" s="114">
        <v>931713</v>
      </c>
      <c r="AG343" s="114">
        <v>8390.46</v>
      </c>
      <c r="AH343" s="114">
        <v>861826</v>
      </c>
      <c r="AI343" s="114">
        <v>1706.197</v>
      </c>
      <c r="AJ343" s="114">
        <v>36</v>
      </c>
      <c r="AK343" s="114">
        <v>488</v>
      </c>
      <c r="AL343" s="114">
        <v>44271.835</v>
      </c>
      <c r="AM343" s="114">
        <v>1</v>
      </c>
      <c r="AN343" s="114">
        <v>26699</v>
      </c>
      <c r="AO343" s="114">
        <v>835.8064</v>
      </c>
      <c r="AP343" s="114">
        <v>2.3659</v>
      </c>
      <c r="AQ343" s="114">
        <v>0</v>
      </c>
      <c r="AR343" s="114">
        <v>10</v>
      </c>
      <c r="AS343" s="114">
        <v>290</v>
      </c>
      <c r="AT343" s="114">
        <v>4</v>
      </c>
      <c r="AU343" s="114">
        <v>21097</v>
      </c>
      <c r="AV343" s="114">
        <v>0</v>
      </c>
      <c r="AW343" s="114">
        <v>0</v>
      </c>
      <c r="AX343" s="114">
        <v>0</v>
      </c>
      <c r="AY343" s="114">
        <v>0</v>
      </c>
      <c r="AZ343" s="114">
        <v>19</v>
      </c>
      <c r="BA343" s="114">
        <v>866</v>
      </c>
      <c r="BB343" s="116"/>
      <c r="BC343" s="116"/>
      <c r="BD343" s="116"/>
      <c r="BE343" s="116"/>
      <c r="BF343" s="116"/>
      <c r="BG343" s="116"/>
      <c r="BH343" s="116"/>
      <c r="BI343" s="116"/>
      <c r="BJ343" s="117">
        <v>515948</v>
      </c>
      <c r="BK343" s="117">
        <v>4879</v>
      </c>
      <c r="BL343" s="117">
        <v>1351294</v>
      </c>
      <c r="BM343" s="118">
        <v>3204670</v>
      </c>
      <c r="BN343" s="118">
        <v>188.51</v>
      </c>
      <c r="BO343" s="119"/>
      <c r="BP343" s="119"/>
      <c r="BQ343" s="119"/>
      <c r="BR343" s="119"/>
      <c r="BS343" s="119"/>
      <c r="BT343" s="119"/>
      <c r="BU343" s="119"/>
      <c r="BV343" s="119"/>
      <c r="BW343" s="119"/>
      <c r="BX343" s="119"/>
    </row>
    <row r="344" s="96" customFormat="1" ht="15.75" customHeight="1" spans="1:76">
      <c r="A344" s="111">
        <v>343</v>
      </c>
      <c r="B344" s="112" t="s">
        <v>46</v>
      </c>
      <c r="C344" s="112" t="s">
        <v>49</v>
      </c>
      <c r="D344" s="111">
        <v>2025</v>
      </c>
      <c r="E344" s="113" t="s">
        <v>38</v>
      </c>
      <c r="F344" s="114">
        <v>3149874</v>
      </c>
      <c r="G344" s="114">
        <v>3107462</v>
      </c>
      <c r="H344" s="114">
        <v>155647.4905</v>
      </c>
      <c r="I344" s="114">
        <v>4887</v>
      </c>
      <c r="J344" s="115">
        <v>0.00208333333333333</v>
      </c>
      <c r="K344" s="114">
        <v>29.27</v>
      </c>
      <c r="L344" s="114">
        <v>461</v>
      </c>
      <c r="M344" s="114">
        <v>29446693</v>
      </c>
      <c r="N344" s="114">
        <v>7.8</v>
      </c>
      <c r="O344" s="114">
        <v>1776522</v>
      </c>
      <c r="P344" s="114">
        <v>698648</v>
      </c>
      <c r="Q344" s="114">
        <v>1077874</v>
      </c>
      <c r="R344" s="114">
        <v>786425</v>
      </c>
      <c r="S344" s="114">
        <v>291449</v>
      </c>
      <c r="T344" s="114">
        <v>6553</v>
      </c>
      <c r="U344" s="114">
        <v>1666</v>
      </c>
      <c r="V344" s="114">
        <v>18468</v>
      </c>
      <c r="W344" s="114">
        <v>463</v>
      </c>
      <c r="X344" s="114">
        <v>4506</v>
      </c>
      <c r="Y344" s="114">
        <v>5417</v>
      </c>
      <c r="Z344" s="114">
        <v>6222470.263</v>
      </c>
      <c r="AA344" s="114">
        <v>0</v>
      </c>
      <c r="AB344" s="114">
        <v>4</v>
      </c>
      <c r="AC344" s="114">
        <v>444034.033</v>
      </c>
      <c r="AD344" s="114">
        <v>5768883.37</v>
      </c>
      <c r="AE344" s="114">
        <v>10488882.28</v>
      </c>
      <c r="AF344" s="114">
        <v>1089364</v>
      </c>
      <c r="AG344" s="114">
        <v>9628.446</v>
      </c>
      <c r="AH344" s="114">
        <v>906508</v>
      </c>
      <c r="AI344" s="114">
        <v>2002.429</v>
      </c>
      <c r="AJ344" s="114">
        <v>50</v>
      </c>
      <c r="AK344" s="114">
        <v>509</v>
      </c>
      <c r="AL344" s="114">
        <v>70887.092</v>
      </c>
      <c r="AM344" s="114">
        <v>3</v>
      </c>
      <c r="AN344" s="114">
        <v>42479</v>
      </c>
      <c r="AO344" s="114">
        <v>3236.1691</v>
      </c>
      <c r="AP344" s="114"/>
      <c r="AQ344" s="114">
        <v>0</v>
      </c>
      <c r="AR344" s="114"/>
      <c r="AS344" s="114"/>
      <c r="AT344" s="114">
        <v>5</v>
      </c>
      <c r="AU344" s="114">
        <v>54823</v>
      </c>
      <c r="AV344" s="114">
        <v>0</v>
      </c>
      <c r="AW344" s="114">
        <v>0</v>
      </c>
      <c r="AX344" s="114">
        <v>0</v>
      </c>
      <c r="AY344" s="114">
        <v>0</v>
      </c>
      <c r="AZ344" s="114">
        <v>11</v>
      </c>
      <c r="BA344" s="114">
        <v>702</v>
      </c>
      <c r="BB344" s="116"/>
      <c r="BC344" s="116"/>
      <c r="BD344" s="116"/>
      <c r="BE344" s="116"/>
      <c r="BF344" s="116"/>
      <c r="BG344" s="116"/>
      <c r="BH344" s="116"/>
      <c r="BI344" s="116"/>
      <c r="BJ344" s="117">
        <v>520835</v>
      </c>
      <c r="BK344" s="117">
        <v>4887</v>
      </c>
      <c r="BL344" s="117">
        <v>1925293</v>
      </c>
      <c r="BM344" s="118">
        <v>4827490</v>
      </c>
      <c r="BN344" s="118">
        <v>283.97</v>
      </c>
      <c r="BO344" s="120">
        <v>0.711</v>
      </c>
      <c r="BP344" s="120">
        <v>0.289</v>
      </c>
      <c r="BQ344" s="119"/>
      <c r="BR344" s="120">
        <v>0.017</v>
      </c>
      <c r="BS344" s="120">
        <v>0.096</v>
      </c>
      <c r="BT344" s="120">
        <v>0.325</v>
      </c>
      <c r="BU344" s="120">
        <v>0.254</v>
      </c>
      <c r="BV344" s="120">
        <v>0.165</v>
      </c>
      <c r="BW344" s="120">
        <v>0.099</v>
      </c>
      <c r="BX344" s="120">
        <v>0.046</v>
      </c>
    </row>
    <row r="345" s="96" customFormat="1" ht="15.75" customHeight="1" spans="1:76">
      <c r="A345" s="111">
        <v>344</v>
      </c>
      <c r="B345" s="112" t="s">
        <v>46</v>
      </c>
      <c r="C345" s="112" t="s">
        <v>49</v>
      </c>
      <c r="D345" s="111">
        <v>2025</v>
      </c>
      <c r="E345" s="113" t="s">
        <v>39</v>
      </c>
      <c r="F345" s="114">
        <v>3416249</v>
      </c>
      <c r="G345" s="114">
        <v>3376719</v>
      </c>
      <c r="H345" s="114">
        <v>197118.1775</v>
      </c>
      <c r="I345" s="114">
        <v>7271</v>
      </c>
      <c r="J345" s="115">
        <v>0.00243055555555556</v>
      </c>
      <c r="K345" s="114">
        <v>25.54</v>
      </c>
      <c r="L345" s="114">
        <v>356</v>
      </c>
      <c r="M345" s="114">
        <v>37037888</v>
      </c>
      <c r="N345" s="114">
        <v>6.46</v>
      </c>
      <c r="O345" s="114">
        <v>2064223</v>
      </c>
      <c r="P345" s="114">
        <v>914238</v>
      </c>
      <c r="Q345" s="114">
        <v>1149985</v>
      </c>
      <c r="R345" s="114">
        <v>877401</v>
      </c>
      <c r="S345" s="114">
        <v>272584</v>
      </c>
      <c r="T345" s="114">
        <v>8758</v>
      </c>
      <c r="U345" s="114">
        <v>1487</v>
      </c>
      <c r="V345" s="114">
        <v>18902</v>
      </c>
      <c r="W345" s="114">
        <v>772</v>
      </c>
      <c r="X345" s="114">
        <v>5194</v>
      </c>
      <c r="Y345" s="114">
        <v>7874</v>
      </c>
      <c r="Z345" s="114">
        <v>9304530.683</v>
      </c>
      <c r="AA345" s="114">
        <v>0</v>
      </c>
      <c r="AB345" s="114">
        <v>1</v>
      </c>
      <c r="AC345" s="114">
        <v>649894.363</v>
      </c>
      <c r="AD345" s="114">
        <v>8646239.812</v>
      </c>
      <c r="AE345" s="114">
        <v>15720754.15</v>
      </c>
      <c r="AF345" s="114">
        <v>1640570</v>
      </c>
      <c r="AG345" s="114">
        <v>9582.495</v>
      </c>
      <c r="AH345" s="114">
        <v>1298909</v>
      </c>
      <c r="AI345" s="114">
        <v>2755.494</v>
      </c>
      <c r="AJ345" s="114">
        <v>28</v>
      </c>
      <c r="AK345" s="114">
        <v>387</v>
      </c>
      <c r="AL345" s="114">
        <v>28996.22</v>
      </c>
      <c r="AM345" s="114">
        <v>1</v>
      </c>
      <c r="AN345" s="114">
        <v>50069</v>
      </c>
      <c r="AO345" s="114">
        <v>4614.0054</v>
      </c>
      <c r="AP345" s="114">
        <v>21.1717</v>
      </c>
      <c r="AQ345" s="114">
        <v>57</v>
      </c>
      <c r="AR345" s="114">
        <v>713</v>
      </c>
      <c r="AS345" s="114">
        <v>2232</v>
      </c>
      <c r="AT345" s="114">
        <v>1</v>
      </c>
      <c r="AU345" s="114">
        <v>3827</v>
      </c>
      <c r="AV345" s="114">
        <v>0</v>
      </c>
      <c r="AW345" s="114">
        <v>0</v>
      </c>
      <c r="AX345" s="114">
        <v>0</v>
      </c>
      <c r="AY345" s="114">
        <v>0</v>
      </c>
      <c r="AZ345" s="114">
        <v>12</v>
      </c>
      <c r="BA345" s="114">
        <v>714</v>
      </c>
      <c r="BB345" s="116"/>
      <c r="BC345" s="116"/>
      <c r="BD345" s="116"/>
      <c r="BE345" s="116"/>
      <c r="BF345" s="116"/>
      <c r="BG345" s="116"/>
      <c r="BH345" s="116"/>
      <c r="BI345" s="116"/>
      <c r="BJ345" s="117">
        <v>528749</v>
      </c>
      <c r="BK345" s="117">
        <v>7271</v>
      </c>
      <c r="BL345" s="117">
        <v>2396789</v>
      </c>
      <c r="BM345" s="118">
        <v>8304670</v>
      </c>
      <c r="BN345" s="118">
        <v>488.51</v>
      </c>
      <c r="BO345" s="120">
        <v>0.688</v>
      </c>
      <c r="BP345" s="120">
        <v>0.311</v>
      </c>
      <c r="BQ345" s="120">
        <v>0.001</v>
      </c>
      <c r="BR345" s="120">
        <v>0.015</v>
      </c>
      <c r="BS345" s="120">
        <v>0.093</v>
      </c>
      <c r="BT345" s="120">
        <v>0.314</v>
      </c>
      <c r="BU345" s="120">
        <v>0.231</v>
      </c>
      <c r="BV345" s="120">
        <v>0.166</v>
      </c>
      <c r="BW345" s="120">
        <v>0.117</v>
      </c>
      <c r="BX345" s="120">
        <v>0.064</v>
      </c>
    </row>
    <row r="346" s="96" customFormat="1" ht="15.75" customHeight="1" spans="1:76">
      <c r="A346" s="111">
        <v>345</v>
      </c>
      <c r="B346" s="112" t="s">
        <v>46</v>
      </c>
      <c r="C346" s="112" t="s">
        <v>49</v>
      </c>
      <c r="D346" s="111">
        <v>2025</v>
      </c>
      <c r="E346" s="113" t="s">
        <v>40</v>
      </c>
      <c r="F346" s="114">
        <v>2513253</v>
      </c>
      <c r="G346" s="114">
        <v>2479619</v>
      </c>
      <c r="H346" s="114">
        <v>139417.4825</v>
      </c>
      <c r="I346" s="114">
        <v>4463</v>
      </c>
      <c r="J346" s="115">
        <v>0.00233796296296296</v>
      </c>
      <c r="K346" s="114">
        <v>22.58</v>
      </c>
      <c r="L346" s="114">
        <v>311</v>
      </c>
      <c r="M346" s="114">
        <v>25674666</v>
      </c>
      <c r="N346" s="114">
        <v>6.94</v>
      </c>
      <c r="O346" s="114">
        <v>1510933</v>
      </c>
      <c r="P346" s="114">
        <v>637680</v>
      </c>
      <c r="Q346" s="114">
        <v>873253</v>
      </c>
      <c r="R346" s="114">
        <v>653380</v>
      </c>
      <c r="S346" s="114">
        <v>219873</v>
      </c>
      <c r="T346" s="114">
        <v>5861</v>
      </c>
      <c r="U346" s="114">
        <v>1398</v>
      </c>
      <c r="V346" s="114">
        <v>13209</v>
      </c>
      <c r="W346" s="114">
        <v>548</v>
      </c>
      <c r="X346" s="114">
        <v>4606</v>
      </c>
      <c r="Y346" s="114">
        <v>4747</v>
      </c>
      <c r="Z346" s="114">
        <v>7255013.659</v>
      </c>
      <c r="AA346" s="114">
        <v>0</v>
      </c>
      <c r="AB346" s="114">
        <v>1</v>
      </c>
      <c r="AC346" s="114">
        <v>408208.802</v>
      </c>
      <c r="AD346" s="114">
        <v>6839548.311</v>
      </c>
      <c r="AE346" s="114">
        <v>12435549.15</v>
      </c>
      <c r="AF346" s="114">
        <v>1219221</v>
      </c>
      <c r="AG346" s="114">
        <v>10199.586</v>
      </c>
      <c r="AH346" s="114">
        <v>933433</v>
      </c>
      <c r="AI346" s="114">
        <v>2925.859</v>
      </c>
      <c r="AJ346" s="114">
        <v>6</v>
      </c>
      <c r="AK346" s="114">
        <v>122</v>
      </c>
      <c r="AL346" s="114">
        <v>177242.055</v>
      </c>
      <c r="AM346" s="114">
        <v>1</v>
      </c>
      <c r="AN346" s="114">
        <v>33345</v>
      </c>
      <c r="AO346" s="114">
        <v>2807.4134</v>
      </c>
      <c r="AP346" s="114">
        <v>35.7971</v>
      </c>
      <c r="AQ346" s="114">
        <v>13</v>
      </c>
      <c r="AR346" s="114">
        <v>61</v>
      </c>
      <c r="AS346" s="114">
        <v>73</v>
      </c>
      <c r="AT346" s="114">
        <v>5</v>
      </c>
      <c r="AU346" s="114">
        <v>7765</v>
      </c>
      <c r="AV346" s="114">
        <v>1</v>
      </c>
      <c r="AW346" s="114">
        <v>0.0018</v>
      </c>
      <c r="AX346" s="114">
        <v>0</v>
      </c>
      <c r="AY346" s="114">
        <v>0</v>
      </c>
      <c r="AZ346" s="114">
        <v>20</v>
      </c>
      <c r="BA346" s="114">
        <v>643</v>
      </c>
      <c r="BB346" s="116"/>
      <c r="BC346" s="116"/>
      <c r="BD346" s="116"/>
      <c r="BE346" s="116"/>
      <c r="BF346" s="116"/>
      <c r="BG346" s="116"/>
      <c r="BH346" s="116"/>
      <c r="BI346" s="116"/>
      <c r="BJ346" s="117">
        <v>532480</v>
      </c>
      <c r="BK346" s="117">
        <v>4463</v>
      </c>
      <c r="BL346" s="117">
        <v>1545208</v>
      </c>
      <c r="BM346" s="118">
        <v>5781360</v>
      </c>
      <c r="BN346" s="118">
        <v>340.08</v>
      </c>
      <c r="BO346" s="120">
        <v>0.647</v>
      </c>
      <c r="BP346" s="120">
        <v>0.353</v>
      </c>
      <c r="BQ346" s="120">
        <v>0.001</v>
      </c>
      <c r="BR346" s="120">
        <v>0.018</v>
      </c>
      <c r="BS346" s="120">
        <v>0.091</v>
      </c>
      <c r="BT346" s="120">
        <v>0.322</v>
      </c>
      <c r="BU346" s="120">
        <v>0.233</v>
      </c>
      <c r="BV346" s="120">
        <v>0.167</v>
      </c>
      <c r="BW346" s="120">
        <v>0.114</v>
      </c>
      <c r="BX346" s="120">
        <v>0.055</v>
      </c>
    </row>
    <row r="347" s="96" customFormat="1" ht="15.75" customHeight="1" spans="1:76">
      <c r="A347" s="111">
        <v>346</v>
      </c>
      <c r="B347" s="112" t="s">
        <v>46</v>
      </c>
      <c r="C347" s="112" t="s">
        <v>49</v>
      </c>
      <c r="D347" s="111">
        <v>2025</v>
      </c>
      <c r="E347" s="113" t="s">
        <v>41</v>
      </c>
      <c r="F347" s="114">
        <v>2968778</v>
      </c>
      <c r="G347" s="114">
        <v>2933752</v>
      </c>
      <c r="H347" s="114">
        <v>144280.079</v>
      </c>
      <c r="I347" s="114">
        <v>4652</v>
      </c>
      <c r="J347" s="115">
        <v>0.00204861111111111</v>
      </c>
      <c r="K347" s="114">
        <v>22.65</v>
      </c>
      <c r="L347" s="114">
        <v>384</v>
      </c>
      <c r="M347" s="114">
        <v>31113911</v>
      </c>
      <c r="N347" s="114">
        <v>7.17</v>
      </c>
      <c r="O347" s="114">
        <v>1882966</v>
      </c>
      <c r="P347" s="114">
        <v>807445</v>
      </c>
      <c r="Q347" s="114">
        <v>1075521</v>
      </c>
      <c r="R347" s="114">
        <v>834613</v>
      </c>
      <c r="S347" s="114">
        <v>240908</v>
      </c>
      <c r="T347" s="114">
        <v>6132</v>
      </c>
      <c r="U347" s="114">
        <v>1480</v>
      </c>
      <c r="V347" s="114">
        <v>14202</v>
      </c>
      <c r="W347" s="114">
        <v>547</v>
      </c>
      <c r="X347" s="114">
        <v>5186</v>
      </c>
      <c r="Y347" s="114">
        <v>6618</v>
      </c>
      <c r="Z347" s="114">
        <v>6581837.302</v>
      </c>
      <c r="AA347" s="114">
        <v>0</v>
      </c>
      <c r="AB347" s="114">
        <v>0</v>
      </c>
      <c r="AC347" s="114">
        <v>378560.952</v>
      </c>
      <c r="AD347" s="114">
        <v>6197708.435</v>
      </c>
      <c r="AE347" s="114">
        <v>11268737.09</v>
      </c>
      <c r="AF347" s="114">
        <v>1203133</v>
      </c>
      <c r="AG347" s="114">
        <v>9366.161</v>
      </c>
      <c r="AH347" s="114">
        <v>962868</v>
      </c>
      <c r="AI347" s="114">
        <v>2243.488</v>
      </c>
      <c r="AJ347" s="114">
        <v>12</v>
      </c>
      <c r="AK347" s="114">
        <v>207</v>
      </c>
      <c r="AL347" s="114">
        <v>0</v>
      </c>
      <c r="AM347" s="114">
        <v>0</v>
      </c>
      <c r="AN347" s="114">
        <v>38781</v>
      </c>
      <c r="AO347" s="114">
        <v>2674.5126</v>
      </c>
      <c r="AP347" s="114">
        <v>125.8454</v>
      </c>
      <c r="AQ347" s="114">
        <v>71</v>
      </c>
      <c r="AR347" s="114">
        <v>1168</v>
      </c>
      <c r="AS347" s="114">
        <v>2250</v>
      </c>
      <c r="AT347" s="114">
        <v>5</v>
      </c>
      <c r="AU347" s="114">
        <v>5947</v>
      </c>
      <c r="AV347" s="114">
        <v>0</v>
      </c>
      <c r="AW347" s="114">
        <v>0</v>
      </c>
      <c r="AX347" s="114">
        <v>0</v>
      </c>
      <c r="AY347" s="114">
        <v>0</v>
      </c>
      <c r="AZ347" s="114">
        <v>15</v>
      </c>
      <c r="BA347" s="114">
        <v>665</v>
      </c>
      <c r="BB347" s="116"/>
      <c r="BC347" s="116"/>
      <c r="BD347" s="116"/>
      <c r="BE347" s="116"/>
      <c r="BF347" s="116"/>
      <c r="BG347" s="116"/>
      <c r="BH347" s="116"/>
      <c r="BI347" s="116"/>
      <c r="BJ347" s="117">
        <v>537132</v>
      </c>
      <c r="BK347" s="117">
        <v>4652</v>
      </c>
      <c r="BL347" s="117">
        <v>1592040</v>
      </c>
      <c r="BM347" s="118">
        <v>5454110</v>
      </c>
      <c r="BN347" s="118">
        <v>320.83</v>
      </c>
      <c r="BO347" s="120">
        <v>0.683</v>
      </c>
      <c r="BP347" s="120">
        <v>0.316</v>
      </c>
      <c r="BQ347" s="120">
        <v>0.001</v>
      </c>
      <c r="BR347" s="120">
        <v>0.017</v>
      </c>
      <c r="BS347" s="120">
        <v>0.086</v>
      </c>
      <c r="BT347" s="120">
        <v>0.333</v>
      </c>
      <c r="BU347" s="120">
        <v>0.238</v>
      </c>
      <c r="BV347" s="120">
        <v>0.163</v>
      </c>
      <c r="BW347" s="120">
        <v>0.107</v>
      </c>
      <c r="BX347" s="120">
        <v>0.057</v>
      </c>
    </row>
    <row r="348" s="96" customFormat="1" ht="15.75" customHeight="1" spans="1:76">
      <c r="A348" s="111">
        <v>347</v>
      </c>
      <c r="B348" s="112" t="s">
        <v>46</v>
      </c>
      <c r="C348" s="112" t="s">
        <v>49</v>
      </c>
      <c r="D348" s="111">
        <v>2025</v>
      </c>
      <c r="E348" s="113" t="s">
        <v>42</v>
      </c>
      <c r="F348" s="114">
        <v>2862428</v>
      </c>
      <c r="G348" s="114">
        <v>2804570</v>
      </c>
      <c r="H348" s="114">
        <v>135460.8904</v>
      </c>
      <c r="I348" s="114">
        <v>5237</v>
      </c>
      <c r="J348" s="115">
        <v>0.00200231481481481</v>
      </c>
      <c r="K348" s="114">
        <v>24.27</v>
      </c>
      <c r="L348" s="114">
        <v>358</v>
      </c>
      <c r="M348" s="114">
        <v>31699177</v>
      </c>
      <c r="N348" s="114">
        <v>6.57</v>
      </c>
      <c r="O348" s="114">
        <v>1891783</v>
      </c>
      <c r="P348" s="114">
        <v>795878</v>
      </c>
      <c r="Q348" s="114">
        <v>1096943</v>
      </c>
      <c r="R348" s="114">
        <v>888005</v>
      </c>
      <c r="S348" s="114">
        <v>208938</v>
      </c>
      <c r="T348" s="114">
        <v>6588</v>
      </c>
      <c r="U348" s="114">
        <v>1351</v>
      </c>
      <c r="V348" s="114">
        <v>15155</v>
      </c>
      <c r="W348" s="114">
        <v>674</v>
      </c>
      <c r="X348" s="114">
        <v>6652</v>
      </c>
      <c r="Y348" s="114">
        <v>8275</v>
      </c>
      <c r="Z348" s="114">
        <v>8246962.197</v>
      </c>
      <c r="AA348" s="114">
        <v>0</v>
      </c>
      <c r="AB348" s="114">
        <v>0</v>
      </c>
      <c r="AC348" s="114">
        <v>321135.803</v>
      </c>
      <c r="AD348" s="114">
        <v>7918282.685</v>
      </c>
      <c r="AE348" s="114">
        <v>14405046.34</v>
      </c>
      <c r="AF348" s="114">
        <v>1610154</v>
      </c>
      <c r="AG348" s="114">
        <v>8946.378</v>
      </c>
      <c r="AH348" s="114">
        <v>1312496</v>
      </c>
      <c r="AI348" s="114">
        <v>2940.545</v>
      </c>
      <c r="AJ348" s="114">
        <v>17</v>
      </c>
      <c r="AK348" s="114">
        <v>160</v>
      </c>
      <c r="AL348" s="114">
        <v>0</v>
      </c>
      <c r="AM348" s="114">
        <v>0</v>
      </c>
      <c r="AN348" s="114">
        <v>38317</v>
      </c>
      <c r="AO348" s="114">
        <v>2225.6471</v>
      </c>
      <c r="AP348" s="114">
        <v>29.4374</v>
      </c>
      <c r="AQ348" s="114">
        <v>24</v>
      </c>
      <c r="AR348" s="114">
        <v>137</v>
      </c>
      <c r="AS348" s="114">
        <v>597</v>
      </c>
      <c r="AT348" s="114">
        <v>10</v>
      </c>
      <c r="AU348" s="114">
        <v>9863</v>
      </c>
      <c r="AV348" s="114">
        <v>0</v>
      </c>
      <c r="AW348" s="114">
        <v>0</v>
      </c>
      <c r="AX348" s="114">
        <v>0</v>
      </c>
      <c r="AY348" s="114">
        <v>1</v>
      </c>
      <c r="AZ348" s="114">
        <v>14</v>
      </c>
      <c r="BA348" s="114">
        <v>635</v>
      </c>
      <c r="BB348" s="116"/>
      <c r="BC348" s="116"/>
      <c r="BD348" s="116"/>
      <c r="BE348" s="116"/>
      <c r="BF348" s="116"/>
      <c r="BG348" s="116"/>
      <c r="BH348" s="116"/>
      <c r="BI348" s="116"/>
      <c r="BJ348" s="117">
        <v>542368</v>
      </c>
      <c r="BK348" s="117">
        <v>5236</v>
      </c>
      <c r="BL348" s="117">
        <v>1762645</v>
      </c>
      <c r="BM348" s="118">
        <v>7234350</v>
      </c>
      <c r="BN348" s="118">
        <v>425.55</v>
      </c>
      <c r="BO348" s="120">
        <v>0.706</v>
      </c>
      <c r="BP348" s="120">
        <v>0.293</v>
      </c>
      <c r="BQ348" s="120">
        <v>0.001</v>
      </c>
      <c r="BR348" s="120">
        <v>0.016</v>
      </c>
      <c r="BS348" s="120">
        <v>0.077</v>
      </c>
      <c r="BT348" s="120">
        <v>0.304</v>
      </c>
      <c r="BU348" s="120">
        <v>0.222</v>
      </c>
      <c r="BV348" s="120">
        <v>0.17</v>
      </c>
      <c r="BW348" s="120">
        <v>0.133</v>
      </c>
      <c r="BX348" s="120">
        <v>0.078</v>
      </c>
    </row>
    <row r="349" s="96" customFormat="1" ht="15.75" customHeight="1" spans="1:76">
      <c r="A349" s="111">
        <v>348</v>
      </c>
      <c r="B349" s="112" t="s">
        <v>46</v>
      </c>
      <c r="C349" s="112" t="s">
        <v>49</v>
      </c>
      <c r="D349" s="111">
        <v>2025</v>
      </c>
      <c r="E349" s="113" t="s">
        <v>43</v>
      </c>
      <c r="F349" s="114">
        <v>2332351</v>
      </c>
      <c r="G349" s="114">
        <v>2289640</v>
      </c>
      <c r="H349" s="114">
        <v>92939.6758</v>
      </c>
      <c r="I349" s="114">
        <v>3272</v>
      </c>
      <c r="J349" s="115">
        <v>0.00168981481481481</v>
      </c>
      <c r="K349" s="114">
        <v>26.02</v>
      </c>
      <c r="L349" s="114">
        <v>259</v>
      </c>
      <c r="M349" s="114">
        <v>26788476</v>
      </c>
      <c r="N349" s="114">
        <v>6.46</v>
      </c>
      <c r="O349" s="114">
        <v>1554255</v>
      </c>
      <c r="P349" s="114">
        <v>684235</v>
      </c>
      <c r="Q349" s="114">
        <v>869816</v>
      </c>
      <c r="R349" s="114">
        <v>704678</v>
      </c>
      <c r="S349" s="114">
        <v>165138</v>
      </c>
      <c r="T349" s="114">
        <v>4526</v>
      </c>
      <c r="U349" s="114">
        <v>1254</v>
      </c>
      <c r="V349" s="114">
        <v>11247</v>
      </c>
      <c r="W349" s="114">
        <v>576</v>
      </c>
      <c r="X349" s="114">
        <v>3802</v>
      </c>
      <c r="Y349" s="114">
        <v>5616</v>
      </c>
      <c r="Z349" s="114">
        <v>7035775.978</v>
      </c>
      <c r="AA349" s="114">
        <v>0</v>
      </c>
      <c r="AB349" s="114">
        <v>0</v>
      </c>
      <c r="AC349" s="114">
        <v>212989.809</v>
      </c>
      <c r="AD349" s="114">
        <v>6816613.934</v>
      </c>
      <c r="AE349" s="114">
        <v>12393846.32</v>
      </c>
      <c r="AF349" s="114">
        <v>1392900</v>
      </c>
      <c r="AG349" s="114">
        <v>8897.872</v>
      </c>
      <c r="AH349" s="114">
        <v>1168096</v>
      </c>
      <c r="AI349" s="114">
        <v>3072.875</v>
      </c>
      <c r="AJ349" s="114">
        <v>12</v>
      </c>
      <c r="AK349" s="114">
        <v>143</v>
      </c>
      <c r="AL349" s="114">
        <v>0</v>
      </c>
      <c r="AM349" s="114">
        <v>0</v>
      </c>
      <c r="AN349" s="114">
        <v>29238</v>
      </c>
      <c r="AO349" s="114">
        <v>1552.5336</v>
      </c>
      <c r="AP349" s="114">
        <v>15.5292</v>
      </c>
      <c r="AQ349" s="114">
        <v>14</v>
      </c>
      <c r="AR349" s="114">
        <v>0</v>
      </c>
      <c r="AS349" s="114">
        <v>0</v>
      </c>
      <c r="AT349" s="114">
        <v>12</v>
      </c>
      <c r="AU349" s="114">
        <v>6116</v>
      </c>
      <c r="AV349" s="114">
        <v>0</v>
      </c>
      <c r="AW349" s="114">
        <v>0</v>
      </c>
      <c r="AX349" s="114">
        <v>0</v>
      </c>
      <c r="AY349" s="114">
        <v>0</v>
      </c>
      <c r="AZ349" s="114">
        <v>13</v>
      </c>
      <c r="BA349" s="114">
        <v>620</v>
      </c>
      <c r="BB349" s="116"/>
      <c r="BC349" s="116"/>
      <c r="BD349" s="116"/>
      <c r="BE349" s="116"/>
      <c r="BF349" s="116"/>
      <c r="BG349" s="116"/>
      <c r="BH349" s="116"/>
      <c r="BI349" s="116"/>
      <c r="BJ349" s="117">
        <v>545639</v>
      </c>
      <c r="BK349" s="117">
        <v>3270</v>
      </c>
      <c r="BL349" s="117">
        <v>1370673</v>
      </c>
      <c r="BM349" s="118">
        <v>5654540</v>
      </c>
      <c r="BN349" s="118">
        <v>332.62</v>
      </c>
      <c r="BO349" s="120">
        <v>0.681</v>
      </c>
      <c r="BP349" s="120">
        <v>0.319</v>
      </c>
      <c r="BQ349" s="134">
        <v>0</v>
      </c>
      <c r="BR349" s="120">
        <v>0.02</v>
      </c>
      <c r="BS349" s="120">
        <v>0.082</v>
      </c>
      <c r="BT349" s="120">
        <v>0.313</v>
      </c>
      <c r="BU349" s="120">
        <v>0.222</v>
      </c>
      <c r="BV349" s="120">
        <v>0.167</v>
      </c>
      <c r="BW349" s="120">
        <v>0.122</v>
      </c>
      <c r="BX349" s="120">
        <v>0.074</v>
      </c>
    </row>
    <row r="350" s="96" customFormat="1" ht="15.75" customHeight="1" spans="1:76">
      <c r="A350" s="111">
        <v>349</v>
      </c>
      <c r="B350" s="112" t="s">
        <v>46</v>
      </c>
      <c r="C350" s="112" t="s">
        <v>49</v>
      </c>
      <c r="D350" s="111">
        <v>2026</v>
      </c>
      <c r="E350" s="112" t="s">
        <v>31</v>
      </c>
      <c r="F350" s="121">
        <v>2096295</v>
      </c>
      <c r="G350" s="114">
        <v>2051330</v>
      </c>
      <c r="H350" s="114">
        <v>102485.2604</v>
      </c>
      <c r="I350" s="114">
        <v>2252</v>
      </c>
      <c r="J350" s="115">
        <v>0.00207175925925926</v>
      </c>
      <c r="K350" s="114">
        <v>29.77</v>
      </c>
      <c r="L350" s="114">
        <v>163</v>
      </c>
      <c r="M350" s="114">
        <v>23342187</v>
      </c>
      <c r="N350" s="114">
        <v>6.9</v>
      </c>
      <c r="O350" s="114">
        <v>1445809</v>
      </c>
      <c r="P350" s="114">
        <v>718239</v>
      </c>
      <c r="Q350" s="114">
        <v>727367</v>
      </c>
      <c r="R350" s="114">
        <v>613753</v>
      </c>
      <c r="S350" s="114">
        <v>113614</v>
      </c>
      <c r="T350" s="114">
        <v>3488</v>
      </c>
      <c r="U350" s="114">
        <v>1236</v>
      </c>
      <c r="V350" s="114">
        <v>10078</v>
      </c>
      <c r="W350" s="114">
        <v>496</v>
      </c>
      <c r="X350" s="114">
        <v>3444</v>
      </c>
      <c r="Y350" s="114">
        <v>8449</v>
      </c>
      <c r="Z350" s="121">
        <v>4950554</v>
      </c>
      <c r="AA350" s="114">
        <v>0</v>
      </c>
      <c r="AB350" s="114">
        <v>0</v>
      </c>
      <c r="AC350" s="114">
        <v>279919.186</v>
      </c>
      <c r="AD350" s="114">
        <v>4599685.601</v>
      </c>
      <c r="AE350" s="114">
        <v>8367152.89</v>
      </c>
      <c r="AF350" s="114">
        <v>1041036</v>
      </c>
      <c r="AG350" s="114">
        <v>8037.333</v>
      </c>
      <c r="AH350" s="114">
        <v>845101</v>
      </c>
      <c r="AI350" s="114">
        <v>2382.253</v>
      </c>
      <c r="AJ350" s="114">
        <v>14</v>
      </c>
      <c r="AK350" s="114">
        <v>119</v>
      </c>
      <c r="AL350" s="114">
        <v>0</v>
      </c>
      <c r="AM350" s="114">
        <v>0</v>
      </c>
      <c r="AN350" s="114">
        <v>31028</v>
      </c>
      <c r="AO350" s="114">
        <v>2203.7811</v>
      </c>
      <c r="AP350" s="114">
        <v>0.5028</v>
      </c>
      <c r="AQ350" s="114">
        <v>0</v>
      </c>
      <c r="AR350" s="114">
        <v>0</v>
      </c>
      <c r="AS350" s="114">
        <v>0</v>
      </c>
      <c r="AT350" s="114">
        <v>1</v>
      </c>
      <c r="AU350" s="114">
        <v>5948</v>
      </c>
      <c r="AV350" s="114">
        <v>0</v>
      </c>
      <c r="AW350" s="114">
        <v>0</v>
      </c>
      <c r="AX350" s="114">
        <v>0</v>
      </c>
      <c r="AY350" s="114">
        <v>1</v>
      </c>
      <c r="AZ350" s="114">
        <v>11</v>
      </c>
      <c r="BA350" s="114">
        <v>647</v>
      </c>
      <c r="BB350" s="116"/>
      <c r="BC350" s="116"/>
      <c r="BD350" s="116"/>
      <c r="BE350" s="116"/>
      <c r="BF350" s="116"/>
      <c r="BG350" s="116"/>
      <c r="BH350" s="116"/>
      <c r="BI350" s="116"/>
      <c r="BJ350" s="117">
        <v>547893</v>
      </c>
      <c r="BK350" s="117">
        <v>2252</v>
      </c>
      <c r="BL350" s="117">
        <v>1141580</v>
      </c>
      <c r="BM350" s="118">
        <v>4172092</v>
      </c>
      <c r="BN350" s="118"/>
      <c r="BO350" s="120">
        <v>0.738</v>
      </c>
      <c r="BP350" s="120">
        <v>0.261</v>
      </c>
      <c r="BQ350" s="134">
        <v>0</v>
      </c>
      <c r="BR350" s="120">
        <v>0.018</v>
      </c>
      <c r="BS350" s="120">
        <v>0.071</v>
      </c>
      <c r="BT350" s="120">
        <v>0.323</v>
      </c>
      <c r="BU350" s="120">
        <v>0.264</v>
      </c>
      <c r="BV350" s="120">
        <v>0.172</v>
      </c>
      <c r="BW350" s="120">
        <v>0.102</v>
      </c>
      <c r="BX350" s="120">
        <v>0.05</v>
      </c>
    </row>
    <row r="351" s="96" customFormat="1" ht="15.75" customHeight="1" spans="1:76">
      <c r="A351" s="111">
        <v>350</v>
      </c>
      <c r="B351" s="112" t="s">
        <v>46</v>
      </c>
      <c r="C351" s="112" t="s">
        <v>49</v>
      </c>
      <c r="D351" s="111">
        <v>2026</v>
      </c>
      <c r="E351" s="112" t="s">
        <v>33</v>
      </c>
      <c r="F351" s="114">
        <v>3970407</v>
      </c>
      <c r="G351" s="114">
        <v>3914637</v>
      </c>
      <c r="H351" s="114">
        <v>188602.3677</v>
      </c>
      <c r="I351" s="114">
        <v>5645</v>
      </c>
      <c r="J351" s="115">
        <v>0.00200231481481481</v>
      </c>
      <c r="K351" s="114">
        <v>15.67</v>
      </c>
      <c r="L351" s="114">
        <v>184</v>
      </c>
      <c r="M351" s="114">
        <v>33379165</v>
      </c>
      <c r="N351" s="114">
        <v>8.57</v>
      </c>
      <c r="O351" s="114">
        <v>2807483</v>
      </c>
      <c r="P351" s="114">
        <v>1350847</v>
      </c>
      <c r="Q351" s="114">
        <v>1452535</v>
      </c>
      <c r="R351" s="114">
        <v>1282752</v>
      </c>
      <c r="S351" s="114">
        <v>169783</v>
      </c>
      <c r="T351" s="114">
        <v>7025</v>
      </c>
      <c r="U351" s="114">
        <v>1380</v>
      </c>
      <c r="V351" s="114">
        <v>23999</v>
      </c>
      <c r="W351" s="114">
        <v>898</v>
      </c>
      <c r="X351" s="114">
        <v>4813</v>
      </c>
      <c r="Y351" s="114">
        <v>11729</v>
      </c>
      <c r="Z351" s="114">
        <v>13188044.91</v>
      </c>
      <c r="AA351" s="114">
        <v>0</v>
      </c>
      <c r="AB351" s="114">
        <v>0</v>
      </c>
      <c r="AC351" s="114">
        <v>526043.101</v>
      </c>
      <c r="AD351" s="114">
        <v>12645853.06</v>
      </c>
      <c r="AE351" s="114">
        <v>22973968.37</v>
      </c>
      <c r="AF351" s="114">
        <v>2690265</v>
      </c>
      <c r="AG351" s="114">
        <v>8539.667</v>
      </c>
      <c r="AH351" s="114">
        <v>2211571</v>
      </c>
      <c r="AI351" s="114">
        <v>3368.485</v>
      </c>
      <c r="AJ351" s="114">
        <v>3</v>
      </c>
      <c r="AK351" s="114">
        <v>89</v>
      </c>
      <c r="AL351" s="114">
        <v>0</v>
      </c>
      <c r="AM351" s="114">
        <v>0</v>
      </c>
      <c r="AN351" s="114">
        <v>68424</v>
      </c>
      <c r="AO351" s="114">
        <v>3799.3474</v>
      </c>
      <c r="AP351" s="114">
        <v>17.3023</v>
      </c>
      <c r="AQ351" s="114">
        <v>76</v>
      </c>
      <c r="AR351" s="114">
        <v>6597</v>
      </c>
      <c r="AS351" s="114">
        <v>31787</v>
      </c>
      <c r="AT351" s="114">
        <v>6</v>
      </c>
      <c r="AU351" s="114">
        <v>7536</v>
      </c>
      <c r="AV351" s="114">
        <v>0</v>
      </c>
      <c r="AW351" s="114">
        <v>0</v>
      </c>
      <c r="AX351" s="114">
        <v>0</v>
      </c>
      <c r="AY351" s="114">
        <v>1</v>
      </c>
      <c r="AZ351" s="114">
        <v>15</v>
      </c>
      <c r="BA351" s="114">
        <v>693</v>
      </c>
      <c r="BB351" s="116"/>
      <c r="BC351" s="116"/>
      <c r="BD351" s="116"/>
      <c r="BE351" s="116"/>
      <c r="BF351" s="116"/>
      <c r="BG351" s="116"/>
      <c r="BH351" s="116"/>
      <c r="BI351" s="116"/>
      <c r="BJ351" s="117">
        <v>553538</v>
      </c>
      <c r="BK351" s="117">
        <v>5645</v>
      </c>
      <c r="BL351" s="117">
        <v>2612588</v>
      </c>
      <c r="BM351" s="118">
        <v>10219397</v>
      </c>
      <c r="BN351" s="118"/>
      <c r="BO351" s="120">
        <v>0.767</v>
      </c>
      <c r="BP351" s="120">
        <v>0.232</v>
      </c>
      <c r="BQ351" s="134">
        <v>0</v>
      </c>
      <c r="BR351" s="120">
        <v>0.014</v>
      </c>
      <c r="BS351" s="120">
        <v>0.062</v>
      </c>
      <c r="BT351" s="120">
        <v>0.298</v>
      </c>
      <c r="BU351" s="120">
        <v>0.245</v>
      </c>
      <c r="BV351" s="120">
        <v>0.177</v>
      </c>
      <c r="BW351" s="120">
        <v>0.134</v>
      </c>
      <c r="BX351" s="120">
        <v>0.07</v>
      </c>
    </row>
    <row r="352" s="96" customFormat="1" ht="15.75" customHeight="1" spans="1:76">
      <c r="A352" s="111">
        <v>351</v>
      </c>
      <c r="B352" s="112" t="s">
        <v>46</v>
      </c>
      <c r="C352" s="112" t="s">
        <v>49</v>
      </c>
      <c r="D352" s="111">
        <v>2026</v>
      </c>
      <c r="E352" s="113" t="s">
        <v>34</v>
      </c>
      <c r="F352" s="114">
        <v>6777931</v>
      </c>
      <c r="G352" s="114">
        <v>6702877</v>
      </c>
      <c r="H352" s="114">
        <v>651071.3372</v>
      </c>
      <c r="I352" s="114">
        <v>8199</v>
      </c>
      <c r="J352" s="115">
        <v>0.00403935185185185</v>
      </c>
      <c r="K352" s="114">
        <v>1.9</v>
      </c>
      <c r="L352" s="114">
        <v>162</v>
      </c>
      <c r="M352" s="114">
        <v>49670232</v>
      </c>
      <c r="N352" s="114">
        <v>10.91</v>
      </c>
      <c r="O352" s="114">
        <v>4332311</v>
      </c>
      <c r="P352" s="114">
        <v>2511701</v>
      </c>
      <c r="Q352" s="114">
        <v>1603333</v>
      </c>
      <c r="R352" s="114">
        <v>1402447</v>
      </c>
      <c r="S352" s="114">
        <v>200886</v>
      </c>
      <c r="T352" s="114">
        <v>10183</v>
      </c>
      <c r="U352" s="114">
        <v>1984</v>
      </c>
      <c r="V352" s="114">
        <v>26958</v>
      </c>
      <c r="W352" s="114">
        <v>1558</v>
      </c>
      <c r="X352" s="114">
        <v>7743</v>
      </c>
      <c r="Y352" s="114">
        <v>3799</v>
      </c>
      <c r="Z352" s="114">
        <v>44375618.58</v>
      </c>
      <c r="AA352" s="114">
        <v>0</v>
      </c>
      <c r="AB352" s="114">
        <v>0</v>
      </c>
      <c r="AC352" s="114">
        <v>1726799.072</v>
      </c>
      <c r="AD352" s="114">
        <v>42632652.37</v>
      </c>
      <c r="AE352" s="114">
        <v>77387819.81</v>
      </c>
      <c r="AF352" s="114">
        <v>8023965</v>
      </c>
      <c r="AG352" s="114">
        <v>9644.586</v>
      </c>
      <c r="AH352" s="114">
        <v>4730382</v>
      </c>
      <c r="AI352" s="114">
        <v>6786.533</v>
      </c>
      <c r="AJ352" s="114">
        <v>3</v>
      </c>
      <c r="AK352" s="114">
        <v>60</v>
      </c>
      <c r="AL352" s="114">
        <v>0</v>
      </c>
      <c r="AM352" s="114">
        <v>0</v>
      </c>
      <c r="AN352" s="114">
        <v>111390</v>
      </c>
      <c r="AO352" s="114">
        <v>15185.3285</v>
      </c>
      <c r="AP352" s="114">
        <v>259.1573</v>
      </c>
      <c r="AQ352" s="114">
        <v>772</v>
      </c>
      <c r="AR352" s="114">
        <v>408613</v>
      </c>
      <c r="AS352" s="114">
        <v>538442</v>
      </c>
      <c r="AT352" s="114">
        <v>4</v>
      </c>
      <c r="AU352" s="114">
        <v>5961</v>
      </c>
      <c r="AV352" s="114">
        <v>0</v>
      </c>
      <c r="AW352" s="114">
        <v>0</v>
      </c>
      <c r="AX352" s="114">
        <v>0</v>
      </c>
      <c r="AY352" s="114">
        <v>0</v>
      </c>
      <c r="AZ352" s="114">
        <v>7</v>
      </c>
      <c r="BA352" s="114">
        <v>495</v>
      </c>
      <c r="BB352" s="116"/>
      <c r="BC352" s="116"/>
      <c r="BD352" s="116"/>
      <c r="BE352" s="116"/>
      <c r="BF352" s="116"/>
      <c r="BG352" s="116"/>
      <c r="BH352" s="116"/>
      <c r="BI352" s="116"/>
      <c r="BJ352" s="117">
        <v>561737</v>
      </c>
      <c r="BK352" s="117">
        <v>8199</v>
      </c>
      <c r="BL352" s="117">
        <v>5415519</v>
      </c>
      <c r="BM352" s="118">
        <v>42809195</v>
      </c>
      <c r="BN352" s="118"/>
      <c r="BO352" s="120">
        <v>0.721</v>
      </c>
      <c r="BP352" s="120">
        <v>0.278</v>
      </c>
      <c r="BQ352" s="120">
        <v>0.001</v>
      </c>
      <c r="BR352" s="120">
        <v>0.019</v>
      </c>
      <c r="BS352" s="120">
        <v>0.09</v>
      </c>
      <c r="BT352" s="120">
        <v>0.345</v>
      </c>
      <c r="BU352" s="120">
        <v>0.236</v>
      </c>
      <c r="BV352" s="120">
        <v>0.165</v>
      </c>
      <c r="BW352" s="120">
        <v>0.101</v>
      </c>
      <c r="BX352" s="120">
        <v>0.045</v>
      </c>
    </row>
    <row r="353" s="96" customFormat="1" ht="15.75" customHeight="1" spans="1:76">
      <c r="A353" s="111">
        <v>352</v>
      </c>
      <c r="B353" s="112" t="s">
        <v>46</v>
      </c>
      <c r="C353" s="112" t="s">
        <v>49</v>
      </c>
      <c r="D353" s="111">
        <v>2026</v>
      </c>
      <c r="E353" s="113" t="s">
        <v>35</v>
      </c>
      <c r="F353" s="114">
        <v>2692359</v>
      </c>
      <c r="G353" s="114">
        <v>2617019</v>
      </c>
      <c r="H353" s="114">
        <v>188076.918</v>
      </c>
      <c r="I353" s="114">
        <v>2187</v>
      </c>
      <c r="J353" s="115">
        <v>0.00298611111111111</v>
      </c>
      <c r="K353" s="114">
        <v>3.2</v>
      </c>
      <c r="L353" s="114">
        <v>117</v>
      </c>
      <c r="M353" s="114">
        <v>23573469</v>
      </c>
      <c r="N353" s="114">
        <v>8.24</v>
      </c>
      <c r="O353" s="114">
        <v>1733265</v>
      </c>
      <c r="P353" s="114">
        <v>683297</v>
      </c>
      <c r="Q353" s="114">
        <v>961674</v>
      </c>
      <c r="R353" s="114">
        <v>832563</v>
      </c>
      <c r="S353" s="114">
        <v>129111</v>
      </c>
      <c r="T353" s="114">
        <v>3878</v>
      </c>
      <c r="U353" s="114">
        <v>1691</v>
      </c>
      <c r="V353" s="114">
        <v>12259</v>
      </c>
      <c r="W353" s="114">
        <v>804</v>
      </c>
      <c r="X353" s="114">
        <v>2938</v>
      </c>
      <c r="Y353" s="114">
        <v>5215</v>
      </c>
      <c r="Z353" s="114">
        <v>8003926.394</v>
      </c>
      <c r="AA353" s="114">
        <v>0</v>
      </c>
      <c r="AB353" s="114">
        <v>0</v>
      </c>
      <c r="AC353" s="114">
        <v>374210.517</v>
      </c>
      <c r="AD353" s="114">
        <v>7614101.983</v>
      </c>
      <c r="AE353" s="114">
        <v>13758766.83</v>
      </c>
      <c r="AF353" s="114">
        <v>1583862</v>
      </c>
      <c r="AG353" s="114">
        <v>8686.847</v>
      </c>
      <c r="AH353" s="114">
        <v>1170108</v>
      </c>
      <c r="AI353" s="114">
        <v>3155.214</v>
      </c>
      <c r="AJ353" s="114">
        <v>2</v>
      </c>
      <c r="AK353" s="114">
        <v>76</v>
      </c>
      <c r="AL353" s="114">
        <v>0</v>
      </c>
      <c r="AM353" s="114">
        <v>0</v>
      </c>
      <c r="AN353" s="114">
        <v>31310</v>
      </c>
      <c r="AO353" s="114">
        <v>3069.8155</v>
      </c>
      <c r="AP353" s="114">
        <v>370.1224</v>
      </c>
      <c r="AQ353" s="114">
        <v>1170</v>
      </c>
      <c r="AR353" s="114">
        <v>3506</v>
      </c>
      <c r="AS353" s="114">
        <v>2788</v>
      </c>
      <c r="AT353" s="114">
        <v>4</v>
      </c>
      <c r="AU353" s="114">
        <v>5116</v>
      </c>
      <c r="AV353" s="114">
        <v>0</v>
      </c>
      <c r="AW353" s="114">
        <v>0</v>
      </c>
      <c r="AX353" s="114">
        <v>0</v>
      </c>
      <c r="AY353" s="114">
        <v>0</v>
      </c>
      <c r="AZ353" s="114">
        <v>7</v>
      </c>
      <c r="BA353" s="114">
        <v>645</v>
      </c>
      <c r="BB353" s="116"/>
      <c r="BC353" s="116"/>
      <c r="BD353" s="116"/>
      <c r="BE353" s="116"/>
      <c r="BF353" s="116"/>
      <c r="BG353" s="116"/>
      <c r="BH353" s="116"/>
      <c r="BI353" s="116"/>
      <c r="BJ353" s="117">
        <v>563924</v>
      </c>
      <c r="BK353" s="117">
        <v>2187</v>
      </c>
      <c r="BL353" s="117">
        <v>1563577</v>
      </c>
      <c r="BM353" s="118">
        <v>6895995</v>
      </c>
      <c r="BN353" s="118"/>
      <c r="BO353" s="120">
        <v>0.739</v>
      </c>
      <c r="BP353" s="120">
        <v>0.261</v>
      </c>
      <c r="BQ353" s="120">
        <v>0</v>
      </c>
      <c r="BR353" s="120">
        <v>0.019</v>
      </c>
      <c r="BS353" s="120">
        <v>0.078</v>
      </c>
      <c r="BT353" s="120">
        <v>0.32</v>
      </c>
      <c r="BU353" s="120">
        <v>0.226</v>
      </c>
      <c r="BV353" s="120">
        <v>0.172</v>
      </c>
      <c r="BW353" s="120">
        <v>0.123</v>
      </c>
      <c r="BX353" s="120">
        <v>0.063</v>
      </c>
    </row>
    <row r="354" s="96" customFormat="1" ht="15.75" customHeight="1" spans="1:76">
      <c r="A354" s="111">
        <v>353</v>
      </c>
      <c r="B354" s="112" t="s">
        <v>46</v>
      </c>
      <c r="C354" s="112" t="s">
        <v>49</v>
      </c>
      <c r="D354" s="111">
        <v>2026</v>
      </c>
      <c r="E354" s="113" t="s">
        <v>36</v>
      </c>
      <c r="F354" s="114">
        <v>2656817</v>
      </c>
      <c r="G354" s="114">
        <v>2552305</v>
      </c>
      <c r="H354" s="114">
        <v>135952.8329</v>
      </c>
      <c r="I354" s="114">
        <v>2840</v>
      </c>
      <c r="J354" s="115">
        <v>0.00221064814814815</v>
      </c>
      <c r="K354" s="114">
        <v>6.63</v>
      </c>
      <c r="L354" s="114">
        <v>301</v>
      </c>
      <c r="M354" s="114">
        <v>23616593</v>
      </c>
      <c r="N354" s="114">
        <v>8.13</v>
      </c>
      <c r="O354" s="114">
        <v>1791967</v>
      </c>
      <c r="P354" s="114">
        <v>754452</v>
      </c>
      <c r="Q354" s="114">
        <v>948377</v>
      </c>
      <c r="R354" s="114">
        <v>824642</v>
      </c>
      <c r="S354" s="114">
        <v>123735</v>
      </c>
      <c r="T354" s="114">
        <v>4322</v>
      </c>
      <c r="U354" s="114">
        <v>1482</v>
      </c>
      <c r="V354" s="114">
        <v>12932</v>
      </c>
      <c r="W354" s="114">
        <v>709</v>
      </c>
      <c r="X354" s="114">
        <v>3053</v>
      </c>
      <c r="Y354" s="114">
        <v>5864</v>
      </c>
      <c r="Z354" s="114">
        <v>8386512.398</v>
      </c>
      <c r="AA354" s="114">
        <v>6907.009</v>
      </c>
      <c r="AB354" s="114">
        <v>1</v>
      </c>
      <c r="AC354" s="114">
        <v>340401.041</v>
      </c>
      <c r="AD354" s="114">
        <v>8016788.281</v>
      </c>
      <c r="AE354" s="114">
        <v>14537837.43</v>
      </c>
      <c r="AF354" s="114">
        <v>1514571</v>
      </c>
      <c r="AG354" s="114">
        <v>9598.65</v>
      </c>
      <c r="AH354" s="114">
        <v>1173306</v>
      </c>
      <c r="AI354" s="114">
        <v>3307.889</v>
      </c>
      <c r="AJ354" s="114">
        <v>0</v>
      </c>
      <c r="AK354" s="114">
        <v>59</v>
      </c>
      <c r="AL354" s="114">
        <v>0</v>
      </c>
      <c r="AM354" s="114">
        <v>0</v>
      </c>
      <c r="AN354" s="114">
        <v>37260</v>
      </c>
      <c r="AO354" s="114">
        <v>2724.6123</v>
      </c>
      <c r="AP354" s="114">
        <v>190.5802</v>
      </c>
      <c r="AQ354" s="114">
        <v>258</v>
      </c>
      <c r="AR354" s="114">
        <v>474</v>
      </c>
      <c r="AS354" s="114">
        <v>1763</v>
      </c>
      <c r="AT354" s="114">
        <v>20</v>
      </c>
      <c r="AU354" s="114">
        <v>6327</v>
      </c>
      <c r="AV354" s="114">
        <v>0</v>
      </c>
      <c r="AW354" s="114">
        <v>0</v>
      </c>
      <c r="AX354" s="114">
        <v>0</v>
      </c>
      <c r="AY354" s="114">
        <v>0</v>
      </c>
      <c r="AZ354" s="114">
        <v>11</v>
      </c>
      <c r="BA354" s="114">
        <v>684</v>
      </c>
      <c r="BB354" s="116"/>
      <c r="BC354" s="116"/>
      <c r="BD354" s="116"/>
      <c r="BE354" s="116"/>
      <c r="BF354" s="116"/>
      <c r="BG354" s="116"/>
      <c r="BH354" s="116"/>
      <c r="BI354" s="116"/>
      <c r="BJ354" s="117">
        <v>566764</v>
      </c>
      <c r="BK354" s="117">
        <v>2840</v>
      </c>
      <c r="BL354" s="117">
        <v>1517484</v>
      </c>
      <c r="BM354" s="118">
        <v>7011525</v>
      </c>
      <c r="BN354" s="118"/>
      <c r="BO354" s="120">
        <v>0.727</v>
      </c>
      <c r="BP354" s="120">
        <v>0.273</v>
      </c>
      <c r="BQ354" s="120">
        <v>0</v>
      </c>
      <c r="BR354" s="120">
        <v>0.018</v>
      </c>
      <c r="BS354" s="120">
        <v>0.076</v>
      </c>
      <c r="BT354" s="120">
        <v>0.316</v>
      </c>
      <c r="BU354" s="120">
        <v>0.226</v>
      </c>
      <c r="BV354" s="120">
        <v>0.166</v>
      </c>
      <c r="BW354" s="120">
        <v>0.128</v>
      </c>
      <c r="BX354" s="120">
        <v>0.069</v>
      </c>
    </row>
    <row r="355" s="96" customFormat="1" ht="15.75" customHeight="1" spans="1:76">
      <c r="A355" s="111">
        <v>354</v>
      </c>
      <c r="B355" s="96" t="s">
        <v>46</v>
      </c>
      <c r="C355" s="96" t="s">
        <v>49</v>
      </c>
      <c r="D355" s="122">
        <v>2026</v>
      </c>
      <c r="E355" s="96" t="s">
        <v>37</v>
      </c>
      <c r="F355" s="123">
        <v>3726224</v>
      </c>
      <c r="G355" s="123">
        <v>3599741</v>
      </c>
      <c r="H355" s="123">
        <v>158504</v>
      </c>
      <c r="I355" s="123">
        <v>4425</v>
      </c>
      <c r="J355" s="124">
        <v>0.0018287037037037</v>
      </c>
      <c r="K355" s="125">
        <v>16</v>
      </c>
      <c r="L355" s="125">
        <v>415</v>
      </c>
      <c r="M355" s="123">
        <v>36502769</v>
      </c>
      <c r="N355" s="125">
        <v>8</v>
      </c>
      <c r="O355" s="123">
        <v>2516086</v>
      </c>
      <c r="P355" s="123">
        <v>1118111</v>
      </c>
      <c r="Q355" s="123">
        <v>1276231</v>
      </c>
      <c r="R355" s="123">
        <v>1100770</v>
      </c>
      <c r="S355" s="123">
        <v>175461</v>
      </c>
      <c r="T355" s="123">
        <v>6047</v>
      </c>
      <c r="U355" s="123">
        <v>1622</v>
      </c>
      <c r="V355" s="123">
        <v>19645</v>
      </c>
      <c r="W355" s="123">
        <v>1639</v>
      </c>
      <c r="X355" s="123">
        <v>5428</v>
      </c>
      <c r="Y355" s="123">
        <v>16091</v>
      </c>
      <c r="Z355" s="123">
        <v>11403567</v>
      </c>
      <c r="AA355" s="125">
        <v>0</v>
      </c>
      <c r="AB355" s="125">
        <v>0</v>
      </c>
      <c r="AC355" s="123">
        <v>338850</v>
      </c>
      <c r="AD355" s="123">
        <v>11034420</v>
      </c>
      <c r="AE355" s="123">
        <v>20052816</v>
      </c>
      <c r="AF355" s="123">
        <v>2152107</v>
      </c>
      <c r="AG355" s="123">
        <v>9318</v>
      </c>
      <c r="AH355" s="123">
        <v>1791937</v>
      </c>
      <c r="AI355" s="123">
        <v>3184</v>
      </c>
      <c r="AJ355" s="125">
        <v>3</v>
      </c>
      <c r="AK355" s="125">
        <v>121</v>
      </c>
      <c r="AL355" s="125">
        <v>0</v>
      </c>
      <c r="AM355" s="125">
        <v>0</v>
      </c>
      <c r="AN355" s="123">
        <v>48773</v>
      </c>
      <c r="AO355" s="123">
        <v>2670</v>
      </c>
      <c r="AP355" s="125">
        <v>94</v>
      </c>
      <c r="AQ355" s="125">
        <v>402</v>
      </c>
      <c r="AR355" s="125">
        <v>704</v>
      </c>
      <c r="AS355" s="125">
        <v>444</v>
      </c>
      <c r="AT355" s="125">
        <v>6</v>
      </c>
      <c r="AU355" s="123">
        <v>16043</v>
      </c>
      <c r="AV355" s="125">
        <v>0</v>
      </c>
      <c r="AW355" s="125">
        <v>0</v>
      </c>
      <c r="AX355" s="125">
        <v>0</v>
      </c>
      <c r="AY355" s="125">
        <v>0</v>
      </c>
      <c r="AZ355" s="125">
        <v>11</v>
      </c>
      <c r="BA355" s="125">
        <v>682</v>
      </c>
      <c r="BB355" s="125"/>
      <c r="BC355" s="125"/>
      <c r="BD355" s="125"/>
      <c r="BE355" s="125"/>
      <c r="BF355" s="125"/>
      <c r="BG355" s="125"/>
      <c r="BH355" s="125"/>
      <c r="BI355" s="125"/>
      <c r="BJ355" s="117">
        <v>571189</v>
      </c>
      <c r="BK355" s="117">
        <v>4425</v>
      </c>
      <c r="BL355" s="117">
        <v>2659300</v>
      </c>
      <c r="BM355" s="118">
        <v>9971033</v>
      </c>
      <c r="BN355" s="118"/>
      <c r="BO355" s="120">
        <v>0.679</v>
      </c>
      <c r="BP355" s="120">
        <v>0.32</v>
      </c>
      <c r="BQ355" s="120">
        <v>0.001</v>
      </c>
      <c r="BR355" s="120">
        <v>0.017</v>
      </c>
      <c r="BS355" s="120">
        <v>0.07</v>
      </c>
      <c r="BT355" s="120">
        <v>0.303</v>
      </c>
      <c r="BU355" s="120">
        <v>0.231</v>
      </c>
      <c r="BV355" s="120">
        <v>0.172</v>
      </c>
      <c r="BW355" s="120">
        <v>0.135</v>
      </c>
      <c r="BX355" s="120">
        <v>0.07</v>
      </c>
    </row>
    <row r="356" s="96" customFormat="1" ht="15.75" customHeight="1" spans="1:76">
      <c r="A356" s="111">
        <v>355</v>
      </c>
      <c r="B356" s="96" t="s">
        <v>46</v>
      </c>
      <c r="C356" s="96" t="s">
        <v>49</v>
      </c>
      <c r="D356" s="122">
        <v>2026</v>
      </c>
      <c r="E356" s="96" t="s">
        <v>38</v>
      </c>
      <c r="F356" s="126">
        <v>2691708</v>
      </c>
      <c r="G356" s="126">
        <v>2604021</v>
      </c>
      <c r="H356" s="126">
        <v>125686</v>
      </c>
      <c r="I356" s="126">
        <v>2442</v>
      </c>
      <c r="J356" s="127">
        <v>0.00200231481481481</v>
      </c>
      <c r="K356" s="128">
        <v>18</v>
      </c>
      <c r="L356" s="128">
        <v>515</v>
      </c>
      <c r="M356" s="126">
        <v>33914735</v>
      </c>
      <c r="N356" s="128">
        <v>6</v>
      </c>
      <c r="O356" s="126">
        <v>1817471</v>
      </c>
      <c r="P356" s="126">
        <v>638887</v>
      </c>
      <c r="Q356" s="126">
        <v>1009768</v>
      </c>
      <c r="R356" s="126">
        <v>851544</v>
      </c>
      <c r="S356" s="126">
        <v>158224</v>
      </c>
      <c r="T356" s="126">
        <v>3808</v>
      </c>
      <c r="U356" s="126">
        <v>1366</v>
      </c>
      <c r="V356" s="126">
        <v>11124</v>
      </c>
      <c r="W356" s="128">
        <v>884</v>
      </c>
      <c r="X356" s="126">
        <v>3138</v>
      </c>
      <c r="Y356" s="126">
        <v>7449</v>
      </c>
      <c r="Z356" s="126">
        <v>8401579</v>
      </c>
      <c r="AA356" s="128">
        <v>0</v>
      </c>
      <c r="AB356" s="128">
        <v>0</v>
      </c>
      <c r="AC356" s="126">
        <v>255195</v>
      </c>
      <c r="AD356" s="126">
        <v>8125428</v>
      </c>
      <c r="AE356" s="126">
        <v>14712422</v>
      </c>
      <c r="AF356" s="126">
        <v>1558710</v>
      </c>
      <c r="AG356" s="126">
        <v>9439</v>
      </c>
      <c r="AH356" s="126">
        <v>1303628</v>
      </c>
      <c r="AI356" s="126">
        <v>3233</v>
      </c>
      <c r="AJ356" s="128">
        <v>6</v>
      </c>
      <c r="AK356" s="128">
        <v>99</v>
      </c>
      <c r="AL356" s="128">
        <v>0</v>
      </c>
      <c r="AM356" s="128">
        <v>0</v>
      </c>
      <c r="AN356" s="126">
        <v>37891</v>
      </c>
      <c r="AO356" s="126">
        <v>2059</v>
      </c>
      <c r="AP356" s="128">
        <v>44</v>
      </c>
      <c r="AQ356" s="128">
        <v>345</v>
      </c>
      <c r="AR356" s="128">
        <v>562</v>
      </c>
      <c r="AS356" s="128">
        <v>248</v>
      </c>
      <c r="AT356" s="128">
        <v>3</v>
      </c>
      <c r="AU356" s="126">
        <v>6734</v>
      </c>
      <c r="AV356" s="128">
        <v>0</v>
      </c>
      <c r="AW356" s="128">
        <v>0</v>
      </c>
      <c r="AX356" s="128">
        <v>0</v>
      </c>
      <c r="AY356" s="128">
        <v>4</v>
      </c>
      <c r="AZ356" s="128">
        <v>13</v>
      </c>
      <c r="BA356" s="128">
        <v>777</v>
      </c>
      <c r="BB356" s="129"/>
      <c r="BC356" s="129"/>
      <c r="BD356" s="129"/>
      <c r="BE356" s="129"/>
      <c r="BF356" s="129"/>
      <c r="BG356" s="129"/>
      <c r="BH356" s="129"/>
      <c r="BI356" s="129"/>
      <c r="BJ356" s="130">
        <v>573631</v>
      </c>
      <c r="BK356" s="130">
        <v>2442</v>
      </c>
      <c r="BL356" s="130">
        <v>1572462</v>
      </c>
      <c r="BM356" s="131">
        <v>6574293</v>
      </c>
      <c r="BN356" s="131"/>
      <c r="BO356" s="132">
        <v>0.722</v>
      </c>
      <c r="BP356" s="132">
        <v>0.277</v>
      </c>
      <c r="BQ356" s="132">
        <v>0.001</v>
      </c>
      <c r="BR356" s="132">
        <v>0.014</v>
      </c>
      <c r="BS356" s="132">
        <v>0.072</v>
      </c>
      <c r="BT356" s="132">
        <v>0.309</v>
      </c>
      <c r="BU356" s="132">
        <v>0.221</v>
      </c>
      <c r="BV356" s="132">
        <v>0.163</v>
      </c>
      <c r="BW356" s="132">
        <v>0.139</v>
      </c>
      <c r="BX356" s="119"/>
    </row>
    <row r="357" s="96" customFormat="1" ht="15.75" customHeight="1" spans="1:76">
      <c r="A357" s="111">
        <v>356</v>
      </c>
      <c r="B357" s="96" t="s">
        <v>46</v>
      </c>
      <c r="C357" s="96" t="s">
        <v>49</v>
      </c>
      <c r="D357" s="122">
        <v>2026</v>
      </c>
      <c r="E357" s="96" t="s">
        <v>39</v>
      </c>
      <c r="F357" s="128"/>
      <c r="G357" s="128"/>
      <c r="H357" s="128"/>
      <c r="I357" s="128"/>
      <c r="J357" s="127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9"/>
      <c r="BC357" s="129"/>
      <c r="BD357" s="129"/>
      <c r="BE357" s="129"/>
      <c r="BF357" s="129"/>
      <c r="BG357" s="129"/>
      <c r="BH357" s="129"/>
      <c r="BI357" s="129"/>
      <c r="BJ357" s="119"/>
      <c r="BK357" s="119"/>
      <c r="BL357" s="119"/>
      <c r="BM357" s="131"/>
      <c r="BN357" s="131"/>
      <c r="BO357" s="119"/>
      <c r="BP357" s="119"/>
      <c r="BQ357" s="119"/>
      <c r="BR357" s="119"/>
      <c r="BS357" s="119"/>
      <c r="BT357" s="119"/>
      <c r="BU357" s="119"/>
      <c r="BV357" s="119"/>
      <c r="BW357" s="119"/>
      <c r="BX357" s="119"/>
    </row>
    <row r="358" s="96" customFormat="1" ht="15.75" customHeight="1" spans="1:76">
      <c r="A358" s="111">
        <v>357</v>
      </c>
      <c r="B358" s="96" t="s">
        <v>46</v>
      </c>
      <c r="C358" s="96" t="s">
        <v>49</v>
      </c>
      <c r="D358" s="122">
        <v>2026</v>
      </c>
      <c r="E358" s="96" t="s">
        <v>40</v>
      </c>
      <c r="F358" s="128"/>
      <c r="G358" s="128"/>
      <c r="H358" s="128"/>
      <c r="I358" s="128"/>
      <c r="J358" s="127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9"/>
      <c r="BC358" s="129"/>
      <c r="BD358" s="129"/>
      <c r="BE358" s="129"/>
      <c r="BF358" s="129"/>
      <c r="BG358" s="129"/>
      <c r="BH358" s="129"/>
      <c r="BI358" s="129"/>
      <c r="BJ358" s="119"/>
      <c r="BK358" s="119"/>
      <c r="BL358" s="119"/>
      <c r="BM358" s="131"/>
      <c r="BN358" s="131"/>
      <c r="BO358" s="119"/>
      <c r="BP358" s="119"/>
      <c r="BQ358" s="119"/>
      <c r="BR358" s="119"/>
      <c r="BS358" s="119"/>
      <c r="BT358" s="119"/>
      <c r="BU358" s="119"/>
      <c r="BV358" s="119"/>
      <c r="BW358" s="119"/>
      <c r="BX358" s="119"/>
    </row>
    <row r="359" s="96" customFormat="1" ht="15.75" customHeight="1" spans="1:76">
      <c r="A359" s="111">
        <v>358</v>
      </c>
      <c r="B359" s="96" t="s">
        <v>46</v>
      </c>
      <c r="C359" s="96" t="s">
        <v>49</v>
      </c>
      <c r="D359" s="122">
        <v>2026</v>
      </c>
      <c r="E359" s="96" t="s">
        <v>41</v>
      </c>
      <c r="F359" s="128"/>
      <c r="G359" s="128"/>
      <c r="H359" s="128"/>
      <c r="I359" s="128"/>
      <c r="J359" s="127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9"/>
      <c r="BC359" s="129"/>
      <c r="BD359" s="129"/>
      <c r="BE359" s="129"/>
      <c r="BF359" s="129"/>
      <c r="BG359" s="129"/>
      <c r="BH359" s="129"/>
      <c r="BI359" s="129"/>
      <c r="BJ359" s="119"/>
      <c r="BK359" s="119"/>
      <c r="BL359" s="119"/>
      <c r="BM359" s="131"/>
      <c r="BN359" s="131"/>
      <c r="BO359" s="119"/>
      <c r="BP359" s="119"/>
      <c r="BQ359" s="119"/>
      <c r="BR359" s="119"/>
      <c r="BS359" s="119"/>
      <c r="BT359" s="119"/>
      <c r="BU359" s="119"/>
      <c r="BV359" s="119"/>
      <c r="BW359" s="119"/>
      <c r="BX359" s="119"/>
    </row>
    <row r="360" s="96" customFormat="1" ht="15.75" customHeight="1" spans="1:76">
      <c r="A360" s="111">
        <v>359</v>
      </c>
      <c r="B360" s="96" t="s">
        <v>46</v>
      </c>
      <c r="C360" s="96" t="s">
        <v>49</v>
      </c>
      <c r="D360" s="122">
        <v>2026</v>
      </c>
      <c r="E360" s="96" t="s">
        <v>42</v>
      </c>
      <c r="F360" s="128"/>
      <c r="G360" s="128"/>
      <c r="H360" s="128"/>
      <c r="I360" s="128"/>
      <c r="J360" s="127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9"/>
      <c r="BC360" s="129"/>
      <c r="BD360" s="129"/>
      <c r="BE360" s="129"/>
      <c r="BF360" s="129"/>
      <c r="BG360" s="129"/>
      <c r="BH360" s="129"/>
      <c r="BI360" s="129"/>
      <c r="BJ360" s="119"/>
      <c r="BK360" s="119"/>
      <c r="BL360" s="119"/>
      <c r="BM360" s="131"/>
      <c r="BN360" s="131"/>
      <c r="BO360" s="119"/>
      <c r="BP360" s="119"/>
      <c r="BQ360" s="119"/>
      <c r="BR360" s="119"/>
      <c r="BS360" s="119"/>
      <c r="BT360" s="119"/>
      <c r="BU360" s="119"/>
      <c r="BV360" s="119"/>
      <c r="BW360" s="119"/>
      <c r="BX360" s="119"/>
    </row>
    <row r="361" s="96" customFormat="1" ht="15.75" customHeight="1" spans="1:76">
      <c r="A361" s="111">
        <v>360</v>
      </c>
      <c r="B361" s="96" t="s">
        <v>46</v>
      </c>
      <c r="C361" s="96" t="s">
        <v>49</v>
      </c>
      <c r="D361" s="122">
        <v>2026</v>
      </c>
      <c r="E361" s="96" t="s">
        <v>43</v>
      </c>
      <c r="F361" s="128"/>
      <c r="G361" s="128"/>
      <c r="H361" s="128"/>
      <c r="I361" s="128"/>
      <c r="J361" s="127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9"/>
      <c r="BC361" s="129"/>
      <c r="BD361" s="129"/>
      <c r="BE361" s="129"/>
      <c r="BF361" s="129"/>
      <c r="BG361" s="129"/>
      <c r="BH361" s="129"/>
      <c r="BI361" s="129"/>
      <c r="BJ361" s="119"/>
      <c r="BK361" s="119"/>
      <c r="BL361" s="119"/>
      <c r="BM361" s="131"/>
      <c r="BN361" s="131"/>
      <c r="BO361" s="119"/>
      <c r="BP361" s="119"/>
      <c r="BQ361" s="119"/>
      <c r="BR361" s="119"/>
      <c r="BS361" s="119"/>
      <c r="BT361" s="119"/>
      <c r="BU361" s="119"/>
      <c r="BV361" s="119"/>
      <c r="BW361" s="119"/>
      <c r="BX361" s="119"/>
    </row>
    <row r="362" s="96" customFormat="1" ht="15.75" customHeight="1" spans="1:76">
      <c r="A362" s="111">
        <v>361</v>
      </c>
      <c r="B362" s="112" t="s">
        <v>46</v>
      </c>
      <c r="C362" s="112" t="s">
        <v>51</v>
      </c>
      <c r="D362" s="111">
        <v>2024</v>
      </c>
      <c r="E362" s="113" t="s">
        <v>31</v>
      </c>
      <c r="F362" s="114">
        <v>83535867</v>
      </c>
      <c r="G362" s="114">
        <v>83535867</v>
      </c>
      <c r="H362" s="114">
        <v>4730541.32</v>
      </c>
      <c r="I362" s="114">
        <v>137516</v>
      </c>
      <c r="J362" s="115">
        <v>0.00234953703703704</v>
      </c>
      <c r="K362" s="114">
        <v>14.16</v>
      </c>
      <c r="L362" s="114">
        <v>4259</v>
      </c>
      <c r="M362" s="114">
        <v>798029729</v>
      </c>
      <c r="N362" s="114">
        <v>7.06</v>
      </c>
      <c r="O362" s="114">
        <v>22843327</v>
      </c>
      <c r="P362" s="114">
        <v>5429699</v>
      </c>
      <c r="Q362" s="114">
        <v>17413628</v>
      </c>
      <c r="R362" s="114">
        <v>17413628</v>
      </c>
      <c r="S362" s="114">
        <v>0</v>
      </c>
      <c r="T362" s="114">
        <v>162824</v>
      </c>
      <c r="U362" s="114">
        <v>25308</v>
      </c>
      <c r="V362" s="114">
        <v>895430</v>
      </c>
      <c r="W362" s="114">
        <v>44223</v>
      </c>
      <c r="X362" s="114">
        <v>172282</v>
      </c>
      <c r="Y362" s="114">
        <v>340016</v>
      </c>
      <c r="Z362" s="114">
        <v>226482567.9</v>
      </c>
      <c r="AA362" s="114">
        <v>88855.771</v>
      </c>
      <c r="AB362" s="114">
        <v>7</v>
      </c>
      <c r="AC362" s="114">
        <v>9143314.124</v>
      </c>
      <c r="AD362" s="114">
        <v>214592417.5</v>
      </c>
      <c r="AE362" s="114">
        <v>391502534.4</v>
      </c>
      <c r="AF362" s="114">
        <v>42113243</v>
      </c>
      <c r="AG362" s="114">
        <v>9296.423</v>
      </c>
      <c r="AH362" s="114">
        <v>35090416</v>
      </c>
      <c r="AI362" s="114">
        <v>2711.202</v>
      </c>
      <c r="AJ362" s="114">
        <v>0</v>
      </c>
      <c r="AK362" s="114">
        <v>0</v>
      </c>
      <c r="AL362" s="114">
        <v>0</v>
      </c>
      <c r="AM362" s="114">
        <v>0</v>
      </c>
      <c r="AN362" s="114">
        <v>1074632</v>
      </c>
      <c r="AO362" s="114">
        <v>99596.8371</v>
      </c>
      <c r="AP362" s="114">
        <v>908.9185</v>
      </c>
      <c r="AQ362" s="114">
        <v>11209</v>
      </c>
      <c r="AR362" s="114">
        <v>249219</v>
      </c>
      <c r="AS362" s="114">
        <v>90259</v>
      </c>
      <c r="AT362" s="114">
        <v>59</v>
      </c>
      <c r="AU362" s="114">
        <v>199840</v>
      </c>
      <c r="AV362" s="114">
        <v>1</v>
      </c>
      <c r="AW362" s="114">
        <v>0.0045</v>
      </c>
      <c r="AX362" s="114">
        <v>0</v>
      </c>
      <c r="AY362" s="114">
        <v>0</v>
      </c>
      <c r="AZ362" s="114">
        <v>932</v>
      </c>
      <c r="BA362" s="114">
        <v>55047</v>
      </c>
      <c r="BB362" s="114">
        <v>0</v>
      </c>
      <c r="BC362" s="114">
        <v>0</v>
      </c>
      <c r="BD362" s="114">
        <v>0</v>
      </c>
      <c r="BE362" s="114">
        <v>0</v>
      </c>
      <c r="BF362" s="114">
        <v>0</v>
      </c>
      <c r="BG362" s="114">
        <v>0</v>
      </c>
      <c r="BH362" s="114"/>
      <c r="BI362" s="114"/>
      <c r="BJ362" s="117">
        <v>7448852</v>
      </c>
      <c r="BK362" s="117">
        <v>137516</v>
      </c>
      <c r="BL362" s="117">
        <v>49077744</v>
      </c>
      <c r="BM362" s="118">
        <v>168861000</v>
      </c>
      <c r="BN362" s="118">
        <v>9933</v>
      </c>
      <c r="BO362" s="119"/>
      <c r="BP362" s="119"/>
      <c r="BQ362" s="119"/>
      <c r="BR362" s="119"/>
      <c r="BS362" s="119"/>
      <c r="BT362" s="119"/>
      <c r="BU362" s="119"/>
      <c r="BV362" s="119"/>
      <c r="BW362" s="119"/>
      <c r="BX362" s="119"/>
    </row>
    <row r="363" s="96" customFormat="1" ht="15.75" customHeight="1" spans="1:76">
      <c r="A363" s="111">
        <v>362</v>
      </c>
      <c r="B363" s="112" t="s">
        <v>46</v>
      </c>
      <c r="C363" s="112" t="s">
        <v>51</v>
      </c>
      <c r="D363" s="111">
        <v>2024</v>
      </c>
      <c r="E363" s="113" t="s">
        <v>33</v>
      </c>
      <c r="F363" s="114">
        <v>115898870</v>
      </c>
      <c r="G363" s="114">
        <v>115898870</v>
      </c>
      <c r="H363" s="114">
        <v>8418748.852</v>
      </c>
      <c r="I363" s="114">
        <v>205199</v>
      </c>
      <c r="J363" s="115">
        <v>0.00302083333333333</v>
      </c>
      <c r="K363" s="114">
        <v>13.89</v>
      </c>
      <c r="L363" s="114">
        <v>4462</v>
      </c>
      <c r="M363" s="114">
        <v>1089631593</v>
      </c>
      <c r="N363" s="114">
        <v>7.39</v>
      </c>
      <c r="O363" s="114">
        <v>24482309</v>
      </c>
      <c r="P363" s="114">
        <v>6147144</v>
      </c>
      <c r="Q363" s="114">
        <v>18354861</v>
      </c>
      <c r="R363" s="114">
        <v>18354861</v>
      </c>
      <c r="S363" s="114">
        <v>0</v>
      </c>
      <c r="T363" s="114">
        <v>237474</v>
      </c>
      <c r="U363" s="114">
        <v>32275</v>
      </c>
      <c r="V363" s="114">
        <v>1012986</v>
      </c>
      <c r="W363" s="114">
        <v>54442</v>
      </c>
      <c r="X363" s="114">
        <v>286899</v>
      </c>
      <c r="Y363" s="114">
        <v>529051</v>
      </c>
      <c r="Z363" s="114">
        <v>607711753.8</v>
      </c>
      <c r="AA363" s="114">
        <v>102971.828</v>
      </c>
      <c r="AB363" s="114">
        <v>4</v>
      </c>
      <c r="AC363" s="114">
        <v>19710608.98</v>
      </c>
      <c r="AD363" s="114">
        <v>585536635.9</v>
      </c>
      <c r="AE363" s="114">
        <v>1076605065</v>
      </c>
      <c r="AF363" s="114">
        <v>85253352</v>
      </c>
      <c r="AG363" s="114">
        <v>12628.302</v>
      </c>
      <c r="AH363" s="114">
        <v>68324069</v>
      </c>
      <c r="AI363" s="114">
        <v>5243.466</v>
      </c>
      <c r="AJ363" s="114">
        <v>0</v>
      </c>
      <c r="AK363" s="114">
        <v>0</v>
      </c>
      <c r="AL363" s="114">
        <v>0</v>
      </c>
      <c r="AM363" s="114">
        <v>0</v>
      </c>
      <c r="AN363" s="114">
        <v>1741574</v>
      </c>
      <c r="AO363" s="114">
        <v>178158.0074</v>
      </c>
      <c r="AP363" s="114">
        <v>1025.0351</v>
      </c>
      <c r="AQ363" s="114">
        <v>34194</v>
      </c>
      <c r="AR363" s="114">
        <v>654640</v>
      </c>
      <c r="AS363" s="114">
        <v>240314</v>
      </c>
      <c r="AT363" s="114">
        <v>125</v>
      </c>
      <c r="AU363" s="114">
        <v>831888</v>
      </c>
      <c r="AV363" s="114">
        <v>0</v>
      </c>
      <c r="AW363" s="114">
        <v>0</v>
      </c>
      <c r="AX363" s="114">
        <v>0</v>
      </c>
      <c r="AY363" s="114">
        <v>0</v>
      </c>
      <c r="AZ363" s="114">
        <v>755</v>
      </c>
      <c r="BA363" s="114">
        <v>43858</v>
      </c>
      <c r="BB363" s="114">
        <v>0</v>
      </c>
      <c r="BC363" s="114">
        <v>0</v>
      </c>
      <c r="BD363" s="114">
        <v>0</v>
      </c>
      <c r="BE363" s="114">
        <v>0</v>
      </c>
      <c r="BF363" s="114">
        <v>0</v>
      </c>
      <c r="BG363" s="114">
        <v>0</v>
      </c>
      <c r="BH363" s="114"/>
      <c r="BI363" s="114"/>
      <c r="BJ363" s="117">
        <v>7654051</v>
      </c>
      <c r="BK363" s="117">
        <v>205199</v>
      </c>
      <c r="BL363" s="117">
        <v>79015601</v>
      </c>
      <c r="BM363" s="118">
        <v>505189000</v>
      </c>
      <c r="BN363" s="118">
        <v>29717</v>
      </c>
      <c r="BO363" s="119"/>
      <c r="BP363" s="119"/>
      <c r="BQ363" s="119"/>
      <c r="BR363" s="119"/>
      <c r="BS363" s="119"/>
      <c r="BT363" s="119"/>
      <c r="BU363" s="119"/>
      <c r="BV363" s="119"/>
      <c r="BW363" s="119"/>
      <c r="BX363" s="119"/>
    </row>
    <row r="364" s="96" customFormat="1" ht="15.75" customHeight="1" spans="1:76">
      <c r="A364" s="111">
        <v>363</v>
      </c>
      <c r="B364" s="112" t="s">
        <v>46</v>
      </c>
      <c r="C364" s="112" t="s">
        <v>51</v>
      </c>
      <c r="D364" s="111">
        <v>2024</v>
      </c>
      <c r="E364" s="113" t="s">
        <v>34</v>
      </c>
      <c r="F364" s="114">
        <v>71815680</v>
      </c>
      <c r="G364" s="114">
        <v>71815680</v>
      </c>
      <c r="H364" s="114">
        <v>6433657.024</v>
      </c>
      <c r="I364" s="114">
        <v>130882</v>
      </c>
      <c r="J364" s="115">
        <v>0.00372685185185185</v>
      </c>
      <c r="K364" s="114">
        <v>18.6</v>
      </c>
      <c r="L364" s="114">
        <v>3440</v>
      </c>
      <c r="M364" s="114">
        <v>720926621</v>
      </c>
      <c r="N364" s="114">
        <v>6.62</v>
      </c>
      <c r="O364" s="114">
        <v>19134646</v>
      </c>
      <c r="P364" s="114">
        <v>3864389</v>
      </c>
      <c r="Q364" s="114">
        <v>15270257</v>
      </c>
      <c r="R364" s="114">
        <v>15270257</v>
      </c>
      <c r="S364" s="114">
        <v>0</v>
      </c>
      <c r="T364" s="114">
        <v>156368</v>
      </c>
      <c r="U364" s="114">
        <v>25486</v>
      </c>
      <c r="V364" s="114">
        <v>534420</v>
      </c>
      <c r="W364" s="114">
        <v>39507</v>
      </c>
      <c r="X364" s="114">
        <v>145941</v>
      </c>
      <c r="Y364" s="114">
        <v>270932</v>
      </c>
      <c r="Z364" s="114">
        <v>355117911.3</v>
      </c>
      <c r="AA364" s="114">
        <v>13968.64</v>
      </c>
      <c r="AB364" s="114">
        <v>1</v>
      </c>
      <c r="AC364" s="114">
        <v>13513994.69</v>
      </c>
      <c r="AD364" s="114">
        <v>340112052.9</v>
      </c>
      <c r="AE364" s="114">
        <v>619496709.2</v>
      </c>
      <c r="AF364" s="114">
        <v>60636392</v>
      </c>
      <c r="AG364" s="114">
        <v>10216.583</v>
      </c>
      <c r="AH364" s="114">
        <v>47126052</v>
      </c>
      <c r="AI364" s="114">
        <v>4944.852</v>
      </c>
      <c r="AJ364" s="114">
        <v>0</v>
      </c>
      <c r="AK364" s="114">
        <v>0</v>
      </c>
      <c r="AL364" s="114">
        <v>0</v>
      </c>
      <c r="AM364" s="114">
        <v>0</v>
      </c>
      <c r="AN364" s="114">
        <v>960487</v>
      </c>
      <c r="AO364" s="114">
        <v>133041.4726</v>
      </c>
      <c r="AP364" s="114">
        <v>915.9682</v>
      </c>
      <c r="AQ364" s="114">
        <v>12943</v>
      </c>
      <c r="AR364" s="114">
        <v>104995</v>
      </c>
      <c r="AS364" s="114">
        <v>51944</v>
      </c>
      <c r="AT364" s="114">
        <v>89</v>
      </c>
      <c r="AU364" s="114">
        <v>351684</v>
      </c>
      <c r="AV364" s="114">
        <v>0</v>
      </c>
      <c r="AW364" s="114">
        <v>0</v>
      </c>
      <c r="AX364" s="114">
        <v>0</v>
      </c>
      <c r="AY364" s="114">
        <v>0</v>
      </c>
      <c r="AZ364" s="114">
        <v>1475</v>
      </c>
      <c r="BA364" s="114">
        <v>55510</v>
      </c>
      <c r="BB364" s="114">
        <v>0</v>
      </c>
      <c r="BC364" s="114">
        <v>0</v>
      </c>
      <c r="BD364" s="114">
        <v>0</v>
      </c>
      <c r="BE364" s="114">
        <v>0</v>
      </c>
      <c r="BF364" s="114">
        <v>0</v>
      </c>
      <c r="BG364" s="114">
        <v>0</v>
      </c>
      <c r="BH364" s="114"/>
      <c r="BI364" s="114"/>
      <c r="BJ364" s="117">
        <v>7784933</v>
      </c>
      <c r="BK364" s="117">
        <v>130882</v>
      </c>
      <c r="BL364" s="117">
        <v>43229785</v>
      </c>
      <c r="BM364" s="118">
        <v>247452000</v>
      </c>
      <c r="BN364" s="118">
        <v>14556</v>
      </c>
      <c r="BO364" s="119"/>
      <c r="BP364" s="119"/>
      <c r="BQ364" s="119"/>
      <c r="BR364" s="119"/>
      <c r="BS364" s="119"/>
      <c r="BT364" s="119"/>
      <c r="BU364" s="119"/>
      <c r="BV364" s="119"/>
      <c r="BW364" s="119"/>
      <c r="BX364" s="119"/>
    </row>
    <row r="365" s="96" customFormat="1" ht="15.75" customHeight="1" spans="1:76">
      <c r="A365" s="111">
        <v>364</v>
      </c>
      <c r="B365" s="112" t="s">
        <v>46</v>
      </c>
      <c r="C365" s="112" t="s">
        <v>51</v>
      </c>
      <c r="D365" s="111">
        <v>2024</v>
      </c>
      <c r="E365" s="113" t="s">
        <v>35</v>
      </c>
      <c r="F365" s="114">
        <v>59730964</v>
      </c>
      <c r="G365" s="114">
        <v>59730964</v>
      </c>
      <c r="H365" s="114">
        <v>4315383.249</v>
      </c>
      <c r="I365" s="114">
        <v>90140</v>
      </c>
      <c r="J365" s="115">
        <v>0.00300925925925926</v>
      </c>
      <c r="K365" s="114">
        <v>19.87</v>
      </c>
      <c r="L365" s="114">
        <v>3413</v>
      </c>
      <c r="M365" s="114">
        <v>639457158</v>
      </c>
      <c r="N365" s="114">
        <v>6.27</v>
      </c>
      <c r="O365" s="114">
        <v>18672887</v>
      </c>
      <c r="P365" s="114">
        <v>3866461</v>
      </c>
      <c r="Q365" s="114">
        <v>14806426</v>
      </c>
      <c r="R365" s="114">
        <v>14806426</v>
      </c>
      <c r="S365" s="114">
        <v>0</v>
      </c>
      <c r="T365" s="114">
        <v>109948</v>
      </c>
      <c r="U365" s="114">
        <v>19808</v>
      </c>
      <c r="V365" s="114">
        <v>446674</v>
      </c>
      <c r="W365" s="114">
        <v>34620</v>
      </c>
      <c r="X365" s="114">
        <v>105085</v>
      </c>
      <c r="Y365" s="114">
        <v>184819</v>
      </c>
      <c r="Z365" s="114">
        <v>227741932.1</v>
      </c>
      <c r="AA365" s="114">
        <v>41485.633</v>
      </c>
      <c r="AB365" s="114">
        <v>3</v>
      </c>
      <c r="AC365" s="114">
        <v>12027364.09</v>
      </c>
      <c r="AD365" s="114">
        <v>213962430.8</v>
      </c>
      <c r="AE365" s="114">
        <v>394891799.9</v>
      </c>
      <c r="AF365" s="114">
        <v>39292199</v>
      </c>
      <c r="AG365" s="114">
        <v>10050.132</v>
      </c>
      <c r="AH365" s="114">
        <v>31733761</v>
      </c>
      <c r="AI365" s="114">
        <v>3812.796</v>
      </c>
      <c r="AJ365" s="114">
        <v>0</v>
      </c>
      <c r="AK365" s="114">
        <v>0</v>
      </c>
      <c r="AL365" s="114">
        <v>0</v>
      </c>
      <c r="AM365" s="114">
        <v>0</v>
      </c>
      <c r="AN365" s="114">
        <v>947361</v>
      </c>
      <c r="AO365" s="114">
        <v>104440.4591</v>
      </c>
      <c r="AP365" s="114">
        <v>861.6377</v>
      </c>
      <c r="AQ365" s="114">
        <v>4916</v>
      </c>
      <c r="AR365" s="114">
        <v>263971</v>
      </c>
      <c r="AS365" s="114">
        <v>103424</v>
      </c>
      <c r="AT365" s="114">
        <v>99</v>
      </c>
      <c r="AU365" s="114">
        <v>533167</v>
      </c>
      <c r="AV365" s="114">
        <v>0</v>
      </c>
      <c r="AW365" s="114">
        <v>0</v>
      </c>
      <c r="AX365" s="114">
        <v>0</v>
      </c>
      <c r="AY365" s="114">
        <v>0</v>
      </c>
      <c r="AZ365" s="114">
        <v>821</v>
      </c>
      <c r="BA365" s="114">
        <v>35613</v>
      </c>
      <c r="BB365" s="114">
        <v>0</v>
      </c>
      <c r="BC365" s="114">
        <v>0</v>
      </c>
      <c r="BD365" s="114">
        <v>0</v>
      </c>
      <c r="BE365" s="114">
        <v>0</v>
      </c>
      <c r="BF365" s="114">
        <v>0</v>
      </c>
      <c r="BG365" s="114">
        <v>0</v>
      </c>
      <c r="BH365" s="114"/>
      <c r="BI365" s="114"/>
      <c r="BJ365" s="117">
        <v>7875073</v>
      </c>
      <c r="BK365" s="117">
        <v>90140</v>
      </c>
      <c r="BL365" s="117">
        <v>42710626</v>
      </c>
      <c r="BM365" s="118">
        <v>192967000</v>
      </c>
      <c r="BN365" s="118">
        <v>11351</v>
      </c>
      <c r="BO365" s="119"/>
      <c r="BP365" s="119"/>
      <c r="BQ365" s="119"/>
      <c r="BR365" s="119"/>
      <c r="BS365" s="119"/>
      <c r="BT365" s="119"/>
      <c r="BU365" s="119"/>
      <c r="BV365" s="119"/>
      <c r="BW365" s="119"/>
      <c r="BX365" s="119"/>
    </row>
    <row r="366" s="96" customFormat="1" ht="15.75" customHeight="1" spans="1:76">
      <c r="A366" s="111">
        <v>365</v>
      </c>
      <c r="B366" s="112" t="s">
        <v>46</v>
      </c>
      <c r="C366" s="112" t="s">
        <v>51</v>
      </c>
      <c r="D366" s="111">
        <v>2024</v>
      </c>
      <c r="E366" s="113" t="s">
        <v>36</v>
      </c>
      <c r="F366" s="114">
        <v>63291608</v>
      </c>
      <c r="G366" s="114">
        <v>63291608</v>
      </c>
      <c r="H366" s="114">
        <v>4583794.04</v>
      </c>
      <c r="I366" s="114">
        <v>96516</v>
      </c>
      <c r="J366" s="115">
        <v>0.00300925925925926</v>
      </c>
      <c r="K366" s="114">
        <v>26.13</v>
      </c>
      <c r="L366" s="114">
        <v>3766</v>
      </c>
      <c r="M366" s="114">
        <v>609857673</v>
      </c>
      <c r="N366" s="114">
        <v>6.61</v>
      </c>
      <c r="O366" s="114">
        <v>20572397</v>
      </c>
      <c r="P366" s="114">
        <v>4667409</v>
      </c>
      <c r="Q366" s="114">
        <v>15904988</v>
      </c>
      <c r="R366" s="114">
        <v>15904988</v>
      </c>
      <c r="S366" s="114">
        <v>0</v>
      </c>
      <c r="T366" s="114">
        <v>118352</v>
      </c>
      <c r="U366" s="114">
        <v>21836</v>
      </c>
      <c r="V366" s="114">
        <v>499344</v>
      </c>
      <c r="W366" s="114">
        <v>32373</v>
      </c>
      <c r="X366" s="114">
        <v>109162</v>
      </c>
      <c r="Y366" s="114">
        <v>189588</v>
      </c>
      <c r="Z366" s="114">
        <v>193967453.4</v>
      </c>
      <c r="AA366" s="114">
        <v>736970.93</v>
      </c>
      <c r="AB366" s="114">
        <v>12</v>
      </c>
      <c r="AC366" s="114">
        <v>11761044.27</v>
      </c>
      <c r="AD366" s="114">
        <v>179542045.9</v>
      </c>
      <c r="AE366" s="114">
        <v>326890413.7</v>
      </c>
      <c r="AF366" s="114">
        <v>31374099</v>
      </c>
      <c r="AG366" s="114">
        <v>10419.117</v>
      </c>
      <c r="AH366" s="114">
        <v>25082103</v>
      </c>
      <c r="AI366" s="114">
        <v>3064.663</v>
      </c>
      <c r="AJ366" s="114">
        <v>0</v>
      </c>
      <c r="AK366" s="114">
        <v>0</v>
      </c>
      <c r="AL366" s="114">
        <v>0</v>
      </c>
      <c r="AM366" s="114">
        <v>0</v>
      </c>
      <c r="AN366" s="114">
        <v>867692</v>
      </c>
      <c r="AO366" s="114">
        <v>106493.9061</v>
      </c>
      <c r="AP366" s="114">
        <v>905.3366</v>
      </c>
      <c r="AQ366" s="114">
        <v>8726</v>
      </c>
      <c r="AR366" s="114">
        <v>45378</v>
      </c>
      <c r="AS366" s="114">
        <v>31874</v>
      </c>
      <c r="AT366" s="114">
        <v>99</v>
      </c>
      <c r="AU366" s="114">
        <v>672563</v>
      </c>
      <c r="AV366" s="114">
        <v>0</v>
      </c>
      <c r="AW366" s="114">
        <v>0</v>
      </c>
      <c r="AX366" s="114">
        <v>0</v>
      </c>
      <c r="AY366" s="114">
        <v>0</v>
      </c>
      <c r="AZ366" s="114">
        <v>697</v>
      </c>
      <c r="BA366" s="114">
        <v>32980</v>
      </c>
      <c r="BB366" s="114">
        <v>0</v>
      </c>
      <c r="BC366" s="114">
        <v>0</v>
      </c>
      <c r="BD366" s="114">
        <v>0</v>
      </c>
      <c r="BE366" s="114">
        <v>0</v>
      </c>
      <c r="BF366" s="114">
        <v>0</v>
      </c>
      <c r="BG366" s="114">
        <v>0</v>
      </c>
      <c r="BH366" s="114"/>
      <c r="BI366" s="114"/>
      <c r="BJ366" s="117">
        <v>7971589</v>
      </c>
      <c r="BK366" s="117">
        <v>96516</v>
      </c>
      <c r="BL366" s="117">
        <v>45021996</v>
      </c>
      <c r="BM366" s="118">
        <v>156842000</v>
      </c>
      <c r="BN366" s="118">
        <v>9226</v>
      </c>
      <c r="BO366" s="119"/>
      <c r="BP366" s="119"/>
      <c r="BQ366" s="119"/>
      <c r="BR366" s="119"/>
      <c r="BS366" s="119"/>
      <c r="BT366" s="119"/>
      <c r="BU366" s="119"/>
      <c r="BV366" s="119"/>
      <c r="BW366" s="119"/>
      <c r="BX366" s="119"/>
    </row>
    <row r="367" s="96" customFormat="1" ht="15.75" customHeight="1" spans="1:76">
      <c r="A367" s="111">
        <v>366</v>
      </c>
      <c r="B367" s="112" t="s">
        <v>46</v>
      </c>
      <c r="C367" s="112" t="s">
        <v>51</v>
      </c>
      <c r="D367" s="111">
        <v>2024</v>
      </c>
      <c r="E367" s="113" t="s">
        <v>37</v>
      </c>
      <c r="F367" s="114">
        <v>93785736</v>
      </c>
      <c r="G367" s="114">
        <v>93785736</v>
      </c>
      <c r="H367" s="114">
        <v>8567541.793</v>
      </c>
      <c r="I367" s="114">
        <v>154542</v>
      </c>
      <c r="J367" s="115">
        <v>0.0037962962962963</v>
      </c>
      <c r="K367" s="114">
        <v>26.65</v>
      </c>
      <c r="L367" s="114">
        <v>4186</v>
      </c>
      <c r="M367" s="114">
        <v>748756152</v>
      </c>
      <c r="N367" s="114">
        <v>7.41</v>
      </c>
      <c r="O367" s="114">
        <v>19723331</v>
      </c>
      <c r="P367" s="114">
        <v>3988282</v>
      </c>
      <c r="Q367" s="114">
        <v>15735049</v>
      </c>
      <c r="R367" s="114">
        <v>15735049</v>
      </c>
      <c r="S367" s="114">
        <v>0</v>
      </c>
      <c r="T367" s="114">
        <v>182823</v>
      </c>
      <c r="U367" s="114">
        <v>28281</v>
      </c>
      <c r="V367" s="114">
        <v>831019</v>
      </c>
      <c r="W367" s="114">
        <v>55760</v>
      </c>
      <c r="X367" s="114">
        <v>107455</v>
      </c>
      <c r="Y367" s="114">
        <v>458060</v>
      </c>
      <c r="Z367" s="114">
        <v>358232830.8</v>
      </c>
      <c r="AA367" s="114">
        <v>192502.248</v>
      </c>
      <c r="AB367" s="114">
        <v>14</v>
      </c>
      <c r="AC367" s="114">
        <v>14589336.73</v>
      </c>
      <c r="AD367" s="114">
        <v>339217963.6</v>
      </c>
      <c r="AE367" s="114">
        <v>619963767.3</v>
      </c>
      <c r="AF367" s="114">
        <v>58622688</v>
      </c>
      <c r="AG367" s="114">
        <v>10575.492</v>
      </c>
      <c r="AH367" s="114">
        <v>46237350</v>
      </c>
      <c r="AI367" s="114">
        <v>3819.694</v>
      </c>
      <c r="AJ367" s="114">
        <v>0</v>
      </c>
      <c r="AK367" s="114">
        <v>0</v>
      </c>
      <c r="AL367" s="114">
        <v>0</v>
      </c>
      <c r="AM367" s="114">
        <v>0</v>
      </c>
      <c r="AN367" s="114">
        <v>1041528</v>
      </c>
      <c r="AO367" s="114">
        <v>133486.9972</v>
      </c>
      <c r="AP367" s="114">
        <v>901.5887</v>
      </c>
      <c r="AQ367" s="114">
        <v>12450</v>
      </c>
      <c r="AR367" s="114">
        <v>97869</v>
      </c>
      <c r="AS367" s="114">
        <v>108010</v>
      </c>
      <c r="AT367" s="114">
        <v>90</v>
      </c>
      <c r="AU367" s="114">
        <v>575131</v>
      </c>
      <c r="AV367" s="114">
        <v>0</v>
      </c>
      <c r="AW367" s="114">
        <v>0</v>
      </c>
      <c r="AX367" s="114">
        <v>5</v>
      </c>
      <c r="AY367" s="114">
        <v>5</v>
      </c>
      <c r="AZ367" s="114">
        <v>109905</v>
      </c>
      <c r="BA367" s="114">
        <v>1725855</v>
      </c>
      <c r="BB367" s="114">
        <v>0</v>
      </c>
      <c r="BC367" s="114">
        <v>0</v>
      </c>
      <c r="BD367" s="114">
        <v>0</v>
      </c>
      <c r="BE367" s="114">
        <v>0</v>
      </c>
      <c r="BF367" s="114">
        <v>0</v>
      </c>
      <c r="BG367" s="114">
        <v>0</v>
      </c>
      <c r="BH367" s="114"/>
      <c r="BI367" s="114"/>
      <c r="BJ367" s="117">
        <v>8126131</v>
      </c>
      <c r="BK367" s="117">
        <v>154542</v>
      </c>
      <c r="BL367" s="117">
        <v>68639254</v>
      </c>
      <c r="BM367" s="118">
        <v>292162000</v>
      </c>
      <c r="BN367" s="118">
        <v>17186</v>
      </c>
      <c r="BO367" s="119"/>
      <c r="BP367" s="119"/>
      <c r="BQ367" s="119"/>
      <c r="BR367" s="119"/>
      <c r="BS367" s="119"/>
      <c r="BT367" s="119"/>
      <c r="BU367" s="119"/>
      <c r="BV367" s="119"/>
      <c r="BW367" s="119"/>
      <c r="BX367" s="119"/>
    </row>
    <row r="368" s="96" customFormat="1" ht="15.75" customHeight="1" spans="1:76">
      <c r="A368" s="111">
        <v>367</v>
      </c>
      <c r="B368" s="112" t="s">
        <v>46</v>
      </c>
      <c r="C368" s="112" t="s">
        <v>51</v>
      </c>
      <c r="D368" s="111">
        <v>2024</v>
      </c>
      <c r="E368" s="113" t="s">
        <v>38</v>
      </c>
      <c r="F368" s="114">
        <v>130479547</v>
      </c>
      <c r="G368" s="114">
        <v>130479547</v>
      </c>
      <c r="H368" s="114">
        <v>9415190.701</v>
      </c>
      <c r="I368" s="114">
        <v>171737</v>
      </c>
      <c r="J368" s="115">
        <v>0.00299768518518519</v>
      </c>
      <c r="K368" s="114">
        <v>22.82</v>
      </c>
      <c r="L368" s="114">
        <v>4668</v>
      </c>
      <c r="M368" s="114">
        <v>904307208</v>
      </c>
      <c r="N368" s="114">
        <v>7.59</v>
      </c>
      <c r="O368" s="114">
        <v>20602801</v>
      </c>
      <c r="P368" s="114">
        <v>3980916</v>
      </c>
      <c r="Q368" s="114">
        <v>16621885</v>
      </c>
      <c r="R368" s="114">
        <v>16621885</v>
      </c>
      <c r="S368" s="114">
        <v>0</v>
      </c>
      <c r="T368" s="114">
        <v>205872</v>
      </c>
      <c r="U368" s="114">
        <v>34135</v>
      </c>
      <c r="V368" s="114">
        <v>1468496</v>
      </c>
      <c r="W368" s="114">
        <v>97025</v>
      </c>
      <c r="X368" s="114">
        <v>133768</v>
      </c>
      <c r="Y368" s="114">
        <v>599711</v>
      </c>
      <c r="Z368" s="114">
        <v>408191711.7</v>
      </c>
      <c r="AA368" s="114">
        <v>345683.298</v>
      </c>
      <c r="AB368" s="114">
        <v>25</v>
      </c>
      <c r="AC368" s="114">
        <v>16303639.07</v>
      </c>
      <c r="AD368" s="114">
        <v>380735778.2</v>
      </c>
      <c r="AE368" s="114">
        <v>692564826.9</v>
      </c>
      <c r="AF368" s="114">
        <v>68028136</v>
      </c>
      <c r="AG368" s="114">
        <v>10180.565</v>
      </c>
      <c r="AH368" s="114">
        <v>54082216</v>
      </c>
      <c r="AI368" s="114">
        <v>3128.396</v>
      </c>
      <c r="AJ368" s="114">
        <v>0</v>
      </c>
      <c r="AK368" s="114">
        <v>0</v>
      </c>
      <c r="AL368" s="114">
        <v>0</v>
      </c>
      <c r="AM368" s="114">
        <v>0</v>
      </c>
      <c r="AN368" s="114">
        <v>1423265</v>
      </c>
      <c r="AO368" s="114">
        <v>159055.5863</v>
      </c>
      <c r="AP368" s="114">
        <v>967.4255</v>
      </c>
      <c r="AQ368" s="114">
        <v>30376</v>
      </c>
      <c r="AR368" s="114">
        <v>499282</v>
      </c>
      <c r="AS368" s="114">
        <v>373658</v>
      </c>
      <c r="AT368" s="114">
        <v>261</v>
      </c>
      <c r="AU368" s="114">
        <v>3371064</v>
      </c>
      <c r="AV368" s="114">
        <v>1</v>
      </c>
      <c r="AW368" s="114">
        <v>0.0053</v>
      </c>
      <c r="AX368" s="114">
        <v>14</v>
      </c>
      <c r="AY368" s="114">
        <v>848</v>
      </c>
      <c r="AZ368" s="114">
        <v>8535</v>
      </c>
      <c r="BA368" s="114">
        <v>213263</v>
      </c>
      <c r="BB368" s="114">
        <v>0</v>
      </c>
      <c r="BC368" s="114">
        <v>0</v>
      </c>
      <c r="BD368" s="114">
        <v>0</v>
      </c>
      <c r="BE368" s="114">
        <v>0</v>
      </c>
      <c r="BF368" s="114">
        <v>0</v>
      </c>
      <c r="BG368" s="114">
        <v>0</v>
      </c>
      <c r="BH368" s="114"/>
      <c r="BI368" s="114"/>
      <c r="BJ368" s="117">
        <v>8297868</v>
      </c>
      <c r="BK368" s="117">
        <v>171737</v>
      </c>
      <c r="BL368" s="117">
        <v>100819553</v>
      </c>
      <c r="BM368" s="118">
        <v>358853000</v>
      </c>
      <c r="BN368" s="118">
        <v>21109</v>
      </c>
      <c r="BO368" s="119"/>
      <c r="BP368" s="119"/>
      <c r="BQ368" s="119"/>
      <c r="BR368" s="119"/>
      <c r="BS368" s="119"/>
      <c r="BT368" s="119"/>
      <c r="BU368" s="119"/>
      <c r="BV368" s="119"/>
      <c r="BW368" s="119"/>
      <c r="BX368" s="119"/>
    </row>
    <row r="369" s="96" customFormat="1" ht="15.75" customHeight="1" spans="1:76">
      <c r="A369" s="111">
        <v>368</v>
      </c>
      <c r="B369" s="112" t="s">
        <v>46</v>
      </c>
      <c r="C369" s="112" t="s">
        <v>51</v>
      </c>
      <c r="D369" s="111">
        <v>2024</v>
      </c>
      <c r="E369" s="113" t="s">
        <v>39</v>
      </c>
      <c r="F369" s="114">
        <v>118520580</v>
      </c>
      <c r="G369" s="114">
        <v>118520580</v>
      </c>
      <c r="H369" s="114">
        <v>8919161.816</v>
      </c>
      <c r="I369" s="114">
        <v>147899</v>
      </c>
      <c r="J369" s="115">
        <v>0.003125</v>
      </c>
      <c r="K369" s="114">
        <v>19.44</v>
      </c>
      <c r="L369" s="114">
        <v>5226</v>
      </c>
      <c r="M369" s="114">
        <v>1037158037</v>
      </c>
      <c r="N369" s="114">
        <v>7.38</v>
      </c>
      <c r="O369" s="114">
        <v>21988771</v>
      </c>
      <c r="P369" s="114">
        <v>4738574</v>
      </c>
      <c r="Q369" s="114">
        <v>17250197</v>
      </c>
      <c r="R369" s="114">
        <v>17250197</v>
      </c>
      <c r="S369" s="114">
        <v>0</v>
      </c>
      <c r="T369" s="114">
        <v>178118</v>
      </c>
      <c r="U369" s="114">
        <v>30219</v>
      </c>
      <c r="V369" s="114">
        <v>1012312</v>
      </c>
      <c r="W369" s="114">
        <v>63150</v>
      </c>
      <c r="X369" s="114">
        <v>181771</v>
      </c>
      <c r="Y369" s="114">
        <v>466158</v>
      </c>
      <c r="Z369" s="114">
        <v>482505198</v>
      </c>
      <c r="AA369" s="114">
        <v>249610.207</v>
      </c>
      <c r="AB369" s="114">
        <v>13</v>
      </c>
      <c r="AC369" s="114">
        <v>23010039.68</v>
      </c>
      <c r="AD369" s="114">
        <v>454288935.5</v>
      </c>
      <c r="AE369" s="114">
        <v>827172315.8</v>
      </c>
      <c r="AF369" s="114">
        <v>80961381</v>
      </c>
      <c r="AG369" s="114">
        <v>10216.875</v>
      </c>
      <c r="AH369" s="114">
        <v>63917607</v>
      </c>
      <c r="AI369" s="114">
        <v>4071.067</v>
      </c>
      <c r="AJ369" s="114">
        <v>0</v>
      </c>
      <c r="AK369" s="114">
        <v>0</v>
      </c>
      <c r="AL369" s="114">
        <v>0</v>
      </c>
      <c r="AM369" s="114">
        <v>0</v>
      </c>
      <c r="AN369" s="114">
        <v>2042205</v>
      </c>
      <c r="AO369" s="114">
        <v>212722.6587</v>
      </c>
      <c r="AP369" s="114">
        <v>1048.4734</v>
      </c>
      <c r="AQ369" s="114">
        <v>13156</v>
      </c>
      <c r="AR369" s="114">
        <v>347476</v>
      </c>
      <c r="AS369" s="114">
        <v>268873</v>
      </c>
      <c r="AT369" s="114">
        <v>219</v>
      </c>
      <c r="AU369" s="114">
        <v>1901971</v>
      </c>
      <c r="AV369" s="114">
        <v>2</v>
      </c>
      <c r="AW369" s="114">
        <v>0.0097</v>
      </c>
      <c r="AX369" s="114">
        <v>31</v>
      </c>
      <c r="AY369" s="114">
        <v>1133</v>
      </c>
      <c r="AZ369" s="114">
        <v>50635</v>
      </c>
      <c r="BA369" s="114">
        <v>1204952</v>
      </c>
      <c r="BB369" s="114">
        <v>0</v>
      </c>
      <c r="BC369" s="114">
        <v>0</v>
      </c>
      <c r="BD369" s="114">
        <v>0</v>
      </c>
      <c r="BE369" s="114">
        <v>0</v>
      </c>
      <c r="BF369" s="114">
        <v>0</v>
      </c>
      <c r="BG369" s="114">
        <v>0</v>
      </c>
      <c r="BH369" s="114"/>
      <c r="BI369" s="114"/>
      <c r="BJ369" s="117">
        <v>8445767</v>
      </c>
      <c r="BK369" s="117">
        <v>147899</v>
      </c>
      <c r="BL369" s="117">
        <v>87060544</v>
      </c>
      <c r="BM369" s="118">
        <v>445723000</v>
      </c>
      <c r="BN369" s="118">
        <v>26219</v>
      </c>
      <c r="BO369" s="119"/>
      <c r="BP369" s="119"/>
      <c r="BQ369" s="119"/>
      <c r="BR369" s="119"/>
      <c r="BS369" s="119"/>
      <c r="BT369" s="119"/>
      <c r="BU369" s="119"/>
      <c r="BV369" s="119"/>
      <c r="BW369" s="119"/>
      <c r="BX369" s="119"/>
    </row>
    <row r="370" s="96" customFormat="1" ht="15.75" customHeight="1" spans="1:76">
      <c r="A370" s="111">
        <v>369</v>
      </c>
      <c r="B370" s="112" t="s">
        <v>46</v>
      </c>
      <c r="C370" s="112" t="s">
        <v>51</v>
      </c>
      <c r="D370" s="111">
        <v>2024</v>
      </c>
      <c r="E370" s="113" t="s">
        <v>40</v>
      </c>
      <c r="F370" s="114">
        <v>98842611</v>
      </c>
      <c r="G370" s="114">
        <v>98842611</v>
      </c>
      <c r="H370" s="114">
        <v>8058669.67</v>
      </c>
      <c r="I370" s="114">
        <v>141708</v>
      </c>
      <c r="J370" s="115">
        <v>0.0033912037037037</v>
      </c>
      <c r="K370" s="114">
        <v>19.54</v>
      </c>
      <c r="L370" s="114">
        <v>5351</v>
      </c>
      <c r="M370" s="114">
        <v>910530332</v>
      </c>
      <c r="N370" s="114">
        <v>6.95</v>
      </c>
      <c r="O370" s="114">
        <v>21751799</v>
      </c>
      <c r="P370" s="114">
        <v>4710487</v>
      </c>
      <c r="Q370" s="114">
        <v>17041312</v>
      </c>
      <c r="R370" s="114">
        <v>17041312</v>
      </c>
      <c r="S370" s="114">
        <v>0</v>
      </c>
      <c r="T370" s="114">
        <v>170176</v>
      </c>
      <c r="U370" s="114">
        <v>28468</v>
      </c>
      <c r="V370" s="114">
        <v>886755</v>
      </c>
      <c r="W370" s="114">
        <v>58313</v>
      </c>
      <c r="X370" s="114">
        <v>173458</v>
      </c>
      <c r="Y370" s="114">
        <v>410352</v>
      </c>
      <c r="Z370" s="114">
        <v>438904305.7</v>
      </c>
      <c r="AA370" s="114">
        <v>404362.119</v>
      </c>
      <c r="AB370" s="114">
        <v>13</v>
      </c>
      <c r="AC370" s="114">
        <v>26513012.65</v>
      </c>
      <c r="AD370" s="114">
        <v>407363545</v>
      </c>
      <c r="AE370" s="114">
        <v>742100567.6</v>
      </c>
      <c r="AF370" s="114">
        <v>71469059</v>
      </c>
      <c r="AG370" s="114">
        <v>10383.522</v>
      </c>
      <c r="AH370" s="114">
        <v>55440666</v>
      </c>
      <c r="AI370" s="114">
        <v>4440.436</v>
      </c>
      <c r="AJ370" s="114">
        <v>43</v>
      </c>
      <c r="AK370" s="114">
        <v>5598</v>
      </c>
      <c r="AL370" s="114">
        <v>133792.757</v>
      </c>
      <c r="AM370" s="114">
        <v>1</v>
      </c>
      <c r="AN370" s="114">
        <v>1877934</v>
      </c>
      <c r="AO370" s="114">
        <v>229464.8863</v>
      </c>
      <c r="AP370" s="114">
        <v>1070.2134</v>
      </c>
      <c r="AQ370" s="114">
        <v>13305</v>
      </c>
      <c r="AR370" s="114">
        <v>427142</v>
      </c>
      <c r="AS370" s="114">
        <v>216557</v>
      </c>
      <c r="AT370" s="114">
        <v>191</v>
      </c>
      <c r="AU370" s="114">
        <v>1533207</v>
      </c>
      <c r="AV370" s="114">
        <v>2</v>
      </c>
      <c r="AW370" s="114">
        <v>0.0319</v>
      </c>
      <c r="AX370" s="114">
        <v>7</v>
      </c>
      <c r="AY370" s="114">
        <v>827</v>
      </c>
      <c r="AZ370" s="114">
        <v>42903</v>
      </c>
      <c r="BA370" s="114">
        <v>1149558</v>
      </c>
      <c r="BB370" s="114">
        <v>0</v>
      </c>
      <c r="BC370" s="114">
        <v>0</v>
      </c>
      <c r="BD370" s="114">
        <v>0</v>
      </c>
      <c r="BE370" s="114">
        <v>0</v>
      </c>
      <c r="BF370" s="114">
        <v>0</v>
      </c>
      <c r="BG370" s="114">
        <v>0</v>
      </c>
      <c r="BH370" s="114"/>
      <c r="BI370" s="114"/>
      <c r="BJ370" s="117">
        <v>8587475</v>
      </c>
      <c r="BK370" s="117">
        <v>141708</v>
      </c>
      <c r="BL370" s="117">
        <v>73643312</v>
      </c>
      <c r="BM370" s="118">
        <v>409666000</v>
      </c>
      <c r="BN370" s="118">
        <v>24098</v>
      </c>
      <c r="BO370" s="119"/>
      <c r="BP370" s="119"/>
      <c r="BQ370" s="119"/>
      <c r="BR370" s="119"/>
      <c r="BS370" s="119"/>
      <c r="BT370" s="119"/>
      <c r="BU370" s="119"/>
      <c r="BV370" s="119"/>
      <c r="BW370" s="119"/>
      <c r="BX370" s="119"/>
    </row>
    <row r="371" s="96" customFormat="1" ht="15.75" customHeight="1" spans="1:76">
      <c r="A371" s="111">
        <v>370</v>
      </c>
      <c r="B371" s="112" t="s">
        <v>46</v>
      </c>
      <c r="C371" s="112" t="s">
        <v>51</v>
      </c>
      <c r="D371" s="111">
        <v>2024</v>
      </c>
      <c r="E371" s="113" t="s">
        <v>41</v>
      </c>
      <c r="F371" s="114">
        <v>99653874</v>
      </c>
      <c r="G371" s="114">
        <v>99653874</v>
      </c>
      <c r="H371" s="114">
        <v>6222029.024</v>
      </c>
      <c r="I371" s="114">
        <v>128750</v>
      </c>
      <c r="J371" s="115">
        <v>0.00259259259259259</v>
      </c>
      <c r="K371" s="114">
        <v>19.6</v>
      </c>
      <c r="L371" s="114">
        <v>6538</v>
      </c>
      <c r="M371" s="114">
        <v>908651374</v>
      </c>
      <c r="N371" s="114">
        <v>6.92</v>
      </c>
      <c r="O371" s="114">
        <v>22800375</v>
      </c>
      <c r="P371" s="114">
        <v>4898680</v>
      </c>
      <c r="Q371" s="114">
        <v>17901695</v>
      </c>
      <c r="R371" s="114">
        <v>17901695</v>
      </c>
      <c r="S371" s="114">
        <v>0</v>
      </c>
      <c r="T371" s="114">
        <v>157344</v>
      </c>
      <c r="U371" s="114">
        <v>28594</v>
      </c>
      <c r="V371" s="114">
        <v>815817</v>
      </c>
      <c r="W371" s="114">
        <v>60508</v>
      </c>
      <c r="X371" s="114">
        <v>174833</v>
      </c>
      <c r="Y371" s="114">
        <v>272254</v>
      </c>
      <c r="Z371" s="114">
        <v>363872815.5</v>
      </c>
      <c r="AA371" s="114">
        <v>422876.056</v>
      </c>
      <c r="AB371" s="114">
        <v>27</v>
      </c>
      <c r="AC371" s="114">
        <v>19037821.5</v>
      </c>
      <c r="AD371" s="114">
        <v>339075716.1</v>
      </c>
      <c r="AE371" s="114">
        <v>618759947.1</v>
      </c>
      <c r="AF371" s="114">
        <v>58970905</v>
      </c>
      <c r="AG371" s="114">
        <v>10492.631</v>
      </c>
      <c r="AH371" s="114">
        <v>47571549</v>
      </c>
      <c r="AI371" s="114">
        <v>3651.366</v>
      </c>
      <c r="AJ371" s="114">
        <v>1037</v>
      </c>
      <c r="AK371" s="114">
        <v>79789</v>
      </c>
      <c r="AL371" s="114">
        <v>511751.98</v>
      </c>
      <c r="AM371" s="114">
        <v>8</v>
      </c>
      <c r="AN371" s="114">
        <v>1534416</v>
      </c>
      <c r="AO371" s="114">
        <v>149652.4674</v>
      </c>
      <c r="AP371" s="114">
        <v>1143.2046</v>
      </c>
      <c r="AQ371" s="114">
        <v>13328</v>
      </c>
      <c r="AR371" s="114">
        <v>380571</v>
      </c>
      <c r="AS371" s="114">
        <v>266587</v>
      </c>
      <c r="AT371" s="114">
        <v>149</v>
      </c>
      <c r="AU371" s="114">
        <v>718493</v>
      </c>
      <c r="AV371" s="114">
        <v>0</v>
      </c>
      <c r="AW371" s="114">
        <v>0</v>
      </c>
      <c r="AX371" s="114">
        <v>27</v>
      </c>
      <c r="AY371" s="114">
        <v>754</v>
      </c>
      <c r="AZ371" s="114">
        <v>7483</v>
      </c>
      <c r="BA371" s="114">
        <v>289700</v>
      </c>
      <c r="BB371" s="114">
        <v>0</v>
      </c>
      <c r="BC371" s="114">
        <v>0</v>
      </c>
      <c r="BD371" s="114">
        <v>0</v>
      </c>
      <c r="BE371" s="114">
        <v>0</v>
      </c>
      <c r="BF371" s="114">
        <v>0</v>
      </c>
      <c r="BG371" s="114">
        <v>0</v>
      </c>
      <c r="BH371" s="114"/>
      <c r="BI371" s="114"/>
      <c r="BJ371" s="117">
        <v>8716225</v>
      </c>
      <c r="BK371" s="117">
        <v>128750</v>
      </c>
      <c r="BL371" s="117">
        <v>74828530</v>
      </c>
      <c r="BM371" s="118">
        <v>327998000</v>
      </c>
      <c r="BN371" s="118">
        <v>19294</v>
      </c>
      <c r="BO371" s="119"/>
      <c r="BP371" s="119"/>
      <c r="BQ371" s="119"/>
      <c r="BR371" s="119"/>
      <c r="BS371" s="119"/>
      <c r="BT371" s="119"/>
      <c r="BU371" s="119"/>
      <c r="BV371" s="119"/>
      <c r="BW371" s="119"/>
      <c r="BX371" s="119"/>
    </row>
    <row r="372" s="96" customFormat="1" ht="15.75" customHeight="1" spans="1:76">
      <c r="A372" s="111">
        <v>371</v>
      </c>
      <c r="B372" s="112" t="s">
        <v>46</v>
      </c>
      <c r="C372" s="112" t="s">
        <v>51</v>
      </c>
      <c r="D372" s="111">
        <v>2024</v>
      </c>
      <c r="E372" s="113" t="s">
        <v>42</v>
      </c>
      <c r="F372" s="114">
        <v>100272041</v>
      </c>
      <c r="G372" s="114">
        <v>100272041</v>
      </c>
      <c r="H372" s="114">
        <v>6125660.551</v>
      </c>
      <c r="I372" s="114">
        <v>144368</v>
      </c>
      <c r="J372" s="115">
        <v>0.00253472222222222</v>
      </c>
      <c r="K372" s="114">
        <v>11.07</v>
      </c>
      <c r="L372" s="114">
        <v>5555</v>
      </c>
      <c r="M372" s="114">
        <v>961636844</v>
      </c>
      <c r="N372" s="114">
        <v>7.5</v>
      </c>
      <c r="O372" s="114">
        <v>23412585</v>
      </c>
      <c r="P372" s="114">
        <v>5410831</v>
      </c>
      <c r="Q372" s="114">
        <v>18001754</v>
      </c>
      <c r="R372" s="114">
        <v>18001754</v>
      </c>
      <c r="S372" s="114">
        <v>0</v>
      </c>
      <c r="T372" s="114">
        <v>174164</v>
      </c>
      <c r="U372" s="114">
        <v>29796</v>
      </c>
      <c r="V372" s="114">
        <v>803995</v>
      </c>
      <c r="W372" s="114">
        <v>46123</v>
      </c>
      <c r="X372" s="114">
        <v>177337</v>
      </c>
      <c r="Y372" s="114">
        <v>333981</v>
      </c>
      <c r="Z372" s="114">
        <v>356593101.9</v>
      </c>
      <c r="AA372" s="114">
        <v>504997.247</v>
      </c>
      <c r="AB372" s="114">
        <v>1060</v>
      </c>
      <c r="AC372" s="114">
        <v>19234464.32</v>
      </c>
      <c r="AD372" s="114">
        <v>328534106.8</v>
      </c>
      <c r="AE372" s="114">
        <v>609494381</v>
      </c>
      <c r="AF372" s="114">
        <v>60341083</v>
      </c>
      <c r="AG372" s="114">
        <v>10100.819</v>
      </c>
      <c r="AH372" s="114">
        <v>48949549</v>
      </c>
      <c r="AI372" s="114">
        <v>3556.257</v>
      </c>
      <c r="AJ372" s="114">
        <v>24031</v>
      </c>
      <c r="AK372" s="114">
        <v>2285038</v>
      </c>
      <c r="AL372" s="114">
        <v>92835780.39</v>
      </c>
      <c r="AM372" s="114">
        <v>824</v>
      </c>
      <c r="AN372" s="114">
        <v>1604738</v>
      </c>
      <c r="AO372" s="114">
        <v>133334.2251</v>
      </c>
      <c r="AP372" s="114">
        <v>1167.7062</v>
      </c>
      <c r="AQ372" s="114">
        <v>16881</v>
      </c>
      <c r="AR372" s="114">
        <v>688914</v>
      </c>
      <c r="AS372" s="114">
        <v>329909</v>
      </c>
      <c r="AT372" s="114">
        <v>50</v>
      </c>
      <c r="AU372" s="114">
        <v>195356</v>
      </c>
      <c r="AV372" s="114">
        <v>2</v>
      </c>
      <c r="AW372" s="114">
        <v>0.1174</v>
      </c>
      <c r="AX372" s="114">
        <v>32</v>
      </c>
      <c r="AY372" s="114">
        <v>671</v>
      </c>
      <c r="AZ372" s="114">
        <v>1814</v>
      </c>
      <c r="BA372" s="114">
        <v>70377</v>
      </c>
      <c r="BB372" s="114">
        <v>0</v>
      </c>
      <c r="BC372" s="114">
        <v>0</v>
      </c>
      <c r="BD372" s="114">
        <v>0</v>
      </c>
      <c r="BE372" s="114">
        <v>0</v>
      </c>
      <c r="BF372" s="114">
        <v>0</v>
      </c>
      <c r="BG372" s="114">
        <v>0</v>
      </c>
      <c r="BH372" s="114"/>
      <c r="BI372" s="114"/>
      <c r="BJ372" s="117">
        <v>8860593</v>
      </c>
      <c r="BK372" s="117">
        <v>144368</v>
      </c>
      <c r="BL372" s="117">
        <v>73798346</v>
      </c>
      <c r="BM372" s="118">
        <v>294083000</v>
      </c>
      <c r="BN372" s="118">
        <v>17299</v>
      </c>
      <c r="BO372" s="119"/>
      <c r="BP372" s="119"/>
      <c r="BQ372" s="119"/>
      <c r="BR372" s="119"/>
      <c r="BS372" s="119"/>
      <c r="BT372" s="119"/>
      <c r="BU372" s="119"/>
      <c r="BV372" s="119"/>
      <c r="BW372" s="119"/>
      <c r="BX372" s="119"/>
    </row>
    <row r="373" s="96" customFormat="1" ht="15.75" customHeight="1" spans="1:76">
      <c r="A373" s="111">
        <v>372</v>
      </c>
      <c r="B373" s="112" t="s">
        <v>46</v>
      </c>
      <c r="C373" s="112" t="s">
        <v>51</v>
      </c>
      <c r="D373" s="111">
        <v>2024</v>
      </c>
      <c r="E373" s="113" t="s">
        <v>43</v>
      </c>
      <c r="F373" s="114">
        <v>90050207</v>
      </c>
      <c r="G373" s="114">
        <v>90050207</v>
      </c>
      <c r="H373" s="114">
        <v>6879721.281</v>
      </c>
      <c r="I373" s="114">
        <v>125245</v>
      </c>
      <c r="J373" s="115">
        <v>0.00318287037037037</v>
      </c>
      <c r="K373" s="114">
        <v>23.21</v>
      </c>
      <c r="L373" s="114">
        <v>5725</v>
      </c>
      <c r="M373" s="114">
        <v>915152706</v>
      </c>
      <c r="N373" s="114">
        <v>7.26</v>
      </c>
      <c r="O373" s="114">
        <v>22050753</v>
      </c>
      <c r="P373" s="114">
        <v>4739814</v>
      </c>
      <c r="Q373" s="114">
        <v>17310939</v>
      </c>
      <c r="R373" s="114">
        <v>17310939</v>
      </c>
      <c r="S373" s="114">
        <v>0</v>
      </c>
      <c r="T373" s="114">
        <v>155949</v>
      </c>
      <c r="U373" s="114">
        <v>30704</v>
      </c>
      <c r="V373" s="114">
        <v>621130</v>
      </c>
      <c r="W373" s="114">
        <v>32915</v>
      </c>
      <c r="X373" s="114">
        <v>150497</v>
      </c>
      <c r="Y373" s="114">
        <v>337889</v>
      </c>
      <c r="Z373" s="114">
        <v>443306562</v>
      </c>
      <c r="AA373" s="114">
        <v>57183.136</v>
      </c>
      <c r="AB373" s="114">
        <v>827</v>
      </c>
      <c r="AC373" s="114">
        <v>21888043.55</v>
      </c>
      <c r="AD373" s="114">
        <v>415977927.4</v>
      </c>
      <c r="AE373" s="114">
        <v>759461307.8</v>
      </c>
      <c r="AF373" s="114">
        <v>72607852</v>
      </c>
      <c r="AG373" s="114">
        <v>10459.768</v>
      </c>
      <c r="AH373" s="114">
        <v>58269925</v>
      </c>
      <c r="AI373" s="114">
        <v>4922.882</v>
      </c>
      <c r="AJ373" s="114">
        <v>19559</v>
      </c>
      <c r="AK373" s="114">
        <v>1354872</v>
      </c>
      <c r="AL373" s="114">
        <v>76371031.16</v>
      </c>
      <c r="AM373" s="114">
        <v>623</v>
      </c>
      <c r="AN373" s="114">
        <v>1453303</v>
      </c>
      <c r="AO373" s="114">
        <v>155810.2438</v>
      </c>
      <c r="AP373" s="114">
        <v>1028.7449</v>
      </c>
      <c r="AQ373" s="114">
        <v>11221</v>
      </c>
      <c r="AR373" s="114">
        <v>102961</v>
      </c>
      <c r="AS373" s="114">
        <v>36802</v>
      </c>
      <c r="AT373" s="114">
        <v>61</v>
      </c>
      <c r="AU373" s="114">
        <v>1453552</v>
      </c>
      <c r="AV373" s="114">
        <v>12</v>
      </c>
      <c r="AW373" s="114">
        <v>0.3068</v>
      </c>
      <c r="AX373" s="114">
        <v>15</v>
      </c>
      <c r="AY373" s="114">
        <v>873</v>
      </c>
      <c r="AZ373" s="114">
        <v>3120</v>
      </c>
      <c r="BA373" s="114">
        <v>110627</v>
      </c>
      <c r="BB373" s="114">
        <v>0</v>
      </c>
      <c r="BC373" s="114">
        <v>0</v>
      </c>
      <c r="BD373" s="114">
        <v>0</v>
      </c>
      <c r="BE373" s="114">
        <v>0</v>
      </c>
      <c r="BF373" s="114">
        <v>0</v>
      </c>
      <c r="BG373" s="114">
        <v>0</v>
      </c>
      <c r="BH373" s="114"/>
      <c r="BI373" s="114"/>
      <c r="BJ373" s="117">
        <v>8985838</v>
      </c>
      <c r="BK373" s="117">
        <v>125245</v>
      </c>
      <c r="BL373" s="117">
        <v>67827544</v>
      </c>
      <c r="BM373" s="118">
        <v>381344000</v>
      </c>
      <c r="BN373" s="118">
        <v>22432</v>
      </c>
      <c r="BO373" s="119"/>
      <c r="BP373" s="119"/>
      <c r="BQ373" s="119"/>
      <c r="BR373" s="119"/>
      <c r="BS373" s="119"/>
      <c r="BT373" s="119"/>
      <c r="BU373" s="119"/>
      <c r="BV373" s="119"/>
      <c r="BW373" s="119"/>
      <c r="BX373" s="119"/>
    </row>
    <row r="374" s="96" customFormat="1" ht="15.75" customHeight="1" spans="1:76">
      <c r="A374" s="111">
        <v>373</v>
      </c>
      <c r="B374" s="112" t="s">
        <v>46</v>
      </c>
      <c r="C374" s="112" t="s">
        <v>51</v>
      </c>
      <c r="D374" s="111">
        <v>2025</v>
      </c>
      <c r="E374" s="113" t="s">
        <v>31</v>
      </c>
      <c r="F374" s="114">
        <v>77639098</v>
      </c>
      <c r="G374" s="114">
        <v>77639098</v>
      </c>
      <c r="H374" s="114">
        <v>5394461.546</v>
      </c>
      <c r="I374" s="114">
        <v>94978</v>
      </c>
      <c r="J374" s="115">
        <v>0.00289351851851852</v>
      </c>
      <c r="K374" s="114">
        <v>23.08</v>
      </c>
      <c r="L374" s="114">
        <v>5647</v>
      </c>
      <c r="M374" s="114">
        <v>733568294</v>
      </c>
      <c r="N374" s="114">
        <v>7.54</v>
      </c>
      <c r="O374" s="114">
        <v>20359210</v>
      </c>
      <c r="P374" s="114">
        <v>4113644</v>
      </c>
      <c r="Q374" s="114">
        <v>16245566</v>
      </c>
      <c r="R374" s="114">
        <v>16245566</v>
      </c>
      <c r="S374" s="114">
        <v>0</v>
      </c>
      <c r="T374" s="114">
        <v>122308</v>
      </c>
      <c r="U374" s="114">
        <v>27330</v>
      </c>
      <c r="V374" s="114">
        <v>557090</v>
      </c>
      <c r="W374" s="114">
        <v>33382</v>
      </c>
      <c r="X374" s="114">
        <v>136163</v>
      </c>
      <c r="Y374" s="114">
        <v>304662</v>
      </c>
      <c r="Z374" s="114">
        <v>264364421.4</v>
      </c>
      <c r="AA374" s="114">
        <v>42700.74</v>
      </c>
      <c r="AB374" s="114">
        <v>706</v>
      </c>
      <c r="AC374" s="114">
        <v>18662831.33</v>
      </c>
      <c r="AD374" s="114">
        <v>241559017.4</v>
      </c>
      <c r="AE374" s="114">
        <v>440586241.9</v>
      </c>
      <c r="AF374" s="114">
        <v>43656710</v>
      </c>
      <c r="AG374" s="114">
        <v>10092.062</v>
      </c>
      <c r="AH374" s="114">
        <v>36251550</v>
      </c>
      <c r="AI374" s="114">
        <v>3405.043</v>
      </c>
      <c r="AJ374" s="114">
        <v>16641</v>
      </c>
      <c r="AK374" s="114">
        <v>871386</v>
      </c>
      <c r="AL374" s="114">
        <v>50182290.08</v>
      </c>
      <c r="AM374" s="114">
        <v>546</v>
      </c>
      <c r="AN374" s="114">
        <v>1306588</v>
      </c>
      <c r="AO374" s="114">
        <v>134128.6034</v>
      </c>
      <c r="AP374" s="114">
        <v>1051.313</v>
      </c>
      <c r="AQ374" s="114">
        <v>9877</v>
      </c>
      <c r="AR374" s="114">
        <v>104437</v>
      </c>
      <c r="AS374" s="114">
        <v>46243</v>
      </c>
      <c r="AT374" s="114">
        <v>423</v>
      </c>
      <c r="AU374" s="114">
        <v>2026131</v>
      </c>
      <c r="AV374" s="114">
        <v>0</v>
      </c>
      <c r="AW374" s="114">
        <v>0</v>
      </c>
      <c r="AX374" s="114">
        <v>23</v>
      </c>
      <c r="AY374" s="114">
        <v>865</v>
      </c>
      <c r="AZ374" s="114">
        <v>2933</v>
      </c>
      <c r="BA374" s="114">
        <v>90407</v>
      </c>
      <c r="BB374" s="114">
        <v>0</v>
      </c>
      <c r="BC374" s="114">
        <v>0</v>
      </c>
      <c r="BD374" s="114">
        <v>0</v>
      </c>
      <c r="BE374" s="114">
        <v>0</v>
      </c>
      <c r="BF374" s="114">
        <v>0</v>
      </c>
      <c r="BG374" s="114">
        <v>0</v>
      </c>
      <c r="BH374" s="114"/>
      <c r="BI374" s="114"/>
      <c r="BJ374" s="117">
        <v>9080816</v>
      </c>
      <c r="BK374" s="117">
        <v>94978</v>
      </c>
      <c r="BL374" s="117">
        <v>55746693</v>
      </c>
      <c r="BM374" s="118">
        <v>199791480</v>
      </c>
      <c r="BN374" s="118">
        <v>11752.44</v>
      </c>
      <c r="BO374" s="119"/>
      <c r="BP374" s="119"/>
      <c r="BQ374" s="119"/>
      <c r="BR374" s="119"/>
      <c r="BS374" s="119"/>
      <c r="BT374" s="119"/>
      <c r="BU374" s="119"/>
      <c r="BV374" s="119"/>
      <c r="BW374" s="119"/>
      <c r="BX374" s="119"/>
    </row>
    <row r="375" s="96" customFormat="1" ht="15.75" customHeight="1" spans="1:76">
      <c r="A375" s="111">
        <v>374</v>
      </c>
      <c r="B375" s="112" t="s">
        <v>46</v>
      </c>
      <c r="C375" s="112" t="s">
        <v>51</v>
      </c>
      <c r="D375" s="111">
        <v>2025</v>
      </c>
      <c r="E375" s="113" t="s">
        <v>33</v>
      </c>
      <c r="F375" s="114">
        <v>85678879</v>
      </c>
      <c r="G375" s="114">
        <v>85678879</v>
      </c>
      <c r="H375" s="114">
        <v>5884373.222</v>
      </c>
      <c r="I375" s="114">
        <v>100476</v>
      </c>
      <c r="J375" s="115">
        <v>0.0028587962962963</v>
      </c>
      <c r="K375" s="114">
        <v>17.6</v>
      </c>
      <c r="L375" s="114">
        <v>5195</v>
      </c>
      <c r="M375" s="114">
        <v>739367728</v>
      </c>
      <c r="N375" s="114">
        <v>7.73</v>
      </c>
      <c r="O375" s="114">
        <v>21328080</v>
      </c>
      <c r="P375" s="114">
        <v>4560970</v>
      </c>
      <c r="Q375" s="114">
        <v>16767110</v>
      </c>
      <c r="R375" s="114">
        <v>16767110</v>
      </c>
      <c r="S375" s="114">
        <v>0</v>
      </c>
      <c r="T375" s="114">
        <v>124511</v>
      </c>
      <c r="U375" s="114">
        <v>24035</v>
      </c>
      <c r="V375" s="114">
        <v>644862</v>
      </c>
      <c r="W375" s="114">
        <v>41129</v>
      </c>
      <c r="X375" s="114">
        <v>150459</v>
      </c>
      <c r="Y375" s="114">
        <v>449482</v>
      </c>
      <c r="Z375" s="114">
        <v>352663651.8</v>
      </c>
      <c r="AA375" s="114">
        <v>92062.437</v>
      </c>
      <c r="AB375" s="114">
        <v>1621</v>
      </c>
      <c r="AC375" s="114">
        <v>24728732.81</v>
      </c>
      <c r="AD375" s="114">
        <v>319388474.5</v>
      </c>
      <c r="AE375" s="114">
        <v>582317094.5</v>
      </c>
      <c r="AF375" s="114">
        <v>53482063</v>
      </c>
      <c r="AG375" s="114">
        <v>10888.082</v>
      </c>
      <c r="AH375" s="114">
        <v>42378280</v>
      </c>
      <c r="AI375" s="114">
        <v>4116.109</v>
      </c>
      <c r="AJ375" s="114">
        <v>22776</v>
      </c>
      <c r="AK375" s="114">
        <v>4878473</v>
      </c>
      <c r="AL375" s="114">
        <v>134581318.1</v>
      </c>
      <c r="AM375" s="114">
        <v>1180</v>
      </c>
      <c r="AN375" s="114">
        <v>1603478</v>
      </c>
      <c r="AO375" s="114">
        <v>154750.2664</v>
      </c>
      <c r="AP375" s="114">
        <v>1009.3245</v>
      </c>
      <c r="AQ375" s="114">
        <v>8921</v>
      </c>
      <c r="AR375" s="114">
        <v>342317</v>
      </c>
      <c r="AS375" s="114">
        <v>389387</v>
      </c>
      <c r="AT375" s="114">
        <v>586</v>
      </c>
      <c r="AU375" s="114">
        <v>5510002</v>
      </c>
      <c r="AV375" s="114">
        <v>0</v>
      </c>
      <c r="AW375" s="114">
        <v>0</v>
      </c>
      <c r="AX375" s="114">
        <v>16</v>
      </c>
      <c r="AY375" s="114">
        <v>922</v>
      </c>
      <c r="AZ375" s="114">
        <v>2104</v>
      </c>
      <c r="BA375" s="114">
        <v>67069</v>
      </c>
      <c r="BB375" s="114">
        <v>0</v>
      </c>
      <c r="BC375" s="114">
        <v>0</v>
      </c>
      <c r="BD375" s="114">
        <v>0</v>
      </c>
      <c r="BE375" s="114">
        <v>0</v>
      </c>
      <c r="BF375" s="114">
        <v>0</v>
      </c>
      <c r="BG375" s="114">
        <v>0</v>
      </c>
      <c r="BH375" s="114"/>
      <c r="BI375" s="114"/>
      <c r="BJ375" s="117">
        <v>9181292</v>
      </c>
      <c r="BK375" s="117">
        <v>100476</v>
      </c>
      <c r="BL375" s="117">
        <v>62925448</v>
      </c>
      <c r="BM375" s="118">
        <v>295762260</v>
      </c>
      <c r="BN375" s="118">
        <v>17397.78</v>
      </c>
      <c r="BO375" s="119"/>
      <c r="BP375" s="119"/>
      <c r="BQ375" s="119"/>
      <c r="BR375" s="119"/>
      <c r="BS375" s="119"/>
      <c r="BT375" s="119"/>
      <c r="BU375" s="119"/>
      <c r="BV375" s="119"/>
      <c r="BW375" s="119"/>
      <c r="BX375" s="119"/>
    </row>
    <row r="376" s="96" customFormat="1" ht="15.75" customHeight="1" spans="1:76">
      <c r="A376" s="111">
        <v>375</v>
      </c>
      <c r="B376" s="112" t="s">
        <v>46</v>
      </c>
      <c r="C376" s="112" t="s">
        <v>51</v>
      </c>
      <c r="D376" s="111">
        <v>2025</v>
      </c>
      <c r="E376" s="113" t="s">
        <v>34</v>
      </c>
      <c r="F376" s="114">
        <v>76701023</v>
      </c>
      <c r="G376" s="114">
        <v>76544723</v>
      </c>
      <c r="H376" s="114">
        <v>5726706.481</v>
      </c>
      <c r="I376" s="114">
        <v>97289</v>
      </c>
      <c r="J376" s="115">
        <v>0.00311342592592593</v>
      </c>
      <c r="K376" s="114">
        <v>17.36</v>
      </c>
      <c r="L376" s="114">
        <v>5330</v>
      </c>
      <c r="M376" s="114">
        <v>670825958</v>
      </c>
      <c r="N376" s="114">
        <v>7.81</v>
      </c>
      <c r="O376" s="114">
        <v>20321638</v>
      </c>
      <c r="P376" s="114">
        <v>4680139</v>
      </c>
      <c r="Q376" s="114">
        <v>15644559</v>
      </c>
      <c r="R376" s="114">
        <v>9300932</v>
      </c>
      <c r="S376" s="114">
        <v>6343627</v>
      </c>
      <c r="T376" s="114">
        <v>131607</v>
      </c>
      <c r="U376" s="114">
        <v>34318</v>
      </c>
      <c r="V376" s="114">
        <v>548953</v>
      </c>
      <c r="W376" s="114">
        <v>31143</v>
      </c>
      <c r="X376" s="114">
        <v>131034</v>
      </c>
      <c r="Y376" s="114">
        <v>268757</v>
      </c>
      <c r="Z376" s="114">
        <v>420096865.3</v>
      </c>
      <c r="AA376" s="114">
        <v>99549.477</v>
      </c>
      <c r="AB376" s="114">
        <v>3484</v>
      </c>
      <c r="AC376" s="114">
        <v>19281385.97</v>
      </c>
      <c r="AD376" s="114">
        <v>375245871.1</v>
      </c>
      <c r="AE376" s="114">
        <v>682265803</v>
      </c>
      <c r="AF376" s="114">
        <v>62461168</v>
      </c>
      <c r="AG376" s="114">
        <v>10923.039</v>
      </c>
      <c r="AH376" s="114">
        <v>48419065</v>
      </c>
      <c r="AI376" s="114">
        <v>5488.253</v>
      </c>
      <c r="AJ376" s="114">
        <v>25028</v>
      </c>
      <c r="AK376" s="114">
        <v>1750033</v>
      </c>
      <c r="AL376" s="114">
        <v>319979298.1</v>
      </c>
      <c r="AM376" s="114">
        <v>2704</v>
      </c>
      <c r="AN376" s="114">
        <v>1359402</v>
      </c>
      <c r="AO376" s="114">
        <v>145239.0228</v>
      </c>
      <c r="AP376" s="114">
        <v>1112.6426</v>
      </c>
      <c r="AQ376" s="114">
        <v>10479</v>
      </c>
      <c r="AR376" s="114">
        <v>237141</v>
      </c>
      <c r="AS376" s="114">
        <v>295337</v>
      </c>
      <c r="AT376" s="114">
        <v>163</v>
      </c>
      <c r="AU376" s="114">
        <v>1938379</v>
      </c>
      <c r="AV376" s="114">
        <v>0</v>
      </c>
      <c r="AW376" s="114">
        <v>0</v>
      </c>
      <c r="AX376" s="114">
        <v>17</v>
      </c>
      <c r="AY376" s="114">
        <v>673</v>
      </c>
      <c r="AZ376" s="114">
        <v>1973</v>
      </c>
      <c r="BA376" s="114">
        <v>60602</v>
      </c>
      <c r="BB376" s="114">
        <v>0</v>
      </c>
      <c r="BC376" s="114">
        <v>0</v>
      </c>
      <c r="BD376" s="114">
        <v>0</v>
      </c>
      <c r="BE376" s="114">
        <v>0</v>
      </c>
      <c r="BF376" s="114">
        <v>0</v>
      </c>
      <c r="BG376" s="114">
        <v>0</v>
      </c>
      <c r="BH376" s="114"/>
      <c r="BI376" s="114"/>
      <c r="BJ376" s="117">
        <v>9278581</v>
      </c>
      <c r="BK376" s="117">
        <v>97289</v>
      </c>
      <c r="BL376" s="117">
        <v>55445636</v>
      </c>
      <c r="BM376" s="118">
        <v>325160190</v>
      </c>
      <c r="BN376" s="118">
        <v>19127.07</v>
      </c>
      <c r="BO376" s="119"/>
      <c r="BP376" s="119"/>
      <c r="BQ376" s="119"/>
      <c r="BR376" s="119"/>
      <c r="BS376" s="119"/>
      <c r="BT376" s="119"/>
      <c r="BU376" s="119"/>
      <c r="BV376" s="119"/>
      <c r="BW376" s="119"/>
      <c r="BX376" s="119"/>
    </row>
    <row r="377" s="96" customFormat="1" ht="15.75" customHeight="1" spans="1:76">
      <c r="A377" s="111">
        <v>376</v>
      </c>
      <c r="B377" s="112" t="s">
        <v>46</v>
      </c>
      <c r="C377" s="112" t="s">
        <v>51</v>
      </c>
      <c r="D377" s="111">
        <v>2025</v>
      </c>
      <c r="E377" s="113" t="s">
        <v>35</v>
      </c>
      <c r="F377" s="114">
        <v>68604440</v>
      </c>
      <c r="G377" s="114">
        <v>61906577</v>
      </c>
      <c r="H377" s="114">
        <v>4884573.624</v>
      </c>
      <c r="I377" s="114">
        <v>87968</v>
      </c>
      <c r="J377" s="115">
        <v>0.00327546296296296</v>
      </c>
      <c r="K377" s="114">
        <v>21.84</v>
      </c>
      <c r="L377" s="114">
        <v>4356</v>
      </c>
      <c r="M377" s="114">
        <v>548116085</v>
      </c>
      <c r="N377" s="114">
        <v>7.11</v>
      </c>
      <c r="O377" s="114">
        <v>18227401</v>
      </c>
      <c r="P377" s="114">
        <v>4018056</v>
      </c>
      <c r="Q377" s="114">
        <v>14254270</v>
      </c>
      <c r="R377" s="114">
        <v>4966953</v>
      </c>
      <c r="S377" s="114">
        <v>9287317</v>
      </c>
      <c r="T377" s="114">
        <v>115191</v>
      </c>
      <c r="U377" s="114">
        <v>27223</v>
      </c>
      <c r="V377" s="114">
        <v>465351</v>
      </c>
      <c r="W377" s="114">
        <v>32544</v>
      </c>
      <c r="X377" s="114">
        <v>114022</v>
      </c>
      <c r="Y377" s="114">
        <v>254149</v>
      </c>
      <c r="Z377" s="114">
        <v>261252670</v>
      </c>
      <c r="AA377" s="114">
        <v>152338.964</v>
      </c>
      <c r="AB377" s="114">
        <v>2394</v>
      </c>
      <c r="AC377" s="114">
        <v>16040273.32</v>
      </c>
      <c r="AD377" s="114">
        <v>235657538.2</v>
      </c>
      <c r="AE377" s="114">
        <v>432667526.7</v>
      </c>
      <c r="AF377" s="114">
        <v>41220636</v>
      </c>
      <c r="AG377" s="114">
        <v>10496.382</v>
      </c>
      <c r="AH377" s="114">
        <v>33365158</v>
      </c>
      <c r="AI377" s="114">
        <v>4220.112</v>
      </c>
      <c r="AJ377" s="114">
        <v>77772</v>
      </c>
      <c r="AK377" s="114">
        <v>6593337</v>
      </c>
      <c r="AL377" s="114">
        <v>187044785.4</v>
      </c>
      <c r="AM377" s="114">
        <v>1801</v>
      </c>
      <c r="AN377" s="114">
        <v>1104357</v>
      </c>
      <c r="AO377" s="114">
        <v>117832.7217</v>
      </c>
      <c r="AP377" s="114">
        <v>1095.6687</v>
      </c>
      <c r="AQ377" s="114">
        <v>10169</v>
      </c>
      <c r="AR377" s="114">
        <v>65659</v>
      </c>
      <c r="AS377" s="114">
        <v>78663</v>
      </c>
      <c r="AT377" s="114">
        <v>101</v>
      </c>
      <c r="AU377" s="114">
        <v>4072086</v>
      </c>
      <c r="AV377" s="114">
        <v>0</v>
      </c>
      <c r="AW377" s="114">
        <v>0</v>
      </c>
      <c r="AX377" s="114">
        <v>10</v>
      </c>
      <c r="AY377" s="114">
        <v>797</v>
      </c>
      <c r="AZ377" s="114">
        <v>1305</v>
      </c>
      <c r="BA377" s="114">
        <v>47318</v>
      </c>
      <c r="BB377" s="114">
        <v>0</v>
      </c>
      <c r="BC377" s="114">
        <v>0</v>
      </c>
      <c r="BD377" s="114">
        <v>0</v>
      </c>
      <c r="BE377" s="114">
        <v>0</v>
      </c>
      <c r="BF377" s="114">
        <v>0</v>
      </c>
      <c r="BG377" s="114">
        <v>0</v>
      </c>
      <c r="BH377" s="114"/>
      <c r="BI377" s="114"/>
      <c r="BJ377" s="117">
        <v>9366549</v>
      </c>
      <c r="BK377" s="117">
        <v>87968</v>
      </c>
      <c r="BL377" s="117">
        <v>50234381</v>
      </c>
      <c r="BM377" s="118">
        <v>214604090</v>
      </c>
      <c r="BN377" s="118">
        <v>12623.77</v>
      </c>
      <c r="BO377" s="119"/>
      <c r="BP377" s="119"/>
      <c r="BQ377" s="119"/>
      <c r="BR377" s="119"/>
      <c r="BS377" s="119"/>
      <c r="BT377" s="119"/>
      <c r="BU377" s="119"/>
      <c r="BV377" s="119"/>
      <c r="BW377" s="119"/>
      <c r="BX377" s="119"/>
    </row>
    <row r="378" s="96" customFormat="1" ht="15.75" customHeight="1" spans="1:76">
      <c r="A378" s="111">
        <v>377</v>
      </c>
      <c r="B378" s="112" t="s">
        <v>46</v>
      </c>
      <c r="C378" s="112" t="s">
        <v>51</v>
      </c>
      <c r="D378" s="111">
        <v>2025</v>
      </c>
      <c r="E378" s="113" t="s">
        <v>36</v>
      </c>
      <c r="F378" s="114">
        <v>119642241</v>
      </c>
      <c r="G378" s="114">
        <v>108462740</v>
      </c>
      <c r="H378" s="114">
        <v>9957459.723</v>
      </c>
      <c r="I378" s="114">
        <v>155663</v>
      </c>
      <c r="J378" s="115">
        <v>0.00381944444444444</v>
      </c>
      <c r="K378" s="114">
        <v>25.11</v>
      </c>
      <c r="L378" s="114">
        <v>4628</v>
      </c>
      <c r="M378" s="114">
        <v>909779548</v>
      </c>
      <c r="N378" s="114">
        <v>7.5</v>
      </c>
      <c r="O378" s="114">
        <v>20431763</v>
      </c>
      <c r="P378" s="114">
        <v>4189114</v>
      </c>
      <c r="Q378" s="114">
        <v>16242649</v>
      </c>
      <c r="R378" s="114">
        <v>5409788</v>
      </c>
      <c r="S378" s="114">
        <v>10832861</v>
      </c>
      <c r="T378" s="114">
        <v>190242</v>
      </c>
      <c r="U378" s="114">
        <v>34579</v>
      </c>
      <c r="V378" s="114">
        <v>973435</v>
      </c>
      <c r="W378" s="114">
        <v>68771</v>
      </c>
      <c r="X378" s="114">
        <v>177043</v>
      </c>
      <c r="Y378" s="114">
        <v>592550</v>
      </c>
      <c r="Z378" s="114">
        <v>476492054.3</v>
      </c>
      <c r="AA378" s="114">
        <v>100545.77</v>
      </c>
      <c r="AB378" s="114">
        <v>6997</v>
      </c>
      <c r="AC378" s="114">
        <v>29826137.51</v>
      </c>
      <c r="AD378" s="114">
        <v>420730293.2</v>
      </c>
      <c r="AE378" s="114">
        <v>766405560.5</v>
      </c>
      <c r="AF378" s="114">
        <v>77476101</v>
      </c>
      <c r="AG378" s="114">
        <v>9892.154</v>
      </c>
      <c r="AH378" s="114">
        <v>60192059</v>
      </c>
      <c r="AI378" s="114">
        <v>4393.141</v>
      </c>
      <c r="AJ378" s="114">
        <v>211619</v>
      </c>
      <c r="AK378" s="114">
        <v>16407126</v>
      </c>
      <c r="AL378" s="114">
        <v>547744051</v>
      </c>
      <c r="AM378" s="114">
        <v>5250</v>
      </c>
      <c r="AN378" s="114">
        <v>1888598</v>
      </c>
      <c r="AO378" s="114">
        <v>226609.7204</v>
      </c>
      <c r="AP378" s="114">
        <v>1133.1035</v>
      </c>
      <c r="AQ378" s="114">
        <v>14816</v>
      </c>
      <c r="AR378" s="114">
        <v>139642</v>
      </c>
      <c r="AS378" s="114">
        <v>88328</v>
      </c>
      <c r="AT378" s="114">
        <v>143</v>
      </c>
      <c r="AU378" s="114">
        <v>16263299</v>
      </c>
      <c r="AV378" s="114">
        <v>3</v>
      </c>
      <c r="AW378" s="114">
        <v>0.0583</v>
      </c>
      <c r="AX378" s="114">
        <v>37</v>
      </c>
      <c r="AY378" s="114">
        <v>2125</v>
      </c>
      <c r="AZ378" s="114">
        <v>19037</v>
      </c>
      <c r="BA378" s="114">
        <v>715450</v>
      </c>
      <c r="BB378" s="114">
        <v>0</v>
      </c>
      <c r="BC378" s="114">
        <v>0</v>
      </c>
      <c r="BD378" s="114">
        <v>0</v>
      </c>
      <c r="BE378" s="114">
        <v>0</v>
      </c>
      <c r="BF378" s="114">
        <v>0</v>
      </c>
      <c r="BG378" s="114">
        <v>0</v>
      </c>
      <c r="BH378" s="114"/>
      <c r="BI378" s="114"/>
      <c r="BJ378" s="117">
        <v>9522212</v>
      </c>
      <c r="BK378" s="117">
        <v>155663</v>
      </c>
      <c r="BL378" s="117">
        <v>91623079</v>
      </c>
      <c r="BM378" s="118">
        <v>415934750</v>
      </c>
      <c r="BN378" s="118">
        <v>24466.75</v>
      </c>
      <c r="BO378" s="119"/>
      <c r="BP378" s="119"/>
      <c r="BQ378" s="119"/>
      <c r="BR378" s="119"/>
      <c r="BS378" s="119"/>
      <c r="BT378" s="119"/>
      <c r="BU378" s="119"/>
      <c r="BV378" s="119"/>
      <c r="BW378" s="119"/>
      <c r="BX378" s="119"/>
    </row>
    <row r="379" s="96" customFormat="1" ht="15.75" customHeight="1" spans="1:76">
      <c r="A379" s="111">
        <v>378</v>
      </c>
      <c r="B379" s="112" t="s">
        <v>46</v>
      </c>
      <c r="C379" s="112" t="s">
        <v>51</v>
      </c>
      <c r="D379" s="111">
        <v>2025</v>
      </c>
      <c r="E379" s="113" t="s">
        <v>37</v>
      </c>
      <c r="F379" s="114">
        <v>128122223</v>
      </c>
      <c r="G379" s="114">
        <v>119162889</v>
      </c>
      <c r="H379" s="114">
        <v>10765725.73</v>
      </c>
      <c r="I379" s="114">
        <v>179802</v>
      </c>
      <c r="J379" s="115">
        <v>0.00376157407407407</v>
      </c>
      <c r="K379" s="114">
        <v>19.77</v>
      </c>
      <c r="L379" s="114">
        <v>3084</v>
      </c>
      <c r="M379" s="114">
        <v>941169803</v>
      </c>
      <c r="N379" s="114">
        <v>8.54</v>
      </c>
      <c r="O379" s="114">
        <v>23919025</v>
      </c>
      <c r="P379" s="114">
        <v>5950354</v>
      </c>
      <c r="Q379" s="114">
        <v>17968671</v>
      </c>
      <c r="R379" s="114">
        <v>6473178</v>
      </c>
      <c r="S379" s="114">
        <v>11495493</v>
      </c>
      <c r="T379" s="114">
        <v>214346</v>
      </c>
      <c r="U379" s="114">
        <v>34544</v>
      </c>
      <c r="V379" s="114">
        <v>1026835</v>
      </c>
      <c r="W379" s="114">
        <v>67537</v>
      </c>
      <c r="X379" s="114">
        <v>159815</v>
      </c>
      <c r="Y379" s="114">
        <v>575487</v>
      </c>
      <c r="Z379" s="114">
        <v>593133706.2</v>
      </c>
      <c r="AA379" s="114">
        <v>131979.429</v>
      </c>
      <c r="AB379" s="114">
        <v>8469</v>
      </c>
      <c r="AC379" s="114">
        <v>31961414.53</v>
      </c>
      <c r="AD379" s="114">
        <v>527143788.5</v>
      </c>
      <c r="AE379" s="114">
        <v>959617884.2</v>
      </c>
      <c r="AF379" s="114">
        <v>94933875</v>
      </c>
      <c r="AG379" s="114">
        <v>10108.277</v>
      </c>
      <c r="AH379" s="114">
        <v>72532067</v>
      </c>
      <c r="AI379" s="114">
        <v>4977.503</v>
      </c>
      <c r="AJ379" s="114">
        <v>267620</v>
      </c>
      <c r="AK379" s="114">
        <v>16115587</v>
      </c>
      <c r="AL379" s="114">
        <v>797204938.3</v>
      </c>
      <c r="AM379" s="114">
        <v>6541</v>
      </c>
      <c r="AN379" s="114">
        <v>1946793</v>
      </c>
      <c r="AO379" s="114">
        <v>232772.3476</v>
      </c>
      <c r="AP379" s="114">
        <v>1099.9009</v>
      </c>
      <c r="AQ379" s="114">
        <v>8196</v>
      </c>
      <c r="AR379" s="114">
        <v>224323</v>
      </c>
      <c r="AS379" s="114">
        <v>347677</v>
      </c>
      <c r="AT379" s="114">
        <v>116</v>
      </c>
      <c r="AU379" s="114">
        <v>6141614</v>
      </c>
      <c r="AV379" s="114">
        <v>2</v>
      </c>
      <c r="AW379" s="114">
        <v>0.0012</v>
      </c>
      <c r="AX379" s="114">
        <v>196</v>
      </c>
      <c r="AY379" s="114">
        <v>12885</v>
      </c>
      <c r="AZ379" s="114">
        <v>27002</v>
      </c>
      <c r="BA379" s="114">
        <v>930385</v>
      </c>
      <c r="BB379" s="114">
        <v>0</v>
      </c>
      <c r="BC379" s="114">
        <v>0</v>
      </c>
      <c r="BD379" s="114">
        <v>0</v>
      </c>
      <c r="BE379" s="114">
        <v>0</v>
      </c>
      <c r="BF379" s="114">
        <v>0</v>
      </c>
      <c r="BG379" s="114">
        <v>0</v>
      </c>
      <c r="BH379" s="114"/>
      <c r="BI379" s="114"/>
      <c r="BJ379" s="117">
        <v>9702014</v>
      </c>
      <c r="BK379" s="117">
        <v>179802</v>
      </c>
      <c r="BL379" s="117">
        <v>97649642</v>
      </c>
      <c r="BM379" s="118">
        <v>499413590</v>
      </c>
      <c r="BN379" s="118">
        <v>29377.27</v>
      </c>
      <c r="BO379" s="119"/>
      <c r="BP379" s="119"/>
      <c r="BQ379" s="119"/>
      <c r="BR379" s="119"/>
      <c r="BS379" s="119"/>
      <c r="BT379" s="119"/>
      <c r="BU379" s="119"/>
      <c r="BV379" s="119"/>
      <c r="BW379" s="119"/>
      <c r="BX379" s="119"/>
    </row>
    <row r="380" s="96" customFormat="1" ht="15.75" customHeight="1" spans="1:76">
      <c r="A380" s="111">
        <v>379</v>
      </c>
      <c r="B380" s="112" t="s">
        <v>46</v>
      </c>
      <c r="C380" s="112" t="s">
        <v>51</v>
      </c>
      <c r="D380" s="111">
        <v>2025</v>
      </c>
      <c r="E380" s="113" t="s">
        <v>38</v>
      </c>
      <c r="F380" s="114">
        <v>99437729</v>
      </c>
      <c r="G380" s="114">
        <v>90034896</v>
      </c>
      <c r="H380" s="114">
        <v>8514883.898</v>
      </c>
      <c r="I380" s="114">
        <v>105936</v>
      </c>
      <c r="J380" s="115">
        <v>0.00393518518518518</v>
      </c>
      <c r="K380" s="114">
        <v>21.41</v>
      </c>
      <c r="L380" s="114">
        <v>2483</v>
      </c>
      <c r="M380" s="114">
        <v>668540939</v>
      </c>
      <c r="N380" s="114">
        <v>8.62</v>
      </c>
      <c r="O380" s="114">
        <v>18668522</v>
      </c>
      <c r="P380" s="114">
        <v>3306720</v>
      </c>
      <c r="Q380" s="114">
        <v>15361802</v>
      </c>
      <c r="R380" s="114">
        <v>4990655</v>
      </c>
      <c r="S380" s="114">
        <v>10371147</v>
      </c>
      <c r="T380" s="114">
        <v>137296</v>
      </c>
      <c r="U380" s="114">
        <v>31360</v>
      </c>
      <c r="V380" s="114">
        <v>842559</v>
      </c>
      <c r="W380" s="114">
        <v>58737</v>
      </c>
      <c r="X380" s="114">
        <v>136987</v>
      </c>
      <c r="Y380" s="114">
        <v>433080</v>
      </c>
      <c r="Z380" s="114">
        <v>449345660.4</v>
      </c>
      <c r="AA380" s="114">
        <v>34527.661</v>
      </c>
      <c r="AB380" s="114">
        <v>6585</v>
      </c>
      <c r="AC380" s="114">
        <v>28704750.17</v>
      </c>
      <c r="AD380" s="114">
        <v>393152976.3</v>
      </c>
      <c r="AE380" s="114">
        <v>718710031.9</v>
      </c>
      <c r="AF380" s="114">
        <v>65300702</v>
      </c>
      <c r="AG380" s="114">
        <v>11006.161</v>
      </c>
      <c r="AH380" s="114">
        <v>47549668</v>
      </c>
      <c r="AI380" s="114">
        <v>4990.795</v>
      </c>
      <c r="AJ380" s="114">
        <v>229619</v>
      </c>
      <c r="AK380" s="114">
        <v>16179538</v>
      </c>
      <c r="AL380" s="114">
        <v>597640997.9</v>
      </c>
      <c r="AM380" s="114">
        <v>5178</v>
      </c>
      <c r="AN380" s="114">
        <v>1648380</v>
      </c>
      <c r="AO380" s="114">
        <v>213185.9524</v>
      </c>
      <c r="AP380" s="114">
        <v>1263.2905</v>
      </c>
      <c r="AQ380" s="114">
        <v>7211</v>
      </c>
      <c r="AR380" s="114">
        <v>132475</v>
      </c>
      <c r="AS380" s="114">
        <v>110328</v>
      </c>
      <c r="AT380" s="114">
        <v>100</v>
      </c>
      <c r="AU380" s="114">
        <v>2433319</v>
      </c>
      <c r="AV380" s="114">
        <v>0</v>
      </c>
      <c r="AW380" s="114">
        <v>0</v>
      </c>
      <c r="AX380" s="114">
        <v>73</v>
      </c>
      <c r="AY380" s="114">
        <v>3001</v>
      </c>
      <c r="AZ380" s="114">
        <v>6609</v>
      </c>
      <c r="BA380" s="114">
        <v>214270</v>
      </c>
      <c r="BB380" s="114">
        <v>0</v>
      </c>
      <c r="BC380" s="114">
        <v>0</v>
      </c>
      <c r="BD380" s="114">
        <v>0</v>
      </c>
      <c r="BE380" s="114">
        <v>0</v>
      </c>
      <c r="BF380" s="114">
        <v>0</v>
      </c>
      <c r="BG380" s="114">
        <v>0</v>
      </c>
      <c r="BH380" s="114"/>
      <c r="BI380" s="114"/>
      <c r="BJ380" s="117">
        <v>9807948</v>
      </c>
      <c r="BK380" s="117">
        <v>105934</v>
      </c>
      <c r="BL380" s="117">
        <v>75850429</v>
      </c>
      <c r="BM380" s="118">
        <v>389267360</v>
      </c>
      <c r="BN380" s="118">
        <v>22898.08</v>
      </c>
      <c r="BO380" s="120">
        <v>0.768</v>
      </c>
      <c r="BP380" s="120">
        <v>0.231</v>
      </c>
      <c r="BQ380" s="119"/>
      <c r="BR380" s="120">
        <v>0.011</v>
      </c>
      <c r="BS380" s="120">
        <v>0.071</v>
      </c>
      <c r="BT380" s="120">
        <v>0.284</v>
      </c>
      <c r="BU380" s="120">
        <v>0.227</v>
      </c>
      <c r="BV380" s="120">
        <v>0.182</v>
      </c>
      <c r="BW380" s="120">
        <v>0.146</v>
      </c>
      <c r="BX380" s="120">
        <v>0.08</v>
      </c>
    </row>
    <row r="381" s="96" customFormat="1" ht="15.75" customHeight="1" spans="1:76">
      <c r="A381" s="111">
        <v>380</v>
      </c>
      <c r="B381" s="112" t="s">
        <v>46</v>
      </c>
      <c r="C381" s="112" t="s">
        <v>51</v>
      </c>
      <c r="D381" s="111">
        <v>2025</v>
      </c>
      <c r="E381" s="113" t="s">
        <v>39</v>
      </c>
      <c r="F381" s="114">
        <v>146602878</v>
      </c>
      <c r="G381" s="114">
        <v>134378024</v>
      </c>
      <c r="H381" s="114">
        <v>11568864.71</v>
      </c>
      <c r="I381" s="114">
        <v>159659</v>
      </c>
      <c r="J381" s="115">
        <v>0.00357638888888889</v>
      </c>
      <c r="K381" s="114">
        <v>16.14</v>
      </c>
      <c r="L381" s="114">
        <v>2130</v>
      </c>
      <c r="M381" s="114">
        <v>996020311</v>
      </c>
      <c r="N381" s="114">
        <v>9.12</v>
      </c>
      <c r="O381" s="114">
        <v>25469801</v>
      </c>
      <c r="P381" s="114">
        <v>6110365</v>
      </c>
      <c r="Q381" s="114">
        <v>19359436</v>
      </c>
      <c r="R381" s="114">
        <v>6929036</v>
      </c>
      <c r="S381" s="114">
        <v>12430400</v>
      </c>
      <c r="T381" s="114">
        <v>190883</v>
      </c>
      <c r="U381" s="114">
        <v>31224</v>
      </c>
      <c r="V381" s="114">
        <v>1407147</v>
      </c>
      <c r="W381" s="114">
        <v>76309</v>
      </c>
      <c r="X381" s="114">
        <v>265344</v>
      </c>
      <c r="Y381" s="114">
        <v>728209</v>
      </c>
      <c r="Z381" s="114">
        <v>655722614.3</v>
      </c>
      <c r="AA381" s="114">
        <v>1794012.846</v>
      </c>
      <c r="AB381" s="114">
        <v>8492</v>
      </c>
      <c r="AC381" s="114">
        <v>43517733.82</v>
      </c>
      <c r="AD381" s="114">
        <v>572455812.6</v>
      </c>
      <c r="AE381" s="114">
        <v>1048157723</v>
      </c>
      <c r="AF381" s="114">
        <v>96265121</v>
      </c>
      <c r="AG381" s="114">
        <v>10888.24</v>
      </c>
      <c r="AH381" s="114">
        <v>69946648</v>
      </c>
      <c r="AI381" s="114">
        <v>4879.686</v>
      </c>
      <c r="AJ381" s="114">
        <v>231212</v>
      </c>
      <c r="AK381" s="114">
        <v>13458807</v>
      </c>
      <c r="AL381" s="114">
        <v>774464425.7</v>
      </c>
      <c r="AM381" s="114">
        <v>6486</v>
      </c>
      <c r="AN381" s="114">
        <v>3126040</v>
      </c>
      <c r="AO381" s="114">
        <v>325292.5647</v>
      </c>
      <c r="AP381" s="114">
        <v>1346.7566</v>
      </c>
      <c r="AQ381" s="114">
        <v>14752</v>
      </c>
      <c r="AR381" s="114">
        <v>423471</v>
      </c>
      <c r="AS381" s="114">
        <v>319438</v>
      </c>
      <c r="AT381" s="114">
        <v>64</v>
      </c>
      <c r="AU381" s="114">
        <v>836569</v>
      </c>
      <c r="AV381" s="114">
        <v>0</v>
      </c>
      <c r="AW381" s="114">
        <v>0</v>
      </c>
      <c r="AX381" s="114">
        <v>32</v>
      </c>
      <c r="AY381" s="114">
        <v>1466</v>
      </c>
      <c r="AZ381" s="114">
        <v>16201</v>
      </c>
      <c r="BA381" s="114">
        <v>598803</v>
      </c>
      <c r="BB381" s="116">
        <v>246</v>
      </c>
      <c r="BC381" s="116">
        <v>229</v>
      </c>
      <c r="BD381" s="116">
        <v>246</v>
      </c>
      <c r="BE381" s="116">
        <v>0</v>
      </c>
      <c r="BF381" s="116">
        <v>17</v>
      </c>
      <c r="BG381" s="116">
        <v>1</v>
      </c>
      <c r="BH381" s="116">
        <v>13.813</v>
      </c>
      <c r="BI381" s="116"/>
      <c r="BJ381" s="117">
        <v>10011536</v>
      </c>
      <c r="BK381" s="117">
        <v>159659</v>
      </c>
      <c r="BL381" s="117">
        <v>116345223</v>
      </c>
      <c r="BM381" s="118">
        <v>576486320</v>
      </c>
      <c r="BN381" s="118">
        <v>33910.96</v>
      </c>
      <c r="BO381" s="120">
        <v>0.754</v>
      </c>
      <c r="BP381" s="120">
        <v>0.245</v>
      </c>
      <c r="BQ381" s="120">
        <v>0.002</v>
      </c>
      <c r="BR381" s="120">
        <v>0.011</v>
      </c>
      <c r="BS381" s="120">
        <v>0.073</v>
      </c>
      <c r="BT381" s="120">
        <v>0.302</v>
      </c>
      <c r="BU381" s="120">
        <v>0.238</v>
      </c>
      <c r="BV381" s="120">
        <v>0.177</v>
      </c>
      <c r="BW381" s="120">
        <v>0.13</v>
      </c>
      <c r="BX381" s="120">
        <v>0.069</v>
      </c>
    </row>
    <row r="382" s="96" customFormat="1" ht="15.75" customHeight="1" spans="1:76">
      <c r="A382" s="111">
        <v>381</v>
      </c>
      <c r="B382" s="112" t="s">
        <v>46</v>
      </c>
      <c r="C382" s="112" t="s">
        <v>51</v>
      </c>
      <c r="D382" s="111">
        <v>2025</v>
      </c>
      <c r="E382" s="113" t="s">
        <v>40</v>
      </c>
      <c r="F382" s="114">
        <v>124960787</v>
      </c>
      <c r="G382" s="114">
        <v>114787859</v>
      </c>
      <c r="H382" s="114">
        <v>13452299.62</v>
      </c>
      <c r="I382" s="114">
        <v>146029</v>
      </c>
      <c r="J382" s="115">
        <v>0.00487268518518518</v>
      </c>
      <c r="K382" s="114">
        <v>23.54</v>
      </c>
      <c r="L382" s="114">
        <v>2270</v>
      </c>
      <c r="M382" s="114">
        <v>955922421</v>
      </c>
      <c r="N382" s="114">
        <v>7.95</v>
      </c>
      <c r="O382" s="114">
        <v>22206842</v>
      </c>
      <c r="P382" s="114">
        <v>4417522</v>
      </c>
      <c r="Q382" s="114">
        <v>17789320</v>
      </c>
      <c r="R382" s="114">
        <v>6398999</v>
      </c>
      <c r="S382" s="114">
        <v>11390321</v>
      </c>
      <c r="T382" s="114">
        <v>179548</v>
      </c>
      <c r="U382" s="114">
        <v>33519</v>
      </c>
      <c r="V382" s="114">
        <v>1235914</v>
      </c>
      <c r="W382" s="114">
        <v>66925</v>
      </c>
      <c r="X382" s="114">
        <v>269360</v>
      </c>
      <c r="Y382" s="114">
        <v>497180</v>
      </c>
      <c r="Z382" s="114">
        <v>843613441.4</v>
      </c>
      <c r="AA382" s="114">
        <v>16674694.01</v>
      </c>
      <c r="AB382" s="114">
        <v>19491</v>
      </c>
      <c r="AC382" s="114">
        <v>66381888.81</v>
      </c>
      <c r="AD382" s="114">
        <v>696897679.1</v>
      </c>
      <c r="AE382" s="114">
        <v>1269490055</v>
      </c>
      <c r="AF382" s="114">
        <v>109853031</v>
      </c>
      <c r="AG382" s="114">
        <v>11556.259</v>
      </c>
      <c r="AH382" s="114">
        <v>66531200</v>
      </c>
      <c r="AI382" s="114">
        <v>7349.327</v>
      </c>
      <c r="AJ382" s="114">
        <v>405730</v>
      </c>
      <c r="AK382" s="114">
        <v>20143927</v>
      </c>
      <c r="AL382" s="114">
        <v>1479394748</v>
      </c>
      <c r="AM382" s="114">
        <v>12749</v>
      </c>
      <c r="AN382" s="114">
        <v>3215713</v>
      </c>
      <c r="AO382" s="114">
        <v>497701.621</v>
      </c>
      <c r="AP382" s="114">
        <v>1102.0863</v>
      </c>
      <c r="AQ382" s="114">
        <v>9583</v>
      </c>
      <c r="AR382" s="114">
        <v>518225</v>
      </c>
      <c r="AS382" s="114">
        <v>338935</v>
      </c>
      <c r="AT382" s="114">
        <v>51</v>
      </c>
      <c r="AU382" s="114">
        <v>436846</v>
      </c>
      <c r="AV382" s="114">
        <v>2</v>
      </c>
      <c r="AW382" s="114">
        <v>0.042</v>
      </c>
      <c r="AX382" s="114">
        <v>19</v>
      </c>
      <c r="AY382" s="114">
        <v>878</v>
      </c>
      <c r="AZ382" s="114">
        <v>19960</v>
      </c>
      <c r="BA382" s="114">
        <v>620858</v>
      </c>
      <c r="BB382" s="116">
        <v>2024</v>
      </c>
      <c r="BC382" s="116">
        <v>1521</v>
      </c>
      <c r="BD382" s="116">
        <v>2150</v>
      </c>
      <c r="BE382" s="116">
        <v>126</v>
      </c>
      <c r="BF382" s="116">
        <v>629</v>
      </c>
      <c r="BG382" s="116">
        <v>19</v>
      </c>
      <c r="BH382" s="116">
        <v>13.4211</v>
      </c>
      <c r="BI382" s="116">
        <v>32.75</v>
      </c>
      <c r="BJ382" s="117">
        <v>10113637</v>
      </c>
      <c r="BK382" s="117">
        <v>146028</v>
      </c>
      <c r="BL382" s="117">
        <v>91519624</v>
      </c>
      <c r="BM382" s="118">
        <v>734767370</v>
      </c>
      <c r="BN382" s="118">
        <v>43221.61</v>
      </c>
      <c r="BO382" s="120">
        <v>0.762</v>
      </c>
      <c r="BP382" s="120">
        <v>0.237</v>
      </c>
      <c r="BQ382" s="120">
        <v>0.002</v>
      </c>
      <c r="BR382" s="120">
        <v>0.01</v>
      </c>
      <c r="BS382" s="120">
        <v>0.079</v>
      </c>
      <c r="BT382" s="120">
        <v>0.314</v>
      </c>
      <c r="BU382" s="120">
        <v>0.227</v>
      </c>
      <c r="BV382" s="120">
        <v>0.171</v>
      </c>
      <c r="BW382" s="120">
        <v>0.129</v>
      </c>
      <c r="BX382" s="120">
        <v>0.071</v>
      </c>
    </row>
    <row r="383" s="96" customFormat="1" ht="15.75" customHeight="1" spans="1:76">
      <c r="A383" s="111">
        <v>382</v>
      </c>
      <c r="B383" s="112" t="s">
        <v>46</v>
      </c>
      <c r="C383" s="112" t="s">
        <v>51</v>
      </c>
      <c r="D383" s="111">
        <v>2025</v>
      </c>
      <c r="E383" s="113" t="s">
        <v>41</v>
      </c>
      <c r="F383" s="114">
        <v>121398069</v>
      </c>
      <c r="G383" s="114">
        <v>108421504</v>
      </c>
      <c r="H383" s="114">
        <v>8885396.237</v>
      </c>
      <c r="I383" s="114">
        <v>97395</v>
      </c>
      <c r="J383" s="115">
        <v>0.00340277777777778</v>
      </c>
      <c r="K383" s="114">
        <v>20.62</v>
      </c>
      <c r="L383" s="114">
        <v>2725</v>
      </c>
      <c r="M383" s="114">
        <v>758205681</v>
      </c>
      <c r="N383" s="114">
        <v>8.81</v>
      </c>
      <c r="O383" s="114">
        <v>21031714</v>
      </c>
      <c r="P383" s="114">
        <v>4343915</v>
      </c>
      <c r="Q383" s="114">
        <v>16687799</v>
      </c>
      <c r="R383" s="114">
        <v>5428173</v>
      </c>
      <c r="S383" s="114">
        <v>11259626</v>
      </c>
      <c r="T383" s="114">
        <v>126203</v>
      </c>
      <c r="U383" s="114">
        <v>28808</v>
      </c>
      <c r="V383" s="114">
        <v>1169907</v>
      </c>
      <c r="W383" s="114">
        <v>56030</v>
      </c>
      <c r="X383" s="114">
        <v>191401</v>
      </c>
      <c r="Y383" s="114">
        <v>532819</v>
      </c>
      <c r="Z383" s="114">
        <v>539637648.7</v>
      </c>
      <c r="AA383" s="114">
        <v>9570327.566</v>
      </c>
      <c r="AB383" s="114">
        <v>6341</v>
      </c>
      <c r="AC383" s="114">
        <v>34346823.73</v>
      </c>
      <c r="AD383" s="114">
        <v>472015948.8</v>
      </c>
      <c r="AE383" s="114">
        <v>858938254.1</v>
      </c>
      <c r="AF383" s="114">
        <v>83831140</v>
      </c>
      <c r="AG383" s="114">
        <v>10246.052</v>
      </c>
      <c r="AH383" s="114">
        <v>55768207</v>
      </c>
      <c r="AI383" s="114">
        <v>4977.219</v>
      </c>
      <c r="AJ383" s="114">
        <v>163543</v>
      </c>
      <c r="AK383" s="114">
        <v>14767811</v>
      </c>
      <c r="AL383" s="114">
        <v>450327093.6</v>
      </c>
      <c r="AM383" s="114">
        <v>4041</v>
      </c>
      <c r="AN383" s="114">
        <v>2434332</v>
      </c>
      <c r="AO383" s="114">
        <v>256559.369</v>
      </c>
      <c r="AP383" s="114">
        <v>1110.023</v>
      </c>
      <c r="AQ383" s="114">
        <v>15491</v>
      </c>
      <c r="AR383" s="114">
        <v>146248</v>
      </c>
      <c r="AS383" s="114">
        <v>113667</v>
      </c>
      <c r="AT383" s="114">
        <v>22</v>
      </c>
      <c r="AU383" s="114">
        <v>340178</v>
      </c>
      <c r="AV383" s="114">
        <v>4</v>
      </c>
      <c r="AW383" s="114">
        <v>0.069</v>
      </c>
      <c r="AX383" s="114">
        <v>21</v>
      </c>
      <c r="AY383" s="114">
        <v>772</v>
      </c>
      <c r="AZ383" s="114">
        <v>12198</v>
      </c>
      <c r="BA383" s="114">
        <v>359723</v>
      </c>
      <c r="BB383" s="116">
        <v>-913</v>
      </c>
      <c r="BC383" s="116">
        <v>-583</v>
      </c>
      <c r="BD383" s="116">
        <v>534</v>
      </c>
      <c r="BE383" s="116">
        <v>1447</v>
      </c>
      <c r="BF383" s="116">
        <v>1117</v>
      </c>
      <c r="BG383" s="116">
        <v>10</v>
      </c>
      <c r="BH383" s="116">
        <v>8.8454</v>
      </c>
      <c r="BI383" s="116">
        <v>45.03</v>
      </c>
      <c r="BJ383" s="117">
        <v>10211032</v>
      </c>
      <c r="BK383" s="117">
        <v>97394</v>
      </c>
      <c r="BL383" s="117">
        <v>97927215</v>
      </c>
      <c r="BM383" s="118">
        <v>446170270</v>
      </c>
      <c r="BN383" s="118">
        <v>26245.31</v>
      </c>
      <c r="BO383" s="120">
        <v>0.765</v>
      </c>
      <c r="BP383" s="120">
        <v>0.234</v>
      </c>
      <c r="BQ383" s="120">
        <v>0.001</v>
      </c>
      <c r="BR383" s="120">
        <v>0.011</v>
      </c>
      <c r="BS383" s="120">
        <v>0.064</v>
      </c>
      <c r="BT383" s="120">
        <v>0.295</v>
      </c>
      <c r="BU383" s="120">
        <v>0.24</v>
      </c>
      <c r="BV383" s="120">
        <v>0.182</v>
      </c>
      <c r="BW383" s="120">
        <v>0.135</v>
      </c>
      <c r="BX383" s="120">
        <v>0.074</v>
      </c>
    </row>
    <row r="384" s="96" customFormat="1" ht="15.75" customHeight="1" spans="1:76">
      <c r="A384" s="111">
        <v>383</v>
      </c>
      <c r="B384" s="112" t="s">
        <v>46</v>
      </c>
      <c r="C384" s="112" t="s">
        <v>51</v>
      </c>
      <c r="D384" s="111">
        <v>2025</v>
      </c>
      <c r="E384" s="113" t="s">
        <v>42</v>
      </c>
      <c r="F384" s="114">
        <v>116423315</v>
      </c>
      <c r="G384" s="114">
        <v>102177382</v>
      </c>
      <c r="H384" s="114">
        <v>8836556.184</v>
      </c>
      <c r="I384" s="114">
        <v>69214</v>
      </c>
      <c r="J384" s="115">
        <v>0.00359953703703704</v>
      </c>
      <c r="K384" s="114">
        <v>22.44</v>
      </c>
      <c r="L384" s="114">
        <v>2572</v>
      </c>
      <c r="M384" s="114">
        <v>691816169</v>
      </c>
      <c r="N384" s="114">
        <v>8.59</v>
      </c>
      <c r="O384" s="114">
        <v>19717835</v>
      </c>
      <c r="P384" s="114">
        <v>3825427</v>
      </c>
      <c r="Q384" s="114">
        <v>15884350</v>
      </c>
      <c r="R384" s="114">
        <v>5280896</v>
      </c>
      <c r="S384" s="114">
        <v>10603454</v>
      </c>
      <c r="T384" s="114">
        <v>94612</v>
      </c>
      <c r="U384" s="114">
        <v>25398</v>
      </c>
      <c r="V384" s="114">
        <v>1068656</v>
      </c>
      <c r="W384" s="114">
        <v>59870</v>
      </c>
      <c r="X384" s="114">
        <v>186164</v>
      </c>
      <c r="Y384" s="114">
        <v>496266</v>
      </c>
      <c r="Z384" s="114">
        <v>571779765.1</v>
      </c>
      <c r="AA384" s="114">
        <v>8334047.597</v>
      </c>
      <c r="AB384" s="114">
        <v>8477</v>
      </c>
      <c r="AC384" s="114">
        <v>33880918.31</v>
      </c>
      <c r="AD384" s="114">
        <v>490454658</v>
      </c>
      <c r="AE384" s="114">
        <v>895103864</v>
      </c>
      <c r="AF384" s="114">
        <v>82241292</v>
      </c>
      <c r="AG384" s="114">
        <v>10883.874</v>
      </c>
      <c r="AH384" s="114">
        <v>53938863</v>
      </c>
      <c r="AI384" s="114">
        <v>5595.937</v>
      </c>
      <c r="AJ384" s="114">
        <v>233413</v>
      </c>
      <c r="AK384" s="114">
        <v>16865078</v>
      </c>
      <c r="AL384" s="114">
        <v>695064619.6</v>
      </c>
      <c r="AM384" s="114">
        <v>5847</v>
      </c>
      <c r="AN384" s="114">
        <v>2182429</v>
      </c>
      <c r="AO384" s="114">
        <v>243564.3432</v>
      </c>
      <c r="AP384" s="114">
        <v>1150.62</v>
      </c>
      <c r="AQ384" s="114">
        <v>11794</v>
      </c>
      <c r="AR384" s="114">
        <v>196998</v>
      </c>
      <c r="AS384" s="114">
        <v>81057</v>
      </c>
      <c r="AT384" s="114">
        <v>47</v>
      </c>
      <c r="AU384" s="114">
        <v>1455616</v>
      </c>
      <c r="AV384" s="114">
        <v>0</v>
      </c>
      <c r="AW384" s="114">
        <v>0</v>
      </c>
      <c r="AX384" s="114">
        <v>22</v>
      </c>
      <c r="AY384" s="114">
        <v>1137</v>
      </c>
      <c r="AZ384" s="114">
        <v>23050</v>
      </c>
      <c r="BA384" s="114">
        <v>347315</v>
      </c>
      <c r="BB384" s="116">
        <v>-172</v>
      </c>
      <c r="BC384" s="116">
        <v>-80</v>
      </c>
      <c r="BD384" s="116">
        <v>479</v>
      </c>
      <c r="BE384" s="116">
        <v>651</v>
      </c>
      <c r="BF384" s="116">
        <v>559</v>
      </c>
      <c r="BG384" s="116">
        <v>4</v>
      </c>
      <c r="BH384" s="116">
        <v>4.8407</v>
      </c>
      <c r="BI384" s="116">
        <v>28.28</v>
      </c>
      <c r="BJ384" s="117">
        <v>10280246</v>
      </c>
      <c r="BK384" s="117">
        <v>69213</v>
      </c>
      <c r="BL384" s="117">
        <v>85527857</v>
      </c>
      <c r="BM384" s="118">
        <v>446871690</v>
      </c>
      <c r="BN384" s="118">
        <v>26286.57</v>
      </c>
      <c r="BO384" s="120">
        <v>0.769</v>
      </c>
      <c r="BP384" s="120">
        <v>0.229</v>
      </c>
      <c r="BQ384" s="120">
        <v>0.001</v>
      </c>
      <c r="BR384" s="120">
        <v>0.011</v>
      </c>
      <c r="BS384" s="120">
        <v>0.059</v>
      </c>
      <c r="BT384" s="120">
        <v>0.29</v>
      </c>
      <c r="BU384" s="120">
        <v>0.238</v>
      </c>
      <c r="BV384" s="120">
        <v>0.187</v>
      </c>
      <c r="BW384" s="120">
        <v>0.141</v>
      </c>
      <c r="BX384" s="120">
        <v>0.075</v>
      </c>
    </row>
    <row r="385" s="96" customFormat="1" ht="15.75" customHeight="1" spans="1:76">
      <c r="A385" s="111">
        <v>384</v>
      </c>
      <c r="B385" s="112" t="s">
        <v>46</v>
      </c>
      <c r="C385" s="112" t="s">
        <v>51</v>
      </c>
      <c r="D385" s="111">
        <v>2025</v>
      </c>
      <c r="E385" s="113" t="s">
        <v>43</v>
      </c>
      <c r="F385" s="114">
        <v>114659902</v>
      </c>
      <c r="G385" s="114">
        <v>96493714</v>
      </c>
      <c r="H385" s="114">
        <v>8635958.997</v>
      </c>
      <c r="I385" s="114">
        <v>53922</v>
      </c>
      <c r="J385" s="115">
        <v>0.00371527777777778</v>
      </c>
      <c r="K385" s="114">
        <v>16.79</v>
      </c>
      <c r="L385" s="114">
        <v>2943</v>
      </c>
      <c r="M385" s="114">
        <v>685458800</v>
      </c>
      <c r="N385" s="114">
        <v>8.64</v>
      </c>
      <c r="O385" s="114">
        <v>20140791</v>
      </c>
      <c r="P385" s="114">
        <v>4215939</v>
      </c>
      <c r="Q385" s="114">
        <v>15929133</v>
      </c>
      <c r="R385" s="114">
        <v>5481831</v>
      </c>
      <c r="S385" s="114">
        <v>10447302</v>
      </c>
      <c r="T385" s="114">
        <v>77934</v>
      </c>
      <c r="U385" s="114">
        <v>24012</v>
      </c>
      <c r="V385" s="114">
        <v>873276</v>
      </c>
      <c r="W385" s="114">
        <v>56926</v>
      </c>
      <c r="X385" s="114">
        <v>168762</v>
      </c>
      <c r="Y385" s="114">
        <v>385460</v>
      </c>
      <c r="Z385" s="114">
        <v>532752679.2</v>
      </c>
      <c r="AA385" s="114">
        <v>9285370.285</v>
      </c>
      <c r="AB385" s="114">
        <v>7548</v>
      </c>
      <c r="AC385" s="114">
        <v>29919736.16</v>
      </c>
      <c r="AD385" s="114">
        <v>465520986.5</v>
      </c>
      <c r="AE385" s="114">
        <v>849823027.9</v>
      </c>
      <c r="AF385" s="114">
        <v>82769891</v>
      </c>
      <c r="AG385" s="114">
        <v>10267.297</v>
      </c>
      <c r="AH385" s="114">
        <v>54309490</v>
      </c>
      <c r="AI385" s="114">
        <v>5527.961</v>
      </c>
      <c r="AJ385" s="114">
        <v>187500</v>
      </c>
      <c r="AK385" s="114">
        <v>11478021</v>
      </c>
      <c r="AL385" s="114">
        <v>615687996.9</v>
      </c>
      <c r="AM385" s="114">
        <v>5161</v>
      </c>
      <c r="AN385" s="114">
        <v>1917324</v>
      </c>
      <c r="AO385" s="114">
        <v>225542.7216</v>
      </c>
      <c r="AP385" s="114">
        <v>1378.061</v>
      </c>
      <c r="AQ385" s="114">
        <v>14984</v>
      </c>
      <c r="AR385" s="114">
        <v>150782</v>
      </c>
      <c r="AS385" s="114">
        <v>105412</v>
      </c>
      <c r="AT385" s="114">
        <v>41</v>
      </c>
      <c r="AU385" s="114">
        <v>2838455</v>
      </c>
      <c r="AV385" s="114">
        <v>3</v>
      </c>
      <c r="AW385" s="114">
        <v>0.0159</v>
      </c>
      <c r="AX385" s="114">
        <v>25</v>
      </c>
      <c r="AY385" s="114">
        <v>1510</v>
      </c>
      <c r="AZ385" s="114">
        <v>3955</v>
      </c>
      <c r="BA385" s="114">
        <v>129010</v>
      </c>
      <c r="BB385" s="116">
        <v>123</v>
      </c>
      <c r="BC385" s="116">
        <v>141</v>
      </c>
      <c r="BD385" s="116">
        <v>594</v>
      </c>
      <c r="BE385" s="116">
        <v>471</v>
      </c>
      <c r="BF385" s="116">
        <v>453</v>
      </c>
      <c r="BG385" s="116">
        <v>4</v>
      </c>
      <c r="BH385" s="116">
        <v>3.6454</v>
      </c>
      <c r="BI385" s="116">
        <v>21.16</v>
      </c>
      <c r="BJ385" s="117">
        <v>10334134</v>
      </c>
      <c r="BK385" s="117">
        <v>53887</v>
      </c>
      <c r="BL385" s="117">
        <v>85664989</v>
      </c>
      <c r="BM385" s="118">
        <v>428770770</v>
      </c>
      <c r="BN385" s="118">
        <v>25221.81</v>
      </c>
      <c r="BO385" s="120">
        <v>0.752</v>
      </c>
      <c r="BP385" s="120">
        <v>0.247</v>
      </c>
      <c r="BQ385" s="120">
        <v>0.001</v>
      </c>
      <c r="BR385" s="120">
        <v>0.011</v>
      </c>
      <c r="BS385" s="120">
        <v>0.065</v>
      </c>
      <c r="BT385" s="120">
        <v>0.293</v>
      </c>
      <c r="BU385" s="120">
        <v>0.226</v>
      </c>
      <c r="BV385" s="120">
        <v>0.18</v>
      </c>
      <c r="BW385" s="120">
        <v>0.143</v>
      </c>
      <c r="BX385" s="120">
        <v>0.081</v>
      </c>
    </row>
    <row r="386" s="96" customFormat="1" ht="15.75" customHeight="1" spans="1:76">
      <c r="A386" s="111">
        <v>385</v>
      </c>
      <c r="B386" s="112" t="s">
        <v>46</v>
      </c>
      <c r="C386" s="112" t="s">
        <v>51</v>
      </c>
      <c r="D386" s="111">
        <v>2026</v>
      </c>
      <c r="E386" s="112" t="s">
        <v>31</v>
      </c>
      <c r="F386" s="121">
        <v>85586657</v>
      </c>
      <c r="G386" s="114">
        <v>75463169</v>
      </c>
      <c r="H386" s="114">
        <v>6459226.091</v>
      </c>
      <c r="I386" s="114">
        <v>34653</v>
      </c>
      <c r="J386" s="115">
        <v>0.00355324074074074</v>
      </c>
      <c r="K386" s="114">
        <v>23.09</v>
      </c>
      <c r="L386" s="114">
        <v>2870</v>
      </c>
      <c r="M386" s="114">
        <v>550634404</v>
      </c>
      <c r="N386" s="114">
        <v>8.36</v>
      </c>
      <c r="O386" s="114">
        <v>17020145</v>
      </c>
      <c r="P386" s="114">
        <v>3170066</v>
      </c>
      <c r="Q386" s="114">
        <v>13842320</v>
      </c>
      <c r="R386" s="114">
        <v>4381583</v>
      </c>
      <c r="S386" s="114">
        <v>9460737</v>
      </c>
      <c r="T386" s="114">
        <v>55898</v>
      </c>
      <c r="U386" s="114">
        <v>21245</v>
      </c>
      <c r="V386" s="114">
        <v>653306</v>
      </c>
      <c r="W386" s="114">
        <v>40979</v>
      </c>
      <c r="X386" s="114">
        <v>147513</v>
      </c>
      <c r="Y386" s="114">
        <v>357148</v>
      </c>
      <c r="Z386" s="121">
        <v>345249011.2</v>
      </c>
      <c r="AA386" s="114">
        <v>8056295.462</v>
      </c>
      <c r="AB386" s="114">
        <v>4360</v>
      </c>
      <c r="AC386" s="114">
        <v>25362903.19</v>
      </c>
      <c r="AD386" s="114">
        <v>289544055.4</v>
      </c>
      <c r="AE386" s="114">
        <v>529297301.1</v>
      </c>
      <c r="AF386" s="114">
        <v>53117542</v>
      </c>
      <c r="AG386" s="114">
        <v>9964.642</v>
      </c>
      <c r="AH386" s="114">
        <v>36454463</v>
      </c>
      <c r="AI386" s="114">
        <v>4575.305</v>
      </c>
      <c r="AJ386" s="114">
        <v>110691</v>
      </c>
      <c r="AK386" s="114">
        <v>7725459</v>
      </c>
      <c r="AL386" s="114">
        <v>310857781.8</v>
      </c>
      <c r="AM386" s="114">
        <v>2583</v>
      </c>
      <c r="AN386" s="114">
        <v>1759367</v>
      </c>
      <c r="AO386" s="114">
        <v>194659.8712</v>
      </c>
      <c r="AP386" s="114">
        <v>1267.2226</v>
      </c>
      <c r="AQ386" s="114">
        <v>10284</v>
      </c>
      <c r="AR386" s="114">
        <v>51184</v>
      </c>
      <c r="AS386" s="114">
        <v>47971</v>
      </c>
      <c r="AT386" s="114">
        <v>282</v>
      </c>
      <c r="AU386" s="114">
        <v>3569614</v>
      </c>
      <c r="AV386" s="114">
        <v>0</v>
      </c>
      <c r="AW386" s="114">
        <v>0</v>
      </c>
      <c r="AX386" s="114">
        <v>15</v>
      </c>
      <c r="AY386" s="114">
        <v>1217</v>
      </c>
      <c r="AZ386" s="114">
        <v>4464</v>
      </c>
      <c r="BA386" s="114">
        <v>127367</v>
      </c>
      <c r="BB386" s="116">
        <v>-171</v>
      </c>
      <c r="BC386" s="116">
        <v>-152</v>
      </c>
      <c r="BD386" s="116">
        <v>333</v>
      </c>
      <c r="BE386" s="116">
        <v>504</v>
      </c>
      <c r="BF386" s="116">
        <v>485</v>
      </c>
      <c r="BG386" s="116">
        <v>2</v>
      </c>
      <c r="BH386" s="116">
        <v>4.9932</v>
      </c>
      <c r="BI386" s="116">
        <v>22.48</v>
      </c>
      <c r="BJ386" s="117">
        <v>10368812</v>
      </c>
      <c r="BK386" s="117">
        <v>34643</v>
      </c>
      <c r="BL386" s="117">
        <v>63323315</v>
      </c>
      <c r="BM386" s="118">
        <v>263841509</v>
      </c>
      <c r="BN386" s="118"/>
      <c r="BO386" s="120">
        <v>0.752</v>
      </c>
      <c r="BP386" s="120">
        <v>0.246</v>
      </c>
      <c r="BQ386" s="120">
        <v>0.001</v>
      </c>
      <c r="BR386" s="120">
        <v>0.011</v>
      </c>
      <c r="BS386" s="120">
        <v>0.057</v>
      </c>
      <c r="BT386" s="120">
        <v>0.279</v>
      </c>
      <c r="BU386" s="120">
        <v>0.232</v>
      </c>
      <c r="BV386" s="120">
        <v>0.186</v>
      </c>
      <c r="BW386" s="120">
        <v>0.148</v>
      </c>
      <c r="BX386" s="120">
        <v>0.087</v>
      </c>
    </row>
    <row r="387" s="96" customFormat="1" ht="15.75" customHeight="1" spans="1:76">
      <c r="A387" s="111">
        <v>386</v>
      </c>
      <c r="B387" s="112" t="s">
        <v>46</v>
      </c>
      <c r="C387" s="112" t="s">
        <v>51</v>
      </c>
      <c r="D387" s="111">
        <v>2026</v>
      </c>
      <c r="E387" s="112" t="s">
        <v>33</v>
      </c>
      <c r="F387" s="114">
        <v>82289285</v>
      </c>
      <c r="G387" s="114">
        <v>73484999</v>
      </c>
      <c r="H387" s="114">
        <v>6545929.827</v>
      </c>
      <c r="I387" s="114">
        <v>33661</v>
      </c>
      <c r="J387" s="115">
        <v>0.0037037037037037</v>
      </c>
      <c r="K387" s="114">
        <v>12.73</v>
      </c>
      <c r="L387" s="114">
        <v>2726</v>
      </c>
      <c r="M387" s="114">
        <v>519815083</v>
      </c>
      <c r="N387" s="114">
        <v>8.8</v>
      </c>
      <c r="O387" s="114">
        <v>18554330</v>
      </c>
      <c r="P387" s="114">
        <v>3691959</v>
      </c>
      <c r="Q387" s="114">
        <v>14805719</v>
      </c>
      <c r="R387" s="114">
        <v>4847976</v>
      </c>
      <c r="S387" s="114">
        <v>9957743</v>
      </c>
      <c r="T387" s="114">
        <v>55233</v>
      </c>
      <c r="U387" s="114">
        <v>21572</v>
      </c>
      <c r="V387" s="114">
        <v>578726</v>
      </c>
      <c r="W387" s="114">
        <v>38617</v>
      </c>
      <c r="X387" s="114">
        <v>136082</v>
      </c>
      <c r="Y387" s="114">
        <v>313931</v>
      </c>
      <c r="Z387" s="114">
        <v>401029997</v>
      </c>
      <c r="AA387" s="114">
        <v>7015710.53</v>
      </c>
      <c r="AB387" s="114">
        <v>3799</v>
      </c>
      <c r="AC387" s="114">
        <v>29180365.41</v>
      </c>
      <c r="AD387" s="114">
        <v>342849203.4</v>
      </c>
      <c r="AE387" s="114">
        <v>624699738.5</v>
      </c>
      <c r="AF387" s="114">
        <v>62350920</v>
      </c>
      <c r="AG387" s="114">
        <v>10019.094</v>
      </c>
      <c r="AH387" s="114">
        <v>40832630</v>
      </c>
      <c r="AI387" s="114">
        <v>5458.19</v>
      </c>
      <c r="AJ387" s="114">
        <v>85703</v>
      </c>
      <c r="AK387" s="114">
        <v>7073541</v>
      </c>
      <c r="AL387" s="114">
        <v>252369147.8</v>
      </c>
      <c r="AM387" s="114">
        <v>2299</v>
      </c>
      <c r="AN387" s="114">
        <v>1762672</v>
      </c>
      <c r="AO387" s="114">
        <v>197353.0825</v>
      </c>
      <c r="AP387" s="114">
        <v>1229.6801</v>
      </c>
      <c r="AQ387" s="114">
        <v>7835</v>
      </c>
      <c r="AR387" s="114">
        <v>266772</v>
      </c>
      <c r="AS387" s="114">
        <v>979877</v>
      </c>
      <c r="AT387" s="114">
        <v>241</v>
      </c>
      <c r="AU387" s="114">
        <v>2068353</v>
      </c>
      <c r="AV387" s="114">
        <v>3</v>
      </c>
      <c r="AW387" s="114">
        <v>0.0053</v>
      </c>
      <c r="AX387" s="114">
        <v>15</v>
      </c>
      <c r="AY387" s="114">
        <v>675</v>
      </c>
      <c r="AZ387" s="114">
        <v>2869</v>
      </c>
      <c r="BA387" s="114">
        <v>80765</v>
      </c>
      <c r="BB387" s="116">
        <v>-152</v>
      </c>
      <c r="BC387" s="116">
        <v>-136</v>
      </c>
      <c r="BD387" s="116">
        <v>241</v>
      </c>
      <c r="BE387" s="116">
        <v>393</v>
      </c>
      <c r="BF387" s="116">
        <v>377</v>
      </c>
      <c r="BG387" s="116">
        <v>1</v>
      </c>
      <c r="BH387" s="116">
        <v>3.8434</v>
      </c>
      <c r="BI387" s="116">
        <v>18.59</v>
      </c>
      <c r="BJ387" s="117">
        <v>10402483</v>
      </c>
      <c r="BK387" s="117">
        <v>33661</v>
      </c>
      <c r="BL387" s="117">
        <v>59230146</v>
      </c>
      <c r="BM387" s="118">
        <v>299727682</v>
      </c>
      <c r="BN387" s="118"/>
      <c r="BO387" s="120">
        <v>0.753</v>
      </c>
      <c r="BP387" s="120">
        <v>0.246</v>
      </c>
      <c r="BQ387" s="120">
        <v>0.001</v>
      </c>
      <c r="BR387" s="120">
        <v>0.012</v>
      </c>
      <c r="BS387" s="120">
        <v>0.062</v>
      </c>
      <c r="BT387" s="120">
        <v>0.293</v>
      </c>
      <c r="BU387" s="120">
        <v>0.234</v>
      </c>
      <c r="BV387" s="120">
        <v>0.181</v>
      </c>
      <c r="BW387" s="120">
        <v>0.139</v>
      </c>
      <c r="BX387" s="120">
        <v>0.079</v>
      </c>
    </row>
    <row r="388" s="96" customFormat="1" ht="15.75" customHeight="1" spans="1:76">
      <c r="A388" s="111">
        <v>387</v>
      </c>
      <c r="B388" s="112" t="s">
        <v>46</v>
      </c>
      <c r="C388" s="112" t="s">
        <v>51</v>
      </c>
      <c r="D388" s="111">
        <v>2026</v>
      </c>
      <c r="E388" s="113" t="s">
        <v>34</v>
      </c>
      <c r="F388" s="114">
        <v>187380832</v>
      </c>
      <c r="G388" s="114">
        <v>176795636</v>
      </c>
      <c r="H388" s="114">
        <v>15860120.73</v>
      </c>
      <c r="I388" s="114">
        <v>103961</v>
      </c>
      <c r="J388" s="115">
        <v>0.00372685185185185</v>
      </c>
      <c r="K388" s="114">
        <v>16.73</v>
      </c>
      <c r="L388" s="114">
        <v>3201</v>
      </c>
      <c r="M388" s="114">
        <v>1191278651</v>
      </c>
      <c r="N388" s="114">
        <v>10.22</v>
      </c>
      <c r="O388" s="114">
        <v>29610420</v>
      </c>
      <c r="P388" s="114">
        <v>7214770</v>
      </c>
      <c r="Q388" s="114">
        <v>22431653</v>
      </c>
      <c r="R388" s="114">
        <v>8364867</v>
      </c>
      <c r="S388" s="114">
        <v>14066786</v>
      </c>
      <c r="T388" s="114">
        <v>137031</v>
      </c>
      <c r="U388" s="114">
        <v>33070</v>
      </c>
      <c r="V388" s="114">
        <v>1372648</v>
      </c>
      <c r="W388" s="114">
        <v>67944</v>
      </c>
      <c r="X388" s="114">
        <v>208777</v>
      </c>
      <c r="Y388" s="114">
        <v>675913</v>
      </c>
      <c r="Z388" s="114">
        <v>1286737945</v>
      </c>
      <c r="AA388" s="114">
        <v>8173852.187</v>
      </c>
      <c r="AB388" s="114">
        <v>3842</v>
      </c>
      <c r="AC388" s="114">
        <v>61484267.92</v>
      </c>
      <c r="AD388" s="114">
        <v>1200905928</v>
      </c>
      <c r="AE388" s="114">
        <v>2185298965</v>
      </c>
      <c r="AF388" s="114">
        <v>178740393</v>
      </c>
      <c r="AG388" s="114">
        <v>12226.106</v>
      </c>
      <c r="AH388" s="114">
        <v>116811984</v>
      </c>
      <c r="AI388" s="114">
        <v>7279.989</v>
      </c>
      <c r="AJ388" s="114">
        <v>108452</v>
      </c>
      <c r="AK388" s="114">
        <v>8426766</v>
      </c>
      <c r="AL388" s="114">
        <v>252041341</v>
      </c>
      <c r="AM388" s="114">
        <v>2351</v>
      </c>
      <c r="AN388" s="114">
        <v>4312635</v>
      </c>
      <c r="AO388" s="114">
        <v>491152.0269</v>
      </c>
      <c r="AP388" s="114">
        <v>1472.4101</v>
      </c>
      <c r="AQ388" s="114">
        <v>11575</v>
      </c>
      <c r="AR388" s="114">
        <v>255688</v>
      </c>
      <c r="AS388" s="114">
        <v>277722</v>
      </c>
      <c r="AT388" s="114">
        <v>340</v>
      </c>
      <c r="AU388" s="114">
        <v>1096428</v>
      </c>
      <c r="AV388" s="114">
        <v>25</v>
      </c>
      <c r="AW388" s="114">
        <v>1.1547</v>
      </c>
      <c r="AX388" s="114">
        <v>30</v>
      </c>
      <c r="AY388" s="114">
        <v>1234</v>
      </c>
      <c r="AZ388" s="114">
        <v>2578</v>
      </c>
      <c r="BA388" s="114">
        <v>81871</v>
      </c>
      <c r="BB388" s="116">
        <v>166</v>
      </c>
      <c r="BC388" s="116">
        <v>136</v>
      </c>
      <c r="BD388" s="116">
        <v>492</v>
      </c>
      <c r="BE388" s="116">
        <v>326</v>
      </c>
      <c r="BF388" s="116">
        <v>356</v>
      </c>
      <c r="BG388" s="116">
        <v>6</v>
      </c>
      <c r="BH388" s="116">
        <v>1.3577</v>
      </c>
      <c r="BI388" s="116">
        <v>13.3</v>
      </c>
      <c r="BJ388" s="117">
        <v>10506431</v>
      </c>
      <c r="BK388" s="117">
        <v>103961</v>
      </c>
      <c r="BL388" s="117">
        <v>156893433</v>
      </c>
      <c r="BM388" s="118">
        <v>1157749237</v>
      </c>
      <c r="BN388" s="118"/>
      <c r="BO388" s="120">
        <v>0.769</v>
      </c>
      <c r="BP388" s="120">
        <v>0.229</v>
      </c>
      <c r="BQ388" s="120">
        <v>0.002</v>
      </c>
      <c r="BR388" s="120">
        <v>0.013</v>
      </c>
      <c r="BS388" s="120">
        <v>0.061</v>
      </c>
      <c r="BT388" s="120">
        <v>0.303</v>
      </c>
      <c r="BU388" s="120">
        <v>0.261</v>
      </c>
      <c r="BV388" s="120">
        <v>0.19</v>
      </c>
      <c r="BW388" s="120">
        <v>0.115</v>
      </c>
      <c r="BX388" s="120">
        <v>0.057</v>
      </c>
    </row>
    <row r="389" s="96" customFormat="1" ht="15.75" customHeight="1" spans="1:76">
      <c r="A389" s="111">
        <v>388</v>
      </c>
      <c r="B389" s="112" t="s">
        <v>46</v>
      </c>
      <c r="C389" s="112" t="s">
        <v>51</v>
      </c>
      <c r="D389" s="111">
        <v>2026</v>
      </c>
      <c r="E389" s="113" t="s">
        <v>35</v>
      </c>
      <c r="F389" s="114">
        <v>137266967</v>
      </c>
      <c r="G389" s="114">
        <v>123843240</v>
      </c>
      <c r="H389" s="114">
        <v>12586569.8</v>
      </c>
      <c r="I389" s="114">
        <v>53973</v>
      </c>
      <c r="J389" s="115">
        <v>0.00422453703703704</v>
      </c>
      <c r="K389" s="114">
        <v>18.91</v>
      </c>
      <c r="L389" s="114">
        <v>2835</v>
      </c>
      <c r="M389" s="114">
        <v>820050784</v>
      </c>
      <c r="N389" s="114">
        <v>9.59</v>
      </c>
      <c r="O389" s="114">
        <v>21659486</v>
      </c>
      <c r="P389" s="114">
        <v>4261187</v>
      </c>
      <c r="Q389" s="114">
        <v>17365705</v>
      </c>
      <c r="R389" s="114">
        <v>6682409</v>
      </c>
      <c r="S389" s="114">
        <v>10683296</v>
      </c>
      <c r="T389" s="114">
        <v>83581</v>
      </c>
      <c r="U389" s="114">
        <v>29608</v>
      </c>
      <c r="V389" s="114">
        <v>921645</v>
      </c>
      <c r="W389" s="114">
        <v>56797</v>
      </c>
      <c r="X389" s="114">
        <v>141311</v>
      </c>
      <c r="Y389" s="114">
        <v>484466</v>
      </c>
      <c r="Z389" s="114">
        <v>680104388.7</v>
      </c>
      <c r="AA389" s="114">
        <v>8659772.919</v>
      </c>
      <c r="AB389" s="114">
        <v>5749</v>
      </c>
      <c r="AC389" s="114">
        <v>46678340.89</v>
      </c>
      <c r="AD389" s="114">
        <v>602623074.5</v>
      </c>
      <c r="AE389" s="114">
        <v>1096129153</v>
      </c>
      <c r="AF389" s="114">
        <v>104123648</v>
      </c>
      <c r="AG389" s="114">
        <v>10527.187</v>
      </c>
      <c r="AH389" s="114">
        <v>72639468</v>
      </c>
      <c r="AI389" s="114">
        <v>5591.483</v>
      </c>
      <c r="AJ389" s="114">
        <v>157319</v>
      </c>
      <c r="AK389" s="114">
        <v>9932712</v>
      </c>
      <c r="AL389" s="114">
        <v>450518997.4</v>
      </c>
      <c r="AM389" s="114">
        <v>3731</v>
      </c>
      <c r="AN389" s="114">
        <v>2620232</v>
      </c>
      <c r="AO389" s="114">
        <v>348637.8506</v>
      </c>
      <c r="AP389" s="114">
        <v>1471.7665</v>
      </c>
      <c r="AQ389" s="114">
        <v>10668</v>
      </c>
      <c r="AR389" s="114">
        <v>154558</v>
      </c>
      <c r="AS389" s="114">
        <v>92307</v>
      </c>
      <c r="AT389" s="114">
        <v>222</v>
      </c>
      <c r="AU389" s="114">
        <v>7410534</v>
      </c>
      <c r="AV389" s="114">
        <v>0</v>
      </c>
      <c r="AW389" s="114">
        <v>0</v>
      </c>
      <c r="AX389" s="114">
        <v>6</v>
      </c>
      <c r="AY389" s="114">
        <v>648</v>
      </c>
      <c r="AZ389" s="114">
        <v>2281</v>
      </c>
      <c r="BA389" s="114">
        <v>79436</v>
      </c>
      <c r="BB389" s="116">
        <v>74</v>
      </c>
      <c r="BC389" s="116">
        <v>86</v>
      </c>
      <c r="BD389" s="116">
        <v>499</v>
      </c>
      <c r="BE389" s="116">
        <v>425</v>
      </c>
      <c r="BF389" s="116">
        <v>413</v>
      </c>
      <c r="BG389" s="116">
        <v>5</v>
      </c>
      <c r="BH389" s="116">
        <v>1.204</v>
      </c>
      <c r="BI389" s="116">
        <v>21.1</v>
      </c>
      <c r="BJ389" s="117">
        <v>10560411</v>
      </c>
      <c r="BK389" s="117">
        <v>53971</v>
      </c>
      <c r="BL389" s="117">
        <v>107956167</v>
      </c>
      <c r="BM389" s="118">
        <v>579690741</v>
      </c>
      <c r="BN389" s="118"/>
      <c r="BO389" s="120">
        <v>0.772</v>
      </c>
      <c r="BP389" s="120">
        <v>0.227</v>
      </c>
      <c r="BQ389" s="120">
        <v>0.001</v>
      </c>
      <c r="BR389" s="120">
        <v>0.013</v>
      </c>
      <c r="BS389" s="120">
        <v>0.06</v>
      </c>
      <c r="BT389" s="120">
        <v>0.295</v>
      </c>
      <c r="BU389" s="120">
        <v>0.25</v>
      </c>
      <c r="BV389" s="120">
        <v>0.19</v>
      </c>
      <c r="BW389" s="120">
        <v>0.126</v>
      </c>
      <c r="BX389" s="120">
        <v>0.066</v>
      </c>
    </row>
    <row r="390" s="96" customFormat="1" ht="15.75" customHeight="1" spans="1:76">
      <c r="A390" s="111">
        <v>389</v>
      </c>
      <c r="B390" s="112" t="s">
        <v>46</v>
      </c>
      <c r="C390" s="112" t="s">
        <v>51</v>
      </c>
      <c r="D390" s="111">
        <v>2026</v>
      </c>
      <c r="E390" s="113" t="s">
        <v>36</v>
      </c>
      <c r="F390" s="114">
        <v>95677772</v>
      </c>
      <c r="G390" s="114">
        <v>84305808</v>
      </c>
      <c r="H390" s="114">
        <v>8862049.747</v>
      </c>
      <c r="I390" s="114">
        <v>38283</v>
      </c>
      <c r="J390" s="115">
        <v>0.00436342592592593</v>
      </c>
      <c r="K390" s="114">
        <v>17.39</v>
      </c>
      <c r="L390" s="114">
        <v>2813</v>
      </c>
      <c r="M390" s="114">
        <v>585099640</v>
      </c>
      <c r="N390" s="114">
        <v>9.09</v>
      </c>
      <c r="O390" s="114">
        <v>17733343</v>
      </c>
      <c r="P390" s="114">
        <v>3515821</v>
      </c>
      <c r="Q390" s="114">
        <v>14209694</v>
      </c>
      <c r="R390" s="114">
        <v>5411083</v>
      </c>
      <c r="S390" s="114">
        <v>8798611</v>
      </c>
      <c r="T390" s="114">
        <v>60466</v>
      </c>
      <c r="U390" s="114">
        <v>22183</v>
      </c>
      <c r="V390" s="114">
        <v>625175</v>
      </c>
      <c r="W390" s="114">
        <v>39881</v>
      </c>
      <c r="X390" s="114">
        <v>119859</v>
      </c>
      <c r="Y390" s="114">
        <v>338728</v>
      </c>
      <c r="Z390" s="114">
        <v>500591370.3</v>
      </c>
      <c r="AA390" s="114">
        <v>7890929.868</v>
      </c>
      <c r="AB390" s="114">
        <v>4089</v>
      </c>
      <c r="AC390" s="114">
        <v>29484247.08</v>
      </c>
      <c r="AD390" s="114">
        <v>448159900.6</v>
      </c>
      <c r="AE390" s="114">
        <v>810100494.6</v>
      </c>
      <c r="AF390" s="114">
        <v>70454668</v>
      </c>
      <c r="AG390" s="114">
        <v>11498.181</v>
      </c>
      <c r="AH390" s="114">
        <v>49841724</v>
      </c>
      <c r="AI390" s="114">
        <v>5957.893</v>
      </c>
      <c r="AJ390" s="114">
        <v>111610</v>
      </c>
      <c r="AK390" s="114">
        <v>6994476</v>
      </c>
      <c r="AL390" s="114">
        <v>320713955.7</v>
      </c>
      <c r="AM390" s="114">
        <v>2365</v>
      </c>
      <c r="AN390" s="114">
        <v>1747035</v>
      </c>
      <c r="AO390" s="114">
        <v>236528.7548</v>
      </c>
      <c r="AP390" s="114">
        <v>1342.3317</v>
      </c>
      <c r="AQ390" s="114">
        <v>10501</v>
      </c>
      <c r="AR390" s="114">
        <v>77596</v>
      </c>
      <c r="AS390" s="114">
        <v>39761</v>
      </c>
      <c r="AT390" s="114">
        <v>176</v>
      </c>
      <c r="AU390" s="114">
        <v>1427659</v>
      </c>
      <c r="AV390" s="114">
        <v>0</v>
      </c>
      <c r="AW390" s="114">
        <v>0</v>
      </c>
      <c r="AX390" s="114">
        <v>10</v>
      </c>
      <c r="AY390" s="114">
        <v>507</v>
      </c>
      <c r="AZ390" s="114">
        <v>1550</v>
      </c>
      <c r="BA390" s="114">
        <v>72209</v>
      </c>
      <c r="BB390" s="116">
        <v>-105</v>
      </c>
      <c r="BC390" s="116">
        <v>-101</v>
      </c>
      <c r="BD390" s="116">
        <v>351</v>
      </c>
      <c r="BE390" s="116">
        <v>456</v>
      </c>
      <c r="BF390" s="116">
        <v>452</v>
      </c>
      <c r="BG390" s="116">
        <v>5</v>
      </c>
      <c r="BH390" s="116">
        <v>2.8732</v>
      </c>
      <c r="BI390" s="116">
        <v>20.05</v>
      </c>
      <c r="BJ390" s="117">
        <v>10598700</v>
      </c>
      <c r="BK390" s="117">
        <v>38281</v>
      </c>
      <c r="BL390" s="117">
        <v>70073818</v>
      </c>
      <c r="BM390" s="118">
        <v>373716929</v>
      </c>
      <c r="BN390" s="118"/>
      <c r="BO390" s="120">
        <v>0.759</v>
      </c>
      <c r="BP390" s="120">
        <v>0.239</v>
      </c>
      <c r="BQ390" s="120">
        <v>0.001</v>
      </c>
      <c r="BR390" s="120">
        <v>0.013</v>
      </c>
      <c r="BS390" s="120">
        <v>0.059</v>
      </c>
      <c r="BT390" s="120">
        <v>0.293</v>
      </c>
      <c r="BU390" s="120">
        <v>0.244</v>
      </c>
      <c r="BV390" s="120">
        <v>0.185</v>
      </c>
      <c r="BW390" s="120">
        <v>0.132</v>
      </c>
      <c r="BX390" s="120">
        <v>0.074</v>
      </c>
    </row>
    <row r="391" s="96" customFormat="1" ht="15.75" customHeight="1" spans="1:76">
      <c r="A391" s="111">
        <v>390</v>
      </c>
      <c r="B391" s="96" t="s">
        <v>46</v>
      </c>
      <c r="C391" s="96" t="s">
        <v>51</v>
      </c>
      <c r="D391" s="122">
        <v>2026</v>
      </c>
      <c r="E391" s="96" t="s">
        <v>37</v>
      </c>
      <c r="F391" s="123">
        <v>90651704</v>
      </c>
      <c r="G391" s="123">
        <v>79193948</v>
      </c>
      <c r="H391" s="123">
        <v>7531138</v>
      </c>
      <c r="I391" s="123">
        <v>37823</v>
      </c>
      <c r="J391" s="124">
        <v>0.00395833333333333</v>
      </c>
      <c r="K391" s="125">
        <v>15</v>
      </c>
      <c r="L391" s="123">
        <v>2367</v>
      </c>
      <c r="M391" s="123">
        <v>524482239</v>
      </c>
      <c r="N391" s="125">
        <v>9</v>
      </c>
      <c r="O391" s="123">
        <v>17802300</v>
      </c>
      <c r="P391" s="123">
        <v>3515913</v>
      </c>
      <c r="Q391" s="123">
        <v>13577918</v>
      </c>
      <c r="R391" s="123">
        <v>5050804</v>
      </c>
      <c r="S391" s="123">
        <v>8527114</v>
      </c>
      <c r="T391" s="123">
        <v>62025</v>
      </c>
      <c r="U391" s="123">
        <v>24202</v>
      </c>
      <c r="V391" s="123">
        <v>635555</v>
      </c>
      <c r="W391" s="123">
        <v>45860</v>
      </c>
      <c r="X391" s="123">
        <v>127527</v>
      </c>
      <c r="Y391" s="123">
        <v>396774</v>
      </c>
      <c r="Z391" s="123">
        <v>491230814</v>
      </c>
      <c r="AA391" s="123">
        <v>7572366</v>
      </c>
      <c r="AB391" s="123">
        <v>3056</v>
      </c>
      <c r="AC391" s="123">
        <v>25945770</v>
      </c>
      <c r="AD391" s="123">
        <v>443831852</v>
      </c>
      <c r="AE391" s="123">
        <v>805980249</v>
      </c>
      <c r="AF391" s="123">
        <v>67648250</v>
      </c>
      <c r="AG391" s="123">
        <v>11914</v>
      </c>
      <c r="AH391" s="123">
        <v>46621565</v>
      </c>
      <c r="AI391" s="123">
        <v>6201</v>
      </c>
      <c r="AJ391" s="123">
        <v>87469</v>
      </c>
      <c r="AK391" s="123">
        <v>7718832</v>
      </c>
      <c r="AL391" s="123">
        <v>234176913</v>
      </c>
      <c r="AM391" s="123">
        <v>1576</v>
      </c>
      <c r="AN391" s="123">
        <v>1650105</v>
      </c>
      <c r="AO391" s="123">
        <v>200505</v>
      </c>
      <c r="AP391" s="123">
        <v>1078</v>
      </c>
      <c r="AQ391" s="123">
        <v>10699</v>
      </c>
      <c r="AR391" s="123">
        <v>115002</v>
      </c>
      <c r="AS391" s="123">
        <v>73715</v>
      </c>
      <c r="AT391" s="125">
        <v>119</v>
      </c>
      <c r="AU391" s="123">
        <v>372775</v>
      </c>
      <c r="AV391" s="125">
        <v>0</v>
      </c>
      <c r="AW391" s="125">
        <v>0</v>
      </c>
      <c r="AX391" s="125">
        <v>22</v>
      </c>
      <c r="AY391" s="125">
        <v>384</v>
      </c>
      <c r="AZ391" s="123">
        <v>1203</v>
      </c>
      <c r="BA391" s="123">
        <v>57350</v>
      </c>
      <c r="BB391" s="125">
        <v>-48</v>
      </c>
      <c r="BC391" s="125">
        <v>-27</v>
      </c>
      <c r="BD391" s="125">
        <v>310</v>
      </c>
      <c r="BE391" s="125">
        <v>358</v>
      </c>
      <c r="BF391" s="125">
        <v>337</v>
      </c>
      <c r="BG391" s="125">
        <v>3</v>
      </c>
      <c r="BH391" s="125">
        <v>2.3061</v>
      </c>
      <c r="BI391" s="125">
        <v>13.67</v>
      </c>
      <c r="BJ391" s="117">
        <v>10636524</v>
      </c>
      <c r="BK391" s="117">
        <v>37820</v>
      </c>
      <c r="BL391" s="117">
        <v>67149819</v>
      </c>
      <c r="BM391" s="118">
        <v>372708951</v>
      </c>
      <c r="BN391" s="118"/>
      <c r="BO391" s="120">
        <v>0.755</v>
      </c>
      <c r="BP391" s="120">
        <v>0.243</v>
      </c>
      <c r="BQ391" s="120">
        <v>0.001</v>
      </c>
      <c r="BR391" s="120">
        <v>0.012</v>
      </c>
      <c r="BS391" s="120">
        <v>0.058</v>
      </c>
      <c r="BT391" s="120">
        <v>0.289</v>
      </c>
      <c r="BU391" s="120">
        <v>0.235</v>
      </c>
      <c r="BV391" s="120">
        <v>0.184</v>
      </c>
      <c r="BW391" s="120">
        <v>0.141</v>
      </c>
      <c r="BX391" s="120">
        <v>0.081</v>
      </c>
    </row>
    <row r="392" s="96" customFormat="1" ht="15.75" customHeight="1" spans="1:76">
      <c r="A392" s="111">
        <v>391</v>
      </c>
      <c r="B392" s="96" t="s">
        <v>46</v>
      </c>
      <c r="C392" s="96" t="s">
        <v>51</v>
      </c>
      <c r="D392" s="122">
        <v>2026</v>
      </c>
      <c r="E392" s="96" t="s">
        <v>38</v>
      </c>
      <c r="F392" s="126">
        <v>84783037</v>
      </c>
      <c r="G392" s="126">
        <v>74523468</v>
      </c>
      <c r="H392" s="126">
        <v>7825746</v>
      </c>
      <c r="I392" s="126">
        <v>32897</v>
      </c>
      <c r="J392" s="127">
        <v>0.00436342592592593</v>
      </c>
      <c r="K392" s="128">
        <v>16</v>
      </c>
      <c r="L392" s="126">
        <v>2339</v>
      </c>
      <c r="M392" s="126">
        <v>509567642</v>
      </c>
      <c r="N392" s="128">
        <v>8</v>
      </c>
      <c r="O392" s="126">
        <v>16992142</v>
      </c>
      <c r="P392" s="126">
        <v>2883851</v>
      </c>
      <c r="Q392" s="126">
        <v>12890089</v>
      </c>
      <c r="R392" s="126">
        <v>4422862</v>
      </c>
      <c r="S392" s="126">
        <v>8467227</v>
      </c>
      <c r="T392" s="126">
        <v>53714</v>
      </c>
      <c r="U392" s="126">
        <v>20817</v>
      </c>
      <c r="V392" s="126">
        <v>563825</v>
      </c>
      <c r="W392" s="126">
        <v>21236</v>
      </c>
      <c r="X392" s="126">
        <v>115947</v>
      </c>
      <c r="Y392" s="126">
        <v>311779</v>
      </c>
      <c r="Z392" s="126">
        <v>469107977</v>
      </c>
      <c r="AA392" s="126">
        <v>7228790</v>
      </c>
      <c r="AB392" s="126">
        <v>1793</v>
      </c>
      <c r="AC392" s="126">
        <v>29827649</v>
      </c>
      <c r="AD392" s="126">
        <v>423780717</v>
      </c>
      <c r="AE392" s="126">
        <v>769909281</v>
      </c>
      <c r="AF392" s="126">
        <v>63811934</v>
      </c>
      <c r="AG392" s="126">
        <v>12065</v>
      </c>
      <c r="AH392" s="126">
        <v>43136005</v>
      </c>
      <c r="AI392" s="126">
        <v>6320</v>
      </c>
      <c r="AJ392" s="126">
        <v>48091</v>
      </c>
      <c r="AK392" s="126">
        <v>6367895</v>
      </c>
      <c r="AL392" s="126">
        <v>76479668</v>
      </c>
      <c r="AM392" s="128">
        <v>660</v>
      </c>
      <c r="AN392" s="126">
        <v>1711492</v>
      </c>
      <c r="AO392" s="126">
        <v>227591</v>
      </c>
      <c r="AP392" s="126">
        <v>1370</v>
      </c>
      <c r="AQ392" s="126">
        <v>17229</v>
      </c>
      <c r="AR392" s="126">
        <v>132655</v>
      </c>
      <c r="AS392" s="126">
        <v>67483</v>
      </c>
      <c r="AT392" s="128">
        <v>104</v>
      </c>
      <c r="AU392" s="126">
        <v>1088911</v>
      </c>
      <c r="AV392" s="128">
        <v>0</v>
      </c>
      <c r="AW392" s="128">
        <v>0</v>
      </c>
      <c r="AX392" s="128">
        <v>16</v>
      </c>
      <c r="AY392" s="128">
        <v>649</v>
      </c>
      <c r="AZ392" s="126">
        <v>4123</v>
      </c>
      <c r="BA392" s="126">
        <v>189131</v>
      </c>
      <c r="BB392" s="129">
        <v>-48</v>
      </c>
      <c r="BC392" s="129">
        <v>-49</v>
      </c>
      <c r="BD392" s="129">
        <v>296</v>
      </c>
      <c r="BE392" s="129">
        <v>344</v>
      </c>
      <c r="BF392" s="129">
        <v>345</v>
      </c>
      <c r="BG392" s="129">
        <v>6</v>
      </c>
      <c r="BH392" s="129">
        <v>2.159</v>
      </c>
      <c r="BI392" s="129">
        <v>16.63</v>
      </c>
      <c r="BJ392" s="130">
        <v>10669420</v>
      </c>
      <c r="BK392" s="130">
        <v>32897</v>
      </c>
      <c r="BL392" s="130">
        <v>56414204</v>
      </c>
      <c r="BM392" s="131">
        <v>316748649.53</v>
      </c>
      <c r="BN392" s="131"/>
      <c r="BO392" s="132">
        <v>0.766</v>
      </c>
      <c r="BP392" s="132">
        <v>0.233</v>
      </c>
      <c r="BQ392" s="132">
        <v>0.001</v>
      </c>
      <c r="BR392" s="132">
        <v>0.011</v>
      </c>
      <c r="BS392" s="132">
        <v>0.054</v>
      </c>
      <c r="BT392" s="132">
        <v>0.278</v>
      </c>
      <c r="BU392" s="132">
        <v>0.229</v>
      </c>
      <c r="BV392" s="132">
        <v>0.184</v>
      </c>
      <c r="BW392" s="132">
        <v>0.151</v>
      </c>
      <c r="BX392" s="119"/>
    </row>
    <row r="393" s="96" customFormat="1" ht="15.75" customHeight="1" spans="1:76">
      <c r="A393" s="111">
        <v>392</v>
      </c>
      <c r="B393" s="96" t="s">
        <v>46</v>
      </c>
      <c r="C393" s="96" t="s">
        <v>51</v>
      </c>
      <c r="D393" s="122">
        <v>2026</v>
      </c>
      <c r="E393" s="96" t="s">
        <v>39</v>
      </c>
      <c r="F393" s="128"/>
      <c r="G393" s="128"/>
      <c r="H393" s="128"/>
      <c r="I393" s="128"/>
      <c r="J393" s="127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9"/>
      <c r="BC393" s="129"/>
      <c r="BD393" s="129"/>
      <c r="BE393" s="129"/>
      <c r="BF393" s="129"/>
      <c r="BG393" s="129"/>
      <c r="BH393" s="129"/>
      <c r="BI393" s="129"/>
      <c r="BJ393" s="119"/>
      <c r="BK393" s="119"/>
      <c r="BL393" s="119"/>
      <c r="BM393" s="131"/>
      <c r="BN393" s="131"/>
      <c r="BO393" s="119"/>
      <c r="BP393" s="119"/>
      <c r="BQ393" s="119"/>
      <c r="BR393" s="119"/>
      <c r="BS393" s="119"/>
      <c r="BT393" s="119"/>
      <c r="BU393" s="119"/>
      <c r="BV393" s="119"/>
      <c r="BW393" s="119"/>
      <c r="BX393" s="119"/>
    </row>
    <row r="394" s="96" customFormat="1" ht="15.75" customHeight="1" spans="1:76">
      <c r="A394" s="111">
        <v>393</v>
      </c>
      <c r="B394" s="96" t="s">
        <v>46</v>
      </c>
      <c r="C394" s="96" t="s">
        <v>51</v>
      </c>
      <c r="D394" s="122">
        <v>2026</v>
      </c>
      <c r="E394" s="96" t="s">
        <v>40</v>
      </c>
      <c r="F394" s="128"/>
      <c r="G394" s="128"/>
      <c r="H394" s="128"/>
      <c r="I394" s="128"/>
      <c r="J394" s="127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9"/>
      <c r="BC394" s="129"/>
      <c r="BD394" s="129"/>
      <c r="BE394" s="129"/>
      <c r="BF394" s="129"/>
      <c r="BG394" s="129"/>
      <c r="BH394" s="129"/>
      <c r="BI394" s="129"/>
      <c r="BJ394" s="119"/>
      <c r="BK394" s="119"/>
      <c r="BL394" s="119"/>
      <c r="BM394" s="131"/>
      <c r="BN394" s="131"/>
      <c r="BO394" s="119"/>
      <c r="BP394" s="119"/>
      <c r="BQ394" s="119"/>
      <c r="BR394" s="119"/>
      <c r="BS394" s="119"/>
      <c r="BT394" s="119"/>
      <c r="BU394" s="119"/>
      <c r="BV394" s="119"/>
      <c r="BW394" s="119"/>
      <c r="BX394" s="119"/>
    </row>
    <row r="395" s="96" customFormat="1" ht="15.75" customHeight="1" spans="1:76">
      <c r="A395" s="111">
        <v>394</v>
      </c>
      <c r="B395" s="96" t="s">
        <v>46</v>
      </c>
      <c r="C395" s="96" t="s">
        <v>51</v>
      </c>
      <c r="D395" s="122">
        <v>2026</v>
      </c>
      <c r="E395" s="96" t="s">
        <v>41</v>
      </c>
      <c r="F395" s="128"/>
      <c r="G395" s="128"/>
      <c r="H395" s="128"/>
      <c r="I395" s="128"/>
      <c r="J395" s="127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9"/>
      <c r="BC395" s="129"/>
      <c r="BD395" s="129"/>
      <c r="BE395" s="129"/>
      <c r="BF395" s="129"/>
      <c r="BG395" s="129"/>
      <c r="BH395" s="129"/>
      <c r="BI395" s="129"/>
      <c r="BJ395" s="119"/>
      <c r="BK395" s="119"/>
      <c r="BL395" s="119"/>
      <c r="BM395" s="131"/>
      <c r="BN395" s="131"/>
      <c r="BO395" s="119"/>
      <c r="BP395" s="119"/>
      <c r="BQ395" s="119"/>
      <c r="BR395" s="119"/>
      <c r="BS395" s="119"/>
      <c r="BT395" s="119"/>
      <c r="BU395" s="119"/>
      <c r="BV395" s="119"/>
      <c r="BW395" s="119"/>
      <c r="BX395" s="119"/>
    </row>
    <row r="396" s="96" customFormat="1" ht="15.75" customHeight="1" spans="1:76">
      <c r="A396" s="111">
        <v>395</v>
      </c>
      <c r="B396" s="96" t="s">
        <v>46</v>
      </c>
      <c r="C396" s="96" t="s">
        <v>51</v>
      </c>
      <c r="D396" s="122">
        <v>2026</v>
      </c>
      <c r="E396" s="96" t="s">
        <v>42</v>
      </c>
      <c r="F396" s="128"/>
      <c r="G396" s="128"/>
      <c r="H396" s="128"/>
      <c r="I396" s="128"/>
      <c r="J396" s="127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9"/>
      <c r="BC396" s="129"/>
      <c r="BD396" s="129"/>
      <c r="BE396" s="129"/>
      <c r="BF396" s="129"/>
      <c r="BG396" s="129"/>
      <c r="BH396" s="129"/>
      <c r="BI396" s="129"/>
      <c r="BJ396" s="119"/>
      <c r="BK396" s="119"/>
      <c r="BL396" s="119"/>
      <c r="BM396" s="131"/>
      <c r="BN396" s="131"/>
      <c r="BO396" s="119"/>
      <c r="BP396" s="119"/>
      <c r="BQ396" s="119"/>
      <c r="BR396" s="119"/>
      <c r="BS396" s="119"/>
      <c r="BT396" s="119"/>
      <c r="BU396" s="119"/>
      <c r="BV396" s="119"/>
      <c r="BW396" s="119"/>
      <c r="BX396" s="119"/>
    </row>
    <row r="397" s="96" customFormat="1" ht="15.75" customHeight="1" spans="1:76">
      <c r="A397" s="111">
        <v>396</v>
      </c>
      <c r="B397" s="96" t="s">
        <v>46</v>
      </c>
      <c r="C397" s="96" t="s">
        <v>51</v>
      </c>
      <c r="D397" s="122">
        <v>2026</v>
      </c>
      <c r="E397" s="96" t="s">
        <v>43</v>
      </c>
      <c r="F397" s="128"/>
      <c r="G397" s="128"/>
      <c r="H397" s="128"/>
      <c r="I397" s="128"/>
      <c r="J397" s="127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9"/>
      <c r="BC397" s="129"/>
      <c r="BD397" s="129"/>
      <c r="BE397" s="129"/>
      <c r="BF397" s="129"/>
      <c r="BG397" s="129"/>
      <c r="BH397" s="129"/>
      <c r="BI397" s="129"/>
      <c r="BJ397" s="119"/>
      <c r="BK397" s="119"/>
      <c r="BL397" s="119"/>
      <c r="BM397" s="131"/>
      <c r="BN397" s="131"/>
      <c r="BO397" s="119"/>
      <c r="BP397" s="119"/>
      <c r="BQ397" s="119"/>
      <c r="BR397" s="119"/>
      <c r="BS397" s="119"/>
      <c r="BT397" s="119"/>
      <c r="BU397" s="119"/>
      <c r="BV397" s="119"/>
      <c r="BW397" s="119"/>
      <c r="BX397" s="119"/>
    </row>
    <row r="398" s="96" customFormat="1" ht="15.75" customHeight="1" spans="1:76">
      <c r="A398" s="111">
        <v>397</v>
      </c>
      <c r="B398" s="112" t="s">
        <v>46</v>
      </c>
      <c r="C398" s="112" t="s">
        <v>139</v>
      </c>
      <c r="D398" s="111">
        <v>2024</v>
      </c>
      <c r="E398" s="113" t="s">
        <v>31</v>
      </c>
      <c r="F398" s="114">
        <v>121012</v>
      </c>
      <c r="G398" s="114">
        <v>121012</v>
      </c>
      <c r="H398" s="114">
        <v>2015.5822</v>
      </c>
      <c r="I398" s="114">
        <v>164</v>
      </c>
      <c r="J398" s="115">
        <v>0.00068287037037037</v>
      </c>
      <c r="K398" s="114">
        <v>6.01</v>
      </c>
      <c r="L398" s="114"/>
      <c r="M398" s="114">
        <v>1632822</v>
      </c>
      <c r="N398" s="114">
        <v>5.55</v>
      </c>
      <c r="O398" s="114">
        <v>48920</v>
      </c>
      <c r="P398" s="114">
        <v>42452</v>
      </c>
      <c r="Q398" s="114">
        <v>6468</v>
      </c>
      <c r="R398" s="114">
        <v>6468</v>
      </c>
      <c r="S398" s="114">
        <v>0</v>
      </c>
      <c r="T398" s="114">
        <v>334</v>
      </c>
      <c r="U398" s="114">
        <v>170</v>
      </c>
      <c r="V398" s="114">
        <v>334</v>
      </c>
      <c r="W398" s="114">
        <v>18</v>
      </c>
      <c r="X398" s="114">
        <v>142</v>
      </c>
      <c r="Y398" s="114">
        <v>56</v>
      </c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>
        <v>0</v>
      </c>
      <c r="AK398" s="114">
        <v>0</v>
      </c>
      <c r="AL398" s="114"/>
      <c r="AM398" s="114"/>
      <c r="AN398" s="114">
        <v>822</v>
      </c>
      <c r="AO398" s="114">
        <v>14.4229</v>
      </c>
      <c r="AP398" s="114"/>
      <c r="AQ398" s="114">
        <v>0</v>
      </c>
      <c r="AR398" s="114"/>
      <c r="AS398" s="114"/>
      <c r="AT398" s="114">
        <v>52</v>
      </c>
      <c r="AU398" s="114">
        <v>4834</v>
      </c>
      <c r="AV398" s="114">
        <v>0</v>
      </c>
      <c r="AW398" s="114">
        <v>0</v>
      </c>
      <c r="AX398" s="114">
        <v>0</v>
      </c>
      <c r="AY398" s="114">
        <v>0</v>
      </c>
      <c r="AZ398" s="114">
        <v>0</v>
      </c>
      <c r="BA398" s="114">
        <v>0</v>
      </c>
      <c r="BB398" s="116"/>
      <c r="BC398" s="116"/>
      <c r="BD398" s="116"/>
      <c r="BE398" s="116"/>
      <c r="BF398" s="116"/>
      <c r="BG398" s="116"/>
      <c r="BH398" s="116"/>
      <c r="BI398" s="116"/>
      <c r="BJ398" s="117">
        <v>197829</v>
      </c>
      <c r="BK398" s="133" t="s">
        <v>44</v>
      </c>
      <c r="BL398" s="119"/>
      <c r="BM398" s="118">
        <v>0</v>
      </c>
      <c r="BN398" s="131"/>
      <c r="BO398" s="119"/>
      <c r="BP398" s="119"/>
      <c r="BQ398" s="119"/>
      <c r="BR398" s="119"/>
      <c r="BS398" s="119"/>
      <c r="BT398" s="119"/>
      <c r="BU398" s="119"/>
      <c r="BV398" s="119"/>
      <c r="BW398" s="119"/>
      <c r="BX398" s="119"/>
    </row>
    <row r="399" s="96" customFormat="1" ht="15.75" customHeight="1" spans="1:76">
      <c r="A399" s="111">
        <v>398</v>
      </c>
      <c r="B399" s="112" t="s">
        <v>46</v>
      </c>
      <c r="C399" s="112" t="s">
        <v>139</v>
      </c>
      <c r="D399" s="111">
        <v>2024</v>
      </c>
      <c r="E399" s="113" t="s">
        <v>33</v>
      </c>
      <c r="F399" s="114">
        <v>135709</v>
      </c>
      <c r="G399" s="114">
        <v>135709</v>
      </c>
      <c r="H399" s="114">
        <v>1929.3604</v>
      </c>
      <c r="I399" s="114">
        <v>83</v>
      </c>
      <c r="J399" s="115">
        <v>0.000590277777777778</v>
      </c>
      <c r="K399" s="114">
        <v>5.52</v>
      </c>
      <c r="L399" s="114"/>
      <c r="M399" s="114">
        <v>1442877</v>
      </c>
      <c r="N399" s="114">
        <v>6.71</v>
      </c>
      <c r="O399" s="114">
        <v>44473</v>
      </c>
      <c r="P399" s="114">
        <v>38415</v>
      </c>
      <c r="Q399" s="114">
        <v>6039</v>
      </c>
      <c r="R399" s="114">
        <v>6039</v>
      </c>
      <c r="S399" s="114">
        <v>0</v>
      </c>
      <c r="T399" s="114">
        <v>261</v>
      </c>
      <c r="U399" s="114">
        <v>178</v>
      </c>
      <c r="V399" s="114">
        <v>174</v>
      </c>
      <c r="W399" s="114">
        <v>45</v>
      </c>
      <c r="X399" s="114">
        <v>118</v>
      </c>
      <c r="Y399" s="114">
        <v>30</v>
      </c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>
        <v>0</v>
      </c>
      <c r="AK399" s="114">
        <v>0</v>
      </c>
      <c r="AL399" s="114"/>
      <c r="AM399" s="114"/>
      <c r="AN399" s="114">
        <v>831</v>
      </c>
      <c r="AO399" s="114">
        <v>20.484</v>
      </c>
      <c r="AP399" s="114"/>
      <c r="AQ399" s="114">
        <v>0</v>
      </c>
      <c r="AR399" s="114"/>
      <c r="AS399" s="114"/>
      <c r="AT399" s="114">
        <v>44</v>
      </c>
      <c r="AU399" s="114">
        <v>2825</v>
      </c>
      <c r="AV399" s="114">
        <v>0</v>
      </c>
      <c r="AW399" s="114">
        <v>0</v>
      </c>
      <c r="AX399" s="114">
        <v>0</v>
      </c>
      <c r="AY399" s="114">
        <v>0</v>
      </c>
      <c r="AZ399" s="114">
        <v>0</v>
      </c>
      <c r="BA399" s="114">
        <v>0</v>
      </c>
      <c r="BB399" s="116"/>
      <c r="BC399" s="116"/>
      <c r="BD399" s="116"/>
      <c r="BE399" s="116"/>
      <c r="BF399" s="116"/>
      <c r="BG399" s="116"/>
      <c r="BH399" s="116"/>
      <c r="BI399" s="116"/>
      <c r="BJ399" s="117">
        <v>197829</v>
      </c>
      <c r="BK399" s="133" t="s">
        <v>44</v>
      </c>
      <c r="BL399" s="119"/>
      <c r="BM399" s="118">
        <v>0</v>
      </c>
      <c r="BN399" s="131"/>
      <c r="BO399" s="119"/>
      <c r="BP399" s="119"/>
      <c r="BQ399" s="119"/>
      <c r="BR399" s="119"/>
      <c r="BS399" s="119"/>
      <c r="BT399" s="119"/>
      <c r="BU399" s="119"/>
      <c r="BV399" s="119"/>
      <c r="BW399" s="119"/>
      <c r="BX399" s="119"/>
    </row>
    <row r="400" s="96" customFormat="1" ht="15.75" customHeight="1" spans="1:76">
      <c r="A400" s="111">
        <v>399</v>
      </c>
      <c r="B400" s="112" t="s">
        <v>46</v>
      </c>
      <c r="C400" s="112" t="s">
        <v>139</v>
      </c>
      <c r="D400" s="111">
        <v>2024</v>
      </c>
      <c r="E400" s="113" t="s">
        <v>34</v>
      </c>
      <c r="F400" s="114">
        <v>129441</v>
      </c>
      <c r="G400" s="114">
        <v>129441</v>
      </c>
      <c r="H400" s="114">
        <v>1959.0301</v>
      </c>
      <c r="I400" s="114">
        <v>115</v>
      </c>
      <c r="J400" s="115">
        <v>0.000625</v>
      </c>
      <c r="K400" s="114">
        <v>5.85</v>
      </c>
      <c r="L400" s="114">
        <v>0</v>
      </c>
      <c r="M400" s="114">
        <v>1471725</v>
      </c>
      <c r="N400" s="114">
        <v>6.44</v>
      </c>
      <c r="O400" s="114">
        <v>45733</v>
      </c>
      <c r="P400" s="114">
        <v>39678</v>
      </c>
      <c r="Q400" s="114">
        <v>6055</v>
      </c>
      <c r="R400" s="114">
        <v>6055</v>
      </c>
      <c r="S400" s="114">
        <v>0</v>
      </c>
      <c r="T400" s="114">
        <v>254</v>
      </c>
      <c r="U400" s="114">
        <v>139</v>
      </c>
      <c r="V400" s="114">
        <v>257</v>
      </c>
      <c r="W400" s="114">
        <v>22</v>
      </c>
      <c r="X400" s="114">
        <v>95</v>
      </c>
      <c r="Y400" s="114">
        <v>37</v>
      </c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>
        <v>0</v>
      </c>
      <c r="AK400" s="114">
        <v>0</v>
      </c>
      <c r="AL400" s="114"/>
      <c r="AM400" s="114"/>
      <c r="AN400" s="114">
        <v>1091</v>
      </c>
      <c r="AO400" s="114">
        <v>24.1827</v>
      </c>
      <c r="AP400" s="114"/>
      <c r="AQ400" s="114">
        <v>0</v>
      </c>
      <c r="AR400" s="114"/>
      <c r="AS400" s="114"/>
      <c r="AT400" s="114">
        <v>28</v>
      </c>
      <c r="AU400" s="114">
        <v>1480</v>
      </c>
      <c r="AV400" s="114">
        <v>0</v>
      </c>
      <c r="AW400" s="114">
        <v>0</v>
      </c>
      <c r="AX400" s="114">
        <v>0</v>
      </c>
      <c r="AY400" s="114">
        <v>0</v>
      </c>
      <c r="AZ400" s="114">
        <v>0</v>
      </c>
      <c r="BA400" s="114">
        <v>0</v>
      </c>
      <c r="BB400" s="116"/>
      <c r="BC400" s="116"/>
      <c r="BD400" s="116"/>
      <c r="BE400" s="116"/>
      <c r="BF400" s="116"/>
      <c r="BG400" s="116"/>
      <c r="BH400" s="116"/>
      <c r="BI400" s="116"/>
      <c r="BJ400" s="117">
        <v>197829</v>
      </c>
      <c r="BK400" s="133" t="s">
        <v>44</v>
      </c>
      <c r="BL400" s="119"/>
      <c r="BM400" s="118">
        <v>0</v>
      </c>
      <c r="BN400" s="131"/>
      <c r="BO400" s="119"/>
      <c r="BP400" s="119"/>
      <c r="BQ400" s="119"/>
      <c r="BR400" s="119"/>
      <c r="BS400" s="119"/>
      <c r="BT400" s="119"/>
      <c r="BU400" s="119"/>
      <c r="BV400" s="119"/>
      <c r="BW400" s="119"/>
      <c r="BX400" s="119"/>
    </row>
    <row r="401" s="96" customFormat="1" ht="15.75" customHeight="1" spans="1:76">
      <c r="A401" s="111">
        <v>400</v>
      </c>
      <c r="B401" s="112" t="s">
        <v>46</v>
      </c>
      <c r="C401" s="112" t="s">
        <v>139</v>
      </c>
      <c r="D401" s="111">
        <v>2024</v>
      </c>
      <c r="E401" s="113" t="s">
        <v>35</v>
      </c>
      <c r="F401" s="114">
        <v>123003</v>
      </c>
      <c r="G401" s="114">
        <v>123003</v>
      </c>
      <c r="H401" s="114">
        <v>1779.722</v>
      </c>
      <c r="I401" s="114">
        <v>85</v>
      </c>
      <c r="J401" s="115">
        <v>0.000601851851851852</v>
      </c>
      <c r="K401" s="114">
        <v>4.62</v>
      </c>
      <c r="L401" s="114">
        <v>1</v>
      </c>
      <c r="M401" s="114">
        <v>1275483</v>
      </c>
      <c r="N401" s="114">
        <v>6.9</v>
      </c>
      <c r="O401" s="114">
        <v>35487</v>
      </c>
      <c r="P401" s="114">
        <v>29611</v>
      </c>
      <c r="Q401" s="114">
        <v>5876</v>
      </c>
      <c r="R401" s="114">
        <v>5876</v>
      </c>
      <c r="S401" s="114">
        <v>0</v>
      </c>
      <c r="T401" s="114">
        <v>241</v>
      </c>
      <c r="U401" s="114">
        <v>156</v>
      </c>
      <c r="V401" s="114">
        <v>554</v>
      </c>
      <c r="W401" s="114">
        <v>28</v>
      </c>
      <c r="X401" s="114">
        <v>104</v>
      </c>
      <c r="Y401" s="114">
        <v>37</v>
      </c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>
        <v>0</v>
      </c>
      <c r="AK401" s="114">
        <v>0</v>
      </c>
      <c r="AL401" s="114"/>
      <c r="AM401" s="114"/>
      <c r="AN401" s="114">
        <v>866</v>
      </c>
      <c r="AO401" s="114">
        <v>14.3026</v>
      </c>
      <c r="AP401" s="114"/>
      <c r="AQ401" s="114">
        <v>0</v>
      </c>
      <c r="AR401" s="114"/>
      <c r="AS401" s="114"/>
      <c r="AT401" s="114">
        <v>10</v>
      </c>
      <c r="AU401" s="114">
        <v>1340</v>
      </c>
      <c r="AV401" s="114">
        <v>0</v>
      </c>
      <c r="AW401" s="114">
        <v>0</v>
      </c>
      <c r="AX401" s="114">
        <v>0</v>
      </c>
      <c r="AY401" s="114">
        <v>0</v>
      </c>
      <c r="AZ401" s="114">
        <v>0</v>
      </c>
      <c r="BA401" s="114">
        <v>0</v>
      </c>
      <c r="BB401" s="116"/>
      <c r="BC401" s="116"/>
      <c r="BD401" s="116"/>
      <c r="BE401" s="116"/>
      <c r="BF401" s="116"/>
      <c r="BG401" s="116"/>
      <c r="BH401" s="116"/>
      <c r="BI401" s="116"/>
      <c r="BJ401" s="117">
        <v>197829</v>
      </c>
      <c r="BK401" s="133" t="s">
        <v>44</v>
      </c>
      <c r="BL401" s="119"/>
      <c r="BM401" s="118">
        <v>0</v>
      </c>
      <c r="BN401" s="131"/>
      <c r="BO401" s="119"/>
      <c r="BP401" s="119"/>
      <c r="BQ401" s="119"/>
      <c r="BR401" s="119"/>
      <c r="BS401" s="119"/>
      <c r="BT401" s="119"/>
      <c r="BU401" s="119"/>
      <c r="BV401" s="119"/>
      <c r="BW401" s="119"/>
      <c r="BX401" s="119"/>
    </row>
    <row r="402" s="96" customFormat="1" ht="15.75" customHeight="1" spans="1:76">
      <c r="A402" s="111">
        <v>401</v>
      </c>
      <c r="B402" s="112" t="s">
        <v>46</v>
      </c>
      <c r="C402" s="112" t="s">
        <v>139</v>
      </c>
      <c r="D402" s="111">
        <v>2024</v>
      </c>
      <c r="E402" s="113" t="s">
        <v>36</v>
      </c>
      <c r="F402" s="114">
        <v>126609</v>
      </c>
      <c r="G402" s="114">
        <v>126609</v>
      </c>
      <c r="H402" s="114">
        <v>1893.8382</v>
      </c>
      <c r="I402" s="114">
        <v>117</v>
      </c>
      <c r="J402" s="115">
        <v>0.000613425925925926</v>
      </c>
      <c r="K402" s="114">
        <v>5.46</v>
      </c>
      <c r="L402" s="114">
        <v>2</v>
      </c>
      <c r="M402" s="114">
        <v>1474391</v>
      </c>
      <c r="N402" s="114">
        <v>6.35</v>
      </c>
      <c r="O402" s="114">
        <v>43709</v>
      </c>
      <c r="P402" s="114">
        <v>37225</v>
      </c>
      <c r="Q402" s="114">
        <v>6484</v>
      </c>
      <c r="R402" s="114">
        <v>6484</v>
      </c>
      <c r="S402" s="114">
        <v>0</v>
      </c>
      <c r="T402" s="114">
        <v>278</v>
      </c>
      <c r="U402" s="114">
        <v>161</v>
      </c>
      <c r="V402" s="114">
        <v>122</v>
      </c>
      <c r="W402" s="114">
        <v>40</v>
      </c>
      <c r="X402" s="114">
        <v>148</v>
      </c>
      <c r="Y402" s="114">
        <v>51</v>
      </c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>
        <v>0</v>
      </c>
      <c r="AK402" s="114">
        <v>0</v>
      </c>
      <c r="AL402" s="114"/>
      <c r="AM402" s="114"/>
      <c r="AN402" s="114">
        <v>1068</v>
      </c>
      <c r="AO402" s="114">
        <v>18.8177</v>
      </c>
      <c r="AP402" s="114"/>
      <c r="AQ402" s="114">
        <v>0</v>
      </c>
      <c r="AR402" s="114"/>
      <c r="AS402" s="114"/>
      <c r="AT402" s="114">
        <v>29</v>
      </c>
      <c r="AU402" s="114">
        <v>3202</v>
      </c>
      <c r="AV402" s="114">
        <v>0</v>
      </c>
      <c r="AW402" s="114">
        <v>0</v>
      </c>
      <c r="AX402" s="114">
        <v>0</v>
      </c>
      <c r="AY402" s="114">
        <v>0</v>
      </c>
      <c r="AZ402" s="114">
        <v>0</v>
      </c>
      <c r="BA402" s="114">
        <v>0</v>
      </c>
      <c r="BB402" s="116"/>
      <c r="BC402" s="116"/>
      <c r="BD402" s="116"/>
      <c r="BE402" s="116"/>
      <c r="BF402" s="116"/>
      <c r="BG402" s="116"/>
      <c r="BH402" s="116"/>
      <c r="BI402" s="116"/>
      <c r="BJ402" s="117">
        <v>197829</v>
      </c>
      <c r="BK402" s="133" t="s">
        <v>44</v>
      </c>
      <c r="BL402" s="119"/>
      <c r="BM402" s="118">
        <v>0</v>
      </c>
      <c r="BN402" s="131"/>
      <c r="BO402" s="119"/>
      <c r="BP402" s="119"/>
      <c r="BQ402" s="119"/>
      <c r="BR402" s="119"/>
      <c r="BS402" s="119"/>
      <c r="BT402" s="119"/>
      <c r="BU402" s="119"/>
      <c r="BV402" s="119"/>
      <c r="BW402" s="119"/>
      <c r="BX402" s="119"/>
    </row>
    <row r="403" s="96" customFormat="1" ht="15.75" customHeight="1" spans="1:76">
      <c r="A403" s="111">
        <v>402</v>
      </c>
      <c r="B403" s="112" t="s">
        <v>46</v>
      </c>
      <c r="C403" s="112" t="s">
        <v>139</v>
      </c>
      <c r="D403" s="111">
        <v>2024</v>
      </c>
      <c r="E403" s="113" t="s">
        <v>37</v>
      </c>
      <c r="F403" s="114">
        <v>123180</v>
      </c>
      <c r="G403" s="114">
        <v>123180</v>
      </c>
      <c r="H403" s="114">
        <v>1593.6283</v>
      </c>
      <c r="I403" s="114">
        <v>50</v>
      </c>
      <c r="J403" s="115">
        <v>0.000532407407407407</v>
      </c>
      <c r="K403" s="114">
        <v>4.62</v>
      </c>
      <c r="L403" s="114"/>
      <c r="M403" s="114">
        <v>1400338</v>
      </c>
      <c r="N403" s="114">
        <v>6.45</v>
      </c>
      <c r="O403" s="114">
        <v>37626</v>
      </c>
      <c r="P403" s="114">
        <v>31290</v>
      </c>
      <c r="Q403" s="114">
        <v>6336</v>
      </c>
      <c r="R403" s="114">
        <v>6336</v>
      </c>
      <c r="S403" s="114">
        <v>0</v>
      </c>
      <c r="T403" s="114">
        <v>253</v>
      </c>
      <c r="U403" s="114">
        <v>203</v>
      </c>
      <c r="V403" s="114">
        <v>197</v>
      </c>
      <c r="W403" s="114">
        <v>11</v>
      </c>
      <c r="X403" s="114">
        <v>150</v>
      </c>
      <c r="Y403" s="114">
        <v>43</v>
      </c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>
        <v>0</v>
      </c>
      <c r="AK403" s="114">
        <v>0</v>
      </c>
      <c r="AL403" s="114"/>
      <c r="AM403" s="114"/>
      <c r="AN403" s="114">
        <v>889</v>
      </c>
      <c r="AO403" s="114">
        <v>13.3751</v>
      </c>
      <c r="AP403" s="114">
        <v>0</v>
      </c>
      <c r="AQ403" s="114">
        <v>0</v>
      </c>
      <c r="AR403" s="114">
        <v>1</v>
      </c>
      <c r="AS403" s="114">
        <v>0</v>
      </c>
      <c r="AT403" s="114">
        <v>6</v>
      </c>
      <c r="AU403" s="114">
        <v>957</v>
      </c>
      <c r="AV403" s="114">
        <v>0</v>
      </c>
      <c r="AW403" s="114">
        <v>0</v>
      </c>
      <c r="AX403" s="114">
        <v>0</v>
      </c>
      <c r="AY403" s="114">
        <v>0</v>
      </c>
      <c r="AZ403" s="114">
        <v>0</v>
      </c>
      <c r="BA403" s="114">
        <v>0</v>
      </c>
      <c r="BB403" s="116"/>
      <c r="BC403" s="116"/>
      <c r="BD403" s="116"/>
      <c r="BE403" s="116"/>
      <c r="BF403" s="116"/>
      <c r="BG403" s="116"/>
      <c r="BH403" s="116"/>
      <c r="BI403" s="116"/>
      <c r="BJ403" s="117">
        <v>197874</v>
      </c>
      <c r="BK403" s="133">
        <v>45</v>
      </c>
      <c r="BL403" s="119"/>
      <c r="BM403" s="118">
        <v>0</v>
      </c>
      <c r="BN403" s="131"/>
      <c r="BO403" s="119"/>
      <c r="BP403" s="119"/>
      <c r="BQ403" s="119"/>
      <c r="BR403" s="119"/>
      <c r="BS403" s="119"/>
      <c r="BT403" s="119"/>
      <c r="BU403" s="119"/>
      <c r="BV403" s="119"/>
      <c r="BW403" s="119"/>
      <c r="BX403" s="119"/>
    </row>
    <row r="404" s="96" customFormat="1" ht="15.75" customHeight="1" spans="1:76">
      <c r="A404" s="111">
        <v>403</v>
      </c>
      <c r="B404" s="112" t="s">
        <v>46</v>
      </c>
      <c r="C404" s="112" t="s">
        <v>139</v>
      </c>
      <c r="D404" s="111">
        <v>2024</v>
      </c>
      <c r="E404" s="113" t="s">
        <v>38</v>
      </c>
      <c r="F404" s="114">
        <v>149599</v>
      </c>
      <c r="G404" s="114">
        <v>149599</v>
      </c>
      <c r="H404" s="114">
        <v>1953.013</v>
      </c>
      <c r="I404" s="114">
        <v>98</v>
      </c>
      <c r="J404" s="115">
        <v>0.000532407407407407</v>
      </c>
      <c r="K404" s="114">
        <v>5.83</v>
      </c>
      <c r="L404" s="114">
        <v>1</v>
      </c>
      <c r="M404" s="114">
        <v>1504013</v>
      </c>
      <c r="N404" s="114">
        <v>7.17</v>
      </c>
      <c r="O404" s="114">
        <v>56970</v>
      </c>
      <c r="P404" s="114">
        <v>49797</v>
      </c>
      <c r="Q404" s="114">
        <v>7173</v>
      </c>
      <c r="R404" s="114">
        <v>7173</v>
      </c>
      <c r="S404" s="114">
        <v>0</v>
      </c>
      <c r="T404" s="114">
        <v>285</v>
      </c>
      <c r="U404" s="114">
        <v>187</v>
      </c>
      <c r="V404" s="114">
        <v>161</v>
      </c>
      <c r="W404" s="114">
        <v>31</v>
      </c>
      <c r="X404" s="114">
        <v>119</v>
      </c>
      <c r="Y404" s="114">
        <v>43</v>
      </c>
      <c r="Z404" s="114">
        <v>2369.528</v>
      </c>
      <c r="AA404" s="114">
        <v>0</v>
      </c>
      <c r="AB404" s="114">
        <v>0</v>
      </c>
      <c r="AC404" s="114">
        <v>16.977</v>
      </c>
      <c r="AD404" s="114">
        <v>2352.551</v>
      </c>
      <c r="AE404" s="114">
        <v>4277.338</v>
      </c>
      <c r="AF404" s="114">
        <v>397</v>
      </c>
      <c r="AG404" s="114">
        <v>10774.151</v>
      </c>
      <c r="AH404" s="114">
        <v>346</v>
      </c>
      <c r="AI404" s="114">
        <v>15.839</v>
      </c>
      <c r="AJ404" s="114">
        <v>0</v>
      </c>
      <c r="AK404" s="114">
        <v>0</v>
      </c>
      <c r="AL404" s="114">
        <v>0</v>
      </c>
      <c r="AM404" s="114">
        <v>0</v>
      </c>
      <c r="AN404" s="114">
        <v>880</v>
      </c>
      <c r="AO404" s="114">
        <v>12.6817</v>
      </c>
      <c r="AP404" s="114"/>
      <c r="AQ404" s="114">
        <v>0</v>
      </c>
      <c r="AR404" s="114"/>
      <c r="AS404" s="114"/>
      <c r="AT404" s="114">
        <v>5</v>
      </c>
      <c r="AU404" s="114">
        <v>872</v>
      </c>
      <c r="AV404" s="114">
        <v>0</v>
      </c>
      <c r="AW404" s="114">
        <v>0</v>
      </c>
      <c r="AX404" s="114">
        <v>0</v>
      </c>
      <c r="AY404" s="114">
        <v>0</v>
      </c>
      <c r="AZ404" s="114">
        <v>0</v>
      </c>
      <c r="BA404" s="114">
        <v>0</v>
      </c>
      <c r="BB404" s="116"/>
      <c r="BC404" s="116"/>
      <c r="BD404" s="116"/>
      <c r="BE404" s="116"/>
      <c r="BF404" s="116"/>
      <c r="BG404" s="116"/>
      <c r="BH404" s="116"/>
      <c r="BI404" s="116"/>
      <c r="BJ404" s="117">
        <v>197972</v>
      </c>
      <c r="BK404" s="133">
        <v>98</v>
      </c>
      <c r="BL404" s="119"/>
      <c r="BM404" s="118">
        <v>0</v>
      </c>
      <c r="BN404" s="131"/>
      <c r="BO404" s="119"/>
      <c r="BP404" s="119"/>
      <c r="BQ404" s="119"/>
      <c r="BR404" s="119"/>
      <c r="BS404" s="119"/>
      <c r="BT404" s="119"/>
      <c r="BU404" s="119"/>
      <c r="BV404" s="119"/>
      <c r="BW404" s="119"/>
      <c r="BX404" s="119"/>
    </row>
    <row r="405" s="96" customFormat="1" ht="15.75" customHeight="1" spans="1:76">
      <c r="A405" s="111">
        <v>404</v>
      </c>
      <c r="B405" s="112" t="s">
        <v>46</v>
      </c>
      <c r="C405" s="112" t="s">
        <v>139</v>
      </c>
      <c r="D405" s="111">
        <v>2024</v>
      </c>
      <c r="E405" s="113" t="s">
        <v>39</v>
      </c>
      <c r="F405" s="114">
        <v>136638</v>
      </c>
      <c r="G405" s="114">
        <v>136638</v>
      </c>
      <c r="H405" s="114">
        <v>1791.19</v>
      </c>
      <c r="I405" s="114">
        <v>59</v>
      </c>
      <c r="J405" s="115">
        <v>0.000543981481481481</v>
      </c>
      <c r="K405" s="114">
        <v>5.42</v>
      </c>
      <c r="L405" s="114"/>
      <c r="M405" s="114">
        <v>1433341</v>
      </c>
      <c r="N405" s="114">
        <v>6.79</v>
      </c>
      <c r="O405" s="114">
        <v>42980</v>
      </c>
      <c r="P405" s="114">
        <v>36273</v>
      </c>
      <c r="Q405" s="114">
        <v>6707</v>
      </c>
      <c r="R405" s="114">
        <v>6707</v>
      </c>
      <c r="S405" s="114">
        <v>0</v>
      </c>
      <c r="T405" s="114">
        <v>264</v>
      </c>
      <c r="U405" s="114">
        <v>205</v>
      </c>
      <c r="V405" s="114">
        <v>250</v>
      </c>
      <c r="W405" s="114">
        <v>18</v>
      </c>
      <c r="X405" s="114">
        <v>208</v>
      </c>
      <c r="Y405" s="114">
        <v>54</v>
      </c>
      <c r="Z405" s="114">
        <v>1254.433</v>
      </c>
      <c r="AA405" s="114">
        <v>0</v>
      </c>
      <c r="AB405" s="114">
        <v>0</v>
      </c>
      <c r="AC405" s="114">
        <v>3.403</v>
      </c>
      <c r="AD405" s="114">
        <v>1251.03</v>
      </c>
      <c r="AE405" s="114">
        <v>2274.566</v>
      </c>
      <c r="AF405" s="114">
        <v>169</v>
      </c>
      <c r="AG405" s="114">
        <v>13458.97</v>
      </c>
      <c r="AH405" s="114">
        <v>148</v>
      </c>
      <c r="AI405" s="114">
        <v>9.181</v>
      </c>
      <c r="AJ405" s="114">
        <v>0</v>
      </c>
      <c r="AK405" s="114">
        <v>0</v>
      </c>
      <c r="AL405" s="114">
        <v>0</v>
      </c>
      <c r="AM405" s="114">
        <v>0</v>
      </c>
      <c r="AN405" s="114">
        <v>971</v>
      </c>
      <c r="AO405" s="114">
        <v>17.8695</v>
      </c>
      <c r="AP405" s="114"/>
      <c r="AQ405" s="114">
        <v>0</v>
      </c>
      <c r="AR405" s="114"/>
      <c r="AS405" s="114"/>
      <c r="AT405" s="114">
        <v>2</v>
      </c>
      <c r="AU405" s="114">
        <v>110</v>
      </c>
      <c r="AV405" s="114">
        <v>0</v>
      </c>
      <c r="AW405" s="114">
        <v>0</v>
      </c>
      <c r="AX405" s="114">
        <v>2</v>
      </c>
      <c r="AY405" s="114">
        <v>10</v>
      </c>
      <c r="AZ405" s="114">
        <v>0</v>
      </c>
      <c r="BA405" s="114">
        <v>0</v>
      </c>
      <c r="BB405" s="116"/>
      <c r="BC405" s="116"/>
      <c r="BD405" s="116"/>
      <c r="BE405" s="116"/>
      <c r="BF405" s="116"/>
      <c r="BG405" s="116"/>
      <c r="BH405" s="116"/>
      <c r="BI405" s="116"/>
      <c r="BJ405" s="117">
        <v>198031</v>
      </c>
      <c r="BK405" s="133">
        <v>59</v>
      </c>
      <c r="BL405" s="119"/>
      <c r="BM405" s="118">
        <v>0</v>
      </c>
      <c r="BN405" s="131"/>
      <c r="BO405" s="119"/>
      <c r="BP405" s="119"/>
      <c r="BQ405" s="119"/>
      <c r="BR405" s="119"/>
      <c r="BS405" s="119"/>
      <c r="BT405" s="119"/>
      <c r="BU405" s="119"/>
      <c r="BV405" s="119"/>
      <c r="BW405" s="119"/>
      <c r="BX405" s="119"/>
    </row>
    <row r="406" s="96" customFormat="1" ht="15.75" customHeight="1" spans="1:76">
      <c r="A406" s="111">
        <v>405</v>
      </c>
      <c r="B406" s="112" t="s">
        <v>46</v>
      </c>
      <c r="C406" s="112" t="s">
        <v>139</v>
      </c>
      <c r="D406" s="111">
        <v>2024</v>
      </c>
      <c r="E406" s="113" t="s">
        <v>40</v>
      </c>
      <c r="F406" s="114">
        <v>133371</v>
      </c>
      <c r="G406" s="114">
        <v>133371</v>
      </c>
      <c r="H406" s="114">
        <v>1701.3351</v>
      </c>
      <c r="I406" s="114">
        <v>98</v>
      </c>
      <c r="J406" s="115">
        <v>0.000520833333333333</v>
      </c>
      <c r="K406" s="114">
        <v>5.31</v>
      </c>
      <c r="L406" s="114">
        <v>10</v>
      </c>
      <c r="M406" s="114">
        <v>1356036</v>
      </c>
      <c r="N406" s="114">
        <v>6.89</v>
      </c>
      <c r="O406" s="114">
        <v>47069</v>
      </c>
      <c r="P406" s="114">
        <v>40970</v>
      </c>
      <c r="Q406" s="114">
        <v>6099</v>
      </c>
      <c r="R406" s="114">
        <v>6099</v>
      </c>
      <c r="S406" s="114">
        <v>0</v>
      </c>
      <c r="T406" s="114">
        <v>294</v>
      </c>
      <c r="U406" s="114">
        <v>196</v>
      </c>
      <c r="V406" s="114">
        <v>270</v>
      </c>
      <c r="W406" s="114">
        <v>29</v>
      </c>
      <c r="X406" s="114">
        <v>175</v>
      </c>
      <c r="Y406" s="114">
        <v>93</v>
      </c>
      <c r="Z406" s="114">
        <v>25487.305</v>
      </c>
      <c r="AA406" s="114">
        <v>0</v>
      </c>
      <c r="AB406" s="114">
        <v>0</v>
      </c>
      <c r="AC406" s="114">
        <v>249.117</v>
      </c>
      <c r="AD406" s="114">
        <v>25234.962</v>
      </c>
      <c r="AE406" s="114">
        <v>45881.8</v>
      </c>
      <c r="AF406" s="114">
        <v>4344</v>
      </c>
      <c r="AG406" s="114">
        <v>10562.109</v>
      </c>
      <c r="AH406" s="114">
        <v>4117</v>
      </c>
      <c r="AI406" s="114">
        <v>191.101</v>
      </c>
      <c r="AJ406" s="114">
        <v>0</v>
      </c>
      <c r="AK406" s="114">
        <v>0</v>
      </c>
      <c r="AL406" s="114">
        <v>0</v>
      </c>
      <c r="AM406" s="114">
        <v>0</v>
      </c>
      <c r="AN406" s="114">
        <v>1061</v>
      </c>
      <c r="AO406" s="114">
        <v>18.4357</v>
      </c>
      <c r="AP406" s="114"/>
      <c r="AQ406" s="114">
        <v>0</v>
      </c>
      <c r="AR406" s="114"/>
      <c r="AS406" s="114"/>
      <c r="AT406" s="114">
        <v>36</v>
      </c>
      <c r="AU406" s="114">
        <v>1923</v>
      </c>
      <c r="AV406" s="114">
        <v>0</v>
      </c>
      <c r="AW406" s="114">
        <v>0</v>
      </c>
      <c r="AX406" s="114">
        <v>0</v>
      </c>
      <c r="AY406" s="114">
        <v>3</v>
      </c>
      <c r="AZ406" s="114">
        <v>0</v>
      </c>
      <c r="BA406" s="114">
        <v>0</v>
      </c>
      <c r="BB406" s="116"/>
      <c r="BC406" s="116"/>
      <c r="BD406" s="116"/>
      <c r="BE406" s="116"/>
      <c r="BF406" s="116"/>
      <c r="BG406" s="116"/>
      <c r="BH406" s="116"/>
      <c r="BI406" s="116"/>
      <c r="BJ406" s="117">
        <v>198129</v>
      </c>
      <c r="BK406" s="133">
        <v>98</v>
      </c>
      <c r="BL406" s="119"/>
      <c r="BM406" s="118">
        <v>0</v>
      </c>
      <c r="BN406" s="131"/>
      <c r="BO406" s="119"/>
      <c r="BP406" s="119"/>
      <c r="BQ406" s="119"/>
      <c r="BR406" s="119"/>
      <c r="BS406" s="119"/>
      <c r="BT406" s="119"/>
      <c r="BU406" s="119"/>
      <c r="BV406" s="119"/>
      <c r="BW406" s="119"/>
      <c r="BX406" s="119"/>
    </row>
    <row r="407" s="96" customFormat="1" ht="15.75" customHeight="1" spans="1:76">
      <c r="A407" s="111">
        <v>406</v>
      </c>
      <c r="B407" s="112" t="s">
        <v>46</v>
      </c>
      <c r="C407" s="112" t="s">
        <v>139</v>
      </c>
      <c r="D407" s="111">
        <v>2024</v>
      </c>
      <c r="E407" s="113" t="s">
        <v>41</v>
      </c>
      <c r="F407" s="114">
        <v>110120</v>
      </c>
      <c r="G407" s="114">
        <v>110120</v>
      </c>
      <c r="H407" s="114">
        <v>1677.5855</v>
      </c>
      <c r="I407" s="114">
        <v>89</v>
      </c>
      <c r="J407" s="115">
        <v>0.000625</v>
      </c>
      <c r="K407" s="114">
        <v>6.13</v>
      </c>
      <c r="L407" s="114"/>
      <c r="M407" s="114">
        <v>1012633</v>
      </c>
      <c r="N407" s="114">
        <v>7.09</v>
      </c>
      <c r="O407" s="114">
        <v>34998</v>
      </c>
      <c r="P407" s="114">
        <v>29029</v>
      </c>
      <c r="Q407" s="114">
        <v>5969</v>
      </c>
      <c r="R407" s="114">
        <v>5969</v>
      </c>
      <c r="S407" s="114">
        <v>0</v>
      </c>
      <c r="T407" s="114">
        <v>268</v>
      </c>
      <c r="U407" s="114">
        <v>179</v>
      </c>
      <c r="V407" s="114">
        <v>74</v>
      </c>
      <c r="W407" s="114">
        <v>37</v>
      </c>
      <c r="X407" s="114">
        <v>116</v>
      </c>
      <c r="Y407" s="114">
        <v>33</v>
      </c>
      <c r="Z407" s="114">
        <v>1955.157</v>
      </c>
      <c r="AA407" s="114">
        <v>0</v>
      </c>
      <c r="AB407" s="114">
        <v>0</v>
      </c>
      <c r="AC407" s="114">
        <v>4.138</v>
      </c>
      <c r="AD407" s="114">
        <v>1951.018</v>
      </c>
      <c r="AE407" s="114">
        <v>3547.47</v>
      </c>
      <c r="AF407" s="114">
        <v>486</v>
      </c>
      <c r="AG407" s="114">
        <v>7299.321</v>
      </c>
      <c r="AH407" s="114">
        <v>436</v>
      </c>
      <c r="AI407" s="114">
        <v>17.755</v>
      </c>
      <c r="AJ407" s="114">
        <v>0</v>
      </c>
      <c r="AK407" s="114">
        <v>0</v>
      </c>
      <c r="AL407" s="114">
        <v>0</v>
      </c>
      <c r="AM407" s="114">
        <v>0</v>
      </c>
      <c r="AN407" s="114">
        <v>578</v>
      </c>
      <c r="AO407" s="114">
        <v>14.9512</v>
      </c>
      <c r="AP407" s="114"/>
      <c r="AQ407" s="114">
        <v>0</v>
      </c>
      <c r="AR407" s="114"/>
      <c r="AS407" s="114"/>
      <c r="AT407" s="114">
        <v>16</v>
      </c>
      <c r="AU407" s="114">
        <v>1590</v>
      </c>
      <c r="AV407" s="114">
        <v>0</v>
      </c>
      <c r="AW407" s="114">
        <v>0</v>
      </c>
      <c r="AX407" s="114">
        <v>0</v>
      </c>
      <c r="AY407" s="114">
        <v>4</v>
      </c>
      <c r="AZ407" s="114">
        <v>0</v>
      </c>
      <c r="BA407" s="114">
        <v>0</v>
      </c>
      <c r="BB407" s="116"/>
      <c r="BC407" s="116"/>
      <c r="BD407" s="116"/>
      <c r="BE407" s="116"/>
      <c r="BF407" s="116"/>
      <c r="BG407" s="116"/>
      <c r="BH407" s="116"/>
      <c r="BI407" s="116"/>
      <c r="BJ407" s="117">
        <v>198218</v>
      </c>
      <c r="BK407" s="133">
        <v>89</v>
      </c>
      <c r="BL407" s="119"/>
      <c r="BM407" s="118">
        <v>0</v>
      </c>
      <c r="BN407" s="131"/>
      <c r="BO407" s="119"/>
      <c r="BP407" s="119"/>
      <c r="BQ407" s="119"/>
      <c r="BR407" s="119"/>
      <c r="BS407" s="119"/>
      <c r="BT407" s="119"/>
      <c r="BU407" s="119"/>
      <c r="BV407" s="119"/>
      <c r="BW407" s="119"/>
      <c r="BX407" s="119"/>
    </row>
    <row r="408" s="96" customFormat="1" ht="15.75" customHeight="1" spans="1:76">
      <c r="A408" s="111">
        <v>407</v>
      </c>
      <c r="B408" s="112" t="s">
        <v>46</v>
      </c>
      <c r="C408" s="112" t="s">
        <v>139</v>
      </c>
      <c r="D408" s="111">
        <v>2024</v>
      </c>
      <c r="E408" s="113" t="s">
        <v>42</v>
      </c>
      <c r="F408" s="114">
        <v>263829</v>
      </c>
      <c r="G408" s="114">
        <v>263829</v>
      </c>
      <c r="H408" s="114">
        <v>31964.3904</v>
      </c>
      <c r="I408" s="114">
        <v>1895</v>
      </c>
      <c r="J408" s="115">
        <v>0.0050462962962963</v>
      </c>
      <c r="K408" s="114">
        <v>16.72</v>
      </c>
      <c r="L408" s="114">
        <v>16</v>
      </c>
      <c r="M408" s="114">
        <v>2388592</v>
      </c>
      <c r="N408" s="114">
        <v>9.29</v>
      </c>
      <c r="O408" s="114">
        <v>191829</v>
      </c>
      <c r="P408" s="114">
        <v>183663</v>
      </c>
      <c r="Q408" s="114">
        <v>8166</v>
      </c>
      <c r="R408" s="114">
        <v>8166</v>
      </c>
      <c r="S408" s="114">
        <v>0</v>
      </c>
      <c r="T408" s="114">
        <v>2152</v>
      </c>
      <c r="U408" s="114">
        <v>257</v>
      </c>
      <c r="V408" s="114">
        <v>2172</v>
      </c>
      <c r="W408" s="114">
        <v>59</v>
      </c>
      <c r="X408" s="114">
        <v>835</v>
      </c>
      <c r="Y408" s="114">
        <v>605</v>
      </c>
      <c r="Z408" s="114">
        <v>1229170.165</v>
      </c>
      <c r="AA408" s="114">
        <v>0</v>
      </c>
      <c r="AB408" s="114">
        <v>0</v>
      </c>
      <c r="AC408" s="114">
        <v>172259.692</v>
      </c>
      <c r="AD408" s="114">
        <v>1056149.521</v>
      </c>
      <c r="AE408" s="114">
        <v>1920272.457</v>
      </c>
      <c r="AF408" s="114">
        <v>213097</v>
      </c>
      <c r="AG408" s="114">
        <v>9011.26</v>
      </c>
      <c r="AH408" s="114">
        <v>199254</v>
      </c>
      <c r="AI408" s="114">
        <v>4658.966</v>
      </c>
      <c r="AJ408" s="114">
        <v>0</v>
      </c>
      <c r="AK408" s="114">
        <v>471</v>
      </c>
      <c r="AL408" s="114">
        <v>0</v>
      </c>
      <c r="AM408" s="114">
        <v>0</v>
      </c>
      <c r="AN408" s="114">
        <v>5897</v>
      </c>
      <c r="AO408" s="114">
        <v>1074.6263</v>
      </c>
      <c r="AP408" s="114">
        <v>3.6777</v>
      </c>
      <c r="AQ408" s="114">
        <v>19</v>
      </c>
      <c r="AR408" s="114">
        <v>1</v>
      </c>
      <c r="AS408" s="114">
        <v>0</v>
      </c>
      <c r="AT408" s="114">
        <v>1</v>
      </c>
      <c r="AU408" s="114">
        <v>213</v>
      </c>
      <c r="AV408" s="114">
        <v>0</v>
      </c>
      <c r="AW408" s="114">
        <v>0</v>
      </c>
      <c r="AX408" s="114">
        <v>0</v>
      </c>
      <c r="AY408" s="114">
        <v>1</v>
      </c>
      <c r="AZ408" s="114">
        <v>0</v>
      </c>
      <c r="BA408" s="114">
        <v>0</v>
      </c>
      <c r="BB408" s="116"/>
      <c r="BC408" s="116"/>
      <c r="BD408" s="116"/>
      <c r="BE408" s="116"/>
      <c r="BF408" s="116"/>
      <c r="BG408" s="116"/>
      <c r="BH408" s="116"/>
      <c r="BI408" s="116"/>
      <c r="BJ408" s="117">
        <v>200113</v>
      </c>
      <c r="BK408" s="117">
        <v>1895</v>
      </c>
      <c r="BL408" s="119"/>
      <c r="BM408" s="118">
        <v>0</v>
      </c>
      <c r="BN408" s="131"/>
      <c r="BO408" s="119"/>
      <c r="BP408" s="119"/>
      <c r="BQ408" s="119"/>
      <c r="BR408" s="119"/>
      <c r="BS408" s="119"/>
      <c r="BT408" s="119"/>
      <c r="BU408" s="119"/>
      <c r="BV408" s="119"/>
      <c r="BW408" s="119"/>
      <c r="BX408" s="119"/>
    </row>
    <row r="409" s="96" customFormat="1" ht="15.75" customHeight="1" spans="1:76">
      <c r="A409" s="111">
        <v>408</v>
      </c>
      <c r="B409" s="112" t="s">
        <v>46</v>
      </c>
      <c r="C409" s="112" t="s">
        <v>139</v>
      </c>
      <c r="D409" s="111">
        <v>2024</v>
      </c>
      <c r="E409" s="113" t="s">
        <v>43</v>
      </c>
      <c r="F409" s="114">
        <v>347803</v>
      </c>
      <c r="G409" s="114">
        <v>347803</v>
      </c>
      <c r="H409" s="114">
        <v>30030.0952</v>
      </c>
      <c r="I409" s="114">
        <v>2729</v>
      </c>
      <c r="J409" s="115">
        <v>0.00358796296296296</v>
      </c>
      <c r="K409" s="114">
        <v>22.73</v>
      </c>
      <c r="L409" s="114">
        <v>8</v>
      </c>
      <c r="M409" s="114">
        <v>3696055</v>
      </c>
      <c r="N409" s="114">
        <v>8.34</v>
      </c>
      <c r="O409" s="114">
        <v>258696</v>
      </c>
      <c r="P409" s="114">
        <v>217778</v>
      </c>
      <c r="Q409" s="114">
        <v>40918</v>
      </c>
      <c r="R409" s="114">
        <v>40918</v>
      </c>
      <c r="S409" s="114">
        <v>0</v>
      </c>
      <c r="T409" s="114">
        <v>3006</v>
      </c>
      <c r="U409" s="114">
        <v>277</v>
      </c>
      <c r="V409" s="114">
        <v>5129</v>
      </c>
      <c r="W409" s="114">
        <v>125</v>
      </c>
      <c r="X409" s="114">
        <v>736</v>
      </c>
      <c r="Y409" s="114">
        <v>1726</v>
      </c>
      <c r="Z409" s="114">
        <v>1977632.038</v>
      </c>
      <c r="AA409" s="114">
        <v>0</v>
      </c>
      <c r="AB409" s="114">
        <v>0</v>
      </c>
      <c r="AC409" s="114">
        <v>124972.041</v>
      </c>
      <c r="AD409" s="114">
        <v>1852146.64</v>
      </c>
      <c r="AE409" s="114">
        <v>3367539.457</v>
      </c>
      <c r="AF409" s="114">
        <v>337210</v>
      </c>
      <c r="AG409" s="114">
        <v>9986.476</v>
      </c>
      <c r="AH409" s="114">
        <v>296678</v>
      </c>
      <c r="AI409" s="114">
        <v>5686.069</v>
      </c>
      <c r="AJ409" s="114">
        <v>0</v>
      </c>
      <c r="AK409" s="114">
        <v>385</v>
      </c>
      <c r="AL409" s="114">
        <v>0</v>
      </c>
      <c r="AM409" s="114">
        <v>0</v>
      </c>
      <c r="AN409" s="114">
        <v>7298</v>
      </c>
      <c r="AO409" s="114">
        <v>803.7037</v>
      </c>
      <c r="AP409" s="114">
        <v>1.6259</v>
      </c>
      <c r="AQ409" s="114">
        <v>31</v>
      </c>
      <c r="AR409" s="114">
        <v>7</v>
      </c>
      <c r="AS409" s="114">
        <v>1</v>
      </c>
      <c r="AT409" s="114"/>
      <c r="AU409" s="114">
        <v>224</v>
      </c>
      <c r="AV409" s="114">
        <v>0</v>
      </c>
      <c r="AW409" s="114">
        <v>0</v>
      </c>
      <c r="AX409" s="114">
        <v>0</v>
      </c>
      <c r="AY409" s="114">
        <v>0</v>
      </c>
      <c r="AZ409" s="114">
        <v>0</v>
      </c>
      <c r="BA409" s="114">
        <v>0</v>
      </c>
      <c r="BB409" s="116"/>
      <c r="BC409" s="116"/>
      <c r="BD409" s="116"/>
      <c r="BE409" s="116"/>
      <c r="BF409" s="116"/>
      <c r="BG409" s="116"/>
      <c r="BH409" s="116"/>
      <c r="BI409" s="116"/>
      <c r="BJ409" s="117">
        <v>202842</v>
      </c>
      <c r="BK409" s="117">
        <v>2729</v>
      </c>
      <c r="BL409" s="119"/>
      <c r="BM409" s="118">
        <v>0</v>
      </c>
      <c r="BN409" s="131"/>
      <c r="BO409" s="119"/>
      <c r="BP409" s="119"/>
      <c r="BQ409" s="119"/>
      <c r="BR409" s="119"/>
      <c r="BS409" s="119"/>
      <c r="BT409" s="119"/>
      <c r="BU409" s="119"/>
      <c r="BV409" s="119"/>
      <c r="BW409" s="119"/>
      <c r="BX409" s="119"/>
    </row>
    <row r="410" s="96" customFormat="1" ht="15.75" customHeight="1" spans="1:76">
      <c r="A410" s="111">
        <v>409</v>
      </c>
      <c r="B410" s="112" t="s">
        <v>46</v>
      </c>
      <c r="C410" s="112" t="s">
        <v>139</v>
      </c>
      <c r="D410" s="111">
        <v>2025</v>
      </c>
      <c r="E410" s="113" t="s">
        <v>31</v>
      </c>
      <c r="F410" s="114">
        <v>61655</v>
      </c>
      <c r="G410" s="114">
        <v>61655</v>
      </c>
      <c r="H410" s="114">
        <v>3994.6486</v>
      </c>
      <c r="I410" s="114">
        <v>311</v>
      </c>
      <c r="J410" s="115">
        <v>0.00269675925925926</v>
      </c>
      <c r="K410" s="114">
        <v>25.31</v>
      </c>
      <c r="L410" s="114">
        <v>0</v>
      </c>
      <c r="M410" s="114">
        <v>530167</v>
      </c>
      <c r="N410" s="114">
        <v>10.17</v>
      </c>
      <c r="O410" s="114">
        <v>49807</v>
      </c>
      <c r="P410" s="114">
        <v>30221</v>
      </c>
      <c r="Q410" s="114">
        <v>19586</v>
      </c>
      <c r="R410" s="114">
        <v>19586</v>
      </c>
      <c r="S410" s="114">
        <v>0</v>
      </c>
      <c r="T410" s="114">
        <v>497</v>
      </c>
      <c r="U410" s="114">
        <v>186</v>
      </c>
      <c r="V410" s="114">
        <v>471</v>
      </c>
      <c r="W410" s="114">
        <v>0</v>
      </c>
      <c r="X410" s="114">
        <v>119</v>
      </c>
      <c r="Y410" s="114">
        <v>202</v>
      </c>
      <c r="Z410" s="114">
        <v>203645.372</v>
      </c>
      <c r="AA410" s="114">
        <v>0</v>
      </c>
      <c r="AB410" s="114">
        <v>0</v>
      </c>
      <c r="AC410" s="114">
        <v>11075.338</v>
      </c>
      <c r="AD410" s="114">
        <v>192534.986</v>
      </c>
      <c r="AE410" s="114">
        <v>350063.728</v>
      </c>
      <c r="AF410" s="114">
        <v>49170</v>
      </c>
      <c r="AG410" s="114">
        <v>7119.458</v>
      </c>
      <c r="AH410" s="114">
        <v>44776</v>
      </c>
      <c r="AI410" s="114">
        <v>3302.982</v>
      </c>
      <c r="AJ410" s="114">
        <v>1</v>
      </c>
      <c r="AK410" s="114">
        <v>78</v>
      </c>
      <c r="AL410" s="114">
        <v>0</v>
      </c>
      <c r="AM410" s="114">
        <v>0</v>
      </c>
      <c r="AN410" s="114">
        <v>1044</v>
      </c>
      <c r="AO410" s="114">
        <v>75.5884</v>
      </c>
      <c r="AP410" s="114"/>
      <c r="AQ410" s="114">
        <v>0</v>
      </c>
      <c r="AR410" s="114"/>
      <c r="AS410" s="114"/>
      <c r="AT410" s="114"/>
      <c r="AU410" s="114">
        <v>76</v>
      </c>
      <c r="AV410" s="114">
        <v>0</v>
      </c>
      <c r="AW410" s="114">
        <v>0</v>
      </c>
      <c r="AX410" s="114">
        <v>0</v>
      </c>
      <c r="AY410" s="114">
        <v>0</v>
      </c>
      <c r="AZ410" s="114">
        <v>0</v>
      </c>
      <c r="BA410" s="114">
        <v>0</v>
      </c>
      <c r="BB410" s="116"/>
      <c r="BC410" s="116"/>
      <c r="BD410" s="116"/>
      <c r="BE410" s="116"/>
      <c r="BF410" s="116"/>
      <c r="BG410" s="116"/>
      <c r="BH410" s="116"/>
      <c r="BI410" s="116"/>
      <c r="BJ410" s="117">
        <v>203153</v>
      </c>
      <c r="BK410" s="133">
        <v>311</v>
      </c>
      <c r="BL410" s="133">
        <v>0</v>
      </c>
      <c r="BM410" s="118">
        <v>0</v>
      </c>
      <c r="BN410" s="118">
        <v>0</v>
      </c>
      <c r="BO410" s="119"/>
      <c r="BP410" s="119"/>
      <c r="BQ410" s="119"/>
      <c r="BR410" s="119"/>
      <c r="BS410" s="119"/>
      <c r="BT410" s="119"/>
      <c r="BU410" s="119"/>
      <c r="BV410" s="119"/>
      <c r="BW410" s="119"/>
      <c r="BX410" s="119"/>
    </row>
    <row r="411" s="96" customFormat="1" ht="15.75" customHeight="1" spans="1:76">
      <c r="A411" s="111">
        <v>410</v>
      </c>
      <c r="B411" s="112" t="s">
        <v>46</v>
      </c>
      <c r="C411" s="112" t="s">
        <v>139</v>
      </c>
      <c r="D411" s="111">
        <v>2025</v>
      </c>
      <c r="E411" s="113" t="s">
        <v>33</v>
      </c>
      <c r="F411" s="114">
        <v>33794</v>
      </c>
      <c r="G411" s="114">
        <v>33794</v>
      </c>
      <c r="H411" s="114">
        <v>1783.8407</v>
      </c>
      <c r="I411" s="114">
        <v>161</v>
      </c>
      <c r="J411" s="115">
        <v>0.00219907407407407</v>
      </c>
      <c r="K411" s="114">
        <v>21.42</v>
      </c>
      <c r="L411" s="114">
        <v>1</v>
      </c>
      <c r="M411" s="114">
        <v>259478</v>
      </c>
      <c r="N411" s="114">
        <v>10.1</v>
      </c>
      <c r="O411" s="114">
        <v>26453</v>
      </c>
      <c r="P411" s="114">
        <v>15689</v>
      </c>
      <c r="Q411" s="114">
        <v>10764</v>
      </c>
      <c r="R411" s="114">
        <v>10764</v>
      </c>
      <c r="S411" s="114">
        <v>0</v>
      </c>
      <c r="T411" s="114">
        <v>239</v>
      </c>
      <c r="U411" s="114">
        <v>78</v>
      </c>
      <c r="V411" s="114">
        <v>157</v>
      </c>
      <c r="W411" s="114">
        <v>2</v>
      </c>
      <c r="X411" s="114">
        <v>80</v>
      </c>
      <c r="Y411" s="114">
        <v>68</v>
      </c>
      <c r="Z411" s="114">
        <v>112425.524</v>
      </c>
      <c r="AA411" s="114">
        <v>0</v>
      </c>
      <c r="AB411" s="114">
        <v>0</v>
      </c>
      <c r="AC411" s="114">
        <v>5882.493</v>
      </c>
      <c r="AD411" s="114">
        <v>106524.926</v>
      </c>
      <c r="AE411" s="114">
        <v>193682.013</v>
      </c>
      <c r="AF411" s="114">
        <v>27330</v>
      </c>
      <c r="AG411" s="114">
        <v>7086.792</v>
      </c>
      <c r="AH411" s="114">
        <v>24112</v>
      </c>
      <c r="AI411" s="114">
        <v>3326.79</v>
      </c>
      <c r="AJ411" s="114">
        <v>0</v>
      </c>
      <c r="AK411" s="114">
        <v>0</v>
      </c>
      <c r="AL411" s="114">
        <v>0</v>
      </c>
      <c r="AM411" s="114">
        <v>0</v>
      </c>
      <c r="AN411" s="114">
        <v>740</v>
      </c>
      <c r="AO411" s="114">
        <v>32.6127</v>
      </c>
      <c r="AP411" s="114"/>
      <c r="AQ411" s="114">
        <v>0</v>
      </c>
      <c r="AR411" s="114"/>
      <c r="AS411" s="114"/>
      <c r="AT411" s="114"/>
      <c r="AU411" s="114">
        <v>50</v>
      </c>
      <c r="AV411" s="114">
        <v>0</v>
      </c>
      <c r="AW411" s="114">
        <v>0</v>
      </c>
      <c r="AX411" s="114">
        <v>0</v>
      </c>
      <c r="AY411" s="114">
        <v>0</v>
      </c>
      <c r="AZ411" s="114">
        <v>0</v>
      </c>
      <c r="BA411" s="114">
        <v>0</v>
      </c>
      <c r="BB411" s="116"/>
      <c r="BC411" s="116"/>
      <c r="BD411" s="116"/>
      <c r="BE411" s="116"/>
      <c r="BF411" s="116"/>
      <c r="BG411" s="116"/>
      <c r="BH411" s="116"/>
      <c r="BI411" s="116"/>
      <c r="BJ411" s="117">
        <v>203314</v>
      </c>
      <c r="BK411" s="133">
        <v>161</v>
      </c>
      <c r="BL411" s="133">
        <v>0</v>
      </c>
      <c r="BM411" s="118">
        <v>0</v>
      </c>
      <c r="BN411" s="118">
        <v>0</v>
      </c>
      <c r="BO411" s="119"/>
      <c r="BP411" s="119"/>
      <c r="BQ411" s="119"/>
      <c r="BR411" s="119"/>
      <c r="BS411" s="119"/>
      <c r="BT411" s="119"/>
      <c r="BU411" s="119"/>
      <c r="BV411" s="119"/>
      <c r="BW411" s="119"/>
      <c r="BX411" s="119"/>
    </row>
    <row r="412" s="96" customFormat="1" ht="15.75" customHeight="1" spans="1:76">
      <c r="A412" s="111">
        <v>411</v>
      </c>
      <c r="B412" s="112" t="s">
        <v>46</v>
      </c>
      <c r="C412" s="112" t="s">
        <v>139</v>
      </c>
      <c r="D412" s="111">
        <v>2025</v>
      </c>
      <c r="E412" s="113" t="s">
        <v>34</v>
      </c>
      <c r="F412" s="114">
        <v>8505</v>
      </c>
      <c r="G412" s="114">
        <v>8504</v>
      </c>
      <c r="H412" s="114">
        <v>439.0403</v>
      </c>
      <c r="I412" s="114">
        <v>-108</v>
      </c>
      <c r="J412" s="115">
        <v>0.0021412037037037</v>
      </c>
      <c r="K412" s="114">
        <v>16.13</v>
      </c>
      <c r="L412" s="114"/>
      <c r="M412" s="114">
        <v>70030</v>
      </c>
      <c r="N412" s="114">
        <v>9.52</v>
      </c>
      <c r="O412" s="114">
        <v>7330</v>
      </c>
      <c r="P412" s="114">
        <v>4570</v>
      </c>
      <c r="Q412" s="114">
        <v>2762</v>
      </c>
      <c r="R412" s="114">
        <v>2762</v>
      </c>
      <c r="S412" s="114">
        <v>0</v>
      </c>
      <c r="T412" s="114">
        <v>75</v>
      </c>
      <c r="U412" s="114">
        <v>183</v>
      </c>
      <c r="V412" s="114">
        <v>-262</v>
      </c>
      <c r="W412" s="114">
        <v>3</v>
      </c>
      <c r="X412" s="114">
        <v>41</v>
      </c>
      <c r="Y412" s="114">
        <v>15</v>
      </c>
      <c r="Z412" s="114">
        <v>24913.544</v>
      </c>
      <c r="AA412" s="114">
        <v>0</v>
      </c>
      <c r="AB412" s="114">
        <v>0</v>
      </c>
      <c r="AC412" s="114">
        <v>1878.546</v>
      </c>
      <c r="AD412" s="114">
        <v>23030.861</v>
      </c>
      <c r="AE412" s="114">
        <v>41874.513</v>
      </c>
      <c r="AF412" s="114">
        <v>5882</v>
      </c>
      <c r="AG412" s="114">
        <v>7119.094</v>
      </c>
      <c r="AH412" s="114">
        <v>5169</v>
      </c>
      <c r="AI412" s="114">
        <v>2929.625</v>
      </c>
      <c r="AJ412" s="114">
        <v>0</v>
      </c>
      <c r="AK412" s="114">
        <v>0</v>
      </c>
      <c r="AL412" s="114">
        <v>0</v>
      </c>
      <c r="AM412" s="114">
        <v>0</v>
      </c>
      <c r="AN412" s="114">
        <v>241</v>
      </c>
      <c r="AO412" s="114">
        <v>12.7656</v>
      </c>
      <c r="AP412" s="114"/>
      <c r="AQ412" s="114">
        <v>0</v>
      </c>
      <c r="AR412" s="114"/>
      <c r="AS412" s="114"/>
      <c r="AT412" s="114"/>
      <c r="AU412" s="114">
        <v>44</v>
      </c>
      <c r="AV412" s="114">
        <v>0</v>
      </c>
      <c r="AW412" s="114">
        <v>0</v>
      </c>
      <c r="AX412" s="114">
        <v>0</v>
      </c>
      <c r="AY412" s="114">
        <v>0</v>
      </c>
      <c r="AZ412" s="114">
        <v>0</v>
      </c>
      <c r="BA412" s="114">
        <v>0</v>
      </c>
      <c r="BB412" s="116"/>
      <c r="BC412" s="116"/>
      <c r="BD412" s="116"/>
      <c r="BE412" s="116"/>
      <c r="BF412" s="116"/>
      <c r="BG412" s="116"/>
      <c r="BH412" s="116"/>
      <c r="BI412" s="116"/>
      <c r="BJ412" s="117">
        <v>203206</v>
      </c>
      <c r="BK412" s="133">
        <v>-108</v>
      </c>
      <c r="BL412" s="133">
        <v>0</v>
      </c>
      <c r="BM412" s="118">
        <v>0</v>
      </c>
      <c r="BN412" s="118">
        <v>0</v>
      </c>
      <c r="BO412" s="119"/>
      <c r="BP412" s="119"/>
      <c r="BQ412" s="119"/>
      <c r="BR412" s="119"/>
      <c r="BS412" s="119"/>
      <c r="BT412" s="119"/>
      <c r="BU412" s="119"/>
      <c r="BV412" s="119"/>
      <c r="BW412" s="119"/>
      <c r="BX412" s="119"/>
    </row>
    <row r="413" s="96" customFormat="1" ht="15.75" customHeight="1" spans="1:76">
      <c r="A413" s="111">
        <v>412</v>
      </c>
      <c r="B413" s="112" t="s">
        <v>46</v>
      </c>
      <c r="C413" s="112" t="s">
        <v>139</v>
      </c>
      <c r="D413" s="111">
        <v>2025</v>
      </c>
      <c r="E413" s="113" t="s">
        <v>35</v>
      </c>
      <c r="F413" s="114">
        <v>2336</v>
      </c>
      <c r="G413" s="114">
        <v>2327</v>
      </c>
      <c r="H413" s="114">
        <v>126.5909</v>
      </c>
      <c r="I413" s="114">
        <v>-115</v>
      </c>
      <c r="J413" s="115">
        <v>0.00225694444444444</v>
      </c>
      <c r="K413" s="114">
        <v>17.85</v>
      </c>
      <c r="L413" s="114"/>
      <c r="M413" s="114">
        <v>17676</v>
      </c>
      <c r="N413" s="114">
        <v>10.34</v>
      </c>
      <c r="O413" s="114">
        <v>1608</v>
      </c>
      <c r="P413" s="114">
        <v>879</v>
      </c>
      <c r="Q413" s="114">
        <v>732</v>
      </c>
      <c r="R413" s="114">
        <v>727</v>
      </c>
      <c r="S413" s="114">
        <v>5</v>
      </c>
      <c r="T413" s="114">
        <v>49</v>
      </c>
      <c r="U413" s="114">
        <v>164</v>
      </c>
      <c r="V413" s="114">
        <v>-227</v>
      </c>
      <c r="W413" s="114">
        <v>-12</v>
      </c>
      <c r="X413" s="114">
        <v>17</v>
      </c>
      <c r="Y413" s="114">
        <v>8</v>
      </c>
      <c r="Z413" s="114">
        <v>6140.515</v>
      </c>
      <c r="AA413" s="114">
        <v>0</v>
      </c>
      <c r="AB413" s="114">
        <v>0</v>
      </c>
      <c r="AC413" s="114">
        <v>73.542</v>
      </c>
      <c r="AD413" s="114">
        <v>6059.961</v>
      </c>
      <c r="AE413" s="114">
        <v>11017.877</v>
      </c>
      <c r="AF413" s="114">
        <v>1699</v>
      </c>
      <c r="AG413" s="114">
        <v>6484.919</v>
      </c>
      <c r="AH413" s="114">
        <v>1552</v>
      </c>
      <c r="AI413" s="114">
        <v>2638.798</v>
      </c>
      <c r="AJ413" s="114">
        <v>0</v>
      </c>
      <c r="AK413" s="114">
        <v>0</v>
      </c>
      <c r="AL413" s="114">
        <v>0</v>
      </c>
      <c r="AM413" s="114">
        <v>0</v>
      </c>
      <c r="AN413" s="114">
        <v>21</v>
      </c>
      <c r="AO413" s="114">
        <v>0.5114</v>
      </c>
      <c r="AP413" s="114"/>
      <c r="AQ413" s="114">
        <v>0</v>
      </c>
      <c r="AR413" s="114"/>
      <c r="AS413" s="114"/>
      <c r="AT413" s="114"/>
      <c r="AU413" s="114">
        <v>98</v>
      </c>
      <c r="AV413" s="114">
        <v>0</v>
      </c>
      <c r="AW413" s="114">
        <v>0</v>
      </c>
      <c r="AX413" s="114">
        <v>0</v>
      </c>
      <c r="AY413" s="114">
        <v>0</v>
      </c>
      <c r="AZ413" s="114">
        <v>0</v>
      </c>
      <c r="BA413" s="114">
        <v>0</v>
      </c>
      <c r="BB413" s="116"/>
      <c r="BC413" s="116"/>
      <c r="BD413" s="116"/>
      <c r="BE413" s="116"/>
      <c r="BF413" s="116"/>
      <c r="BG413" s="116"/>
      <c r="BH413" s="116"/>
      <c r="BI413" s="116"/>
      <c r="BJ413" s="117">
        <v>203091</v>
      </c>
      <c r="BK413" s="133">
        <v>-115</v>
      </c>
      <c r="BL413" s="133">
        <v>0</v>
      </c>
      <c r="BM413" s="118">
        <v>0</v>
      </c>
      <c r="BN413" s="118">
        <v>0</v>
      </c>
      <c r="BO413" s="119"/>
      <c r="BP413" s="119"/>
      <c r="BQ413" s="119"/>
      <c r="BR413" s="119"/>
      <c r="BS413" s="119"/>
      <c r="BT413" s="119"/>
      <c r="BU413" s="119"/>
      <c r="BV413" s="119"/>
      <c r="BW413" s="119"/>
      <c r="BX413" s="119"/>
    </row>
    <row r="414" s="96" customFormat="1" ht="15.75" customHeight="1" spans="1:76">
      <c r="A414" s="111">
        <v>413</v>
      </c>
      <c r="B414" s="112" t="s">
        <v>46</v>
      </c>
      <c r="C414" s="112" t="s">
        <v>139</v>
      </c>
      <c r="D414" s="111">
        <v>2025</v>
      </c>
      <c r="E414" s="113" t="s">
        <v>36</v>
      </c>
      <c r="F414" s="114">
        <v>3472</v>
      </c>
      <c r="G414" s="114">
        <v>3462</v>
      </c>
      <c r="H414" s="114">
        <v>172.4578</v>
      </c>
      <c r="I414" s="114">
        <v>-106</v>
      </c>
      <c r="J414" s="115">
        <v>0.00207175925925926</v>
      </c>
      <c r="K414" s="114">
        <v>15.23</v>
      </c>
      <c r="L414" s="114"/>
      <c r="M414" s="114">
        <v>24105</v>
      </c>
      <c r="N414" s="114">
        <v>10.96</v>
      </c>
      <c r="O414" s="114">
        <v>2701</v>
      </c>
      <c r="P414" s="114">
        <v>1857</v>
      </c>
      <c r="Q414" s="114">
        <v>844</v>
      </c>
      <c r="R414" s="114">
        <v>840</v>
      </c>
      <c r="S414" s="114">
        <v>4</v>
      </c>
      <c r="T414" s="114">
        <v>68</v>
      </c>
      <c r="U414" s="114">
        <v>174</v>
      </c>
      <c r="V414" s="114">
        <v>-230</v>
      </c>
      <c r="W414" s="114">
        <v>-14</v>
      </c>
      <c r="X414" s="114">
        <v>6</v>
      </c>
      <c r="Y414" s="114">
        <v>6</v>
      </c>
      <c r="Z414" s="114">
        <v>9164.187</v>
      </c>
      <c r="AA414" s="114">
        <v>0</v>
      </c>
      <c r="AB414" s="114">
        <v>0</v>
      </c>
      <c r="AC414" s="114">
        <v>742.355</v>
      </c>
      <c r="AD414" s="114">
        <v>8415.719</v>
      </c>
      <c r="AE414" s="114">
        <v>15301.323</v>
      </c>
      <c r="AF414" s="114">
        <v>2056</v>
      </c>
      <c r="AG414" s="114">
        <v>7442.278</v>
      </c>
      <c r="AH414" s="114">
        <v>1897</v>
      </c>
      <c r="AI414" s="114">
        <v>2647.051</v>
      </c>
      <c r="AJ414" s="114">
        <v>0</v>
      </c>
      <c r="AK414" s="114">
        <v>0</v>
      </c>
      <c r="AL414" s="114">
        <v>0</v>
      </c>
      <c r="AM414" s="114">
        <v>0</v>
      </c>
      <c r="AN414" s="114">
        <v>47</v>
      </c>
      <c r="AO414" s="114">
        <v>4.5417</v>
      </c>
      <c r="AP414" s="114"/>
      <c r="AQ414" s="114">
        <v>0</v>
      </c>
      <c r="AR414" s="114"/>
      <c r="AS414" s="114"/>
      <c r="AT414" s="114"/>
      <c r="AU414" s="114">
        <v>144</v>
      </c>
      <c r="AV414" s="114">
        <v>0</v>
      </c>
      <c r="AW414" s="114">
        <v>0</v>
      </c>
      <c r="AX414" s="114">
        <v>0</v>
      </c>
      <c r="AY414" s="114">
        <v>0</v>
      </c>
      <c r="AZ414" s="114">
        <v>0</v>
      </c>
      <c r="BA414" s="114">
        <v>0</v>
      </c>
      <c r="BB414" s="116"/>
      <c r="BC414" s="116"/>
      <c r="BD414" s="116"/>
      <c r="BE414" s="116"/>
      <c r="BF414" s="116"/>
      <c r="BG414" s="116"/>
      <c r="BH414" s="116"/>
      <c r="BI414" s="116"/>
      <c r="BJ414" s="117">
        <v>202985</v>
      </c>
      <c r="BK414" s="133">
        <v>-106</v>
      </c>
      <c r="BL414" s="133">
        <v>0</v>
      </c>
      <c r="BM414" s="118">
        <v>0</v>
      </c>
      <c r="BN414" s="118">
        <v>0</v>
      </c>
      <c r="BO414" s="119"/>
      <c r="BP414" s="119"/>
      <c r="BQ414" s="119"/>
      <c r="BR414" s="119"/>
      <c r="BS414" s="119"/>
      <c r="BT414" s="119"/>
      <c r="BU414" s="119"/>
      <c r="BV414" s="119"/>
      <c r="BW414" s="119"/>
      <c r="BX414" s="119"/>
    </row>
    <row r="415" s="96" customFormat="1" ht="15.75" customHeight="1" spans="1:76">
      <c r="A415" s="111">
        <v>414</v>
      </c>
      <c r="B415" s="112" t="s">
        <v>46</v>
      </c>
      <c r="C415" s="112" t="s">
        <v>139</v>
      </c>
      <c r="D415" s="111">
        <v>2025</v>
      </c>
      <c r="E415" s="113" t="s">
        <v>37</v>
      </c>
      <c r="F415" s="114">
        <v>4522</v>
      </c>
      <c r="G415" s="114">
        <v>4510</v>
      </c>
      <c r="H415" s="114">
        <v>253.8726</v>
      </c>
      <c r="I415" s="114">
        <v>-88</v>
      </c>
      <c r="J415" s="115">
        <v>0.00233796296296296</v>
      </c>
      <c r="K415" s="114">
        <v>22.33</v>
      </c>
      <c r="L415" s="114"/>
      <c r="M415" s="114">
        <v>34260</v>
      </c>
      <c r="N415" s="114">
        <v>10.25</v>
      </c>
      <c r="O415" s="114">
        <v>3605</v>
      </c>
      <c r="P415" s="114">
        <v>2300</v>
      </c>
      <c r="Q415" s="114">
        <v>1305</v>
      </c>
      <c r="R415" s="114">
        <v>1293</v>
      </c>
      <c r="S415" s="114">
        <v>12</v>
      </c>
      <c r="T415" s="114">
        <v>57</v>
      </c>
      <c r="U415" s="114">
        <v>145</v>
      </c>
      <c r="V415" s="114">
        <v>-49</v>
      </c>
      <c r="W415" s="114">
        <v>-12</v>
      </c>
      <c r="X415" s="114">
        <v>9</v>
      </c>
      <c r="Y415" s="114">
        <v>15</v>
      </c>
      <c r="Z415" s="114">
        <v>12089.025</v>
      </c>
      <c r="AA415" s="114">
        <v>0</v>
      </c>
      <c r="AB415" s="114">
        <v>0</v>
      </c>
      <c r="AC415" s="114">
        <v>861.666</v>
      </c>
      <c r="AD415" s="114">
        <v>11224.618</v>
      </c>
      <c r="AE415" s="114">
        <v>20408.666</v>
      </c>
      <c r="AF415" s="114">
        <v>2989</v>
      </c>
      <c r="AG415" s="114">
        <v>6827.924</v>
      </c>
      <c r="AH415" s="114">
        <v>2685</v>
      </c>
      <c r="AI415" s="114">
        <v>2680.533</v>
      </c>
      <c r="AJ415" s="114">
        <v>0</v>
      </c>
      <c r="AK415" s="114">
        <v>0</v>
      </c>
      <c r="AL415" s="114">
        <v>0</v>
      </c>
      <c r="AM415" s="114">
        <v>0</v>
      </c>
      <c r="AN415" s="114">
        <v>70</v>
      </c>
      <c r="AO415" s="114">
        <v>5.4415</v>
      </c>
      <c r="AP415" s="114"/>
      <c r="AQ415" s="114">
        <v>0</v>
      </c>
      <c r="AR415" s="114"/>
      <c r="AS415" s="114"/>
      <c r="AT415" s="114"/>
      <c r="AU415" s="114">
        <v>107</v>
      </c>
      <c r="AV415" s="114">
        <v>0</v>
      </c>
      <c r="AW415" s="114">
        <v>0</v>
      </c>
      <c r="AX415" s="114">
        <v>0</v>
      </c>
      <c r="AY415" s="114">
        <v>0</v>
      </c>
      <c r="AZ415" s="114">
        <v>0</v>
      </c>
      <c r="BA415" s="114">
        <v>0</v>
      </c>
      <c r="BB415" s="116"/>
      <c r="BC415" s="116"/>
      <c r="BD415" s="116"/>
      <c r="BE415" s="116"/>
      <c r="BF415" s="116"/>
      <c r="BG415" s="116"/>
      <c r="BH415" s="116"/>
      <c r="BI415" s="116"/>
      <c r="BJ415" s="117">
        <v>202897</v>
      </c>
      <c r="BK415" s="133">
        <v>-88</v>
      </c>
      <c r="BL415" s="133">
        <v>0</v>
      </c>
      <c r="BM415" s="118">
        <v>0</v>
      </c>
      <c r="BN415" s="118">
        <v>0</v>
      </c>
      <c r="BO415" s="119"/>
      <c r="BP415" s="119"/>
      <c r="BQ415" s="119"/>
      <c r="BR415" s="119"/>
      <c r="BS415" s="119"/>
      <c r="BT415" s="119"/>
      <c r="BU415" s="119"/>
      <c r="BV415" s="119"/>
      <c r="BW415" s="119"/>
      <c r="BX415" s="119"/>
    </row>
    <row r="416" s="96" customFormat="1" ht="15.75" customHeight="1" spans="1:76">
      <c r="A416" s="111">
        <v>415</v>
      </c>
      <c r="B416" s="112" t="s">
        <v>46</v>
      </c>
      <c r="C416" s="112" t="s">
        <v>139</v>
      </c>
      <c r="D416" s="111">
        <v>2025</v>
      </c>
      <c r="E416" s="113" t="s">
        <v>38</v>
      </c>
      <c r="F416" s="114">
        <v>1227056</v>
      </c>
      <c r="G416" s="114">
        <v>1211169</v>
      </c>
      <c r="H416" s="114">
        <v>235049.8051</v>
      </c>
      <c r="I416" s="114">
        <v>7720</v>
      </c>
      <c r="J416" s="115">
        <v>0.0080787037037037</v>
      </c>
      <c r="K416" s="114">
        <v>15.84</v>
      </c>
      <c r="L416" s="114">
        <v>32</v>
      </c>
      <c r="M416" s="114">
        <v>9444817</v>
      </c>
      <c r="N416" s="114">
        <v>9.99</v>
      </c>
      <c r="O416" s="114">
        <v>689261</v>
      </c>
      <c r="P416" s="114">
        <v>603364</v>
      </c>
      <c r="Q416" s="114">
        <v>85897</v>
      </c>
      <c r="R416" s="114">
        <v>85827</v>
      </c>
      <c r="S416" s="114">
        <v>70</v>
      </c>
      <c r="T416" s="114">
        <v>8243</v>
      </c>
      <c r="U416" s="114">
        <v>523</v>
      </c>
      <c r="V416" s="114">
        <v>9903</v>
      </c>
      <c r="W416" s="114">
        <v>731</v>
      </c>
      <c r="X416" s="114">
        <v>1487</v>
      </c>
      <c r="Y416" s="114">
        <v>8335</v>
      </c>
      <c r="Z416" s="114">
        <v>10024711.18</v>
      </c>
      <c r="AA416" s="114">
        <v>0</v>
      </c>
      <c r="AB416" s="114">
        <v>0</v>
      </c>
      <c r="AC416" s="114">
        <v>612239.868</v>
      </c>
      <c r="AD416" s="114">
        <v>9404378.414</v>
      </c>
      <c r="AE416" s="114">
        <v>17098870.32</v>
      </c>
      <c r="AF416" s="114">
        <v>1347605</v>
      </c>
      <c r="AG416" s="114">
        <v>12688.34</v>
      </c>
      <c r="AH416" s="114">
        <v>831885</v>
      </c>
      <c r="AI416" s="114">
        <v>8276.889</v>
      </c>
      <c r="AJ416" s="114">
        <v>0</v>
      </c>
      <c r="AK416" s="114">
        <v>0</v>
      </c>
      <c r="AL416" s="114">
        <v>0</v>
      </c>
      <c r="AM416" s="114">
        <v>0</v>
      </c>
      <c r="AN416" s="114">
        <v>18609</v>
      </c>
      <c r="AO416" s="114">
        <v>4391.5954</v>
      </c>
      <c r="AP416" s="114">
        <v>2.0702</v>
      </c>
      <c r="AQ416" s="114">
        <v>0</v>
      </c>
      <c r="AR416" s="114">
        <v>5</v>
      </c>
      <c r="AS416" s="114">
        <v>5</v>
      </c>
      <c r="AT416" s="114"/>
      <c r="AU416" s="114">
        <v>414</v>
      </c>
      <c r="AV416" s="114">
        <v>0</v>
      </c>
      <c r="AW416" s="114">
        <v>0</v>
      </c>
      <c r="AX416" s="114">
        <v>0</v>
      </c>
      <c r="AY416" s="114">
        <v>0</v>
      </c>
      <c r="AZ416" s="114">
        <v>0</v>
      </c>
      <c r="BA416" s="114">
        <v>0</v>
      </c>
      <c r="BB416" s="116"/>
      <c r="BC416" s="116"/>
      <c r="BD416" s="116"/>
      <c r="BE416" s="116"/>
      <c r="BF416" s="116"/>
      <c r="BG416" s="116"/>
      <c r="BH416" s="116"/>
      <c r="BI416" s="116"/>
      <c r="BJ416" s="117">
        <v>210617</v>
      </c>
      <c r="BK416" s="117">
        <v>7720</v>
      </c>
      <c r="BL416" s="117">
        <v>1224267</v>
      </c>
      <c r="BM416" s="118">
        <v>10381560</v>
      </c>
      <c r="BN416" s="118">
        <v>610.68</v>
      </c>
      <c r="BO416" s="120">
        <v>0.81</v>
      </c>
      <c r="BP416" s="120">
        <v>0.189</v>
      </c>
      <c r="BQ416" s="119"/>
      <c r="BR416" s="120">
        <v>0.008</v>
      </c>
      <c r="BS416" s="120">
        <v>0.054</v>
      </c>
      <c r="BT416" s="120">
        <v>0.255</v>
      </c>
      <c r="BU416" s="120">
        <v>0.234</v>
      </c>
      <c r="BV416" s="120">
        <v>0.205</v>
      </c>
      <c r="BW416" s="120">
        <v>0.166</v>
      </c>
      <c r="BX416" s="120">
        <v>0.078</v>
      </c>
    </row>
    <row r="417" s="96" customFormat="1" ht="15.75" customHeight="1" spans="1:76">
      <c r="A417" s="111">
        <v>416</v>
      </c>
      <c r="B417" s="112" t="s">
        <v>46</v>
      </c>
      <c r="C417" s="112" t="s">
        <v>139</v>
      </c>
      <c r="D417" s="111">
        <v>2025</v>
      </c>
      <c r="E417" s="113" t="s">
        <v>39</v>
      </c>
      <c r="F417" s="114">
        <v>3216742</v>
      </c>
      <c r="G417" s="114">
        <v>3130926</v>
      </c>
      <c r="H417" s="114">
        <v>464912.4144</v>
      </c>
      <c r="I417" s="114">
        <v>18295</v>
      </c>
      <c r="J417" s="115">
        <v>0.00618055555555556</v>
      </c>
      <c r="K417" s="114">
        <v>26.77</v>
      </c>
      <c r="L417" s="114">
        <v>58</v>
      </c>
      <c r="M417" s="114">
        <v>33139899</v>
      </c>
      <c r="N417" s="114">
        <v>6.98</v>
      </c>
      <c r="O417" s="114">
        <v>1834796</v>
      </c>
      <c r="P417" s="114">
        <v>1287866</v>
      </c>
      <c r="Q417" s="114">
        <v>546930</v>
      </c>
      <c r="R417" s="114">
        <v>546412</v>
      </c>
      <c r="S417" s="114">
        <v>518</v>
      </c>
      <c r="T417" s="114">
        <v>19231</v>
      </c>
      <c r="U417" s="114">
        <v>936</v>
      </c>
      <c r="V417" s="114">
        <v>26964</v>
      </c>
      <c r="W417" s="114">
        <v>1722</v>
      </c>
      <c r="X417" s="114">
        <v>3623</v>
      </c>
      <c r="Y417" s="114">
        <v>16962</v>
      </c>
      <c r="Z417" s="114">
        <v>23737986.29</v>
      </c>
      <c r="AA417" s="114">
        <v>0</v>
      </c>
      <c r="AB417" s="114">
        <v>0</v>
      </c>
      <c r="AC417" s="114">
        <v>1044201.932</v>
      </c>
      <c r="AD417" s="114">
        <v>22649102.49</v>
      </c>
      <c r="AE417" s="114">
        <v>41176938.77</v>
      </c>
      <c r="AF417" s="114">
        <v>3803836</v>
      </c>
      <c r="AG417" s="114">
        <v>10825.109</v>
      </c>
      <c r="AH417" s="114">
        <v>2783426</v>
      </c>
      <c r="AI417" s="114">
        <v>7581.778</v>
      </c>
      <c r="AJ417" s="114">
        <v>0</v>
      </c>
      <c r="AK417" s="114">
        <v>0</v>
      </c>
      <c r="AL417" s="114">
        <v>0</v>
      </c>
      <c r="AM417" s="114">
        <v>0</v>
      </c>
      <c r="AN417" s="114">
        <v>52199</v>
      </c>
      <c r="AO417" s="114">
        <v>7813.9641</v>
      </c>
      <c r="AP417" s="114">
        <v>2.1075</v>
      </c>
      <c r="AQ417" s="114">
        <v>22</v>
      </c>
      <c r="AR417" s="114">
        <v>0</v>
      </c>
      <c r="AS417" s="114">
        <v>0</v>
      </c>
      <c r="AT417" s="114">
        <v>13</v>
      </c>
      <c r="AU417" s="114">
        <v>64790</v>
      </c>
      <c r="AV417" s="114">
        <v>0</v>
      </c>
      <c r="AW417" s="114">
        <v>0</v>
      </c>
      <c r="AX417" s="114">
        <v>0</v>
      </c>
      <c r="AY417" s="114">
        <v>0</v>
      </c>
      <c r="AZ417" s="114">
        <v>0</v>
      </c>
      <c r="BA417" s="114">
        <v>0</v>
      </c>
      <c r="BB417" s="116"/>
      <c r="BC417" s="116"/>
      <c r="BD417" s="116"/>
      <c r="BE417" s="116"/>
      <c r="BF417" s="116"/>
      <c r="BG417" s="116"/>
      <c r="BH417" s="116"/>
      <c r="BI417" s="116"/>
      <c r="BJ417" s="117">
        <v>229502</v>
      </c>
      <c r="BK417" s="117">
        <v>18295</v>
      </c>
      <c r="BL417" s="117">
        <v>2990924</v>
      </c>
      <c r="BM417" s="118">
        <v>22479610</v>
      </c>
      <c r="BN417" s="118">
        <v>1322.33</v>
      </c>
      <c r="BO417" s="120">
        <v>0.819</v>
      </c>
      <c r="BP417" s="120">
        <v>0.18</v>
      </c>
      <c r="BQ417" s="120">
        <v>0.001</v>
      </c>
      <c r="BR417" s="120">
        <v>0.009</v>
      </c>
      <c r="BS417" s="120">
        <v>0.056</v>
      </c>
      <c r="BT417" s="120">
        <v>0.262</v>
      </c>
      <c r="BU417" s="120">
        <v>0.213</v>
      </c>
      <c r="BV417" s="120">
        <v>0.188</v>
      </c>
      <c r="BW417" s="120">
        <v>0.175</v>
      </c>
      <c r="BX417" s="120">
        <v>0.098</v>
      </c>
    </row>
    <row r="418" s="96" customFormat="1" ht="15.75" customHeight="1" spans="1:76">
      <c r="A418" s="111">
        <v>417</v>
      </c>
      <c r="B418" s="112" t="s">
        <v>46</v>
      </c>
      <c r="C418" s="112" t="s">
        <v>139</v>
      </c>
      <c r="D418" s="111">
        <v>2025</v>
      </c>
      <c r="E418" s="113" t="s">
        <v>40</v>
      </c>
      <c r="F418" s="114">
        <v>4053941</v>
      </c>
      <c r="G418" s="114">
        <v>3994443</v>
      </c>
      <c r="H418" s="114">
        <v>561605.8071</v>
      </c>
      <c r="I418" s="114">
        <v>20486</v>
      </c>
      <c r="J418" s="115">
        <v>0.00585648148148148</v>
      </c>
      <c r="K418" s="114">
        <v>25.67</v>
      </c>
      <c r="L418" s="114">
        <v>83</v>
      </c>
      <c r="M418" s="114">
        <v>45216371</v>
      </c>
      <c r="N418" s="114">
        <v>6.8</v>
      </c>
      <c r="O418" s="114">
        <v>2215383</v>
      </c>
      <c r="P418" s="114">
        <v>1328920</v>
      </c>
      <c r="Q418" s="114">
        <v>886463</v>
      </c>
      <c r="R418" s="114">
        <v>884020</v>
      </c>
      <c r="S418" s="114">
        <v>2443</v>
      </c>
      <c r="T418" s="114">
        <v>21706</v>
      </c>
      <c r="U418" s="114">
        <v>1220</v>
      </c>
      <c r="V418" s="114">
        <v>35969</v>
      </c>
      <c r="W418" s="114">
        <v>1925</v>
      </c>
      <c r="X418" s="114">
        <v>9576</v>
      </c>
      <c r="Y418" s="114">
        <v>18697</v>
      </c>
      <c r="Z418" s="114">
        <v>30677969.07</v>
      </c>
      <c r="AA418" s="114">
        <v>48285.756</v>
      </c>
      <c r="AB418" s="114">
        <v>2</v>
      </c>
      <c r="AC418" s="114">
        <v>1650131.933</v>
      </c>
      <c r="AD418" s="114">
        <v>28951497.12</v>
      </c>
      <c r="AE418" s="114">
        <v>52639085.24</v>
      </c>
      <c r="AF418" s="114">
        <v>5240815</v>
      </c>
      <c r="AG418" s="114">
        <v>10044.065</v>
      </c>
      <c r="AH418" s="114">
        <v>3479990</v>
      </c>
      <c r="AI418" s="114">
        <v>7680.162</v>
      </c>
      <c r="AJ418" s="114">
        <v>0</v>
      </c>
      <c r="AK418" s="114">
        <v>0</v>
      </c>
      <c r="AL418" s="114">
        <v>0</v>
      </c>
      <c r="AM418" s="114">
        <v>0</v>
      </c>
      <c r="AN418" s="114">
        <v>75294</v>
      </c>
      <c r="AO418" s="114">
        <v>11931.7827</v>
      </c>
      <c r="AP418" s="114">
        <v>22.2311</v>
      </c>
      <c r="AQ418" s="114">
        <v>13</v>
      </c>
      <c r="AR418" s="114">
        <v>291</v>
      </c>
      <c r="AS418" s="114">
        <v>500</v>
      </c>
      <c r="AT418" s="114">
        <v>27</v>
      </c>
      <c r="AU418" s="114">
        <v>42441</v>
      </c>
      <c r="AV418" s="114">
        <v>0</v>
      </c>
      <c r="AW418" s="114">
        <v>0</v>
      </c>
      <c r="AX418" s="114">
        <v>0</v>
      </c>
      <c r="AY418" s="114">
        <v>0</v>
      </c>
      <c r="AZ418" s="114">
        <v>0</v>
      </c>
      <c r="BA418" s="114">
        <v>0</v>
      </c>
      <c r="BB418" s="116"/>
      <c r="BC418" s="116"/>
      <c r="BD418" s="116"/>
      <c r="BE418" s="116"/>
      <c r="BF418" s="116"/>
      <c r="BG418" s="116"/>
      <c r="BH418" s="116"/>
      <c r="BI418" s="116"/>
      <c r="BJ418" s="117">
        <v>249399</v>
      </c>
      <c r="BK418" s="117">
        <v>20486</v>
      </c>
      <c r="BL418" s="117">
        <v>3653230</v>
      </c>
      <c r="BM418" s="118">
        <v>28885720</v>
      </c>
      <c r="BN418" s="118">
        <v>1699.16</v>
      </c>
      <c r="BO418" s="120">
        <v>0.823</v>
      </c>
      <c r="BP418" s="120">
        <v>0.176</v>
      </c>
      <c r="BQ418" s="120">
        <v>0.001</v>
      </c>
      <c r="BR418" s="120">
        <v>0.008</v>
      </c>
      <c r="BS418" s="120">
        <v>0.057</v>
      </c>
      <c r="BT418" s="120">
        <v>0.277</v>
      </c>
      <c r="BU418" s="120">
        <v>0.232</v>
      </c>
      <c r="BV418" s="120">
        <v>0.192</v>
      </c>
      <c r="BW418" s="120">
        <v>0.156</v>
      </c>
      <c r="BX418" s="120">
        <v>0.077</v>
      </c>
    </row>
    <row r="419" s="96" customFormat="1" ht="15.75" customHeight="1" spans="1:76">
      <c r="A419" s="111">
        <v>418</v>
      </c>
      <c r="B419" s="112" t="s">
        <v>46</v>
      </c>
      <c r="C419" s="112" t="s">
        <v>139</v>
      </c>
      <c r="D419" s="111">
        <v>2025</v>
      </c>
      <c r="E419" s="113" t="s">
        <v>41</v>
      </c>
      <c r="F419" s="114">
        <v>2906106</v>
      </c>
      <c r="G419" s="114">
        <v>2858802</v>
      </c>
      <c r="H419" s="114">
        <v>493711.2146</v>
      </c>
      <c r="I419" s="114">
        <v>13268</v>
      </c>
      <c r="J419" s="115">
        <v>0.0071875</v>
      </c>
      <c r="K419" s="114">
        <v>18.22</v>
      </c>
      <c r="L419" s="114">
        <v>89</v>
      </c>
      <c r="M419" s="114">
        <v>25855962</v>
      </c>
      <c r="N419" s="114">
        <v>8.06</v>
      </c>
      <c r="O419" s="114">
        <v>1704610</v>
      </c>
      <c r="P419" s="114">
        <v>753879</v>
      </c>
      <c r="Q419" s="114">
        <v>950731</v>
      </c>
      <c r="R419" s="114">
        <v>943545</v>
      </c>
      <c r="S419" s="114">
        <v>7186</v>
      </c>
      <c r="T419" s="114">
        <v>14706</v>
      </c>
      <c r="U419" s="114">
        <v>1438</v>
      </c>
      <c r="V419" s="114">
        <v>22103</v>
      </c>
      <c r="W419" s="114">
        <v>1330</v>
      </c>
      <c r="X419" s="114">
        <v>6085</v>
      </c>
      <c r="Y419" s="114">
        <v>16809</v>
      </c>
      <c r="Z419" s="114">
        <v>25149321.38</v>
      </c>
      <c r="AA419" s="114">
        <v>0</v>
      </c>
      <c r="AB419" s="114">
        <v>0</v>
      </c>
      <c r="AC419" s="114">
        <v>1613787.135</v>
      </c>
      <c r="AD419" s="114">
        <v>23511624.76</v>
      </c>
      <c r="AE419" s="114">
        <v>42748497.91</v>
      </c>
      <c r="AF419" s="114">
        <v>4056360</v>
      </c>
      <c r="AG419" s="114">
        <v>10538.635</v>
      </c>
      <c r="AH419" s="114">
        <v>2443127</v>
      </c>
      <c r="AI419" s="114">
        <v>8797.154</v>
      </c>
      <c r="AJ419" s="114">
        <v>0</v>
      </c>
      <c r="AK419" s="114">
        <v>0</v>
      </c>
      <c r="AL419" s="114">
        <v>0</v>
      </c>
      <c r="AM419" s="114">
        <v>0</v>
      </c>
      <c r="AN419" s="114">
        <v>57221</v>
      </c>
      <c r="AO419" s="114">
        <v>11618.2165</v>
      </c>
      <c r="AP419" s="114">
        <v>19.703</v>
      </c>
      <c r="AQ419" s="114">
        <v>0</v>
      </c>
      <c r="AR419" s="114">
        <v>208</v>
      </c>
      <c r="AS419" s="114">
        <v>66</v>
      </c>
      <c r="AT419" s="114">
        <v>7</v>
      </c>
      <c r="AU419" s="114">
        <v>16454</v>
      </c>
      <c r="AV419" s="114">
        <v>0</v>
      </c>
      <c r="AW419" s="114">
        <v>0</v>
      </c>
      <c r="AX419" s="114">
        <v>0</v>
      </c>
      <c r="AY419" s="114">
        <v>0</v>
      </c>
      <c r="AZ419" s="114">
        <v>0</v>
      </c>
      <c r="BA419" s="114">
        <v>0</v>
      </c>
      <c r="BB419" s="116"/>
      <c r="BC419" s="116"/>
      <c r="BD419" s="116"/>
      <c r="BE419" s="116"/>
      <c r="BF419" s="116"/>
      <c r="BG419" s="116"/>
      <c r="BH419" s="116"/>
      <c r="BI419" s="116"/>
      <c r="BJ419" s="117">
        <v>262666</v>
      </c>
      <c r="BK419" s="117">
        <v>13267</v>
      </c>
      <c r="BL419" s="117">
        <v>1648037</v>
      </c>
      <c r="BM419" s="118">
        <v>13921130</v>
      </c>
      <c r="BN419" s="118">
        <v>818.89</v>
      </c>
      <c r="BO419" s="120">
        <v>0.831</v>
      </c>
      <c r="BP419" s="120">
        <v>0.168</v>
      </c>
      <c r="BQ419" s="120">
        <v>0.001</v>
      </c>
      <c r="BR419" s="120">
        <v>0.008</v>
      </c>
      <c r="BS419" s="120">
        <v>0.045</v>
      </c>
      <c r="BT419" s="120">
        <v>0.238</v>
      </c>
      <c r="BU419" s="120">
        <v>0.213</v>
      </c>
      <c r="BV419" s="120">
        <v>0.2</v>
      </c>
      <c r="BW419" s="120">
        <v>0.189</v>
      </c>
      <c r="BX419" s="120">
        <v>0.108</v>
      </c>
    </row>
    <row r="420" s="96" customFormat="1" ht="15.75" customHeight="1" spans="1:76">
      <c r="A420" s="111">
        <v>419</v>
      </c>
      <c r="B420" s="112" t="s">
        <v>46</v>
      </c>
      <c r="C420" s="112" t="s">
        <v>139</v>
      </c>
      <c r="D420" s="111">
        <v>2025</v>
      </c>
      <c r="E420" s="113" t="s">
        <v>42</v>
      </c>
      <c r="F420" s="114">
        <v>3854281</v>
      </c>
      <c r="G420" s="114">
        <v>3791397</v>
      </c>
      <c r="H420" s="114">
        <v>773119.4436</v>
      </c>
      <c r="I420" s="114">
        <v>11015</v>
      </c>
      <c r="J420" s="115">
        <v>0.00849537037037037</v>
      </c>
      <c r="K420" s="114">
        <v>15.42</v>
      </c>
      <c r="L420" s="114">
        <v>118</v>
      </c>
      <c r="M420" s="114">
        <v>35247059</v>
      </c>
      <c r="N420" s="114">
        <v>8.01</v>
      </c>
      <c r="O420" s="114">
        <v>1960483</v>
      </c>
      <c r="P420" s="114">
        <v>726310</v>
      </c>
      <c r="Q420" s="114">
        <v>1234405</v>
      </c>
      <c r="R420" s="114">
        <v>1209714</v>
      </c>
      <c r="S420" s="114">
        <v>24691</v>
      </c>
      <c r="T420" s="114">
        <v>12000</v>
      </c>
      <c r="U420" s="114">
        <v>985</v>
      </c>
      <c r="V420" s="114">
        <v>27432</v>
      </c>
      <c r="W420" s="114">
        <v>2120</v>
      </c>
      <c r="X420" s="114">
        <v>5891</v>
      </c>
      <c r="Y420" s="114">
        <v>25641</v>
      </c>
      <c r="Z420" s="114">
        <v>39859757.3</v>
      </c>
      <c r="AA420" s="114">
        <v>0</v>
      </c>
      <c r="AB420" s="114">
        <v>0</v>
      </c>
      <c r="AC420" s="114">
        <v>2897301.278</v>
      </c>
      <c r="AD420" s="114">
        <v>36925832.76</v>
      </c>
      <c r="AE420" s="114">
        <v>67272810.88</v>
      </c>
      <c r="AF420" s="114">
        <v>6173552</v>
      </c>
      <c r="AG420" s="114">
        <v>10896.938</v>
      </c>
      <c r="AH420" s="114">
        <v>3627311</v>
      </c>
      <c r="AI420" s="114">
        <v>10513.211</v>
      </c>
      <c r="AJ420" s="114">
        <v>0</v>
      </c>
      <c r="AK420" s="114">
        <v>0</v>
      </c>
      <c r="AL420" s="114">
        <v>0</v>
      </c>
      <c r="AM420" s="114">
        <v>0</v>
      </c>
      <c r="AN420" s="114">
        <v>80817</v>
      </c>
      <c r="AO420" s="114">
        <v>20482.3442</v>
      </c>
      <c r="AP420" s="114">
        <v>30.1521</v>
      </c>
      <c r="AQ420" s="114">
        <v>294</v>
      </c>
      <c r="AR420" s="114">
        <v>25894</v>
      </c>
      <c r="AS420" s="114">
        <v>12525</v>
      </c>
      <c r="AT420" s="114">
        <v>23</v>
      </c>
      <c r="AU420" s="114">
        <v>85738</v>
      </c>
      <c r="AV420" s="114">
        <v>0</v>
      </c>
      <c r="AW420" s="114">
        <v>0</v>
      </c>
      <c r="AX420" s="114">
        <v>0</v>
      </c>
      <c r="AY420" s="114">
        <v>0</v>
      </c>
      <c r="AZ420" s="114">
        <v>0</v>
      </c>
      <c r="BA420" s="114">
        <v>0</v>
      </c>
      <c r="BB420" s="116"/>
      <c r="BC420" s="116"/>
      <c r="BD420" s="116"/>
      <c r="BE420" s="116"/>
      <c r="BF420" s="116"/>
      <c r="BG420" s="116"/>
      <c r="BH420" s="116"/>
      <c r="BI420" s="116"/>
      <c r="BJ420" s="117">
        <v>273682</v>
      </c>
      <c r="BK420" s="117">
        <v>11015</v>
      </c>
      <c r="BL420" s="117">
        <v>3289879</v>
      </c>
      <c r="BM420" s="118">
        <v>33993200</v>
      </c>
      <c r="BN420" s="118">
        <v>1999.6</v>
      </c>
      <c r="BO420" s="120">
        <v>0.827</v>
      </c>
      <c r="BP420" s="120">
        <v>0.172</v>
      </c>
      <c r="BQ420" s="120">
        <v>0.001</v>
      </c>
      <c r="BR420" s="120">
        <v>0.008</v>
      </c>
      <c r="BS420" s="120">
        <v>0.044</v>
      </c>
      <c r="BT420" s="120">
        <v>0.253</v>
      </c>
      <c r="BU420" s="120">
        <v>0.245</v>
      </c>
      <c r="BV420" s="120">
        <v>0.213</v>
      </c>
      <c r="BW420" s="120">
        <v>0.163</v>
      </c>
      <c r="BX420" s="120">
        <v>0.075</v>
      </c>
    </row>
    <row r="421" s="96" customFormat="1" ht="15.75" customHeight="1" spans="1:76">
      <c r="A421" s="111">
        <v>420</v>
      </c>
      <c r="B421" s="112" t="s">
        <v>46</v>
      </c>
      <c r="C421" s="112" t="s">
        <v>139</v>
      </c>
      <c r="D421" s="111">
        <v>2025</v>
      </c>
      <c r="E421" s="113" t="s">
        <v>43</v>
      </c>
      <c r="F421" s="114">
        <v>5635734</v>
      </c>
      <c r="G421" s="114">
        <v>5588851</v>
      </c>
      <c r="H421" s="114">
        <v>1270056.913</v>
      </c>
      <c r="I421" s="114">
        <v>15596</v>
      </c>
      <c r="J421" s="115">
        <v>0.00946759259259259</v>
      </c>
      <c r="K421" s="114">
        <v>11.34</v>
      </c>
      <c r="L421" s="114">
        <v>108</v>
      </c>
      <c r="M421" s="114">
        <v>50188252</v>
      </c>
      <c r="N421" s="114">
        <v>8.74</v>
      </c>
      <c r="O421" s="114">
        <v>2431259</v>
      </c>
      <c r="P421" s="114">
        <v>836897</v>
      </c>
      <c r="Q421" s="114">
        <v>1594377</v>
      </c>
      <c r="R421" s="114">
        <v>1495685</v>
      </c>
      <c r="S421" s="114">
        <v>98692</v>
      </c>
      <c r="T421" s="114">
        <v>17163</v>
      </c>
      <c r="U421" s="114">
        <v>1567</v>
      </c>
      <c r="V421" s="114">
        <v>41183</v>
      </c>
      <c r="W421" s="114">
        <v>3450</v>
      </c>
      <c r="X421" s="114">
        <v>7734</v>
      </c>
      <c r="Y421" s="114">
        <v>33943</v>
      </c>
      <c r="Z421" s="114">
        <v>61858372.51</v>
      </c>
      <c r="AA421" s="114">
        <v>13782.182</v>
      </c>
      <c r="AB421" s="114">
        <v>1</v>
      </c>
      <c r="AC421" s="114">
        <v>5240251.764</v>
      </c>
      <c r="AD421" s="114">
        <v>56576426.42</v>
      </c>
      <c r="AE421" s="114">
        <v>102866283.1</v>
      </c>
      <c r="AF421" s="114">
        <v>9694467</v>
      </c>
      <c r="AG421" s="114">
        <v>10610.824</v>
      </c>
      <c r="AH421" s="114">
        <v>5444503</v>
      </c>
      <c r="AI421" s="114">
        <v>11068.173</v>
      </c>
      <c r="AJ421" s="114">
        <v>0</v>
      </c>
      <c r="AK421" s="114">
        <v>1</v>
      </c>
      <c r="AL421" s="114">
        <v>0</v>
      </c>
      <c r="AM421" s="114">
        <v>0</v>
      </c>
      <c r="AN421" s="114">
        <v>121915</v>
      </c>
      <c r="AO421" s="114">
        <v>37822.4742</v>
      </c>
      <c r="AP421" s="114">
        <v>36.1867</v>
      </c>
      <c r="AQ421" s="114">
        <v>874</v>
      </c>
      <c r="AR421" s="114">
        <v>57377</v>
      </c>
      <c r="AS421" s="114">
        <v>58758</v>
      </c>
      <c r="AT421" s="114">
        <v>20</v>
      </c>
      <c r="AU421" s="114">
        <v>169612</v>
      </c>
      <c r="AV421" s="114">
        <v>0</v>
      </c>
      <c r="AW421" s="114">
        <v>0</v>
      </c>
      <c r="AX421" s="114">
        <v>0</v>
      </c>
      <c r="AY421" s="114">
        <v>0</v>
      </c>
      <c r="AZ421" s="114">
        <v>0</v>
      </c>
      <c r="BA421" s="114">
        <v>0</v>
      </c>
      <c r="BB421" s="116"/>
      <c r="BC421" s="116"/>
      <c r="BD421" s="116"/>
      <c r="BE421" s="116"/>
      <c r="BF421" s="116"/>
      <c r="BG421" s="116"/>
      <c r="BH421" s="116"/>
      <c r="BI421" s="116"/>
      <c r="BJ421" s="117">
        <v>289277</v>
      </c>
      <c r="BK421" s="117">
        <v>15595</v>
      </c>
      <c r="BL421" s="117">
        <v>4995892</v>
      </c>
      <c r="BM421" s="118">
        <v>57938550</v>
      </c>
      <c r="BN421" s="118">
        <v>3408.15</v>
      </c>
      <c r="BO421" s="120">
        <v>0.825</v>
      </c>
      <c r="BP421" s="120">
        <v>0.174</v>
      </c>
      <c r="BQ421" s="120">
        <v>0.001</v>
      </c>
      <c r="BR421" s="120">
        <v>0.008</v>
      </c>
      <c r="BS421" s="120">
        <v>0.046</v>
      </c>
      <c r="BT421" s="120">
        <v>0.271</v>
      </c>
      <c r="BU421" s="120">
        <v>0.256</v>
      </c>
      <c r="BV421" s="120">
        <v>0.208</v>
      </c>
      <c r="BW421" s="120">
        <v>0.146</v>
      </c>
      <c r="BX421" s="120">
        <v>0.064</v>
      </c>
    </row>
    <row r="422" s="96" customFormat="1" ht="15.75" customHeight="1" spans="1:76">
      <c r="A422" s="111">
        <v>421</v>
      </c>
      <c r="B422" s="112" t="s">
        <v>46</v>
      </c>
      <c r="C422" s="112" t="s">
        <v>139</v>
      </c>
      <c r="D422" s="111">
        <v>2026</v>
      </c>
      <c r="E422" s="112" t="s">
        <v>31</v>
      </c>
      <c r="F422" s="121">
        <v>2934556</v>
      </c>
      <c r="G422" s="114">
        <v>2895578</v>
      </c>
      <c r="H422" s="114">
        <v>758538.5536</v>
      </c>
      <c r="I422" s="114">
        <v>5569</v>
      </c>
      <c r="J422" s="115">
        <v>0.0109143518518519</v>
      </c>
      <c r="K422" s="114">
        <v>12.64</v>
      </c>
      <c r="L422" s="114">
        <v>84</v>
      </c>
      <c r="M422" s="114">
        <v>24349558</v>
      </c>
      <c r="N422" s="114">
        <v>9.05</v>
      </c>
      <c r="O422" s="114">
        <v>1434223</v>
      </c>
      <c r="P422" s="114">
        <v>398725</v>
      </c>
      <c r="Q422" s="114">
        <v>1034583</v>
      </c>
      <c r="R422" s="114">
        <v>904479</v>
      </c>
      <c r="S422" s="114">
        <v>130104</v>
      </c>
      <c r="T422" s="114">
        <v>6523</v>
      </c>
      <c r="U422" s="114">
        <v>954</v>
      </c>
      <c r="V422" s="114">
        <v>16648</v>
      </c>
      <c r="W422" s="114">
        <v>1619</v>
      </c>
      <c r="X422" s="114">
        <v>3212</v>
      </c>
      <c r="Y422" s="114">
        <v>13717</v>
      </c>
      <c r="Z422" s="121">
        <v>33328468</v>
      </c>
      <c r="AA422" s="114">
        <v>31280.135</v>
      </c>
      <c r="AB422" s="114">
        <v>2350</v>
      </c>
      <c r="AC422" s="114">
        <v>3451101.485</v>
      </c>
      <c r="AD422" s="114">
        <v>24264363.45</v>
      </c>
      <c r="AE422" s="114">
        <v>44128375.92</v>
      </c>
      <c r="AF422" s="114">
        <v>4421421</v>
      </c>
      <c r="AG422" s="114">
        <v>9980.587</v>
      </c>
      <c r="AH422" s="114">
        <v>2419837</v>
      </c>
      <c r="AI422" s="114">
        <v>12378.18</v>
      </c>
      <c r="AJ422" s="114">
        <v>69135</v>
      </c>
      <c r="AK422" s="114">
        <v>1870380</v>
      </c>
      <c r="AL422" s="114">
        <v>210453156.1</v>
      </c>
      <c r="AM422" s="114">
        <v>1820</v>
      </c>
      <c r="AN422" s="114">
        <v>69671</v>
      </c>
      <c r="AO422" s="114">
        <v>25998.5576</v>
      </c>
      <c r="AP422" s="114">
        <v>39.3428</v>
      </c>
      <c r="AQ422" s="114">
        <v>759</v>
      </c>
      <c r="AR422" s="114">
        <v>47781</v>
      </c>
      <c r="AS422" s="114">
        <v>21959</v>
      </c>
      <c r="AT422" s="114">
        <v>2</v>
      </c>
      <c r="AU422" s="114">
        <v>3773</v>
      </c>
      <c r="AV422" s="114">
        <v>0</v>
      </c>
      <c r="AW422" s="114">
        <v>0</v>
      </c>
      <c r="AX422" s="114">
        <v>0</v>
      </c>
      <c r="AY422" s="114">
        <v>0</v>
      </c>
      <c r="AZ422" s="114">
        <v>0</v>
      </c>
      <c r="BA422" s="114">
        <v>0</v>
      </c>
      <c r="BB422" s="116"/>
      <c r="BC422" s="116"/>
      <c r="BD422" s="116"/>
      <c r="BE422" s="116"/>
      <c r="BF422" s="116"/>
      <c r="BG422" s="116"/>
      <c r="BH422" s="116"/>
      <c r="BI422" s="116"/>
      <c r="BJ422" s="117">
        <v>294847</v>
      </c>
      <c r="BK422" s="117">
        <v>5569</v>
      </c>
      <c r="BL422" s="117">
        <v>2266876</v>
      </c>
      <c r="BM422" s="118">
        <v>28603878</v>
      </c>
      <c r="BN422" s="118"/>
      <c r="BO422" s="120">
        <v>0.829</v>
      </c>
      <c r="BP422" s="120">
        <v>0.17</v>
      </c>
      <c r="BQ422" s="120">
        <v>0.001</v>
      </c>
      <c r="BR422" s="120">
        <v>0.008</v>
      </c>
      <c r="BS422" s="120">
        <v>0.047</v>
      </c>
      <c r="BT422" s="120">
        <v>0.286</v>
      </c>
      <c r="BU422" s="120">
        <v>0.26</v>
      </c>
      <c r="BV422" s="120">
        <v>0.204</v>
      </c>
      <c r="BW422" s="120">
        <v>0.136</v>
      </c>
      <c r="BX422" s="120">
        <v>0.059</v>
      </c>
    </row>
    <row r="423" s="96" customFormat="1" ht="15.75" customHeight="1" spans="1:76">
      <c r="A423" s="111">
        <v>422</v>
      </c>
      <c r="B423" s="112" t="s">
        <v>46</v>
      </c>
      <c r="C423" s="112" t="s">
        <v>139</v>
      </c>
      <c r="D423" s="111">
        <v>2026</v>
      </c>
      <c r="E423" s="112" t="s">
        <v>33</v>
      </c>
      <c r="F423" s="114">
        <v>4414093</v>
      </c>
      <c r="G423" s="114">
        <v>4370584</v>
      </c>
      <c r="H423" s="114">
        <v>920773.2588</v>
      </c>
      <c r="I423" s="114">
        <v>5691</v>
      </c>
      <c r="J423" s="115">
        <v>0.00877314814814815</v>
      </c>
      <c r="K423" s="114">
        <v>10.36</v>
      </c>
      <c r="L423" s="114">
        <v>121</v>
      </c>
      <c r="M423" s="114">
        <v>33068219</v>
      </c>
      <c r="N423" s="114">
        <v>10.16</v>
      </c>
      <c r="O423" s="114">
        <v>1907198</v>
      </c>
      <c r="P423" s="114">
        <v>480461</v>
      </c>
      <c r="Q423" s="114">
        <v>1419274</v>
      </c>
      <c r="R423" s="114">
        <v>1123779</v>
      </c>
      <c r="S423" s="114">
        <v>295495</v>
      </c>
      <c r="T423" s="114">
        <v>7100</v>
      </c>
      <c r="U423" s="114">
        <v>1409</v>
      </c>
      <c r="V423" s="114">
        <v>25244</v>
      </c>
      <c r="W423" s="114">
        <v>1780</v>
      </c>
      <c r="X423" s="114">
        <v>4420</v>
      </c>
      <c r="Y423" s="114">
        <v>15963</v>
      </c>
      <c r="Z423" s="114">
        <v>48486834.89</v>
      </c>
      <c r="AA423" s="114">
        <v>0</v>
      </c>
      <c r="AB423" s="114">
        <v>2864</v>
      </c>
      <c r="AC423" s="114">
        <v>4262354.975</v>
      </c>
      <c r="AD423" s="114">
        <v>34425344.9</v>
      </c>
      <c r="AE423" s="114">
        <v>61267278.18</v>
      </c>
      <c r="AF423" s="114">
        <v>6181190</v>
      </c>
      <c r="AG423" s="114">
        <v>9911.89</v>
      </c>
      <c r="AH423" s="114">
        <v>3569732</v>
      </c>
      <c r="AI423" s="114">
        <v>11093.335</v>
      </c>
      <c r="AJ423" s="114">
        <v>74977</v>
      </c>
      <c r="AK423" s="114">
        <v>2077270</v>
      </c>
      <c r="AL423" s="114">
        <v>252505437.9</v>
      </c>
      <c r="AM423" s="114">
        <v>2221</v>
      </c>
      <c r="AN423" s="114">
        <v>105501</v>
      </c>
      <c r="AO423" s="114">
        <v>30158.0448</v>
      </c>
      <c r="AP423" s="114">
        <v>104.5366</v>
      </c>
      <c r="AQ423" s="114">
        <v>1058</v>
      </c>
      <c r="AR423" s="114">
        <v>113916</v>
      </c>
      <c r="AS423" s="114">
        <v>30461</v>
      </c>
      <c r="AT423" s="114">
        <v>13</v>
      </c>
      <c r="AU423" s="114">
        <v>31454</v>
      </c>
      <c r="AV423" s="114">
        <v>0</v>
      </c>
      <c r="AW423" s="114">
        <v>0</v>
      </c>
      <c r="AX423" s="114">
        <v>0</v>
      </c>
      <c r="AY423" s="114">
        <v>0</v>
      </c>
      <c r="AZ423" s="114">
        <v>0</v>
      </c>
      <c r="BA423" s="114">
        <v>0</v>
      </c>
      <c r="BB423" s="116"/>
      <c r="BC423" s="116"/>
      <c r="BD423" s="116"/>
      <c r="BE423" s="116"/>
      <c r="BF423" s="116"/>
      <c r="BG423" s="116"/>
      <c r="BH423" s="116"/>
      <c r="BI423" s="116"/>
      <c r="BJ423" s="117">
        <v>300538</v>
      </c>
      <c r="BK423" s="117">
        <v>5691</v>
      </c>
      <c r="BL423" s="117">
        <v>3539055</v>
      </c>
      <c r="BM423" s="118">
        <v>40177044</v>
      </c>
      <c r="BN423" s="118"/>
      <c r="BO423" s="120">
        <v>0.825</v>
      </c>
      <c r="BP423" s="120">
        <v>0.174</v>
      </c>
      <c r="BQ423" s="120">
        <v>0.001</v>
      </c>
      <c r="BR423" s="120">
        <v>0.008</v>
      </c>
      <c r="BS423" s="120">
        <v>0.046</v>
      </c>
      <c r="BT423" s="120">
        <v>0.265</v>
      </c>
      <c r="BU423" s="120">
        <v>0.238</v>
      </c>
      <c r="BV423" s="120">
        <v>0.209</v>
      </c>
      <c r="BW423" s="120">
        <v>0.16</v>
      </c>
      <c r="BX423" s="120">
        <v>0.074</v>
      </c>
    </row>
    <row r="424" s="96" customFormat="1" ht="15.75" customHeight="1" spans="1:76">
      <c r="A424" s="111">
        <v>423</v>
      </c>
      <c r="B424" s="112" t="s">
        <v>46</v>
      </c>
      <c r="C424" s="112" t="s">
        <v>139</v>
      </c>
      <c r="D424" s="111">
        <v>2026</v>
      </c>
      <c r="E424" s="113" t="s">
        <v>34</v>
      </c>
      <c r="F424" s="114">
        <v>4221620</v>
      </c>
      <c r="G424" s="114">
        <v>4170475</v>
      </c>
      <c r="H424" s="114">
        <v>1045729.192</v>
      </c>
      <c r="I424" s="114">
        <v>10046</v>
      </c>
      <c r="J424" s="115">
        <v>0.0104398148148148</v>
      </c>
      <c r="K424" s="114">
        <v>16.03</v>
      </c>
      <c r="L424" s="114">
        <v>90</v>
      </c>
      <c r="M424" s="114">
        <v>40589638</v>
      </c>
      <c r="N424" s="114">
        <v>7.63</v>
      </c>
      <c r="O424" s="114">
        <v>2285443</v>
      </c>
      <c r="P424" s="114">
        <v>972215</v>
      </c>
      <c r="Q424" s="114">
        <v>1216289</v>
      </c>
      <c r="R424" s="114">
        <v>927086</v>
      </c>
      <c r="S424" s="114">
        <v>289203</v>
      </c>
      <c r="T424" s="114">
        <v>11636</v>
      </c>
      <c r="U424" s="114">
        <v>1590</v>
      </c>
      <c r="V424" s="114">
        <v>33148</v>
      </c>
      <c r="W424" s="114">
        <v>2326</v>
      </c>
      <c r="X424" s="114">
        <v>7476</v>
      </c>
      <c r="Y424" s="114">
        <v>28463</v>
      </c>
      <c r="Z424" s="114">
        <v>49828546.21</v>
      </c>
      <c r="AA424" s="114">
        <v>0</v>
      </c>
      <c r="AB424" s="114">
        <v>1985</v>
      </c>
      <c r="AC424" s="114">
        <v>4398142.317</v>
      </c>
      <c r="AD424" s="114">
        <v>37647467.48</v>
      </c>
      <c r="AE424" s="114">
        <v>68437996</v>
      </c>
      <c r="AF424" s="114">
        <v>5864846</v>
      </c>
      <c r="AG424" s="114">
        <v>11669.189</v>
      </c>
      <c r="AH424" s="114">
        <v>3865129</v>
      </c>
      <c r="AI424" s="114">
        <v>12056.508</v>
      </c>
      <c r="AJ424" s="114">
        <v>53330</v>
      </c>
      <c r="AK424" s="114">
        <v>1552864</v>
      </c>
      <c r="AL424" s="114">
        <v>198849354.7</v>
      </c>
      <c r="AM424" s="114">
        <v>1551</v>
      </c>
      <c r="AN424" s="114">
        <v>124563</v>
      </c>
      <c r="AO424" s="114">
        <v>37189.7119</v>
      </c>
      <c r="AP424" s="114">
        <v>73.5588</v>
      </c>
      <c r="AQ424" s="114">
        <v>1040</v>
      </c>
      <c r="AR424" s="114">
        <v>41676</v>
      </c>
      <c r="AS424" s="114">
        <v>10681</v>
      </c>
      <c r="AT424" s="114">
        <v>2</v>
      </c>
      <c r="AU424" s="114">
        <v>1758</v>
      </c>
      <c r="AV424" s="114">
        <v>0</v>
      </c>
      <c r="AW424" s="114">
        <v>0</v>
      </c>
      <c r="AX424" s="114">
        <v>0</v>
      </c>
      <c r="AY424" s="114">
        <v>0</v>
      </c>
      <c r="AZ424" s="114">
        <v>0</v>
      </c>
      <c r="BA424" s="114">
        <v>0</v>
      </c>
      <c r="BB424" s="116"/>
      <c r="BC424" s="116"/>
      <c r="BD424" s="116"/>
      <c r="BE424" s="116"/>
      <c r="BF424" s="116"/>
      <c r="BG424" s="116"/>
      <c r="BH424" s="116"/>
      <c r="BI424" s="116"/>
      <c r="BJ424" s="117">
        <v>310584</v>
      </c>
      <c r="BK424" s="117">
        <v>10046</v>
      </c>
      <c r="BL424" s="117">
        <v>3932581</v>
      </c>
      <c r="BM424" s="118">
        <v>47572480</v>
      </c>
      <c r="BN424" s="118"/>
      <c r="BO424" s="120">
        <v>0.825</v>
      </c>
      <c r="BP424" s="120">
        <v>0.174</v>
      </c>
      <c r="BQ424" s="134">
        <v>0</v>
      </c>
      <c r="BR424" s="120">
        <v>0.008</v>
      </c>
      <c r="BS424" s="120">
        <v>0.065</v>
      </c>
      <c r="BT424" s="120">
        <v>0.336</v>
      </c>
      <c r="BU424" s="120">
        <v>0.262</v>
      </c>
      <c r="BV424" s="120">
        <v>0.178</v>
      </c>
      <c r="BW424" s="120">
        <v>0.106</v>
      </c>
      <c r="BX424" s="120">
        <v>0.044</v>
      </c>
    </row>
    <row r="425" s="96" customFormat="1" ht="15.75" customHeight="1" spans="1:76">
      <c r="A425" s="111">
        <v>424</v>
      </c>
      <c r="B425" s="112" t="s">
        <v>46</v>
      </c>
      <c r="C425" s="112" t="s">
        <v>139</v>
      </c>
      <c r="D425" s="111">
        <v>2026</v>
      </c>
      <c r="E425" s="113" t="s">
        <v>35</v>
      </c>
      <c r="F425" s="114">
        <v>5065186</v>
      </c>
      <c r="G425" s="114">
        <v>5055414</v>
      </c>
      <c r="H425" s="114">
        <v>1230123.501</v>
      </c>
      <c r="I425" s="114">
        <v>7467</v>
      </c>
      <c r="J425" s="115">
        <v>0.0101388888888889</v>
      </c>
      <c r="K425" s="114">
        <v>10.16</v>
      </c>
      <c r="L425" s="114">
        <v>85</v>
      </c>
      <c r="M425" s="114">
        <v>42369499</v>
      </c>
      <c r="N425" s="114">
        <v>9.29</v>
      </c>
      <c r="O425" s="114">
        <v>2040496</v>
      </c>
      <c r="P425" s="114">
        <v>578636</v>
      </c>
      <c r="Q425" s="114">
        <v>1403154</v>
      </c>
      <c r="R425" s="114">
        <v>981563</v>
      </c>
      <c r="S425" s="114">
        <v>421591</v>
      </c>
      <c r="T425" s="114">
        <v>9047</v>
      </c>
      <c r="U425" s="114">
        <v>1580</v>
      </c>
      <c r="V425" s="114">
        <v>29790</v>
      </c>
      <c r="W425" s="114">
        <v>2437</v>
      </c>
      <c r="X425" s="114">
        <v>5759</v>
      </c>
      <c r="Y425" s="114">
        <v>19647</v>
      </c>
      <c r="Z425" s="114">
        <v>59598521.09</v>
      </c>
      <c r="AA425" s="114">
        <v>0</v>
      </c>
      <c r="AB425" s="114">
        <v>3984</v>
      </c>
      <c r="AC425" s="114">
        <v>6118010.024</v>
      </c>
      <c r="AD425" s="114">
        <v>39517569.63</v>
      </c>
      <c r="AE425" s="114">
        <v>71539817.81</v>
      </c>
      <c r="AF425" s="114">
        <v>7003951</v>
      </c>
      <c r="AG425" s="114">
        <v>10214.209</v>
      </c>
      <c r="AH425" s="114">
        <v>3947649</v>
      </c>
      <c r="AI425" s="114">
        <v>12345.442</v>
      </c>
      <c r="AJ425" s="114">
        <v>126909</v>
      </c>
      <c r="AK425" s="114">
        <v>3539634</v>
      </c>
      <c r="AL425" s="114">
        <v>406881772.3</v>
      </c>
      <c r="AM425" s="114">
        <v>3108</v>
      </c>
      <c r="AN425" s="114">
        <v>146331</v>
      </c>
      <c r="AO425" s="114">
        <v>45674.2752</v>
      </c>
      <c r="AP425" s="114">
        <v>96.7231</v>
      </c>
      <c r="AQ425" s="114">
        <v>2147</v>
      </c>
      <c r="AR425" s="114">
        <v>136643</v>
      </c>
      <c r="AS425" s="114">
        <v>66050</v>
      </c>
      <c r="AT425" s="114">
        <v>2</v>
      </c>
      <c r="AU425" s="114">
        <v>1280</v>
      </c>
      <c r="AV425" s="114">
        <v>0</v>
      </c>
      <c r="AW425" s="114">
        <v>0</v>
      </c>
      <c r="AX425" s="114">
        <v>0</v>
      </c>
      <c r="AY425" s="114">
        <v>0</v>
      </c>
      <c r="AZ425" s="114">
        <v>0</v>
      </c>
      <c r="BA425" s="114">
        <v>0</v>
      </c>
      <c r="BB425" s="116"/>
      <c r="BC425" s="116"/>
      <c r="BD425" s="116"/>
      <c r="BE425" s="116"/>
      <c r="BF425" s="116"/>
      <c r="BG425" s="116"/>
      <c r="BH425" s="116"/>
      <c r="BI425" s="116"/>
      <c r="BJ425" s="117">
        <v>318051</v>
      </c>
      <c r="BK425" s="117">
        <v>7467</v>
      </c>
      <c r="BL425" s="117">
        <v>4393651</v>
      </c>
      <c r="BM425" s="118">
        <v>54176588</v>
      </c>
      <c r="BN425" s="118"/>
      <c r="BO425" s="120">
        <v>0.822</v>
      </c>
      <c r="BP425" s="120">
        <v>0.178</v>
      </c>
      <c r="BQ425" s="120">
        <v>0.001</v>
      </c>
      <c r="BR425" s="120">
        <v>0.007</v>
      </c>
      <c r="BS425" s="120">
        <v>0.046</v>
      </c>
      <c r="BT425" s="120">
        <v>0.278</v>
      </c>
      <c r="BU425" s="120">
        <v>0.252</v>
      </c>
      <c r="BV425" s="120">
        <v>0.21</v>
      </c>
      <c r="BW425" s="120">
        <v>0.145</v>
      </c>
      <c r="BX425" s="120">
        <v>0.062</v>
      </c>
    </row>
    <row r="426" s="96" customFormat="1" ht="15.75" customHeight="1" spans="1:76">
      <c r="A426" s="111">
        <v>425</v>
      </c>
      <c r="B426" s="112" t="s">
        <v>46</v>
      </c>
      <c r="C426" s="112" t="s">
        <v>139</v>
      </c>
      <c r="D426" s="111">
        <v>2026</v>
      </c>
      <c r="E426" s="113" t="s">
        <v>36</v>
      </c>
      <c r="F426" s="114">
        <v>4309072</v>
      </c>
      <c r="G426" s="114">
        <v>4301049</v>
      </c>
      <c r="H426" s="114">
        <v>1001941.905</v>
      </c>
      <c r="I426" s="114">
        <v>5479</v>
      </c>
      <c r="J426" s="115">
        <v>0.00969907407407407</v>
      </c>
      <c r="K426" s="114">
        <v>11.56</v>
      </c>
      <c r="L426" s="114">
        <v>154</v>
      </c>
      <c r="M426" s="114">
        <v>34493354</v>
      </c>
      <c r="N426" s="114">
        <v>9.51</v>
      </c>
      <c r="O426" s="114">
        <v>1470644</v>
      </c>
      <c r="P426" s="114">
        <v>339530</v>
      </c>
      <c r="Q426" s="114">
        <v>1082962</v>
      </c>
      <c r="R426" s="114">
        <v>652895</v>
      </c>
      <c r="S426" s="114">
        <v>430067</v>
      </c>
      <c r="T426" s="114">
        <v>6915</v>
      </c>
      <c r="U426" s="114">
        <v>1436</v>
      </c>
      <c r="V426" s="114">
        <v>28687</v>
      </c>
      <c r="W426" s="114">
        <v>2143</v>
      </c>
      <c r="X426" s="114">
        <v>4365</v>
      </c>
      <c r="Y426" s="114">
        <v>19124</v>
      </c>
      <c r="Z426" s="114">
        <v>49854622.65</v>
      </c>
      <c r="AA426" s="114">
        <v>0</v>
      </c>
      <c r="AB426" s="114">
        <v>2402</v>
      </c>
      <c r="AC426" s="114">
        <v>4683190.937</v>
      </c>
      <c r="AD426" s="114">
        <v>36470357.86</v>
      </c>
      <c r="AE426" s="114">
        <v>66107711.47</v>
      </c>
      <c r="AF426" s="114">
        <v>6028160</v>
      </c>
      <c r="AG426" s="114">
        <v>10966.483</v>
      </c>
      <c r="AH426" s="114">
        <v>3431674</v>
      </c>
      <c r="AI426" s="114">
        <v>11710.636</v>
      </c>
      <c r="AJ426" s="114">
        <v>66327</v>
      </c>
      <c r="AK426" s="114">
        <v>2035573</v>
      </c>
      <c r="AL426" s="114">
        <v>250294328.8</v>
      </c>
      <c r="AM426" s="114">
        <v>1925</v>
      </c>
      <c r="AN426" s="114">
        <v>123737</v>
      </c>
      <c r="AO426" s="114">
        <v>36570.3374</v>
      </c>
      <c r="AP426" s="114">
        <v>80.3747</v>
      </c>
      <c r="AQ426" s="114">
        <v>2699</v>
      </c>
      <c r="AR426" s="114">
        <v>108306</v>
      </c>
      <c r="AS426" s="114">
        <v>38066</v>
      </c>
      <c r="AT426" s="114">
        <v>1</v>
      </c>
      <c r="AU426" s="114">
        <v>502</v>
      </c>
      <c r="AV426" s="114">
        <v>0</v>
      </c>
      <c r="AW426" s="114">
        <v>0</v>
      </c>
      <c r="AX426" s="114">
        <v>0</v>
      </c>
      <c r="AY426" s="114">
        <v>0</v>
      </c>
      <c r="AZ426" s="114">
        <v>0</v>
      </c>
      <c r="BA426" s="114">
        <v>0</v>
      </c>
      <c r="BB426" s="116"/>
      <c r="BC426" s="116"/>
      <c r="BD426" s="116"/>
      <c r="BE426" s="116"/>
      <c r="BF426" s="116"/>
      <c r="BG426" s="116"/>
      <c r="BH426" s="116"/>
      <c r="BI426" s="116"/>
      <c r="BJ426" s="117">
        <v>323531</v>
      </c>
      <c r="BK426" s="117">
        <v>5479</v>
      </c>
      <c r="BL426" s="117">
        <v>3662763</v>
      </c>
      <c r="BM426" s="118">
        <v>44109185</v>
      </c>
      <c r="BN426" s="118"/>
      <c r="BO426" s="120">
        <v>0.822</v>
      </c>
      <c r="BP426" s="120">
        <v>0.177</v>
      </c>
      <c r="BQ426" s="120">
        <v>0.001</v>
      </c>
      <c r="BR426" s="120">
        <v>0.008</v>
      </c>
      <c r="BS426" s="120">
        <v>0.047</v>
      </c>
      <c r="BT426" s="120">
        <v>0.271</v>
      </c>
      <c r="BU426" s="120">
        <v>0.253</v>
      </c>
      <c r="BV426" s="120">
        <v>0.215</v>
      </c>
      <c r="BW426" s="120">
        <v>0.145</v>
      </c>
      <c r="BX426" s="120">
        <v>0.061</v>
      </c>
    </row>
    <row r="427" s="96" customFormat="1" ht="15.75" customHeight="1" spans="1:76">
      <c r="A427" s="111">
        <v>426</v>
      </c>
      <c r="B427" s="96" t="s">
        <v>46</v>
      </c>
      <c r="C427" s="96" t="s">
        <v>139</v>
      </c>
      <c r="D427" s="122">
        <v>2026</v>
      </c>
      <c r="E427" s="96" t="s">
        <v>37</v>
      </c>
      <c r="F427" s="123">
        <v>6442140</v>
      </c>
      <c r="G427" s="123">
        <v>6432741</v>
      </c>
      <c r="H427" s="123">
        <v>1378932</v>
      </c>
      <c r="I427" s="123">
        <v>9557</v>
      </c>
      <c r="J427" s="124">
        <v>0.00892361111111111</v>
      </c>
      <c r="K427" s="125">
        <v>11</v>
      </c>
      <c r="L427" s="125">
        <v>167</v>
      </c>
      <c r="M427" s="123">
        <v>51092921</v>
      </c>
      <c r="N427" s="125">
        <v>10</v>
      </c>
      <c r="O427" s="123">
        <v>2347500</v>
      </c>
      <c r="P427" s="123">
        <v>616326</v>
      </c>
      <c r="Q427" s="123">
        <v>1457165</v>
      </c>
      <c r="R427" s="123">
        <v>901388</v>
      </c>
      <c r="S427" s="123">
        <v>555777</v>
      </c>
      <c r="T427" s="123">
        <v>11361</v>
      </c>
      <c r="U427" s="123">
        <v>1804</v>
      </c>
      <c r="V427" s="123">
        <v>46541</v>
      </c>
      <c r="W427" s="123">
        <v>3517</v>
      </c>
      <c r="X427" s="123">
        <v>8470</v>
      </c>
      <c r="Y427" s="123">
        <v>32532</v>
      </c>
      <c r="Z427" s="123">
        <v>71227908</v>
      </c>
      <c r="AA427" s="123">
        <v>39689</v>
      </c>
      <c r="AB427" s="123">
        <v>1798</v>
      </c>
      <c r="AC427" s="123">
        <v>7286792</v>
      </c>
      <c r="AD427" s="123">
        <v>57673355</v>
      </c>
      <c r="AE427" s="123">
        <v>104825789</v>
      </c>
      <c r="AF427" s="123">
        <v>9173284</v>
      </c>
      <c r="AG427" s="123">
        <v>11427</v>
      </c>
      <c r="AH427" s="123">
        <v>5411996</v>
      </c>
      <c r="AI427" s="123">
        <v>11265</v>
      </c>
      <c r="AJ427" s="123">
        <v>56682</v>
      </c>
      <c r="AK427" s="123">
        <v>1668044</v>
      </c>
      <c r="AL427" s="123">
        <v>165265966</v>
      </c>
      <c r="AM427" s="123">
        <v>1362</v>
      </c>
      <c r="AN427" s="123">
        <v>198023</v>
      </c>
      <c r="AO427" s="123">
        <v>54657</v>
      </c>
      <c r="AP427" s="125">
        <v>110</v>
      </c>
      <c r="AQ427" s="123">
        <v>3379</v>
      </c>
      <c r="AR427" s="123">
        <v>148068</v>
      </c>
      <c r="AS427" s="123">
        <v>28312</v>
      </c>
      <c r="AT427" s="125">
        <v>1</v>
      </c>
      <c r="AU427" s="123">
        <v>1166</v>
      </c>
      <c r="AV427" s="125">
        <v>0</v>
      </c>
      <c r="AW427" s="125">
        <v>0</v>
      </c>
      <c r="AX427" s="125">
        <v>0</v>
      </c>
      <c r="AY427" s="125">
        <v>0</v>
      </c>
      <c r="AZ427" s="125">
        <v>0</v>
      </c>
      <c r="BA427" s="125">
        <v>0</v>
      </c>
      <c r="BB427" s="125"/>
      <c r="BC427" s="125"/>
      <c r="BD427" s="125"/>
      <c r="BE427" s="125"/>
      <c r="BF427" s="125"/>
      <c r="BG427" s="125"/>
      <c r="BH427" s="125"/>
      <c r="BI427" s="125"/>
      <c r="BJ427" s="117">
        <v>333088</v>
      </c>
      <c r="BK427" s="117">
        <v>9557</v>
      </c>
      <c r="BL427" s="117">
        <v>5890760</v>
      </c>
      <c r="BM427" s="118">
        <v>66733143</v>
      </c>
      <c r="BN427" s="118"/>
      <c r="BO427" s="120">
        <v>0.816</v>
      </c>
      <c r="BP427" s="120">
        <v>0.183</v>
      </c>
      <c r="BQ427" s="120">
        <v>0.001</v>
      </c>
      <c r="BR427" s="120">
        <v>0.007</v>
      </c>
      <c r="BS427" s="120">
        <v>0.052</v>
      </c>
      <c r="BT427" s="120">
        <v>0.279</v>
      </c>
      <c r="BU427" s="120">
        <v>0.24</v>
      </c>
      <c r="BV427" s="120">
        <v>0.207</v>
      </c>
      <c r="BW427" s="120">
        <v>0.15</v>
      </c>
      <c r="BX427" s="120">
        <v>0.065</v>
      </c>
    </row>
    <row r="428" s="96" customFormat="1" ht="15.75" customHeight="1" spans="1:76">
      <c r="A428" s="111">
        <v>427</v>
      </c>
      <c r="B428" s="96" t="s">
        <v>46</v>
      </c>
      <c r="C428" s="96" t="s">
        <v>139</v>
      </c>
      <c r="D428" s="122">
        <v>2026</v>
      </c>
      <c r="E428" s="96" t="s">
        <v>38</v>
      </c>
      <c r="F428" s="126">
        <v>7050064</v>
      </c>
      <c r="G428" s="126">
        <v>7036690</v>
      </c>
      <c r="H428" s="126">
        <v>1333001</v>
      </c>
      <c r="I428" s="126">
        <v>7748</v>
      </c>
      <c r="J428" s="127">
        <v>0.00788194444444444</v>
      </c>
      <c r="K428" s="128">
        <v>8</v>
      </c>
      <c r="L428" s="128">
        <v>116</v>
      </c>
      <c r="M428" s="126">
        <v>47272677</v>
      </c>
      <c r="N428" s="128">
        <v>12</v>
      </c>
      <c r="O428" s="126">
        <v>2446996</v>
      </c>
      <c r="P428" s="126">
        <v>582746</v>
      </c>
      <c r="Q428" s="126">
        <v>1698306</v>
      </c>
      <c r="R428" s="126">
        <v>1015870</v>
      </c>
      <c r="S428" s="126">
        <v>682436</v>
      </c>
      <c r="T428" s="126">
        <v>9646</v>
      </c>
      <c r="U428" s="126">
        <v>1898</v>
      </c>
      <c r="V428" s="126">
        <v>37312</v>
      </c>
      <c r="W428" s="126">
        <v>3042</v>
      </c>
      <c r="X428" s="126">
        <v>6574</v>
      </c>
      <c r="Y428" s="126">
        <v>14520</v>
      </c>
      <c r="Z428" s="126">
        <v>67774734</v>
      </c>
      <c r="AA428" s="126">
        <v>13928</v>
      </c>
      <c r="AB428" s="128">
        <v>374</v>
      </c>
      <c r="AC428" s="126">
        <v>6566869</v>
      </c>
      <c r="AD428" s="126">
        <v>60116890</v>
      </c>
      <c r="AE428" s="126">
        <v>109272009</v>
      </c>
      <c r="AF428" s="126">
        <v>9670813</v>
      </c>
      <c r="AG428" s="126">
        <v>11299</v>
      </c>
      <c r="AH428" s="126">
        <v>5697743</v>
      </c>
      <c r="AI428" s="126">
        <v>9599</v>
      </c>
      <c r="AJ428" s="126">
        <v>17271</v>
      </c>
      <c r="AK428" s="126">
        <v>1207607</v>
      </c>
      <c r="AL428" s="126">
        <v>28975040</v>
      </c>
      <c r="AM428" s="128">
        <v>281</v>
      </c>
      <c r="AN428" s="126">
        <v>185122</v>
      </c>
      <c r="AO428" s="126">
        <v>48725</v>
      </c>
      <c r="AP428" s="128">
        <v>190</v>
      </c>
      <c r="AQ428" s="126">
        <v>7116</v>
      </c>
      <c r="AR428" s="126">
        <v>303715</v>
      </c>
      <c r="AS428" s="126">
        <v>63252</v>
      </c>
      <c r="AT428" s="128"/>
      <c r="AU428" s="128">
        <v>285</v>
      </c>
      <c r="AV428" s="128">
        <v>0</v>
      </c>
      <c r="AW428" s="128">
        <v>0</v>
      </c>
      <c r="AX428" s="128">
        <v>0</v>
      </c>
      <c r="AY428" s="128">
        <v>0</v>
      </c>
      <c r="AZ428" s="128">
        <v>64</v>
      </c>
      <c r="BA428" s="126">
        <v>2607</v>
      </c>
      <c r="BB428" s="129"/>
      <c r="BC428" s="129"/>
      <c r="BD428" s="129"/>
      <c r="BE428" s="129"/>
      <c r="BF428" s="129"/>
      <c r="BG428" s="129"/>
      <c r="BH428" s="129"/>
      <c r="BI428" s="129"/>
      <c r="BJ428" s="130">
        <v>340836</v>
      </c>
      <c r="BK428" s="130">
        <v>7748</v>
      </c>
      <c r="BL428" s="130">
        <v>6044569</v>
      </c>
      <c r="BM428" s="131">
        <v>55291500.5</v>
      </c>
      <c r="BN428" s="131"/>
      <c r="BO428" s="132">
        <v>0.811</v>
      </c>
      <c r="BP428" s="132">
        <v>0.188</v>
      </c>
      <c r="BQ428" s="132">
        <v>0.001</v>
      </c>
      <c r="BR428" s="132">
        <v>0.007</v>
      </c>
      <c r="BS428" s="132">
        <v>0.044</v>
      </c>
      <c r="BT428" s="132">
        <v>0.256</v>
      </c>
      <c r="BU428" s="132">
        <v>0.231</v>
      </c>
      <c r="BV428" s="132">
        <v>0.212</v>
      </c>
      <c r="BW428" s="132">
        <v>0.171</v>
      </c>
      <c r="BX428" s="119"/>
    </row>
    <row r="429" s="96" customFormat="1" ht="15.75" customHeight="1" spans="1:76">
      <c r="A429" s="111">
        <v>428</v>
      </c>
      <c r="B429" s="96" t="s">
        <v>46</v>
      </c>
      <c r="C429" s="96" t="s">
        <v>139</v>
      </c>
      <c r="D429" s="122">
        <v>2026</v>
      </c>
      <c r="E429" s="96" t="s">
        <v>39</v>
      </c>
      <c r="F429" s="128"/>
      <c r="G429" s="128"/>
      <c r="H429" s="128"/>
      <c r="I429" s="128"/>
      <c r="J429" s="127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9"/>
      <c r="BC429" s="129"/>
      <c r="BD429" s="129"/>
      <c r="BE429" s="129"/>
      <c r="BF429" s="129"/>
      <c r="BG429" s="129"/>
      <c r="BH429" s="129"/>
      <c r="BI429" s="129"/>
      <c r="BJ429" s="119"/>
      <c r="BK429" s="119"/>
      <c r="BL429" s="119"/>
      <c r="BM429" s="131"/>
      <c r="BN429" s="131"/>
      <c r="BO429" s="119"/>
      <c r="BP429" s="119"/>
      <c r="BQ429" s="119"/>
      <c r="BR429" s="119"/>
      <c r="BS429" s="119"/>
      <c r="BT429" s="119"/>
      <c r="BU429" s="119"/>
      <c r="BV429" s="119"/>
      <c r="BW429" s="119"/>
      <c r="BX429" s="119"/>
    </row>
    <row r="430" s="96" customFormat="1" ht="15.75" customHeight="1" spans="1:76">
      <c r="A430" s="111">
        <v>429</v>
      </c>
      <c r="B430" s="96" t="s">
        <v>46</v>
      </c>
      <c r="C430" s="96" t="s">
        <v>139</v>
      </c>
      <c r="D430" s="122">
        <v>2026</v>
      </c>
      <c r="E430" s="96" t="s">
        <v>40</v>
      </c>
      <c r="F430" s="128"/>
      <c r="G430" s="128"/>
      <c r="H430" s="128"/>
      <c r="I430" s="128"/>
      <c r="J430" s="127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9"/>
      <c r="BC430" s="129"/>
      <c r="BD430" s="129"/>
      <c r="BE430" s="129"/>
      <c r="BF430" s="129"/>
      <c r="BG430" s="129"/>
      <c r="BH430" s="129"/>
      <c r="BI430" s="129"/>
      <c r="BJ430" s="119"/>
      <c r="BK430" s="119"/>
      <c r="BL430" s="119"/>
      <c r="BM430" s="131"/>
      <c r="BN430" s="131"/>
      <c r="BO430" s="119"/>
      <c r="BP430" s="119"/>
      <c r="BQ430" s="119"/>
      <c r="BR430" s="119"/>
      <c r="BS430" s="119"/>
      <c r="BT430" s="119"/>
      <c r="BU430" s="119"/>
      <c r="BV430" s="119"/>
      <c r="BW430" s="119"/>
      <c r="BX430" s="119"/>
    </row>
    <row r="431" s="96" customFormat="1" ht="15.75" customHeight="1" spans="1:76">
      <c r="A431" s="111">
        <v>430</v>
      </c>
      <c r="B431" s="96" t="s">
        <v>46</v>
      </c>
      <c r="C431" s="96" t="s">
        <v>139</v>
      </c>
      <c r="D431" s="122">
        <v>2026</v>
      </c>
      <c r="E431" s="96" t="s">
        <v>41</v>
      </c>
      <c r="F431" s="128"/>
      <c r="G431" s="128"/>
      <c r="H431" s="128"/>
      <c r="I431" s="128"/>
      <c r="J431" s="127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9"/>
      <c r="BC431" s="129"/>
      <c r="BD431" s="129"/>
      <c r="BE431" s="129"/>
      <c r="BF431" s="129"/>
      <c r="BG431" s="129"/>
      <c r="BH431" s="129"/>
      <c r="BI431" s="129"/>
      <c r="BJ431" s="119"/>
      <c r="BK431" s="119"/>
      <c r="BL431" s="119"/>
      <c r="BM431" s="131"/>
      <c r="BN431" s="131"/>
      <c r="BO431" s="119"/>
      <c r="BP431" s="119"/>
      <c r="BQ431" s="119"/>
      <c r="BR431" s="119"/>
      <c r="BS431" s="119"/>
      <c r="BT431" s="119"/>
      <c r="BU431" s="119"/>
      <c r="BV431" s="119"/>
      <c r="BW431" s="119"/>
      <c r="BX431" s="119"/>
    </row>
    <row r="432" s="96" customFormat="1" ht="15.75" customHeight="1" spans="1:76">
      <c r="A432" s="111">
        <v>431</v>
      </c>
      <c r="B432" s="96" t="s">
        <v>46</v>
      </c>
      <c r="C432" s="96" t="s">
        <v>139</v>
      </c>
      <c r="D432" s="122">
        <v>2026</v>
      </c>
      <c r="E432" s="96" t="s">
        <v>42</v>
      </c>
      <c r="F432" s="128"/>
      <c r="G432" s="128"/>
      <c r="H432" s="128"/>
      <c r="I432" s="128"/>
      <c r="J432" s="127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9"/>
      <c r="BC432" s="129"/>
      <c r="BD432" s="129"/>
      <c r="BE432" s="129"/>
      <c r="BF432" s="129"/>
      <c r="BG432" s="129"/>
      <c r="BH432" s="129"/>
      <c r="BI432" s="129"/>
      <c r="BJ432" s="119"/>
      <c r="BK432" s="119"/>
      <c r="BL432" s="119"/>
      <c r="BM432" s="131"/>
      <c r="BN432" s="131"/>
      <c r="BO432" s="119"/>
      <c r="BP432" s="119"/>
      <c r="BQ432" s="119"/>
      <c r="BR432" s="119"/>
      <c r="BS432" s="119"/>
      <c r="BT432" s="119"/>
      <c r="BU432" s="119"/>
      <c r="BV432" s="119"/>
      <c r="BW432" s="119"/>
      <c r="BX432" s="119"/>
    </row>
    <row r="433" s="96" customFormat="1" ht="15.75" customHeight="1" spans="1:76">
      <c r="A433" s="111">
        <v>432</v>
      </c>
      <c r="B433" s="96" t="s">
        <v>46</v>
      </c>
      <c r="C433" s="96" t="s">
        <v>139</v>
      </c>
      <c r="D433" s="122">
        <v>2026</v>
      </c>
      <c r="E433" s="96" t="s">
        <v>43</v>
      </c>
      <c r="F433" s="128"/>
      <c r="G433" s="128"/>
      <c r="H433" s="128"/>
      <c r="I433" s="128"/>
      <c r="J433" s="127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9"/>
      <c r="BC433" s="129"/>
      <c r="BD433" s="129"/>
      <c r="BE433" s="129"/>
      <c r="BF433" s="129"/>
      <c r="BG433" s="129"/>
      <c r="BH433" s="129"/>
      <c r="BI433" s="129"/>
      <c r="BJ433" s="119"/>
      <c r="BK433" s="119"/>
      <c r="BL433" s="119"/>
      <c r="BM433" s="131"/>
      <c r="BN433" s="131"/>
      <c r="BO433" s="119"/>
      <c r="BP433" s="119"/>
      <c r="BQ433" s="119"/>
      <c r="BR433" s="119"/>
      <c r="BS433" s="119"/>
      <c r="BT433" s="119"/>
      <c r="BU433" s="119"/>
      <c r="BV433" s="119"/>
      <c r="BW433" s="119"/>
      <c r="BX433" s="119"/>
    </row>
    <row r="434" s="96" customFormat="1" ht="15.75" customHeight="1" spans="1:76">
      <c r="A434" s="111">
        <v>433</v>
      </c>
      <c r="B434" s="112" t="s">
        <v>46</v>
      </c>
      <c r="C434" s="112" t="s">
        <v>52</v>
      </c>
      <c r="D434" s="111">
        <v>2024</v>
      </c>
      <c r="E434" s="113" t="s">
        <v>31</v>
      </c>
      <c r="F434" s="114">
        <v>11540837</v>
      </c>
      <c r="G434" s="114">
        <v>11540837</v>
      </c>
      <c r="H434" s="114">
        <v>322623.0695</v>
      </c>
      <c r="I434" s="114">
        <v>20173</v>
      </c>
      <c r="J434" s="115">
        <v>0.00115740740740741</v>
      </c>
      <c r="K434" s="114">
        <v>33.33</v>
      </c>
      <c r="L434" s="114">
        <v>1134</v>
      </c>
      <c r="M434" s="114">
        <v>103094346</v>
      </c>
      <c r="N434" s="114">
        <v>8.21</v>
      </c>
      <c r="O434" s="114">
        <v>6379696</v>
      </c>
      <c r="P434" s="114">
        <v>2572667</v>
      </c>
      <c r="Q434" s="114">
        <v>3807029</v>
      </c>
      <c r="R434" s="114">
        <v>3807029</v>
      </c>
      <c r="S434" s="114">
        <v>0</v>
      </c>
      <c r="T434" s="114">
        <v>23134</v>
      </c>
      <c r="U434" s="114">
        <v>2961</v>
      </c>
      <c r="V434" s="114">
        <v>92650</v>
      </c>
      <c r="W434" s="114">
        <v>2186</v>
      </c>
      <c r="X434" s="114">
        <v>27326</v>
      </c>
      <c r="Y434" s="114">
        <v>46467</v>
      </c>
      <c r="Z434" s="114">
        <v>29063996.05</v>
      </c>
      <c r="AA434" s="114">
        <v>0</v>
      </c>
      <c r="AB434" s="114">
        <v>0</v>
      </c>
      <c r="AC434" s="114">
        <v>572763.034</v>
      </c>
      <c r="AD434" s="114">
        <v>28460049.92</v>
      </c>
      <c r="AE434" s="114">
        <v>51745435.17</v>
      </c>
      <c r="AF434" s="114">
        <v>5668573</v>
      </c>
      <c r="AG434" s="114">
        <v>9128.476</v>
      </c>
      <c r="AH434" s="114">
        <v>5050236</v>
      </c>
      <c r="AI434" s="114">
        <v>2518.361</v>
      </c>
      <c r="AJ434" s="114">
        <v>0</v>
      </c>
      <c r="AK434" s="114">
        <v>0</v>
      </c>
      <c r="AL434" s="114">
        <v>0</v>
      </c>
      <c r="AM434" s="114">
        <v>0</v>
      </c>
      <c r="AN434" s="114">
        <v>145781</v>
      </c>
      <c r="AO434" s="114">
        <v>5991.9507</v>
      </c>
      <c r="AP434" s="114"/>
      <c r="AQ434" s="114">
        <v>0</v>
      </c>
      <c r="AR434" s="114"/>
      <c r="AS434" s="114"/>
      <c r="AT434" s="114">
        <v>5</v>
      </c>
      <c r="AU434" s="114">
        <v>7478</v>
      </c>
      <c r="AV434" s="114">
        <v>0</v>
      </c>
      <c r="AW434" s="114">
        <v>0</v>
      </c>
      <c r="AX434" s="114">
        <v>0</v>
      </c>
      <c r="AY434" s="114">
        <v>0</v>
      </c>
      <c r="AZ434" s="114">
        <v>58</v>
      </c>
      <c r="BA434" s="114">
        <v>2246</v>
      </c>
      <c r="BB434" s="116"/>
      <c r="BC434" s="116"/>
      <c r="BD434" s="116"/>
      <c r="BE434" s="116"/>
      <c r="BF434" s="116"/>
      <c r="BG434" s="116"/>
      <c r="BH434" s="116"/>
      <c r="BI434" s="116"/>
      <c r="BJ434" s="117">
        <v>785588</v>
      </c>
      <c r="BK434" s="117">
        <v>20173</v>
      </c>
      <c r="BL434" s="119"/>
      <c r="BM434" s="118">
        <v>0</v>
      </c>
      <c r="BN434" s="131"/>
      <c r="BO434" s="119"/>
      <c r="BP434" s="119"/>
      <c r="BQ434" s="119"/>
      <c r="BR434" s="119"/>
      <c r="BS434" s="119"/>
      <c r="BT434" s="119"/>
      <c r="BU434" s="119"/>
      <c r="BV434" s="119"/>
      <c r="BW434" s="119"/>
      <c r="BX434" s="119"/>
    </row>
    <row r="435" s="96" customFormat="1" ht="15.75" customHeight="1" spans="1:76">
      <c r="A435" s="111">
        <v>434</v>
      </c>
      <c r="B435" s="112" t="s">
        <v>46</v>
      </c>
      <c r="C435" s="112" t="s">
        <v>52</v>
      </c>
      <c r="D435" s="111">
        <v>2024</v>
      </c>
      <c r="E435" s="113" t="s">
        <v>33</v>
      </c>
      <c r="F435" s="114">
        <v>17790546</v>
      </c>
      <c r="G435" s="114">
        <v>17790546</v>
      </c>
      <c r="H435" s="114">
        <v>592123.0998</v>
      </c>
      <c r="I435" s="114">
        <v>35719</v>
      </c>
      <c r="J435" s="115">
        <v>0.00137731481481481</v>
      </c>
      <c r="K435" s="114">
        <v>31.64</v>
      </c>
      <c r="L435" s="114">
        <v>1071</v>
      </c>
      <c r="M435" s="114">
        <v>165446688</v>
      </c>
      <c r="N435" s="114">
        <v>8.4</v>
      </c>
      <c r="O435" s="114">
        <v>9181653</v>
      </c>
      <c r="P435" s="114">
        <v>3631207</v>
      </c>
      <c r="Q435" s="114">
        <v>5542188</v>
      </c>
      <c r="R435" s="114">
        <v>5542188</v>
      </c>
      <c r="S435" s="114">
        <v>0</v>
      </c>
      <c r="T435" s="114">
        <v>39767</v>
      </c>
      <c r="U435" s="114">
        <v>4048</v>
      </c>
      <c r="V435" s="114">
        <v>105399</v>
      </c>
      <c r="W435" s="114">
        <v>3447</v>
      </c>
      <c r="X435" s="114">
        <v>32729</v>
      </c>
      <c r="Y435" s="114">
        <v>66543</v>
      </c>
      <c r="Z435" s="114">
        <v>63490332.98</v>
      </c>
      <c r="AA435" s="114">
        <v>0</v>
      </c>
      <c r="AB435" s="114">
        <v>0</v>
      </c>
      <c r="AC435" s="114">
        <v>998658.97</v>
      </c>
      <c r="AD435" s="114">
        <v>62471753.36</v>
      </c>
      <c r="AE435" s="114">
        <v>113584874.3</v>
      </c>
      <c r="AF435" s="114">
        <v>11921575</v>
      </c>
      <c r="AG435" s="114">
        <v>9527.674</v>
      </c>
      <c r="AH435" s="114">
        <v>10336559</v>
      </c>
      <c r="AI435" s="114">
        <v>3568.768</v>
      </c>
      <c r="AJ435" s="114">
        <v>0</v>
      </c>
      <c r="AK435" s="114">
        <v>0</v>
      </c>
      <c r="AL435" s="114">
        <v>0</v>
      </c>
      <c r="AM435" s="114">
        <v>0</v>
      </c>
      <c r="AN435" s="114">
        <v>215980</v>
      </c>
      <c r="AO435" s="114">
        <v>9411.3424</v>
      </c>
      <c r="AP435" s="114"/>
      <c r="AQ435" s="114">
        <v>0</v>
      </c>
      <c r="AR435" s="114"/>
      <c r="AS435" s="114"/>
      <c r="AT435" s="114">
        <v>16</v>
      </c>
      <c r="AU435" s="114">
        <v>30917</v>
      </c>
      <c r="AV435" s="114">
        <v>0</v>
      </c>
      <c r="AW435" s="114">
        <v>0</v>
      </c>
      <c r="AX435" s="114">
        <v>0</v>
      </c>
      <c r="AY435" s="114">
        <v>0</v>
      </c>
      <c r="AZ435" s="114">
        <v>30</v>
      </c>
      <c r="BA435" s="114">
        <v>1953</v>
      </c>
      <c r="BB435" s="116"/>
      <c r="BC435" s="116"/>
      <c r="BD435" s="116"/>
      <c r="BE435" s="116"/>
      <c r="BF435" s="116"/>
      <c r="BG435" s="116"/>
      <c r="BH435" s="116"/>
      <c r="BI435" s="116"/>
      <c r="BJ435" s="117">
        <v>821307</v>
      </c>
      <c r="BK435" s="117">
        <v>35719</v>
      </c>
      <c r="BL435" s="119"/>
      <c r="BM435" s="118">
        <v>0</v>
      </c>
      <c r="BN435" s="131"/>
      <c r="BO435" s="119"/>
      <c r="BP435" s="119"/>
      <c r="BQ435" s="119"/>
      <c r="BR435" s="119"/>
      <c r="BS435" s="119"/>
      <c r="BT435" s="119"/>
      <c r="BU435" s="119"/>
      <c r="BV435" s="119"/>
      <c r="BW435" s="119"/>
      <c r="BX435" s="119"/>
    </row>
    <row r="436" s="96" customFormat="1" ht="15.75" customHeight="1" spans="1:76">
      <c r="A436" s="111">
        <v>435</v>
      </c>
      <c r="B436" s="112" t="s">
        <v>46</v>
      </c>
      <c r="C436" s="112" t="s">
        <v>52</v>
      </c>
      <c r="D436" s="111">
        <v>2024</v>
      </c>
      <c r="E436" s="113" t="s">
        <v>34</v>
      </c>
      <c r="F436" s="114">
        <v>8282355</v>
      </c>
      <c r="G436" s="114">
        <v>8282355</v>
      </c>
      <c r="H436" s="114">
        <v>303809.2888</v>
      </c>
      <c r="I436" s="114">
        <v>12276</v>
      </c>
      <c r="J436" s="115">
        <v>0.00152777777777778</v>
      </c>
      <c r="K436" s="114">
        <v>25.98</v>
      </c>
      <c r="L436" s="114">
        <v>558</v>
      </c>
      <c r="M436" s="114">
        <v>69207359</v>
      </c>
      <c r="N436" s="114">
        <v>6.82</v>
      </c>
      <c r="O436" s="114">
        <v>4825152</v>
      </c>
      <c r="P436" s="114">
        <v>1818419</v>
      </c>
      <c r="Q436" s="114">
        <v>3006733</v>
      </c>
      <c r="R436" s="114">
        <v>3006733</v>
      </c>
      <c r="S436" s="114">
        <v>0</v>
      </c>
      <c r="T436" s="114">
        <v>14785</v>
      </c>
      <c r="U436" s="114">
        <v>2509</v>
      </c>
      <c r="V436" s="114">
        <v>32081</v>
      </c>
      <c r="W436" s="114">
        <v>1341</v>
      </c>
      <c r="X436" s="114">
        <v>14375</v>
      </c>
      <c r="Y436" s="114">
        <v>11076</v>
      </c>
      <c r="Z436" s="114">
        <v>33585727.63</v>
      </c>
      <c r="AA436" s="114">
        <v>0</v>
      </c>
      <c r="AB436" s="114">
        <v>0</v>
      </c>
      <c r="AC436" s="114">
        <v>566112.327</v>
      </c>
      <c r="AD436" s="114">
        <v>33004111.98</v>
      </c>
      <c r="AE436" s="114">
        <v>60007488.28</v>
      </c>
      <c r="AF436" s="114">
        <v>5897421</v>
      </c>
      <c r="AG436" s="114">
        <v>10175.208</v>
      </c>
      <c r="AH436" s="114">
        <v>4489973</v>
      </c>
      <c r="AI436" s="114">
        <v>4055.094</v>
      </c>
      <c r="AJ436" s="114">
        <v>0</v>
      </c>
      <c r="AK436" s="114">
        <v>0</v>
      </c>
      <c r="AL436" s="114">
        <v>0</v>
      </c>
      <c r="AM436" s="114">
        <v>0</v>
      </c>
      <c r="AN436" s="114">
        <v>95717</v>
      </c>
      <c r="AO436" s="114">
        <v>5924.0804</v>
      </c>
      <c r="AP436" s="114">
        <v>0.2399</v>
      </c>
      <c r="AQ436" s="114">
        <v>0</v>
      </c>
      <c r="AR436" s="114">
        <v>0</v>
      </c>
      <c r="AS436" s="114">
        <v>0</v>
      </c>
      <c r="AT436" s="114">
        <v>7</v>
      </c>
      <c r="AU436" s="114">
        <v>26050</v>
      </c>
      <c r="AV436" s="114">
        <v>0</v>
      </c>
      <c r="AW436" s="114">
        <v>0</v>
      </c>
      <c r="AX436" s="114">
        <v>0</v>
      </c>
      <c r="AY436" s="114">
        <v>0</v>
      </c>
      <c r="AZ436" s="114">
        <v>26</v>
      </c>
      <c r="BA436" s="114">
        <v>2008</v>
      </c>
      <c r="BB436" s="116"/>
      <c r="BC436" s="116"/>
      <c r="BD436" s="116"/>
      <c r="BE436" s="116"/>
      <c r="BF436" s="116"/>
      <c r="BG436" s="116"/>
      <c r="BH436" s="116"/>
      <c r="BI436" s="116"/>
      <c r="BJ436" s="117">
        <v>833583</v>
      </c>
      <c r="BK436" s="117">
        <v>12276</v>
      </c>
      <c r="BL436" s="119"/>
      <c r="BM436" s="118">
        <v>0</v>
      </c>
      <c r="BN436" s="131"/>
      <c r="BO436" s="119"/>
      <c r="BP436" s="119"/>
      <c r="BQ436" s="119"/>
      <c r="BR436" s="119"/>
      <c r="BS436" s="119"/>
      <c r="BT436" s="119"/>
      <c r="BU436" s="119"/>
      <c r="BV436" s="119"/>
      <c r="BW436" s="119"/>
      <c r="BX436" s="119"/>
    </row>
    <row r="437" s="96" customFormat="1" ht="15.75" customHeight="1" spans="1:76">
      <c r="A437" s="111">
        <v>436</v>
      </c>
      <c r="B437" s="112" t="s">
        <v>46</v>
      </c>
      <c r="C437" s="112" t="s">
        <v>52</v>
      </c>
      <c r="D437" s="111">
        <v>2024</v>
      </c>
      <c r="E437" s="113" t="s">
        <v>35</v>
      </c>
      <c r="F437" s="114">
        <v>4521217</v>
      </c>
      <c r="G437" s="114">
        <v>4521217</v>
      </c>
      <c r="H437" s="114">
        <v>101540.4759</v>
      </c>
      <c r="I437" s="114">
        <v>7859</v>
      </c>
      <c r="J437" s="115">
        <v>0.000925925925925926</v>
      </c>
      <c r="K437" s="114">
        <v>35.48</v>
      </c>
      <c r="L437" s="114">
        <v>695</v>
      </c>
      <c r="M437" s="114">
        <v>49260072</v>
      </c>
      <c r="N437" s="114">
        <v>6.65</v>
      </c>
      <c r="O437" s="114">
        <v>3076224</v>
      </c>
      <c r="P437" s="114">
        <v>1096025</v>
      </c>
      <c r="Q437" s="114">
        <v>1980199</v>
      </c>
      <c r="R437" s="114">
        <v>1980199</v>
      </c>
      <c r="S437" s="114">
        <v>0</v>
      </c>
      <c r="T437" s="114">
        <v>9776</v>
      </c>
      <c r="U437" s="114">
        <v>1917</v>
      </c>
      <c r="V437" s="114">
        <v>22871</v>
      </c>
      <c r="W437" s="114">
        <v>926</v>
      </c>
      <c r="X437" s="114">
        <v>7804</v>
      </c>
      <c r="Y437" s="114">
        <v>7273</v>
      </c>
      <c r="Z437" s="114">
        <v>11132750.15</v>
      </c>
      <c r="AA437" s="114">
        <v>0</v>
      </c>
      <c r="AB437" s="114">
        <v>0</v>
      </c>
      <c r="AC437" s="114">
        <v>196776.52</v>
      </c>
      <c r="AD437" s="114">
        <v>10905118.73</v>
      </c>
      <c r="AE437" s="114">
        <v>19827492.98</v>
      </c>
      <c r="AF437" s="114">
        <v>2165522</v>
      </c>
      <c r="AG437" s="114">
        <v>9155.988</v>
      </c>
      <c r="AH437" s="114">
        <v>1932448</v>
      </c>
      <c r="AI437" s="114">
        <v>2462.335</v>
      </c>
      <c r="AJ437" s="114">
        <v>0</v>
      </c>
      <c r="AK437" s="114">
        <v>0</v>
      </c>
      <c r="AL437" s="114">
        <v>0</v>
      </c>
      <c r="AM437" s="114">
        <v>0</v>
      </c>
      <c r="AN437" s="114">
        <v>57134</v>
      </c>
      <c r="AO437" s="114">
        <v>1734.6457</v>
      </c>
      <c r="AP437" s="114"/>
      <c r="AQ437" s="114">
        <v>0</v>
      </c>
      <c r="AR437" s="114"/>
      <c r="AS437" s="114"/>
      <c r="AT437" s="114">
        <v>5</v>
      </c>
      <c r="AU437" s="114">
        <v>81814</v>
      </c>
      <c r="AV437" s="114">
        <v>0</v>
      </c>
      <c r="AW437" s="114">
        <v>0</v>
      </c>
      <c r="AX437" s="114">
        <v>0</v>
      </c>
      <c r="AY437" s="114">
        <v>0</v>
      </c>
      <c r="AZ437" s="114">
        <v>70</v>
      </c>
      <c r="BA437" s="114">
        <v>2989</v>
      </c>
      <c r="BB437" s="116"/>
      <c r="BC437" s="116"/>
      <c r="BD437" s="116"/>
      <c r="BE437" s="116"/>
      <c r="BF437" s="116"/>
      <c r="BG437" s="116"/>
      <c r="BH437" s="116"/>
      <c r="BI437" s="116"/>
      <c r="BJ437" s="117">
        <v>841442</v>
      </c>
      <c r="BK437" s="117">
        <v>7859</v>
      </c>
      <c r="BL437" s="119"/>
      <c r="BM437" s="118">
        <v>0</v>
      </c>
      <c r="BN437" s="131"/>
      <c r="BO437" s="119"/>
      <c r="BP437" s="119"/>
      <c r="BQ437" s="119"/>
      <c r="BR437" s="119"/>
      <c r="BS437" s="119"/>
      <c r="BT437" s="119"/>
      <c r="BU437" s="119"/>
      <c r="BV437" s="119"/>
      <c r="BW437" s="119"/>
      <c r="BX437" s="119"/>
    </row>
    <row r="438" s="96" customFormat="1" ht="15.75" customHeight="1" spans="1:76">
      <c r="A438" s="111">
        <v>437</v>
      </c>
      <c r="B438" s="112" t="s">
        <v>46</v>
      </c>
      <c r="C438" s="112" t="s">
        <v>52</v>
      </c>
      <c r="D438" s="111">
        <v>2024</v>
      </c>
      <c r="E438" s="113" t="s">
        <v>36</v>
      </c>
      <c r="F438" s="114">
        <v>6869979</v>
      </c>
      <c r="G438" s="114">
        <v>6869979</v>
      </c>
      <c r="H438" s="114">
        <v>155875.9525</v>
      </c>
      <c r="I438" s="114">
        <v>11271</v>
      </c>
      <c r="J438" s="115">
        <v>0.0009375</v>
      </c>
      <c r="K438" s="114">
        <v>37.78</v>
      </c>
      <c r="L438" s="114">
        <v>848</v>
      </c>
      <c r="M438" s="114">
        <v>73075199</v>
      </c>
      <c r="N438" s="114">
        <v>6.79</v>
      </c>
      <c r="O438" s="114">
        <v>4486662</v>
      </c>
      <c r="P438" s="114">
        <v>1694440</v>
      </c>
      <c r="Q438" s="114">
        <v>2792222</v>
      </c>
      <c r="R438" s="114">
        <v>2792222</v>
      </c>
      <c r="S438" s="114">
        <v>0</v>
      </c>
      <c r="T438" s="114">
        <v>13618</v>
      </c>
      <c r="U438" s="114">
        <v>2347</v>
      </c>
      <c r="V438" s="114">
        <v>31842</v>
      </c>
      <c r="W438" s="114">
        <v>1185</v>
      </c>
      <c r="X438" s="114">
        <v>14635</v>
      </c>
      <c r="Y438" s="114">
        <v>14315</v>
      </c>
      <c r="Z438" s="114">
        <v>14788976.7</v>
      </c>
      <c r="AA438" s="114">
        <v>529220.142</v>
      </c>
      <c r="AB438" s="114">
        <v>9</v>
      </c>
      <c r="AC438" s="114">
        <v>253915.409</v>
      </c>
      <c r="AD438" s="114">
        <v>13995947.71</v>
      </c>
      <c r="AE438" s="114">
        <v>25447178.84</v>
      </c>
      <c r="AF438" s="114">
        <v>2782994</v>
      </c>
      <c r="AG438" s="114">
        <v>9143.814</v>
      </c>
      <c r="AH438" s="114">
        <v>2551648</v>
      </c>
      <c r="AI438" s="114">
        <v>2152.696</v>
      </c>
      <c r="AJ438" s="114">
        <v>0</v>
      </c>
      <c r="AK438" s="114">
        <v>0</v>
      </c>
      <c r="AL438" s="114">
        <v>0</v>
      </c>
      <c r="AM438" s="114">
        <v>0</v>
      </c>
      <c r="AN438" s="114">
        <v>80905</v>
      </c>
      <c r="AO438" s="114">
        <v>2433.8648</v>
      </c>
      <c r="AP438" s="114"/>
      <c r="AQ438" s="114">
        <v>0</v>
      </c>
      <c r="AR438" s="114"/>
      <c r="AS438" s="114"/>
      <c r="AT438" s="114">
        <v>16</v>
      </c>
      <c r="AU438" s="114">
        <v>403864</v>
      </c>
      <c r="AV438" s="114">
        <v>0</v>
      </c>
      <c r="AW438" s="114">
        <v>0</v>
      </c>
      <c r="AX438" s="114">
        <v>0</v>
      </c>
      <c r="AY438" s="114">
        <v>0</v>
      </c>
      <c r="AZ438" s="114">
        <v>50</v>
      </c>
      <c r="BA438" s="114">
        <v>2591</v>
      </c>
      <c r="BB438" s="116"/>
      <c r="BC438" s="116"/>
      <c r="BD438" s="116"/>
      <c r="BE438" s="116"/>
      <c r="BF438" s="116"/>
      <c r="BG438" s="116"/>
      <c r="BH438" s="116"/>
      <c r="BI438" s="116"/>
      <c r="BJ438" s="117">
        <v>852713</v>
      </c>
      <c r="BK438" s="117">
        <v>11271</v>
      </c>
      <c r="BL438" s="119"/>
      <c r="BM438" s="118">
        <v>0</v>
      </c>
      <c r="BN438" s="131"/>
      <c r="BO438" s="119"/>
      <c r="BP438" s="119"/>
      <c r="BQ438" s="119"/>
      <c r="BR438" s="119"/>
      <c r="BS438" s="119"/>
      <c r="BT438" s="119"/>
      <c r="BU438" s="119"/>
      <c r="BV438" s="119"/>
      <c r="BW438" s="119"/>
      <c r="BX438" s="119"/>
    </row>
    <row r="439" s="96" customFormat="1" ht="15.75" customHeight="1" spans="1:76">
      <c r="A439" s="111">
        <v>438</v>
      </c>
      <c r="B439" s="112" t="s">
        <v>46</v>
      </c>
      <c r="C439" s="112" t="s">
        <v>52</v>
      </c>
      <c r="D439" s="111">
        <v>2024</v>
      </c>
      <c r="E439" s="113" t="s">
        <v>37</v>
      </c>
      <c r="F439" s="114">
        <v>5889889</v>
      </c>
      <c r="G439" s="114">
        <v>5889889</v>
      </c>
      <c r="H439" s="114">
        <v>102736.0922</v>
      </c>
      <c r="I439" s="114">
        <v>7273</v>
      </c>
      <c r="J439" s="115">
        <v>0.000717592592592593</v>
      </c>
      <c r="K439" s="114">
        <v>38.4</v>
      </c>
      <c r="L439" s="114">
        <v>757</v>
      </c>
      <c r="M439" s="114">
        <v>47448417</v>
      </c>
      <c r="N439" s="114">
        <v>6.86</v>
      </c>
      <c r="O439" s="114">
        <v>3834074</v>
      </c>
      <c r="P439" s="114">
        <v>1524771</v>
      </c>
      <c r="Q439" s="114">
        <v>2309303</v>
      </c>
      <c r="R439" s="114">
        <v>2309303</v>
      </c>
      <c r="S439" s="114">
        <v>0</v>
      </c>
      <c r="T439" s="114">
        <v>9570</v>
      </c>
      <c r="U439" s="114">
        <v>2297</v>
      </c>
      <c r="V439" s="114">
        <v>21990</v>
      </c>
      <c r="W439" s="114">
        <v>866</v>
      </c>
      <c r="X439" s="114">
        <v>11948</v>
      </c>
      <c r="Y439" s="114">
        <v>10239</v>
      </c>
      <c r="Z439" s="114">
        <v>13921192.06</v>
      </c>
      <c r="AA439" s="114">
        <v>27167.354</v>
      </c>
      <c r="AB439" s="114">
        <v>2</v>
      </c>
      <c r="AC439" s="114">
        <v>131297.794</v>
      </c>
      <c r="AD439" s="114">
        <v>13754193.97</v>
      </c>
      <c r="AE439" s="114">
        <v>25007998.62</v>
      </c>
      <c r="AF439" s="114">
        <v>2657631</v>
      </c>
      <c r="AG439" s="114">
        <v>9409.884</v>
      </c>
      <c r="AH439" s="114">
        <v>2454740</v>
      </c>
      <c r="AI439" s="114">
        <v>2363.575</v>
      </c>
      <c r="AJ439" s="114">
        <v>0</v>
      </c>
      <c r="AK439" s="114">
        <v>0</v>
      </c>
      <c r="AL439" s="114">
        <v>0</v>
      </c>
      <c r="AM439" s="114">
        <v>0</v>
      </c>
      <c r="AN439" s="114">
        <v>53211</v>
      </c>
      <c r="AO439" s="114">
        <v>1211.2971</v>
      </c>
      <c r="AP439" s="114"/>
      <c r="AQ439" s="114">
        <v>0</v>
      </c>
      <c r="AR439" s="114"/>
      <c r="AS439" s="114"/>
      <c r="AT439" s="114">
        <v>10</v>
      </c>
      <c r="AU439" s="114">
        <v>94557</v>
      </c>
      <c r="AV439" s="114">
        <v>0</v>
      </c>
      <c r="AW439" s="114">
        <v>0</v>
      </c>
      <c r="AX439" s="114">
        <v>0</v>
      </c>
      <c r="AY439" s="114">
        <v>0</v>
      </c>
      <c r="AZ439" s="114">
        <v>43</v>
      </c>
      <c r="BA439" s="114">
        <v>2590</v>
      </c>
      <c r="BB439" s="116"/>
      <c r="BC439" s="116"/>
      <c r="BD439" s="116"/>
      <c r="BE439" s="116"/>
      <c r="BF439" s="116"/>
      <c r="BG439" s="116"/>
      <c r="BH439" s="116"/>
      <c r="BI439" s="116"/>
      <c r="BJ439" s="117">
        <v>859986</v>
      </c>
      <c r="BK439" s="117">
        <v>7273</v>
      </c>
      <c r="BL439" s="119"/>
      <c r="BM439" s="118">
        <v>0</v>
      </c>
      <c r="BN439" s="131"/>
      <c r="BO439" s="119"/>
      <c r="BP439" s="119"/>
      <c r="BQ439" s="119"/>
      <c r="BR439" s="119"/>
      <c r="BS439" s="119"/>
      <c r="BT439" s="119"/>
      <c r="BU439" s="119"/>
      <c r="BV439" s="119"/>
      <c r="BW439" s="119"/>
      <c r="BX439" s="119"/>
    </row>
    <row r="440" s="96" customFormat="1" ht="15.75" customHeight="1" spans="1:76">
      <c r="A440" s="111">
        <v>439</v>
      </c>
      <c r="B440" s="112" t="s">
        <v>46</v>
      </c>
      <c r="C440" s="112" t="s">
        <v>52</v>
      </c>
      <c r="D440" s="111">
        <v>2024</v>
      </c>
      <c r="E440" s="113" t="s">
        <v>38</v>
      </c>
      <c r="F440" s="114">
        <v>4992355</v>
      </c>
      <c r="G440" s="114">
        <v>4992355</v>
      </c>
      <c r="H440" s="114">
        <v>109298.7419</v>
      </c>
      <c r="I440" s="114">
        <v>8887</v>
      </c>
      <c r="J440" s="115">
        <v>0.000902777777777778</v>
      </c>
      <c r="K440" s="114">
        <v>36.22</v>
      </c>
      <c r="L440" s="114">
        <v>873</v>
      </c>
      <c r="M440" s="114">
        <v>59359065</v>
      </c>
      <c r="N440" s="114">
        <v>6.17</v>
      </c>
      <c r="O440" s="114">
        <v>3223625</v>
      </c>
      <c r="P440" s="114">
        <v>1086860</v>
      </c>
      <c r="Q440" s="114">
        <v>2136765</v>
      </c>
      <c r="R440" s="114">
        <v>2136765</v>
      </c>
      <c r="S440" s="114">
        <v>0</v>
      </c>
      <c r="T440" s="114">
        <v>11256</v>
      </c>
      <c r="U440" s="114">
        <v>2369</v>
      </c>
      <c r="V440" s="114">
        <v>28304</v>
      </c>
      <c r="W440" s="114">
        <v>920</v>
      </c>
      <c r="X440" s="114">
        <v>24101</v>
      </c>
      <c r="Y440" s="114">
        <v>15406</v>
      </c>
      <c r="Z440" s="114">
        <v>12884697.34</v>
      </c>
      <c r="AA440" s="114">
        <v>27161.939</v>
      </c>
      <c r="AB440" s="114">
        <v>2</v>
      </c>
      <c r="AC440" s="114">
        <v>205529.441</v>
      </c>
      <c r="AD440" s="114">
        <v>12643936.85</v>
      </c>
      <c r="AE440" s="114">
        <v>22988988.73</v>
      </c>
      <c r="AF440" s="114">
        <v>2456406</v>
      </c>
      <c r="AG440" s="114">
        <v>9358.79</v>
      </c>
      <c r="AH440" s="114">
        <v>2261075</v>
      </c>
      <c r="AI440" s="114">
        <v>2580.886</v>
      </c>
      <c r="AJ440" s="114">
        <v>0</v>
      </c>
      <c r="AK440" s="114">
        <v>0</v>
      </c>
      <c r="AL440" s="114">
        <v>0</v>
      </c>
      <c r="AM440" s="114">
        <v>0</v>
      </c>
      <c r="AN440" s="114">
        <v>68004</v>
      </c>
      <c r="AO440" s="114">
        <v>1899.3738</v>
      </c>
      <c r="AP440" s="114"/>
      <c r="AQ440" s="114">
        <v>0</v>
      </c>
      <c r="AR440" s="114"/>
      <c r="AS440" s="114"/>
      <c r="AT440" s="114">
        <v>16</v>
      </c>
      <c r="AU440" s="114">
        <v>220595</v>
      </c>
      <c r="AV440" s="114">
        <v>0</v>
      </c>
      <c r="AW440" s="114">
        <v>0</v>
      </c>
      <c r="AX440" s="114">
        <v>1</v>
      </c>
      <c r="AY440" s="114">
        <v>17</v>
      </c>
      <c r="AZ440" s="114">
        <v>30</v>
      </c>
      <c r="BA440" s="114">
        <v>2619</v>
      </c>
      <c r="BB440" s="116"/>
      <c r="BC440" s="116"/>
      <c r="BD440" s="116"/>
      <c r="BE440" s="116"/>
      <c r="BF440" s="116"/>
      <c r="BG440" s="116"/>
      <c r="BH440" s="116"/>
      <c r="BI440" s="116"/>
      <c r="BJ440" s="117">
        <v>868873</v>
      </c>
      <c r="BK440" s="117">
        <v>8887</v>
      </c>
      <c r="BL440" s="119"/>
      <c r="BM440" s="118">
        <v>0</v>
      </c>
      <c r="BN440" s="131"/>
      <c r="BO440" s="119"/>
      <c r="BP440" s="119"/>
      <c r="BQ440" s="119"/>
      <c r="BR440" s="119"/>
      <c r="BS440" s="119"/>
      <c r="BT440" s="119"/>
      <c r="BU440" s="119"/>
      <c r="BV440" s="119"/>
      <c r="BW440" s="119"/>
      <c r="BX440" s="119"/>
    </row>
    <row r="441" s="96" customFormat="1" ht="15.75" customHeight="1" spans="1:76">
      <c r="A441" s="111">
        <v>440</v>
      </c>
      <c r="B441" s="112" t="s">
        <v>46</v>
      </c>
      <c r="C441" s="112" t="s">
        <v>52</v>
      </c>
      <c r="D441" s="111">
        <v>2024</v>
      </c>
      <c r="E441" s="113" t="s">
        <v>39</v>
      </c>
      <c r="F441" s="114">
        <v>9715374</v>
      </c>
      <c r="G441" s="114">
        <v>9715374</v>
      </c>
      <c r="H441" s="114">
        <v>234864.4421</v>
      </c>
      <c r="I441" s="114">
        <v>16970</v>
      </c>
      <c r="J441" s="115">
        <v>0.00100694444444444</v>
      </c>
      <c r="K441" s="114">
        <v>36.57</v>
      </c>
      <c r="L441" s="114">
        <v>981</v>
      </c>
      <c r="M441" s="114">
        <v>107233618</v>
      </c>
      <c r="N441" s="114">
        <v>6.82</v>
      </c>
      <c r="O441" s="114">
        <v>5781462</v>
      </c>
      <c r="P441" s="114">
        <v>2142134</v>
      </c>
      <c r="Q441" s="114">
        <v>3639328</v>
      </c>
      <c r="R441" s="114">
        <v>3639328</v>
      </c>
      <c r="S441" s="114">
        <v>0</v>
      </c>
      <c r="T441" s="114">
        <v>20031</v>
      </c>
      <c r="U441" s="114">
        <v>3061</v>
      </c>
      <c r="V441" s="114">
        <v>62517</v>
      </c>
      <c r="W441" s="114">
        <v>1991</v>
      </c>
      <c r="X441" s="114">
        <v>21171</v>
      </c>
      <c r="Y441" s="114">
        <v>30010</v>
      </c>
      <c r="Z441" s="114">
        <v>22340283.34</v>
      </c>
      <c r="AA441" s="114">
        <v>27803.276</v>
      </c>
      <c r="AB441" s="114">
        <v>2</v>
      </c>
      <c r="AC441" s="114">
        <v>470157.253</v>
      </c>
      <c r="AD441" s="114">
        <v>21827542.43</v>
      </c>
      <c r="AE441" s="114">
        <v>39816369.55</v>
      </c>
      <c r="AF441" s="114">
        <v>4398734</v>
      </c>
      <c r="AG441" s="114">
        <v>9051.779</v>
      </c>
      <c r="AH441" s="114">
        <v>3994628</v>
      </c>
      <c r="AI441" s="114">
        <v>2299.478</v>
      </c>
      <c r="AJ441" s="114">
        <v>0</v>
      </c>
      <c r="AK441" s="114">
        <v>0</v>
      </c>
      <c r="AL441" s="114">
        <v>0</v>
      </c>
      <c r="AM441" s="114">
        <v>0</v>
      </c>
      <c r="AN441" s="114">
        <v>155738</v>
      </c>
      <c r="AO441" s="114">
        <v>4480.8101</v>
      </c>
      <c r="AP441" s="114">
        <v>0.9175</v>
      </c>
      <c r="AQ441" s="114">
        <v>27</v>
      </c>
      <c r="AR441" s="114">
        <v>0</v>
      </c>
      <c r="AS441" s="114">
        <v>0</v>
      </c>
      <c r="AT441" s="114">
        <v>17</v>
      </c>
      <c r="AU441" s="114">
        <v>234355</v>
      </c>
      <c r="AV441" s="114">
        <v>0</v>
      </c>
      <c r="AW441" s="114">
        <v>0</v>
      </c>
      <c r="AX441" s="114">
        <v>1</v>
      </c>
      <c r="AY441" s="114">
        <v>59</v>
      </c>
      <c r="AZ441" s="114">
        <v>127</v>
      </c>
      <c r="BA441" s="114">
        <v>6543</v>
      </c>
      <c r="BB441" s="116"/>
      <c r="BC441" s="116"/>
      <c r="BD441" s="116"/>
      <c r="BE441" s="116"/>
      <c r="BF441" s="116"/>
      <c r="BG441" s="116"/>
      <c r="BH441" s="116"/>
      <c r="BI441" s="116"/>
      <c r="BJ441" s="117">
        <v>885843</v>
      </c>
      <c r="BK441" s="117">
        <v>16970</v>
      </c>
      <c r="BL441" s="119"/>
      <c r="BM441" s="118">
        <v>0</v>
      </c>
      <c r="BN441" s="131"/>
      <c r="BO441" s="119"/>
      <c r="BP441" s="119"/>
      <c r="BQ441" s="119"/>
      <c r="BR441" s="119"/>
      <c r="BS441" s="119"/>
      <c r="BT441" s="119"/>
      <c r="BU441" s="119"/>
      <c r="BV441" s="119"/>
      <c r="BW441" s="119"/>
      <c r="BX441" s="119"/>
    </row>
    <row r="442" s="96" customFormat="1" ht="15.75" customHeight="1" spans="1:76">
      <c r="A442" s="111">
        <v>441</v>
      </c>
      <c r="B442" s="112" t="s">
        <v>46</v>
      </c>
      <c r="C442" s="112" t="s">
        <v>52</v>
      </c>
      <c r="D442" s="111">
        <v>2024</v>
      </c>
      <c r="E442" s="113" t="s">
        <v>40</v>
      </c>
      <c r="F442" s="114">
        <v>5065701</v>
      </c>
      <c r="G442" s="114">
        <v>5065701</v>
      </c>
      <c r="H442" s="114">
        <v>123342.6522</v>
      </c>
      <c r="I442" s="114">
        <v>9211</v>
      </c>
      <c r="J442" s="115">
        <v>0.00100694444444444</v>
      </c>
      <c r="K442" s="114">
        <v>37.45</v>
      </c>
      <c r="L442" s="114">
        <v>691</v>
      </c>
      <c r="M442" s="114">
        <v>57628461</v>
      </c>
      <c r="N442" s="114">
        <v>7.08</v>
      </c>
      <c r="O442" s="114">
        <v>3423944</v>
      </c>
      <c r="P442" s="114">
        <v>1218602</v>
      </c>
      <c r="Q442" s="114">
        <v>2205342</v>
      </c>
      <c r="R442" s="114">
        <v>2205342</v>
      </c>
      <c r="S442" s="114">
        <v>0</v>
      </c>
      <c r="T442" s="114">
        <v>11640</v>
      </c>
      <c r="U442" s="114">
        <v>2429</v>
      </c>
      <c r="V442" s="114">
        <v>25983</v>
      </c>
      <c r="W442" s="114">
        <v>1019</v>
      </c>
      <c r="X442" s="114">
        <v>13970</v>
      </c>
      <c r="Y442" s="114">
        <v>14141</v>
      </c>
      <c r="Z442" s="114">
        <v>13556351.73</v>
      </c>
      <c r="AA442" s="114">
        <v>274678.659</v>
      </c>
      <c r="AB442" s="114">
        <v>5</v>
      </c>
      <c r="AC442" s="114">
        <v>230599.712</v>
      </c>
      <c r="AD442" s="114">
        <v>13039415.96</v>
      </c>
      <c r="AE442" s="114">
        <v>23708046.41</v>
      </c>
      <c r="AF442" s="114">
        <v>2630924</v>
      </c>
      <c r="AG442" s="114">
        <v>9011.3</v>
      </c>
      <c r="AH442" s="114">
        <v>2440471</v>
      </c>
      <c r="AI442" s="114">
        <v>2676.105</v>
      </c>
      <c r="AJ442" s="114">
        <v>3</v>
      </c>
      <c r="AK442" s="114">
        <v>232</v>
      </c>
      <c r="AL442" s="114">
        <v>0</v>
      </c>
      <c r="AM442" s="114">
        <v>0</v>
      </c>
      <c r="AN442" s="114">
        <v>72056</v>
      </c>
      <c r="AO442" s="114">
        <v>2021.9722</v>
      </c>
      <c r="AP442" s="114"/>
      <c r="AQ442" s="114">
        <v>0</v>
      </c>
      <c r="AR442" s="114"/>
      <c r="AS442" s="114"/>
      <c r="AT442" s="114">
        <v>17</v>
      </c>
      <c r="AU442" s="114">
        <v>48946</v>
      </c>
      <c r="AV442" s="114">
        <v>0</v>
      </c>
      <c r="AW442" s="114">
        <v>0</v>
      </c>
      <c r="AX442" s="114">
        <v>1</v>
      </c>
      <c r="AY442" s="114">
        <v>20</v>
      </c>
      <c r="AZ442" s="114">
        <v>58</v>
      </c>
      <c r="BA442" s="114">
        <v>3255</v>
      </c>
      <c r="BB442" s="116"/>
      <c r="BC442" s="116"/>
      <c r="BD442" s="116"/>
      <c r="BE442" s="116"/>
      <c r="BF442" s="116"/>
      <c r="BG442" s="116"/>
      <c r="BH442" s="116"/>
      <c r="BI442" s="116"/>
      <c r="BJ442" s="117">
        <v>895054</v>
      </c>
      <c r="BK442" s="117">
        <v>9211</v>
      </c>
      <c r="BL442" s="119"/>
      <c r="BM442" s="118">
        <v>0</v>
      </c>
      <c r="BN442" s="131"/>
      <c r="BO442" s="119"/>
      <c r="BP442" s="119"/>
      <c r="BQ442" s="119"/>
      <c r="BR442" s="119"/>
      <c r="BS442" s="119"/>
      <c r="BT442" s="119"/>
      <c r="BU442" s="119"/>
      <c r="BV442" s="119"/>
      <c r="BW442" s="119"/>
      <c r="BX442" s="119"/>
    </row>
    <row r="443" s="96" customFormat="1" ht="15.75" customHeight="1" spans="1:76">
      <c r="A443" s="111">
        <v>442</v>
      </c>
      <c r="B443" s="112" t="s">
        <v>46</v>
      </c>
      <c r="C443" s="112" t="s">
        <v>52</v>
      </c>
      <c r="D443" s="111">
        <v>2024</v>
      </c>
      <c r="E443" s="113" t="s">
        <v>41</v>
      </c>
      <c r="F443" s="114">
        <v>5844414</v>
      </c>
      <c r="G443" s="114">
        <v>5844414</v>
      </c>
      <c r="H443" s="114">
        <v>128965.7252</v>
      </c>
      <c r="I443" s="114">
        <v>11600</v>
      </c>
      <c r="J443" s="115">
        <v>0.000914351851851852</v>
      </c>
      <c r="K443" s="114">
        <v>38.43</v>
      </c>
      <c r="L443" s="114">
        <v>918</v>
      </c>
      <c r="M443" s="114">
        <v>78347520</v>
      </c>
      <c r="N443" s="114">
        <v>5.94</v>
      </c>
      <c r="O443" s="114">
        <v>3805693</v>
      </c>
      <c r="P443" s="114">
        <v>1449974</v>
      </c>
      <c r="Q443" s="114">
        <v>2355719</v>
      </c>
      <c r="R443" s="114">
        <v>2355719</v>
      </c>
      <c r="S443" s="114">
        <v>0</v>
      </c>
      <c r="T443" s="114">
        <v>14178</v>
      </c>
      <c r="U443" s="114">
        <v>2578</v>
      </c>
      <c r="V443" s="114">
        <v>32291</v>
      </c>
      <c r="W443" s="114">
        <v>1702</v>
      </c>
      <c r="X443" s="114">
        <v>14884</v>
      </c>
      <c r="Y443" s="114">
        <v>12020</v>
      </c>
      <c r="Z443" s="114">
        <v>12847996.42</v>
      </c>
      <c r="AA443" s="114">
        <v>42139.455</v>
      </c>
      <c r="AB443" s="114">
        <v>3</v>
      </c>
      <c r="AC443" s="114">
        <v>208213.186</v>
      </c>
      <c r="AD443" s="114">
        <v>12522085.46</v>
      </c>
      <c r="AE443" s="114">
        <v>22767432.52</v>
      </c>
      <c r="AF443" s="114">
        <v>2496187</v>
      </c>
      <c r="AG443" s="114">
        <v>9120.884</v>
      </c>
      <c r="AH443" s="114">
        <v>2344339</v>
      </c>
      <c r="AI443" s="114">
        <v>2198.337</v>
      </c>
      <c r="AJ443" s="114">
        <v>5</v>
      </c>
      <c r="AK443" s="114">
        <v>593</v>
      </c>
      <c r="AL443" s="114">
        <v>0</v>
      </c>
      <c r="AM443" s="114">
        <v>0</v>
      </c>
      <c r="AN443" s="114">
        <v>70771</v>
      </c>
      <c r="AO443" s="114">
        <v>1703.2102</v>
      </c>
      <c r="AP443" s="114"/>
      <c r="AQ443" s="114">
        <v>0</v>
      </c>
      <c r="AR443" s="114"/>
      <c r="AS443" s="114"/>
      <c r="AT443" s="114">
        <v>11</v>
      </c>
      <c r="AU443" s="114">
        <v>20064</v>
      </c>
      <c r="AV443" s="114">
        <v>0</v>
      </c>
      <c r="AW443" s="114">
        <v>0</v>
      </c>
      <c r="AX443" s="114">
        <v>2</v>
      </c>
      <c r="AY443" s="114">
        <v>15</v>
      </c>
      <c r="AZ443" s="114">
        <v>23</v>
      </c>
      <c r="BA443" s="114">
        <v>2397</v>
      </c>
      <c r="BB443" s="116"/>
      <c r="BC443" s="116"/>
      <c r="BD443" s="116"/>
      <c r="BE443" s="116"/>
      <c r="BF443" s="116"/>
      <c r="BG443" s="116"/>
      <c r="BH443" s="116"/>
      <c r="BI443" s="116"/>
      <c r="BJ443" s="117">
        <v>906654</v>
      </c>
      <c r="BK443" s="117">
        <v>11600</v>
      </c>
      <c r="BL443" s="119"/>
      <c r="BM443" s="118">
        <v>0</v>
      </c>
      <c r="BN443" s="131"/>
      <c r="BO443" s="119"/>
      <c r="BP443" s="119"/>
      <c r="BQ443" s="119"/>
      <c r="BR443" s="119"/>
      <c r="BS443" s="119"/>
      <c r="BT443" s="119"/>
      <c r="BU443" s="119"/>
      <c r="BV443" s="119"/>
      <c r="BW443" s="119"/>
      <c r="BX443" s="119"/>
    </row>
    <row r="444" s="96" customFormat="1" ht="15.75" customHeight="1" spans="1:76">
      <c r="A444" s="111">
        <v>443</v>
      </c>
      <c r="B444" s="112" t="s">
        <v>46</v>
      </c>
      <c r="C444" s="112" t="s">
        <v>52</v>
      </c>
      <c r="D444" s="111">
        <v>2024</v>
      </c>
      <c r="E444" s="113" t="s">
        <v>42</v>
      </c>
      <c r="F444" s="114">
        <v>6646655</v>
      </c>
      <c r="G444" s="114">
        <v>6646655</v>
      </c>
      <c r="H444" s="114">
        <v>153855.6009</v>
      </c>
      <c r="I444" s="114">
        <v>14203</v>
      </c>
      <c r="J444" s="115">
        <v>0.000960648148148148</v>
      </c>
      <c r="K444" s="114">
        <v>32.57</v>
      </c>
      <c r="L444" s="114">
        <v>716</v>
      </c>
      <c r="M444" s="114">
        <v>80034029</v>
      </c>
      <c r="N444" s="114">
        <v>6.74</v>
      </c>
      <c r="O444" s="114">
        <v>4379412</v>
      </c>
      <c r="P444" s="114">
        <v>1582572</v>
      </c>
      <c r="Q444" s="114">
        <v>2796840</v>
      </c>
      <c r="R444" s="114">
        <v>2796840</v>
      </c>
      <c r="S444" s="114">
        <v>0</v>
      </c>
      <c r="T444" s="114">
        <v>16634</v>
      </c>
      <c r="U444" s="114">
        <v>2431</v>
      </c>
      <c r="V444" s="114">
        <v>37796</v>
      </c>
      <c r="W444" s="114">
        <v>1464</v>
      </c>
      <c r="X444" s="114">
        <v>15224</v>
      </c>
      <c r="Y444" s="114">
        <v>17686</v>
      </c>
      <c r="Z444" s="114">
        <v>15842768.73</v>
      </c>
      <c r="AA444" s="114">
        <v>34446.799</v>
      </c>
      <c r="AB444" s="114">
        <v>1</v>
      </c>
      <c r="AC444" s="114">
        <v>253631.756</v>
      </c>
      <c r="AD444" s="114">
        <v>15484902.15</v>
      </c>
      <c r="AE444" s="114">
        <v>28177695.91</v>
      </c>
      <c r="AF444" s="114">
        <v>3214159</v>
      </c>
      <c r="AG444" s="114">
        <v>8766.74</v>
      </c>
      <c r="AH444" s="114">
        <v>2948854</v>
      </c>
      <c r="AI444" s="114">
        <v>2383.571</v>
      </c>
      <c r="AJ444" s="114">
        <v>13</v>
      </c>
      <c r="AK444" s="114">
        <v>4327</v>
      </c>
      <c r="AL444" s="114">
        <v>0</v>
      </c>
      <c r="AM444" s="114">
        <v>0</v>
      </c>
      <c r="AN444" s="114">
        <v>73816</v>
      </c>
      <c r="AO444" s="114">
        <v>1838.0377</v>
      </c>
      <c r="AP444" s="114">
        <v>5.4319</v>
      </c>
      <c r="AQ444" s="114">
        <v>56</v>
      </c>
      <c r="AR444" s="114">
        <v>17</v>
      </c>
      <c r="AS444" s="114">
        <v>51</v>
      </c>
      <c r="AT444" s="114">
        <v>21</v>
      </c>
      <c r="AU444" s="114">
        <v>22797</v>
      </c>
      <c r="AV444" s="114">
        <v>0</v>
      </c>
      <c r="AW444" s="114">
        <v>0</v>
      </c>
      <c r="AX444" s="114">
        <v>3</v>
      </c>
      <c r="AY444" s="114">
        <v>104</v>
      </c>
      <c r="AZ444" s="114">
        <v>47</v>
      </c>
      <c r="BA444" s="114">
        <v>2337</v>
      </c>
      <c r="BB444" s="116"/>
      <c r="BC444" s="116"/>
      <c r="BD444" s="116"/>
      <c r="BE444" s="116"/>
      <c r="BF444" s="116"/>
      <c r="BG444" s="116"/>
      <c r="BH444" s="116"/>
      <c r="BI444" s="116"/>
      <c r="BJ444" s="117">
        <v>920857</v>
      </c>
      <c r="BK444" s="117">
        <v>14203</v>
      </c>
      <c r="BL444" s="119"/>
      <c r="BM444" s="118">
        <v>0</v>
      </c>
      <c r="BN444" s="131"/>
      <c r="BO444" s="119"/>
      <c r="BP444" s="119"/>
      <c r="BQ444" s="119"/>
      <c r="BR444" s="119"/>
      <c r="BS444" s="119"/>
      <c r="BT444" s="119"/>
      <c r="BU444" s="119"/>
      <c r="BV444" s="119"/>
      <c r="BW444" s="119"/>
      <c r="BX444" s="119"/>
    </row>
    <row r="445" s="96" customFormat="1" ht="15.75" customHeight="1" spans="1:76">
      <c r="A445" s="111">
        <v>444</v>
      </c>
      <c r="B445" s="112" t="s">
        <v>46</v>
      </c>
      <c r="C445" s="112" t="s">
        <v>52</v>
      </c>
      <c r="D445" s="111">
        <v>2024</v>
      </c>
      <c r="E445" s="113" t="s">
        <v>43</v>
      </c>
      <c r="F445" s="114">
        <v>8026031</v>
      </c>
      <c r="G445" s="114">
        <v>8026031</v>
      </c>
      <c r="H445" s="114">
        <v>214922.0918</v>
      </c>
      <c r="I445" s="114">
        <v>18443</v>
      </c>
      <c r="J445" s="115">
        <v>0.00111111111111111</v>
      </c>
      <c r="K445" s="114">
        <v>35.02</v>
      </c>
      <c r="L445" s="114">
        <v>1248</v>
      </c>
      <c r="M445" s="114">
        <v>88491591</v>
      </c>
      <c r="N445" s="114">
        <v>7.21</v>
      </c>
      <c r="O445" s="114">
        <v>4949613</v>
      </c>
      <c r="P445" s="114">
        <v>1947588</v>
      </c>
      <c r="Q445" s="114">
        <v>3002025</v>
      </c>
      <c r="R445" s="114">
        <v>3002025</v>
      </c>
      <c r="S445" s="114">
        <v>0</v>
      </c>
      <c r="T445" s="114">
        <v>21806</v>
      </c>
      <c r="U445" s="114">
        <v>3363</v>
      </c>
      <c r="V445" s="114">
        <v>46416</v>
      </c>
      <c r="W445" s="114">
        <v>1593</v>
      </c>
      <c r="X445" s="114">
        <v>16280</v>
      </c>
      <c r="Y445" s="114">
        <v>28475</v>
      </c>
      <c r="Z445" s="114">
        <v>19923218.16</v>
      </c>
      <c r="AA445" s="114">
        <v>0</v>
      </c>
      <c r="AB445" s="114">
        <v>0</v>
      </c>
      <c r="AC445" s="114">
        <v>467004.812</v>
      </c>
      <c r="AD445" s="114">
        <v>19429961.35</v>
      </c>
      <c r="AE445" s="114">
        <v>35327256.92</v>
      </c>
      <c r="AF445" s="114">
        <v>3892827</v>
      </c>
      <c r="AG445" s="114">
        <v>9074.962</v>
      </c>
      <c r="AH445" s="114">
        <v>3523244</v>
      </c>
      <c r="AI445" s="114">
        <v>2482.325</v>
      </c>
      <c r="AJ445" s="114">
        <v>1</v>
      </c>
      <c r="AK445" s="114">
        <v>35</v>
      </c>
      <c r="AL445" s="114">
        <v>0</v>
      </c>
      <c r="AM445" s="114">
        <v>0</v>
      </c>
      <c r="AN445" s="114">
        <v>94152</v>
      </c>
      <c r="AO445" s="114">
        <v>3332.9727</v>
      </c>
      <c r="AP445" s="114"/>
      <c r="AQ445" s="114">
        <v>-3</v>
      </c>
      <c r="AR445" s="114"/>
      <c r="AS445" s="114"/>
      <c r="AT445" s="114">
        <v>13</v>
      </c>
      <c r="AU445" s="114">
        <v>20161</v>
      </c>
      <c r="AV445" s="114">
        <v>0</v>
      </c>
      <c r="AW445" s="114">
        <v>0</v>
      </c>
      <c r="AX445" s="114">
        <v>0</v>
      </c>
      <c r="AY445" s="114">
        <v>29</v>
      </c>
      <c r="AZ445" s="114">
        <v>53</v>
      </c>
      <c r="BA445" s="114">
        <v>2695</v>
      </c>
      <c r="BB445" s="116"/>
      <c r="BC445" s="116"/>
      <c r="BD445" s="116"/>
      <c r="BE445" s="116"/>
      <c r="BF445" s="116"/>
      <c r="BG445" s="116"/>
      <c r="BH445" s="116"/>
      <c r="BI445" s="116"/>
      <c r="BJ445" s="117">
        <v>939300</v>
      </c>
      <c r="BK445" s="117">
        <v>18443</v>
      </c>
      <c r="BL445" s="119"/>
      <c r="BM445" s="118">
        <v>0</v>
      </c>
      <c r="BN445" s="131"/>
      <c r="BO445" s="119"/>
      <c r="BP445" s="119"/>
      <c r="BQ445" s="119"/>
      <c r="BR445" s="119"/>
      <c r="BS445" s="119"/>
      <c r="BT445" s="119"/>
      <c r="BU445" s="119"/>
      <c r="BV445" s="119"/>
      <c r="BW445" s="119"/>
      <c r="BX445" s="119"/>
    </row>
    <row r="446" s="96" customFormat="1" ht="15.75" customHeight="1" spans="1:76">
      <c r="A446" s="111">
        <v>445</v>
      </c>
      <c r="B446" s="112" t="s">
        <v>46</v>
      </c>
      <c r="C446" s="112" t="s">
        <v>52</v>
      </c>
      <c r="D446" s="111">
        <v>2025</v>
      </c>
      <c r="E446" s="113" t="s">
        <v>31</v>
      </c>
      <c r="F446" s="114">
        <v>5135431</v>
      </c>
      <c r="G446" s="114">
        <v>5135431</v>
      </c>
      <c r="H446" s="114">
        <v>123331.8383</v>
      </c>
      <c r="I446" s="114">
        <v>11419</v>
      </c>
      <c r="J446" s="115">
        <v>0.00099537037037037</v>
      </c>
      <c r="K446" s="114">
        <v>36.17</v>
      </c>
      <c r="L446" s="114">
        <v>1158</v>
      </c>
      <c r="M446" s="114">
        <v>60736836</v>
      </c>
      <c r="N446" s="114">
        <v>6.64</v>
      </c>
      <c r="O446" s="114">
        <v>3253552</v>
      </c>
      <c r="P446" s="114">
        <v>1192708</v>
      </c>
      <c r="Q446" s="114">
        <v>2060844</v>
      </c>
      <c r="R446" s="114">
        <v>2060844</v>
      </c>
      <c r="S446" s="114">
        <v>0</v>
      </c>
      <c r="T446" s="114">
        <v>14281</v>
      </c>
      <c r="U446" s="114">
        <v>2862</v>
      </c>
      <c r="V446" s="114">
        <v>27662</v>
      </c>
      <c r="W446" s="114">
        <v>1051</v>
      </c>
      <c r="X446" s="114">
        <v>13522</v>
      </c>
      <c r="Y446" s="114">
        <v>15355</v>
      </c>
      <c r="Z446" s="114">
        <v>10248267.93</v>
      </c>
      <c r="AA446" s="114">
        <v>0</v>
      </c>
      <c r="AB446" s="114">
        <v>0</v>
      </c>
      <c r="AC446" s="114">
        <v>325283.407</v>
      </c>
      <c r="AD446" s="114">
        <v>9908382.263</v>
      </c>
      <c r="AE446" s="114">
        <v>18015314.42</v>
      </c>
      <c r="AF446" s="114">
        <v>1897369</v>
      </c>
      <c r="AG446" s="114">
        <v>9494.892</v>
      </c>
      <c r="AH446" s="114">
        <v>1767776</v>
      </c>
      <c r="AI446" s="114">
        <v>1995.601</v>
      </c>
      <c r="AJ446" s="114">
        <v>1</v>
      </c>
      <c r="AK446" s="114">
        <v>46</v>
      </c>
      <c r="AL446" s="114">
        <v>0</v>
      </c>
      <c r="AM446" s="114">
        <v>0</v>
      </c>
      <c r="AN446" s="114">
        <v>64338</v>
      </c>
      <c r="AO446" s="114">
        <v>2362.0179</v>
      </c>
      <c r="AP446" s="114"/>
      <c r="AQ446" s="114">
        <v>0</v>
      </c>
      <c r="AR446" s="114"/>
      <c r="AS446" s="114"/>
      <c r="AT446" s="114">
        <v>10</v>
      </c>
      <c r="AU446" s="114">
        <v>8464</v>
      </c>
      <c r="AV446" s="114">
        <v>0</v>
      </c>
      <c r="AW446" s="114">
        <v>0</v>
      </c>
      <c r="AX446" s="114">
        <v>6</v>
      </c>
      <c r="AY446" s="114">
        <v>82</v>
      </c>
      <c r="AZ446" s="114">
        <v>83</v>
      </c>
      <c r="BA446" s="114">
        <v>7037</v>
      </c>
      <c r="BB446" s="116"/>
      <c r="BC446" s="116"/>
      <c r="BD446" s="116"/>
      <c r="BE446" s="116"/>
      <c r="BF446" s="116"/>
      <c r="BG446" s="116"/>
      <c r="BH446" s="116"/>
      <c r="BI446" s="116"/>
      <c r="BJ446" s="117">
        <v>950719</v>
      </c>
      <c r="BK446" s="117">
        <v>11419</v>
      </c>
      <c r="BL446" s="117">
        <v>3297654</v>
      </c>
      <c r="BM446" s="118">
        <v>7430020</v>
      </c>
      <c r="BN446" s="118">
        <v>437.06</v>
      </c>
      <c r="BO446" s="119"/>
      <c r="BP446" s="119"/>
      <c r="BQ446" s="119"/>
      <c r="BR446" s="119"/>
      <c r="BS446" s="119"/>
      <c r="BT446" s="119"/>
      <c r="BU446" s="119"/>
      <c r="BV446" s="119"/>
      <c r="BW446" s="119"/>
      <c r="BX446" s="119"/>
    </row>
    <row r="447" s="96" customFormat="1" ht="15.75" customHeight="1" spans="1:76">
      <c r="A447" s="111">
        <v>446</v>
      </c>
      <c r="B447" s="112" t="s">
        <v>46</v>
      </c>
      <c r="C447" s="112" t="s">
        <v>52</v>
      </c>
      <c r="D447" s="111">
        <v>2025</v>
      </c>
      <c r="E447" s="113" t="s">
        <v>33</v>
      </c>
      <c r="F447" s="114">
        <v>4893487</v>
      </c>
      <c r="G447" s="114">
        <v>4893487</v>
      </c>
      <c r="H447" s="114">
        <v>103612.8835</v>
      </c>
      <c r="I447" s="114">
        <v>10800</v>
      </c>
      <c r="J447" s="115">
        <v>0.00087962962962963</v>
      </c>
      <c r="K447" s="114">
        <v>37.09</v>
      </c>
      <c r="L447" s="114">
        <v>1083</v>
      </c>
      <c r="M447" s="114">
        <v>55999475</v>
      </c>
      <c r="N447" s="114">
        <v>6.45</v>
      </c>
      <c r="O447" s="114">
        <v>2959516</v>
      </c>
      <c r="P447" s="114">
        <v>1127728</v>
      </c>
      <c r="Q447" s="114">
        <v>1831788</v>
      </c>
      <c r="R447" s="114">
        <v>1831788</v>
      </c>
      <c r="S447" s="114">
        <v>0</v>
      </c>
      <c r="T447" s="114">
        <v>12971</v>
      </c>
      <c r="U447" s="114">
        <v>2171</v>
      </c>
      <c r="V447" s="114">
        <v>29682</v>
      </c>
      <c r="W447" s="114">
        <v>943</v>
      </c>
      <c r="X447" s="114">
        <v>12798</v>
      </c>
      <c r="Y447" s="114">
        <v>33992</v>
      </c>
      <c r="Z447" s="114">
        <v>10549915.02</v>
      </c>
      <c r="AA447" s="114">
        <v>0</v>
      </c>
      <c r="AB447" s="114">
        <v>0</v>
      </c>
      <c r="AC447" s="114">
        <v>261943.004</v>
      </c>
      <c r="AD447" s="114">
        <v>10261862.76</v>
      </c>
      <c r="AE447" s="114">
        <v>18657962.33</v>
      </c>
      <c r="AF447" s="114">
        <v>1911608</v>
      </c>
      <c r="AG447" s="114">
        <v>9760.35</v>
      </c>
      <c r="AH447" s="114">
        <v>1772620</v>
      </c>
      <c r="AI447" s="114">
        <v>2155.909</v>
      </c>
      <c r="AJ447" s="114">
        <v>5</v>
      </c>
      <c r="AK447" s="114">
        <v>89</v>
      </c>
      <c r="AL447" s="114">
        <v>0</v>
      </c>
      <c r="AM447" s="114">
        <v>0</v>
      </c>
      <c r="AN447" s="114">
        <v>58127</v>
      </c>
      <c r="AO447" s="114">
        <v>1707.6595</v>
      </c>
      <c r="AP447" s="114"/>
      <c r="AQ447" s="114">
        <v>0</v>
      </c>
      <c r="AR447" s="114"/>
      <c r="AS447" s="114"/>
      <c r="AT447" s="114">
        <v>7</v>
      </c>
      <c r="AU447" s="114">
        <v>4236</v>
      </c>
      <c r="AV447" s="114">
        <v>0</v>
      </c>
      <c r="AW447" s="114">
        <v>0</v>
      </c>
      <c r="AX447" s="114">
        <v>0</v>
      </c>
      <c r="AY447" s="114">
        <v>21</v>
      </c>
      <c r="AZ447" s="114">
        <v>48</v>
      </c>
      <c r="BA447" s="114">
        <v>2165</v>
      </c>
      <c r="BB447" s="116"/>
      <c r="BC447" s="116"/>
      <c r="BD447" s="116"/>
      <c r="BE447" s="116"/>
      <c r="BF447" s="116"/>
      <c r="BG447" s="116"/>
      <c r="BH447" s="116"/>
      <c r="BI447" s="116"/>
      <c r="BJ447" s="117">
        <v>961519</v>
      </c>
      <c r="BK447" s="117">
        <v>10800</v>
      </c>
      <c r="BL447" s="117">
        <v>3307589</v>
      </c>
      <c r="BM447" s="118">
        <v>7985920</v>
      </c>
      <c r="BN447" s="118">
        <v>469.76</v>
      </c>
      <c r="BO447" s="119"/>
      <c r="BP447" s="119"/>
      <c r="BQ447" s="119"/>
      <c r="BR447" s="119"/>
      <c r="BS447" s="119"/>
      <c r="BT447" s="119"/>
      <c r="BU447" s="119"/>
      <c r="BV447" s="119"/>
      <c r="BW447" s="119"/>
      <c r="BX447" s="119"/>
    </row>
    <row r="448" s="96" customFormat="1" ht="15.75" customHeight="1" spans="1:76">
      <c r="A448" s="111">
        <v>447</v>
      </c>
      <c r="B448" s="112" t="s">
        <v>46</v>
      </c>
      <c r="C448" s="112" t="s">
        <v>52</v>
      </c>
      <c r="D448" s="111">
        <v>2025</v>
      </c>
      <c r="E448" s="113" t="s">
        <v>34</v>
      </c>
      <c r="F448" s="114">
        <v>4783912</v>
      </c>
      <c r="G448" s="114">
        <v>4779537</v>
      </c>
      <c r="H448" s="114">
        <v>69791.3207</v>
      </c>
      <c r="I448" s="114">
        <v>8965</v>
      </c>
      <c r="J448" s="115">
        <v>0.000601851851851852</v>
      </c>
      <c r="K448" s="114">
        <v>44</v>
      </c>
      <c r="L448" s="114">
        <v>853</v>
      </c>
      <c r="M448" s="114">
        <v>45013086</v>
      </c>
      <c r="N448" s="114">
        <v>7.74</v>
      </c>
      <c r="O448" s="114">
        <v>2737990</v>
      </c>
      <c r="P448" s="114">
        <v>1182358</v>
      </c>
      <c r="Q448" s="114">
        <v>1560092</v>
      </c>
      <c r="R448" s="114">
        <v>1361487</v>
      </c>
      <c r="S448" s="114">
        <v>198605</v>
      </c>
      <c r="T448" s="114">
        <v>12173</v>
      </c>
      <c r="U448" s="114">
        <v>3208</v>
      </c>
      <c r="V448" s="114">
        <v>25290</v>
      </c>
      <c r="W448" s="114">
        <v>913</v>
      </c>
      <c r="X448" s="114">
        <v>8030</v>
      </c>
      <c r="Y448" s="114">
        <v>9565</v>
      </c>
      <c r="Z448" s="114">
        <v>9373807.56</v>
      </c>
      <c r="AA448" s="114">
        <v>0</v>
      </c>
      <c r="AB448" s="114">
        <v>0</v>
      </c>
      <c r="AC448" s="114">
        <v>139171.21</v>
      </c>
      <c r="AD448" s="114">
        <v>9194366.683</v>
      </c>
      <c r="AE448" s="114">
        <v>16717022.39</v>
      </c>
      <c r="AF448" s="114">
        <v>1787051</v>
      </c>
      <c r="AG448" s="114">
        <v>9354.53</v>
      </c>
      <c r="AH448" s="114">
        <v>1654667</v>
      </c>
      <c r="AI448" s="114">
        <v>1961.237</v>
      </c>
      <c r="AJ448" s="114">
        <v>0</v>
      </c>
      <c r="AK448" s="114">
        <v>70</v>
      </c>
      <c r="AL448" s="114">
        <v>0</v>
      </c>
      <c r="AM448" s="114">
        <v>0</v>
      </c>
      <c r="AN448" s="114">
        <v>51191</v>
      </c>
      <c r="AO448" s="114">
        <v>1062.5413</v>
      </c>
      <c r="AP448" s="114"/>
      <c r="AQ448" s="114">
        <v>0</v>
      </c>
      <c r="AR448" s="114"/>
      <c r="AS448" s="114"/>
      <c r="AT448" s="114">
        <v>6</v>
      </c>
      <c r="AU448" s="114">
        <v>3724</v>
      </c>
      <c r="AV448" s="114">
        <v>0</v>
      </c>
      <c r="AW448" s="114">
        <v>0</v>
      </c>
      <c r="AX448" s="114">
        <v>0</v>
      </c>
      <c r="AY448" s="114">
        <v>23</v>
      </c>
      <c r="AZ448" s="114">
        <v>56</v>
      </c>
      <c r="BA448" s="114">
        <v>2223</v>
      </c>
      <c r="BB448" s="116"/>
      <c r="BC448" s="116"/>
      <c r="BD448" s="116"/>
      <c r="BE448" s="116"/>
      <c r="BF448" s="116"/>
      <c r="BG448" s="116"/>
      <c r="BH448" s="116"/>
      <c r="BI448" s="116"/>
      <c r="BJ448" s="117">
        <v>970484</v>
      </c>
      <c r="BK448" s="117">
        <v>8965</v>
      </c>
      <c r="BL448" s="117">
        <v>2906629</v>
      </c>
      <c r="BM448" s="118">
        <v>6215370</v>
      </c>
      <c r="BN448" s="118">
        <v>365.61</v>
      </c>
      <c r="BO448" s="119"/>
      <c r="BP448" s="119"/>
      <c r="BQ448" s="119"/>
      <c r="BR448" s="119"/>
      <c r="BS448" s="119"/>
      <c r="BT448" s="119"/>
      <c r="BU448" s="119"/>
      <c r="BV448" s="119"/>
      <c r="BW448" s="119"/>
      <c r="BX448" s="119"/>
    </row>
    <row r="449" s="96" customFormat="1" ht="15.75" customHeight="1" spans="1:76">
      <c r="A449" s="111">
        <v>448</v>
      </c>
      <c r="B449" s="112" t="s">
        <v>46</v>
      </c>
      <c r="C449" s="112" t="s">
        <v>52</v>
      </c>
      <c r="D449" s="111">
        <v>2025</v>
      </c>
      <c r="E449" s="113" t="s">
        <v>35</v>
      </c>
      <c r="F449" s="114">
        <v>3901811</v>
      </c>
      <c r="G449" s="114">
        <v>3653663</v>
      </c>
      <c r="H449" s="114">
        <v>70907.6888</v>
      </c>
      <c r="I449" s="114">
        <v>6733</v>
      </c>
      <c r="J449" s="115">
        <v>0.000798611111111111</v>
      </c>
      <c r="K449" s="114">
        <v>32.69</v>
      </c>
      <c r="L449" s="114">
        <v>714</v>
      </c>
      <c r="M449" s="114">
        <v>40886815</v>
      </c>
      <c r="N449" s="114">
        <v>6.63</v>
      </c>
      <c r="O449" s="114">
        <v>2309683</v>
      </c>
      <c r="P449" s="114">
        <v>977912</v>
      </c>
      <c r="Q449" s="114">
        <v>1334449</v>
      </c>
      <c r="R449" s="114">
        <v>1037993</v>
      </c>
      <c r="S449" s="114">
        <v>296456</v>
      </c>
      <c r="T449" s="114">
        <v>9255</v>
      </c>
      <c r="U449" s="114">
        <v>2522</v>
      </c>
      <c r="V449" s="114">
        <v>19574</v>
      </c>
      <c r="W449" s="114">
        <v>940</v>
      </c>
      <c r="X449" s="114">
        <v>7133</v>
      </c>
      <c r="Y449" s="114">
        <v>9658</v>
      </c>
      <c r="Z449" s="114">
        <v>5674664.093</v>
      </c>
      <c r="AA449" s="114">
        <v>0</v>
      </c>
      <c r="AB449" s="114">
        <v>0</v>
      </c>
      <c r="AC449" s="114">
        <v>144046.841</v>
      </c>
      <c r="AD449" s="114">
        <v>5491025.611</v>
      </c>
      <c r="AE449" s="114">
        <v>9985079.995</v>
      </c>
      <c r="AF449" s="114">
        <v>1049380</v>
      </c>
      <c r="AG449" s="114">
        <v>9515.219</v>
      </c>
      <c r="AH449" s="114">
        <v>995942</v>
      </c>
      <c r="AI449" s="114">
        <v>1553.144</v>
      </c>
      <c r="AJ449" s="114">
        <v>0</v>
      </c>
      <c r="AK449" s="114">
        <v>61</v>
      </c>
      <c r="AL449" s="114">
        <v>0</v>
      </c>
      <c r="AM449" s="114">
        <v>0</v>
      </c>
      <c r="AN449" s="114">
        <v>40750</v>
      </c>
      <c r="AO449" s="114">
        <v>1034.9616</v>
      </c>
      <c r="AP449" s="114"/>
      <c r="AQ449" s="114">
        <v>0</v>
      </c>
      <c r="AR449" s="114"/>
      <c r="AS449" s="114"/>
      <c r="AT449" s="114">
        <v>11</v>
      </c>
      <c r="AU449" s="114">
        <v>27930</v>
      </c>
      <c r="AV449" s="114">
        <v>0</v>
      </c>
      <c r="AW449" s="114">
        <v>0</v>
      </c>
      <c r="AX449" s="114">
        <v>0</v>
      </c>
      <c r="AY449" s="114">
        <v>19</v>
      </c>
      <c r="AZ449" s="114">
        <v>53</v>
      </c>
      <c r="BA449" s="114">
        <v>1820</v>
      </c>
      <c r="BB449" s="116"/>
      <c r="BC449" s="116"/>
      <c r="BD449" s="116"/>
      <c r="BE449" s="116"/>
      <c r="BF449" s="116"/>
      <c r="BG449" s="116"/>
      <c r="BH449" s="116"/>
      <c r="BI449" s="116"/>
      <c r="BJ449" s="117">
        <v>977217</v>
      </c>
      <c r="BK449" s="117">
        <v>6733</v>
      </c>
      <c r="BL449" s="117">
        <v>2128781</v>
      </c>
      <c r="BM449" s="118">
        <v>3228980</v>
      </c>
      <c r="BN449" s="118">
        <v>189.94</v>
      </c>
      <c r="BO449" s="119"/>
      <c r="BP449" s="119"/>
      <c r="BQ449" s="119"/>
      <c r="BR449" s="119"/>
      <c r="BS449" s="119"/>
      <c r="BT449" s="119"/>
      <c r="BU449" s="119"/>
      <c r="BV449" s="119"/>
      <c r="BW449" s="119"/>
      <c r="BX449" s="119"/>
    </row>
    <row r="450" s="96" customFormat="1" ht="15.75" customHeight="1" spans="1:76">
      <c r="A450" s="111">
        <v>449</v>
      </c>
      <c r="B450" s="112" t="s">
        <v>46</v>
      </c>
      <c r="C450" s="112" t="s">
        <v>52</v>
      </c>
      <c r="D450" s="111">
        <v>2025</v>
      </c>
      <c r="E450" s="113" t="s">
        <v>36</v>
      </c>
      <c r="F450" s="114">
        <v>2572656</v>
      </c>
      <c r="G450" s="114">
        <v>2419540</v>
      </c>
      <c r="H450" s="114">
        <v>42486.0283</v>
      </c>
      <c r="I450" s="114">
        <v>3502</v>
      </c>
      <c r="J450" s="115">
        <v>0.000729166666666667</v>
      </c>
      <c r="K450" s="114">
        <v>35.04</v>
      </c>
      <c r="L450" s="114">
        <v>485</v>
      </c>
      <c r="M450" s="114">
        <v>28771226</v>
      </c>
      <c r="N450" s="114">
        <v>6.67</v>
      </c>
      <c r="O450" s="114">
        <v>1686943</v>
      </c>
      <c r="P450" s="114">
        <v>715659</v>
      </c>
      <c r="Q450" s="114">
        <v>971284</v>
      </c>
      <c r="R450" s="114">
        <v>742753</v>
      </c>
      <c r="S450" s="114">
        <v>228531</v>
      </c>
      <c r="T450" s="114">
        <v>5569</v>
      </c>
      <c r="U450" s="114">
        <v>2067</v>
      </c>
      <c r="V450" s="114">
        <v>12249</v>
      </c>
      <c r="W450" s="114">
        <v>419</v>
      </c>
      <c r="X450" s="114">
        <v>6431</v>
      </c>
      <c r="Y450" s="114">
        <v>7955</v>
      </c>
      <c r="Z450" s="114">
        <v>3322126.7</v>
      </c>
      <c r="AA450" s="114">
        <v>0</v>
      </c>
      <c r="AB450" s="114">
        <v>0</v>
      </c>
      <c r="AC450" s="114">
        <v>75300.7</v>
      </c>
      <c r="AD450" s="114">
        <v>3222799.316</v>
      </c>
      <c r="AE450" s="114">
        <v>5859635.844</v>
      </c>
      <c r="AF450" s="114">
        <v>670532</v>
      </c>
      <c r="AG450" s="114">
        <v>8738.786</v>
      </c>
      <c r="AH450" s="114">
        <v>637675</v>
      </c>
      <c r="AI450" s="114">
        <v>1373.041</v>
      </c>
      <c r="AJ450" s="114">
        <v>0</v>
      </c>
      <c r="AK450" s="114">
        <v>42</v>
      </c>
      <c r="AL450" s="114">
        <v>0</v>
      </c>
      <c r="AM450" s="114">
        <v>0</v>
      </c>
      <c r="AN450" s="114">
        <v>27305</v>
      </c>
      <c r="AO450" s="114">
        <v>578.8419</v>
      </c>
      <c r="AP450" s="114"/>
      <c r="AQ450" s="114">
        <v>0</v>
      </c>
      <c r="AR450" s="114"/>
      <c r="AS450" s="114"/>
      <c r="AT450" s="114">
        <v>7</v>
      </c>
      <c r="AU450" s="114">
        <v>16171</v>
      </c>
      <c r="AV450" s="114">
        <v>0</v>
      </c>
      <c r="AW450" s="114">
        <v>0</v>
      </c>
      <c r="AX450" s="114">
        <v>1</v>
      </c>
      <c r="AY450" s="114">
        <v>13</v>
      </c>
      <c r="AZ450" s="114">
        <v>45</v>
      </c>
      <c r="BA450" s="114">
        <v>1616</v>
      </c>
      <c r="BB450" s="116"/>
      <c r="BC450" s="116"/>
      <c r="BD450" s="116"/>
      <c r="BE450" s="116"/>
      <c r="BF450" s="116"/>
      <c r="BG450" s="116"/>
      <c r="BH450" s="116"/>
      <c r="BI450" s="116"/>
      <c r="BJ450" s="117">
        <v>980719</v>
      </c>
      <c r="BK450" s="117">
        <v>3502</v>
      </c>
      <c r="BL450" s="117">
        <v>1025785</v>
      </c>
      <c r="BM450" s="118">
        <v>1617720</v>
      </c>
      <c r="BN450" s="118">
        <v>95.16</v>
      </c>
      <c r="BO450" s="119"/>
      <c r="BP450" s="119"/>
      <c r="BQ450" s="119"/>
      <c r="BR450" s="119"/>
      <c r="BS450" s="119"/>
      <c r="BT450" s="119"/>
      <c r="BU450" s="119"/>
      <c r="BV450" s="119"/>
      <c r="BW450" s="119"/>
      <c r="BX450" s="119"/>
    </row>
    <row r="451" s="96" customFormat="1" ht="15.75" customHeight="1" spans="1:76">
      <c r="A451" s="111">
        <v>450</v>
      </c>
      <c r="B451" s="112" t="s">
        <v>46</v>
      </c>
      <c r="C451" s="112" t="s">
        <v>52</v>
      </c>
      <c r="D451" s="111">
        <v>2025</v>
      </c>
      <c r="E451" s="113" t="s">
        <v>37</v>
      </c>
      <c r="F451" s="114">
        <v>2451382</v>
      </c>
      <c r="G451" s="114">
        <v>2401910</v>
      </c>
      <c r="H451" s="114">
        <v>56518.2047</v>
      </c>
      <c r="I451" s="114">
        <v>4853</v>
      </c>
      <c r="J451" s="115">
        <v>0.000972222222222222</v>
      </c>
      <c r="K451" s="114">
        <v>35.09</v>
      </c>
      <c r="L451" s="114">
        <v>261</v>
      </c>
      <c r="M451" s="114">
        <v>30273059</v>
      </c>
      <c r="N451" s="114">
        <v>6.22</v>
      </c>
      <c r="O451" s="114">
        <v>1736512</v>
      </c>
      <c r="P451" s="114">
        <v>707018</v>
      </c>
      <c r="Q451" s="114">
        <v>1029494</v>
      </c>
      <c r="R451" s="114">
        <v>788517</v>
      </c>
      <c r="S451" s="114">
        <v>240977</v>
      </c>
      <c r="T451" s="114">
        <v>6767</v>
      </c>
      <c r="U451" s="114">
        <v>1914</v>
      </c>
      <c r="V451" s="114">
        <v>13466</v>
      </c>
      <c r="W451" s="114">
        <v>450</v>
      </c>
      <c r="X451" s="114">
        <v>6039</v>
      </c>
      <c r="Y451" s="114">
        <v>7816</v>
      </c>
      <c r="Z451" s="114">
        <v>4646133.783</v>
      </c>
      <c r="AA451" s="114">
        <v>0</v>
      </c>
      <c r="AB451" s="114">
        <v>0</v>
      </c>
      <c r="AC451" s="114">
        <v>116044.426</v>
      </c>
      <c r="AD451" s="114">
        <v>4521459.484</v>
      </c>
      <c r="AE451" s="114">
        <v>8221503.832</v>
      </c>
      <c r="AF451" s="114">
        <v>989562</v>
      </c>
      <c r="AG451" s="114">
        <v>8308.225</v>
      </c>
      <c r="AH451" s="114">
        <v>933558</v>
      </c>
      <c r="AI451" s="114">
        <v>1934.349</v>
      </c>
      <c r="AJ451" s="114">
        <v>1</v>
      </c>
      <c r="AK451" s="114">
        <v>52</v>
      </c>
      <c r="AL451" s="114">
        <v>0</v>
      </c>
      <c r="AM451" s="114">
        <v>0</v>
      </c>
      <c r="AN451" s="114">
        <v>32055</v>
      </c>
      <c r="AO451" s="114">
        <v>847.106</v>
      </c>
      <c r="AP451" s="114">
        <v>2.3647</v>
      </c>
      <c r="AQ451" s="114">
        <v>0</v>
      </c>
      <c r="AR451" s="114">
        <v>16</v>
      </c>
      <c r="AS451" s="114">
        <v>30</v>
      </c>
      <c r="AT451" s="114">
        <v>2</v>
      </c>
      <c r="AU451" s="114">
        <v>8162</v>
      </c>
      <c r="AV451" s="114">
        <v>0</v>
      </c>
      <c r="AW451" s="114">
        <v>0</v>
      </c>
      <c r="AX451" s="114">
        <v>0</v>
      </c>
      <c r="AY451" s="114">
        <v>31</v>
      </c>
      <c r="AZ451" s="114">
        <v>16</v>
      </c>
      <c r="BA451" s="114">
        <v>874</v>
      </c>
      <c r="BB451" s="116"/>
      <c r="BC451" s="116"/>
      <c r="BD451" s="116"/>
      <c r="BE451" s="116"/>
      <c r="BF451" s="116"/>
      <c r="BG451" s="116"/>
      <c r="BH451" s="116"/>
      <c r="BI451" s="116"/>
      <c r="BJ451" s="117">
        <v>985572</v>
      </c>
      <c r="BK451" s="117">
        <v>4853</v>
      </c>
      <c r="BL451" s="117">
        <v>1334084</v>
      </c>
      <c r="BM451" s="118">
        <v>3257710</v>
      </c>
      <c r="BN451" s="118">
        <v>191.63</v>
      </c>
      <c r="BO451" s="119"/>
      <c r="BP451" s="119"/>
      <c r="BQ451" s="119"/>
      <c r="BR451" s="119"/>
      <c r="BS451" s="119"/>
      <c r="BT451" s="119"/>
      <c r="BU451" s="119"/>
      <c r="BV451" s="119"/>
      <c r="BW451" s="119"/>
      <c r="BX451" s="119"/>
    </row>
    <row r="452" s="96" customFormat="1" ht="15.75" customHeight="1" spans="1:76">
      <c r="A452" s="111">
        <v>451</v>
      </c>
      <c r="B452" s="112" t="s">
        <v>46</v>
      </c>
      <c r="C452" s="112" t="s">
        <v>52</v>
      </c>
      <c r="D452" s="111">
        <v>2025</v>
      </c>
      <c r="E452" s="113" t="s">
        <v>38</v>
      </c>
      <c r="F452" s="114">
        <v>1912732</v>
      </c>
      <c r="G452" s="114">
        <v>1865241</v>
      </c>
      <c r="H452" s="114">
        <v>69270.0286</v>
      </c>
      <c r="I452" s="114">
        <v>3176</v>
      </c>
      <c r="J452" s="115">
        <v>0.00153935185185185</v>
      </c>
      <c r="K452" s="114">
        <v>29.81</v>
      </c>
      <c r="L452" s="114">
        <v>252</v>
      </c>
      <c r="M452" s="114">
        <v>22693998</v>
      </c>
      <c r="N452" s="114">
        <v>6.08</v>
      </c>
      <c r="O452" s="114">
        <v>1331531</v>
      </c>
      <c r="P452" s="114">
        <v>568419</v>
      </c>
      <c r="Q452" s="114">
        <v>763112</v>
      </c>
      <c r="R452" s="114">
        <v>598057</v>
      </c>
      <c r="S452" s="114">
        <v>165055</v>
      </c>
      <c r="T452" s="114">
        <v>5165</v>
      </c>
      <c r="U452" s="114">
        <v>1989</v>
      </c>
      <c r="V452" s="114">
        <v>9489</v>
      </c>
      <c r="W452" s="114">
        <v>318</v>
      </c>
      <c r="X452" s="114">
        <v>4750</v>
      </c>
      <c r="Y452" s="114">
        <v>4592</v>
      </c>
      <c r="Z452" s="114">
        <v>3980551.622</v>
      </c>
      <c r="AA452" s="114">
        <v>0</v>
      </c>
      <c r="AB452" s="114">
        <v>0</v>
      </c>
      <c r="AC452" s="114">
        <v>136101.357</v>
      </c>
      <c r="AD452" s="114">
        <v>3836021.065</v>
      </c>
      <c r="AE452" s="114">
        <v>6974584.051</v>
      </c>
      <c r="AF452" s="114">
        <v>818310</v>
      </c>
      <c r="AG452" s="114">
        <v>8523.156</v>
      </c>
      <c r="AH452" s="114">
        <v>726538</v>
      </c>
      <c r="AI452" s="114">
        <v>2134.068</v>
      </c>
      <c r="AJ452" s="114">
        <v>2</v>
      </c>
      <c r="AK452" s="114">
        <v>43</v>
      </c>
      <c r="AL452" s="114">
        <v>0</v>
      </c>
      <c r="AM452" s="114">
        <v>0</v>
      </c>
      <c r="AN452" s="114">
        <v>21438</v>
      </c>
      <c r="AO452" s="114">
        <v>1016.6325</v>
      </c>
      <c r="AP452" s="114">
        <v>0.2951</v>
      </c>
      <c r="AQ452" s="114">
        <v>4</v>
      </c>
      <c r="AR452" s="114">
        <v>1</v>
      </c>
      <c r="AS452" s="114">
        <v>0</v>
      </c>
      <c r="AT452" s="114">
        <v>13</v>
      </c>
      <c r="AU452" s="114">
        <v>9545</v>
      </c>
      <c r="AV452" s="114">
        <v>0</v>
      </c>
      <c r="AW452" s="114">
        <v>0</v>
      </c>
      <c r="AX452" s="114">
        <v>3</v>
      </c>
      <c r="AY452" s="114">
        <v>33</v>
      </c>
      <c r="AZ452" s="114">
        <v>26</v>
      </c>
      <c r="BA452" s="114">
        <v>1003</v>
      </c>
      <c r="BB452" s="116"/>
      <c r="BC452" s="116"/>
      <c r="BD452" s="116"/>
      <c r="BE452" s="116"/>
      <c r="BF452" s="116"/>
      <c r="BG452" s="116"/>
      <c r="BH452" s="116"/>
      <c r="BI452" s="116"/>
      <c r="BJ452" s="117">
        <v>988748</v>
      </c>
      <c r="BK452" s="117">
        <v>3176</v>
      </c>
      <c r="BL452" s="117">
        <v>945264</v>
      </c>
      <c r="BM452" s="118">
        <v>2896290</v>
      </c>
      <c r="BN452" s="118">
        <v>170.37</v>
      </c>
      <c r="BO452" s="120">
        <v>0.69</v>
      </c>
      <c r="BP452" s="120">
        <v>0.31</v>
      </c>
      <c r="BQ452" s="119"/>
      <c r="BR452" s="120">
        <v>0.022</v>
      </c>
      <c r="BS452" s="120">
        <v>0.108</v>
      </c>
      <c r="BT452" s="120">
        <v>0.333</v>
      </c>
      <c r="BU452" s="120">
        <v>0.227</v>
      </c>
      <c r="BV452" s="120">
        <v>0.155</v>
      </c>
      <c r="BW452" s="120">
        <v>0.104</v>
      </c>
      <c r="BX452" s="120">
        <v>0.052</v>
      </c>
    </row>
    <row r="453" s="96" customFormat="1" ht="15.75" customHeight="1" spans="1:76">
      <c r="A453" s="111">
        <v>452</v>
      </c>
      <c r="B453" s="112" t="s">
        <v>46</v>
      </c>
      <c r="C453" s="112" t="s">
        <v>52</v>
      </c>
      <c r="D453" s="111">
        <v>2025</v>
      </c>
      <c r="E453" s="113" t="s">
        <v>39</v>
      </c>
      <c r="F453" s="114">
        <v>4566932</v>
      </c>
      <c r="G453" s="114">
        <v>4520822</v>
      </c>
      <c r="H453" s="114">
        <v>230623.2219</v>
      </c>
      <c r="I453" s="114">
        <v>14319</v>
      </c>
      <c r="J453" s="115">
        <v>0.00211805555555556</v>
      </c>
      <c r="K453" s="114">
        <v>27.11</v>
      </c>
      <c r="L453" s="114">
        <v>129</v>
      </c>
      <c r="M453" s="114">
        <v>49533933</v>
      </c>
      <c r="N453" s="114">
        <v>7.21</v>
      </c>
      <c r="O453" s="114">
        <v>3379316</v>
      </c>
      <c r="P453" s="114">
        <v>1780651</v>
      </c>
      <c r="Q453" s="114">
        <v>1598665</v>
      </c>
      <c r="R453" s="114">
        <v>1347531</v>
      </c>
      <c r="S453" s="114">
        <v>251134</v>
      </c>
      <c r="T453" s="114">
        <v>16423</v>
      </c>
      <c r="U453" s="114">
        <v>2104</v>
      </c>
      <c r="V453" s="114">
        <v>28759</v>
      </c>
      <c r="W453" s="114">
        <v>990</v>
      </c>
      <c r="X453" s="114">
        <v>7752</v>
      </c>
      <c r="Y453" s="114">
        <v>16530</v>
      </c>
      <c r="Z453" s="114">
        <v>15047511.76</v>
      </c>
      <c r="AA453" s="114">
        <v>0</v>
      </c>
      <c r="AB453" s="114">
        <v>83</v>
      </c>
      <c r="AC453" s="114">
        <v>443520.011</v>
      </c>
      <c r="AD453" s="114">
        <v>14348231.46</v>
      </c>
      <c r="AE453" s="114">
        <v>26095108.19</v>
      </c>
      <c r="AF453" s="114">
        <v>2978527</v>
      </c>
      <c r="AG453" s="114">
        <v>8761.078</v>
      </c>
      <c r="AH453" s="114">
        <v>2619643</v>
      </c>
      <c r="AI453" s="114">
        <v>3328.49</v>
      </c>
      <c r="AJ453" s="114">
        <v>2570</v>
      </c>
      <c r="AK453" s="114">
        <v>78287</v>
      </c>
      <c r="AL453" s="114">
        <v>5496361.41</v>
      </c>
      <c r="AM453" s="114">
        <v>59</v>
      </c>
      <c r="AN453" s="114">
        <v>57310</v>
      </c>
      <c r="AO453" s="114">
        <v>3447.0359</v>
      </c>
      <c r="AP453" s="114">
        <v>18.5222</v>
      </c>
      <c r="AQ453" s="114">
        <v>217</v>
      </c>
      <c r="AR453" s="114">
        <v>580</v>
      </c>
      <c r="AS453" s="114">
        <v>1218</v>
      </c>
      <c r="AT453" s="114">
        <v>3</v>
      </c>
      <c r="AU453" s="114">
        <v>3098</v>
      </c>
      <c r="AV453" s="114">
        <v>0</v>
      </c>
      <c r="AW453" s="114">
        <v>0</v>
      </c>
      <c r="AX453" s="114">
        <v>7</v>
      </c>
      <c r="AY453" s="114">
        <v>168</v>
      </c>
      <c r="AZ453" s="114">
        <v>24</v>
      </c>
      <c r="BA453" s="114">
        <v>1280</v>
      </c>
      <c r="BB453" s="116"/>
      <c r="BC453" s="116"/>
      <c r="BD453" s="116"/>
      <c r="BE453" s="116"/>
      <c r="BF453" s="116"/>
      <c r="BG453" s="116"/>
      <c r="BH453" s="116"/>
      <c r="BI453" s="116"/>
      <c r="BJ453" s="117">
        <v>1004968</v>
      </c>
      <c r="BK453" s="117">
        <v>14319</v>
      </c>
      <c r="BL453" s="117">
        <v>3756700</v>
      </c>
      <c r="BM453" s="118">
        <v>14735260</v>
      </c>
      <c r="BN453" s="118">
        <v>866.78</v>
      </c>
      <c r="BO453" s="120">
        <v>0.735</v>
      </c>
      <c r="BP453" s="120">
        <v>0.264</v>
      </c>
      <c r="BQ453" s="120">
        <v>0.001</v>
      </c>
      <c r="BR453" s="120">
        <v>0.015</v>
      </c>
      <c r="BS453" s="120">
        <v>0.089</v>
      </c>
      <c r="BT453" s="120">
        <v>0.345</v>
      </c>
      <c r="BU453" s="120">
        <v>0.245</v>
      </c>
      <c r="BV453" s="120">
        <v>0.159</v>
      </c>
      <c r="BW453" s="120">
        <v>0.101</v>
      </c>
      <c r="BX453" s="120">
        <v>0.046</v>
      </c>
    </row>
    <row r="454" s="96" customFormat="1" ht="15.75" customHeight="1" spans="1:76">
      <c r="A454" s="111">
        <v>453</v>
      </c>
      <c r="B454" s="112" t="s">
        <v>46</v>
      </c>
      <c r="C454" s="112" t="s">
        <v>52</v>
      </c>
      <c r="D454" s="111">
        <v>2025</v>
      </c>
      <c r="E454" s="113" t="s">
        <v>40</v>
      </c>
      <c r="F454" s="114">
        <v>3729916</v>
      </c>
      <c r="G454" s="114">
        <v>3667889</v>
      </c>
      <c r="H454" s="114">
        <v>249022.2833</v>
      </c>
      <c r="I454" s="114">
        <v>11607</v>
      </c>
      <c r="J454" s="115">
        <v>0.00282407407407407</v>
      </c>
      <c r="K454" s="114">
        <v>28.08</v>
      </c>
      <c r="L454" s="114">
        <v>154</v>
      </c>
      <c r="M454" s="114">
        <v>44240696</v>
      </c>
      <c r="N454" s="114">
        <v>6.09</v>
      </c>
      <c r="O454" s="114">
        <v>2491245</v>
      </c>
      <c r="P454" s="114">
        <v>988913</v>
      </c>
      <c r="Q454" s="114">
        <v>1502332</v>
      </c>
      <c r="R454" s="114">
        <v>1246753</v>
      </c>
      <c r="S454" s="114">
        <v>255579</v>
      </c>
      <c r="T454" s="114">
        <v>13786</v>
      </c>
      <c r="U454" s="114">
        <v>2179</v>
      </c>
      <c r="V454" s="114">
        <v>25557</v>
      </c>
      <c r="W454" s="114">
        <v>889</v>
      </c>
      <c r="X454" s="114">
        <v>8135</v>
      </c>
      <c r="Y454" s="114">
        <v>9658</v>
      </c>
      <c r="Z454" s="114">
        <v>17061841.46</v>
      </c>
      <c r="AA454" s="114">
        <v>15435.387</v>
      </c>
      <c r="AB454" s="114">
        <v>6</v>
      </c>
      <c r="AC454" s="114">
        <v>1126277.035</v>
      </c>
      <c r="AD454" s="114">
        <v>15885834.61</v>
      </c>
      <c r="AE454" s="114">
        <v>28926539.78</v>
      </c>
      <c r="AF454" s="114">
        <v>2982069</v>
      </c>
      <c r="AG454" s="114">
        <v>9700.158</v>
      </c>
      <c r="AH454" s="114">
        <v>2286595</v>
      </c>
      <c r="AI454" s="114">
        <v>4651.679</v>
      </c>
      <c r="AJ454" s="114">
        <v>425</v>
      </c>
      <c r="AK454" s="114">
        <v>7651</v>
      </c>
      <c r="AL454" s="114">
        <v>624413.298</v>
      </c>
      <c r="AM454" s="114">
        <v>5</v>
      </c>
      <c r="AN454" s="114">
        <v>77827</v>
      </c>
      <c r="AO454" s="114">
        <v>7584.4327</v>
      </c>
      <c r="AP454" s="114">
        <v>19.7873</v>
      </c>
      <c r="AQ454" s="114">
        <v>343</v>
      </c>
      <c r="AR454" s="114">
        <v>48</v>
      </c>
      <c r="AS454" s="114">
        <v>64</v>
      </c>
      <c r="AT454" s="114">
        <v>4</v>
      </c>
      <c r="AU454" s="114">
        <v>14112</v>
      </c>
      <c r="AV454" s="114">
        <v>0</v>
      </c>
      <c r="AW454" s="114">
        <v>0</v>
      </c>
      <c r="AX454" s="114">
        <v>0</v>
      </c>
      <c r="AY454" s="114">
        <v>3</v>
      </c>
      <c r="AZ454" s="114">
        <v>6711</v>
      </c>
      <c r="BA454" s="114">
        <v>204064</v>
      </c>
      <c r="BB454" s="116"/>
      <c r="BC454" s="116"/>
      <c r="BD454" s="116"/>
      <c r="BE454" s="116"/>
      <c r="BF454" s="116"/>
      <c r="BG454" s="116"/>
      <c r="BH454" s="116"/>
      <c r="BI454" s="116"/>
      <c r="BJ454" s="117">
        <v>1014698</v>
      </c>
      <c r="BK454" s="117">
        <v>11607</v>
      </c>
      <c r="BL454" s="117">
        <v>3005273</v>
      </c>
      <c r="BM454" s="118">
        <v>16474870</v>
      </c>
      <c r="BN454" s="118">
        <v>969.11</v>
      </c>
      <c r="BO454" s="120">
        <v>0.728</v>
      </c>
      <c r="BP454" s="120">
        <v>0.272</v>
      </c>
      <c r="BQ454" s="120">
        <v>0.001</v>
      </c>
      <c r="BR454" s="120">
        <v>0.014</v>
      </c>
      <c r="BS454" s="120">
        <v>0.074</v>
      </c>
      <c r="BT454" s="120">
        <v>0.281</v>
      </c>
      <c r="BU454" s="120">
        <v>0.22</v>
      </c>
      <c r="BV454" s="120">
        <v>0.187</v>
      </c>
      <c r="BW454" s="120">
        <v>0.146</v>
      </c>
      <c r="BX454" s="120">
        <v>0.079</v>
      </c>
    </row>
    <row r="455" s="96" customFormat="1" ht="15.75" customHeight="1" spans="1:76">
      <c r="A455" s="111">
        <v>454</v>
      </c>
      <c r="B455" s="112" t="s">
        <v>46</v>
      </c>
      <c r="C455" s="112" t="s">
        <v>52</v>
      </c>
      <c r="D455" s="111">
        <v>2025</v>
      </c>
      <c r="E455" s="113" t="s">
        <v>41</v>
      </c>
      <c r="F455" s="114">
        <v>3152379</v>
      </c>
      <c r="G455" s="114">
        <v>3104040</v>
      </c>
      <c r="H455" s="114">
        <v>147976.6251</v>
      </c>
      <c r="I455" s="114">
        <v>6783</v>
      </c>
      <c r="J455" s="115">
        <v>0.00197916666666667</v>
      </c>
      <c r="K455" s="114">
        <v>13.5</v>
      </c>
      <c r="L455" s="114">
        <v>216</v>
      </c>
      <c r="M455" s="114">
        <v>33690372</v>
      </c>
      <c r="N455" s="114">
        <v>6.98</v>
      </c>
      <c r="O455" s="114">
        <v>2146057</v>
      </c>
      <c r="P455" s="114">
        <v>784687</v>
      </c>
      <c r="Q455" s="114">
        <v>1361370</v>
      </c>
      <c r="R455" s="114">
        <v>1115095</v>
      </c>
      <c r="S455" s="114">
        <v>246275</v>
      </c>
      <c r="T455" s="114">
        <v>8782</v>
      </c>
      <c r="U455" s="114">
        <v>1999</v>
      </c>
      <c r="V455" s="114">
        <v>17940</v>
      </c>
      <c r="W455" s="114">
        <v>659</v>
      </c>
      <c r="X455" s="114">
        <v>11782</v>
      </c>
      <c r="Y455" s="114">
        <v>9075</v>
      </c>
      <c r="Z455" s="114">
        <v>11968803.16</v>
      </c>
      <c r="AA455" s="114">
        <v>0</v>
      </c>
      <c r="AB455" s="114">
        <v>6</v>
      </c>
      <c r="AC455" s="114">
        <v>493175.827</v>
      </c>
      <c r="AD455" s="114">
        <v>11438522.44</v>
      </c>
      <c r="AE455" s="114">
        <v>20844439.83</v>
      </c>
      <c r="AF455" s="114">
        <v>2207217</v>
      </c>
      <c r="AG455" s="114">
        <v>9443.766</v>
      </c>
      <c r="AH455" s="114">
        <v>1736075</v>
      </c>
      <c r="AI455" s="114">
        <v>3855.879</v>
      </c>
      <c r="AJ455" s="114">
        <v>353</v>
      </c>
      <c r="AK455" s="114">
        <v>5401</v>
      </c>
      <c r="AL455" s="114">
        <v>942272.166</v>
      </c>
      <c r="AM455" s="114">
        <v>5</v>
      </c>
      <c r="AN455" s="114">
        <v>54634</v>
      </c>
      <c r="AO455" s="114">
        <v>3543.8046</v>
      </c>
      <c r="AP455" s="114">
        <v>43.5593</v>
      </c>
      <c r="AQ455" s="114">
        <v>211</v>
      </c>
      <c r="AR455" s="114">
        <v>3084</v>
      </c>
      <c r="AS455" s="114">
        <v>11075</v>
      </c>
      <c r="AT455" s="114">
        <v>4</v>
      </c>
      <c r="AU455" s="114">
        <v>6996</v>
      </c>
      <c r="AV455" s="114">
        <v>0</v>
      </c>
      <c r="AW455" s="114">
        <v>0</v>
      </c>
      <c r="AX455" s="114">
        <v>0</v>
      </c>
      <c r="AY455" s="114">
        <v>4</v>
      </c>
      <c r="AZ455" s="114">
        <v>273</v>
      </c>
      <c r="BA455" s="114">
        <v>20143</v>
      </c>
      <c r="BB455" s="116"/>
      <c r="BC455" s="116"/>
      <c r="BD455" s="116"/>
      <c r="BE455" s="116"/>
      <c r="BF455" s="116"/>
      <c r="BG455" s="116"/>
      <c r="BH455" s="116"/>
      <c r="BI455" s="116"/>
      <c r="BJ455" s="117">
        <v>1021481</v>
      </c>
      <c r="BK455" s="117">
        <v>6783</v>
      </c>
      <c r="BL455" s="117">
        <v>2226411</v>
      </c>
      <c r="BM455" s="118">
        <v>10870140</v>
      </c>
      <c r="BN455" s="118">
        <v>639.42</v>
      </c>
      <c r="BO455" s="120">
        <v>0.682</v>
      </c>
      <c r="BP455" s="120">
        <v>0.318</v>
      </c>
      <c r="BQ455" s="120">
        <v>0.001</v>
      </c>
      <c r="BR455" s="120">
        <v>0.015</v>
      </c>
      <c r="BS455" s="120">
        <v>0.074</v>
      </c>
      <c r="BT455" s="120">
        <v>0.293</v>
      </c>
      <c r="BU455" s="120">
        <v>0.235</v>
      </c>
      <c r="BV455" s="120">
        <v>0.184</v>
      </c>
      <c r="BW455" s="120">
        <v>0.13</v>
      </c>
      <c r="BX455" s="120">
        <v>0.07</v>
      </c>
    </row>
    <row r="456" s="96" customFormat="1" ht="15.75" customHeight="1" spans="1:76">
      <c r="A456" s="111">
        <v>455</v>
      </c>
      <c r="B456" s="112" t="s">
        <v>46</v>
      </c>
      <c r="C456" s="112" t="s">
        <v>52</v>
      </c>
      <c r="D456" s="111">
        <v>2025</v>
      </c>
      <c r="E456" s="113" t="s">
        <v>42</v>
      </c>
      <c r="F456" s="114">
        <v>3875294</v>
      </c>
      <c r="G456" s="114">
        <v>3791648</v>
      </c>
      <c r="H456" s="114">
        <v>177819.1577</v>
      </c>
      <c r="I456" s="114">
        <v>8079</v>
      </c>
      <c r="J456" s="115">
        <v>0.00194444444444444</v>
      </c>
      <c r="K456" s="114">
        <v>24.25</v>
      </c>
      <c r="L456" s="114">
        <v>254</v>
      </c>
      <c r="M456" s="114">
        <v>44235955</v>
      </c>
      <c r="N456" s="114">
        <v>6.24</v>
      </c>
      <c r="O456" s="114">
        <v>2606822</v>
      </c>
      <c r="P456" s="114">
        <v>943811</v>
      </c>
      <c r="Q456" s="114">
        <v>1663542</v>
      </c>
      <c r="R456" s="114">
        <v>1383475</v>
      </c>
      <c r="S456" s="114">
        <v>280067</v>
      </c>
      <c r="T456" s="114">
        <v>10187</v>
      </c>
      <c r="U456" s="114">
        <v>2108</v>
      </c>
      <c r="V456" s="114">
        <v>22454</v>
      </c>
      <c r="W456" s="114">
        <v>900</v>
      </c>
      <c r="X456" s="114">
        <v>10104</v>
      </c>
      <c r="Y456" s="114">
        <v>14822</v>
      </c>
      <c r="Z456" s="114">
        <v>15712095.28</v>
      </c>
      <c r="AA456" s="114">
        <v>0</v>
      </c>
      <c r="AB456" s="114">
        <v>47</v>
      </c>
      <c r="AC456" s="114">
        <v>642183.851</v>
      </c>
      <c r="AD456" s="114">
        <v>14881053.22</v>
      </c>
      <c r="AE456" s="114">
        <v>27057342.96</v>
      </c>
      <c r="AF456" s="114">
        <v>2803100</v>
      </c>
      <c r="AG456" s="114">
        <v>9652.65</v>
      </c>
      <c r="AH456" s="114">
        <v>2259824</v>
      </c>
      <c r="AI456" s="114">
        <v>4143.87</v>
      </c>
      <c r="AJ456" s="114">
        <v>1685</v>
      </c>
      <c r="AK456" s="114">
        <v>24944</v>
      </c>
      <c r="AL456" s="114">
        <v>3667965.492</v>
      </c>
      <c r="AM456" s="114">
        <v>45</v>
      </c>
      <c r="AN456" s="114">
        <v>64026</v>
      </c>
      <c r="AO456" s="114">
        <v>4315.9268</v>
      </c>
      <c r="AP456" s="114">
        <v>30.9339</v>
      </c>
      <c r="AQ456" s="114">
        <v>142</v>
      </c>
      <c r="AR456" s="114">
        <v>520</v>
      </c>
      <c r="AS456" s="114">
        <v>95</v>
      </c>
      <c r="AT456" s="114">
        <v>8</v>
      </c>
      <c r="AU456" s="114">
        <v>2902</v>
      </c>
      <c r="AV456" s="114">
        <v>0</v>
      </c>
      <c r="AW456" s="114">
        <v>0</v>
      </c>
      <c r="AX456" s="114">
        <v>3</v>
      </c>
      <c r="AY456" s="114">
        <v>8</v>
      </c>
      <c r="AZ456" s="114">
        <v>143</v>
      </c>
      <c r="BA456" s="114">
        <v>5430</v>
      </c>
      <c r="BB456" s="116"/>
      <c r="BC456" s="116"/>
      <c r="BD456" s="116"/>
      <c r="BE456" s="116"/>
      <c r="BF456" s="116"/>
      <c r="BG456" s="116"/>
      <c r="BH456" s="116"/>
      <c r="BI456" s="116"/>
      <c r="BJ456" s="117">
        <v>1029560</v>
      </c>
      <c r="BK456" s="117">
        <v>8079</v>
      </c>
      <c r="BL456" s="117">
        <v>2327297</v>
      </c>
      <c r="BM456" s="118">
        <v>8336970</v>
      </c>
      <c r="BN456" s="118">
        <v>490.41</v>
      </c>
      <c r="BO456" s="120">
        <v>0.689</v>
      </c>
      <c r="BP456" s="120">
        <v>0.311</v>
      </c>
      <c r="BQ456" s="120">
        <v>0.001</v>
      </c>
      <c r="BR456" s="120">
        <v>0.014</v>
      </c>
      <c r="BS456" s="120">
        <v>0.07</v>
      </c>
      <c r="BT456" s="120">
        <v>0.278</v>
      </c>
      <c r="BU456" s="120">
        <v>0.216</v>
      </c>
      <c r="BV456" s="120">
        <v>0.181</v>
      </c>
      <c r="BW456" s="120">
        <v>0.15</v>
      </c>
      <c r="BX456" s="120">
        <v>0.091</v>
      </c>
    </row>
    <row r="457" s="96" customFormat="1" ht="15.75" customHeight="1" spans="1:76">
      <c r="A457" s="111">
        <v>456</v>
      </c>
      <c r="B457" s="112" t="s">
        <v>46</v>
      </c>
      <c r="C457" s="112" t="s">
        <v>52</v>
      </c>
      <c r="D457" s="111">
        <v>2025</v>
      </c>
      <c r="E457" s="113" t="s">
        <v>43</v>
      </c>
      <c r="F457" s="114">
        <v>2769994</v>
      </c>
      <c r="G457" s="114">
        <v>2700769</v>
      </c>
      <c r="H457" s="114">
        <v>142542.9166</v>
      </c>
      <c r="I457" s="114">
        <v>3340</v>
      </c>
      <c r="J457" s="115">
        <v>0.0021875</v>
      </c>
      <c r="K457" s="114">
        <v>30.26</v>
      </c>
      <c r="L457" s="114">
        <v>188</v>
      </c>
      <c r="M457" s="114">
        <v>30548429</v>
      </c>
      <c r="N457" s="114">
        <v>6.36</v>
      </c>
      <c r="O457" s="114">
        <v>1885089</v>
      </c>
      <c r="P457" s="114">
        <v>750662</v>
      </c>
      <c r="Q457" s="114">
        <v>1133993</v>
      </c>
      <c r="R457" s="114">
        <v>933113</v>
      </c>
      <c r="S457" s="114">
        <v>200880</v>
      </c>
      <c r="T457" s="114">
        <v>5141</v>
      </c>
      <c r="U457" s="114">
        <v>1801</v>
      </c>
      <c r="V457" s="114">
        <v>13915</v>
      </c>
      <c r="W457" s="114">
        <v>631</v>
      </c>
      <c r="X457" s="114">
        <v>5184</v>
      </c>
      <c r="Y457" s="114">
        <v>7371</v>
      </c>
      <c r="Z457" s="114">
        <v>11542943.27</v>
      </c>
      <c r="AA457" s="114">
        <v>0</v>
      </c>
      <c r="AB457" s="114">
        <v>5</v>
      </c>
      <c r="AC457" s="114">
        <v>489107.453</v>
      </c>
      <c r="AD457" s="114">
        <v>11020389.75</v>
      </c>
      <c r="AE457" s="114">
        <v>20037067.5</v>
      </c>
      <c r="AF457" s="114">
        <v>2097121</v>
      </c>
      <c r="AG457" s="114">
        <v>9554.56</v>
      </c>
      <c r="AH457" s="114">
        <v>1671655</v>
      </c>
      <c r="AI457" s="114">
        <v>4273.946</v>
      </c>
      <c r="AJ457" s="114">
        <v>469</v>
      </c>
      <c r="AK457" s="114">
        <v>5800</v>
      </c>
      <c r="AL457" s="114">
        <v>297143.68</v>
      </c>
      <c r="AM457" s="114">
        <v>5</v>
      </c>
      <c r="AN457" s="114">
        <v>46988</v>
      </c>
      <c r="AO457" s="114">
        <v>3469.8668</v>
      </c>
      <c r="AP457" s="114">
        <v>3.7032</v>
      </c>
      <c r="AQ457" s="114">
        <v>84</v>
      </c>
      <c r="AR457" s="114">
        <v>1</v>
      </c>
      <c r="AS457" s="114">
        <v>4</v>
      </c>
      <c r="AT457" s="114">
        <v>8</v>
      </c>
      <c r="AU457" s="114">
        <v>5322</v>
      </c>
      <c r="AV457" s="114">
        <v>0</v>
      </c>
      <c r="AW457" s="114">
        <v>0</v>
      </c>
      <c r="AX457" s="114">
        <v>0</v>
      </c>
      <c r="AY457" s="114">
        <v>2</v>
      </c>
      <c r="AZ457" s="114">
        <v>152</v>
      </c>
      <c r="BA457" s="114">
        <v>4415</v>
      </c>
      <c r="BB457" s="116"/>
      <c r="BC457" s="116"/>
      <c r="BD457" s="116"/>
      <c r="BE457" s="116"/>
      <c r="BF457" s="116"/>
      <c r="BG457" s="116"/>
      <c r="BH457" s="116"/>
      <c r="BI457" s="116"/>
      <c r="BJ457" s="117">
        <v>1032900</v>
      </c>
      <c r="BK457" s="117">
        <v>3340</v>
      </c>
      <c r="BL457" s="117">
        <v>1815099</v>
      </c>
      <c r="BM457" s="118">
        <v>8648410</v>
      </c>
      <c r="BN457" s="118">
        <v>508.73</v>
      </c>
      <c r="BO457" s="120">
        <v>0.662</v>
      </c>
      <c r="BP457" s="120">
        <v>0.337</v>
      </c>
      <c r="BQ457" s="120">
        <v>0</v>
      </c>
      <c r="BR457" s="120">
        <v>0.017</v>
      </c>
      <c r="BS457" s="120">
        <v>0.08</v>
      </c>
      <c r="BT457" s="120">
        <v>0.302</v>
      </c>
      <c r="BU457" s="120">
        <v>0.224</v>
      </c>
      <c r="BV457" s="120">
        <v>0.171</v>
      </c>
      <c r="BW457" s="120">
        <v>0.127</v>
      </c>
      <c r="BX457" s="120">
        <v>0.078</v>
      </c>
    </row>
    <row r="458" s="96" customFormat="1" ht="15.75" customHeight="1" spans="1:76">
      <c r="A458" s="111">
        <v>457</v>
      </c>
      <c r="B458" s="112" t="s">
        <v>46</v>
      </c>
      <c r="C458" s="112" t="s">
        <v>52</v>
      </c>
      <c r="D458" s="111">
        <v>2026</v>
      </c>
      <c r="E458" s="112" t="s">
        <v>31</v>
      </c>
      <c r="F458" s="121">
        <v>2061934</v>
      </c>
      <c r="G458" s="114">
        <v>2013124</v>
      </c>
      <c r="H458" s="114">
        <v>96309.8938</v>
      </c>
      <c r="I458" s="114">
        <v>2309</v>
      </c>
      <c r="J458" s="115">
        <v>0.00199074074074074</v>
      </c>
      <c r="K458" s="114">
        <v>28.74</v>
      </c>
      <c r="L458" s="114">
        <v>171</v>
      </c>
      <c r="M458" s="114">
        <v>23123393</v>
      </c>
      <c r="N458" s="114">
        <v>6.08</v>
      </c>
      <c r="O458" s="114">
        <v>1401494</v>
      </c>
      <c r="P458" s="114">
        <v>527066</v>
      </c>
      <c r="Q458" s="114">
        <v>873108</v>
      </c>
      <c r="R458" s="114">
        <v>723044</v>
      </c>
      <c r="S458" s="114">
        <v>150064</v>
      </c>
      <c r="T458" s="114">
        <v>4097</v>
      </c>
      <c r="U458" s="114">
        <v>1788</v>
      </c>
      <c r="V458" s="114">
        <v>9278</v>
      </c>
      <c r="W458" s="114">
        <v>461</v>
      </c>
      <c r="X458" s="114">
        <v>5206</v>
      </c>
      <c r="Y458" s="114">
        <v>5858</v>
      </c>
      <c r="Z458" s="121">
        <v>6626464</v>
      </c>
      <c r="AA458" s="114">
        <v>0</v>
      </c>
      <c r="AB458" s="114">
        <v>10</v>
      </c>
      <c r="AC458" s="114">
        <v>361643.451</v>
      </c>
      <c r="AD458" s="114">
        <v>6023023.659</v>
      </c>
      <c r="AE458" s="114">
        <v>10957317.2</v>
      </c>
      <c r="AF458" s="114">
        <v>1273271</v>
      </c>
      <c r="AG458" s="114">
        <v>8605.644</v>
      </c>
      <c r="AH458" s="114">
        <v>1050323</v>
      </c>
      <c r="AI458" s="114">
        <v>3278.67</v>
      </c>
      <c r="AJ458" s="114">
        <v>638</v>
      </c>
      <c r="AK458" s="114">
        <v>7116</v>
      </c>
      <c r="AL458" s="114">
        <v>835789.793</v>
      </c>
      <c r="AM458" s="114">
        <v>9</v>
      </c>
      <c r="AN458" s="114">
        <v>39452</v>
      </c>
      <c r="AO458" s="114">
        <v>2664.9939</v>
      </c>
      <c r="AP458" s="114">
        <v>1.5406</v>
      </c>
      <c r="AQ458" s="114">
        <v>88</v>
      </c>
      <c r="AR458" s="114">
        <v>0</v>
      </c>
      <c r="AS458" s="114">
        <v>0</v>
      </c>
      <c r="AT458" s="114">
        <v>5</v>
      </c>
      <c r="AU458" s="114">
        <v>6828</v>
      </c>
      <c r="AV458" s="114">
        <v>0</v>
      </c>
      <c r="AW458" s="114">
        <v>0</v>
      </c>
      <c r="AX458" s="114">
        <v>3</v>
      </c>
      <c r="AY458" s="114">
        <v>5</v>
      </c>
      <c r="AZ458" s="114">
        <v>50</v>
      </c>
      <c r="BA458" s="114">
        <v>1695</v>
      </c>
      <c r="BB458" s="116"/>
      <c r="BC458" s="116"/>
      <c r="BD458" s="116"/>
      <c r="BE458" s="116"/>
      <c r="BF458" s="116"/>
      <c r="BG458" s="116"/>
      <c r="BH458" s="116"/>
      <c r="BI458" s="116"/>
      <c r="BJ458" s="117">
        <v>1035208</v>
      </c>
      <c r="BK458" s="117">
        <v>2308</v>
      </c>
      <c r="BL458" s="117">
        <v>1076534</v>
      </c>
      <c r="BM458" s="118">
        <v>4253524</v>
      </c>
      <c r="BN458" s="118"/>
      <c r="BO458" s="120">
        <v>0.695</v>
      </c>
      <c r="BP458" s="120">
        <v>0.305</v>
      </c>
      <c r="BQ458" s="134">
        <v>0</v>
      </c>
      <c r="BR458" s="120">
        <v>0.016</v>
      </c>
      <c r="BS458" s="120">
        <v>0.078</v>
      </c>
      <c r="BT458" s="120">
        <v>0.304</v>
      </c>
      <c r="BU458" s="120">
        <v>0.229</v>
      </c>
      <c r="BV458" s="120">
        <v>0.166</v>
      </c>
      <c r="BW458" s="120">
        <v>0.125</v>
      </c>
      <c r="BX458" s="120">
        <v>0.083</v>
      </c>
    </row>
    <row r="459" s="96" customFormat="1" ht="15.75" customHeight="1" spans="1:76">
      <c r="A459" s="111">
        <v>458</v>
      </c>
      <c r="B459" s="112" t="s">
        <v>46</v>
      </c>
      <c r="C459" s="112" t="s">
        <v>52</v>
      </c>
      <c r="D459" s="111">
        <v>2026</v>
      </c>
      <c r="E459" s="112" t="s">
        <v>33</v>
      </c>
      <c r="F459" s="114">
        <v>2347867</v>
      </c>
      <c r="G459" s="114">
        <v>2204125</v>
      </c>
      <c r="H459" s="114">
        <v>109794.2214</v>
      </c>
      <c r="I459" s="114">
        <v>2902</v>
      </c>
      <c r="J459" s="115">
        <v>0.00207175925925926</v>
      </c>
      <c r="K459" s="114">
        <v>17.52</v>
      </c>
      <c r="L459" s="114">
        <v>225</v>
      </c>
      <c r="M459" s="114">
        <v>22257028</v>
      </c>
      <c r="N459" s="114">
        <v>6.42</v>
      </c>
      <c r="O459" s="114">
        <v>1562670</v>
      </c>
      <c r="P459" s="114">
        <v>646484</v>
      </c>
      <c r="Q459" s="114">
        <v>916933</v>
      </c>
      <c r="R459" s="114">
        <v>768528</v>
      </c>
      <c r="S459" s="114">
        <v>148405</v>
      </c>
      <c r="T459" s="114">
        <v>4585</v>
      </c>
      <c r="U459" s="114">
        <v>1683</v>
      </c>
      <c r="V459" s="114">
        <v>15045</v>
      </c>
      <c r="W459" s="114">
        <v>707</v>
      </c>
      <c r="X459" s="114">
        <v>5967</v>
      </c>
      <c r="Y459" s="114">
        <v>6963</v>
      </c>
      <c r="Z459" s="114">
        <v>7995707.362</v>
      </c>
      <c r="AA459" s="114">
        <v>0</v>
      </c>
      <c r="AB459" s="114">
        <v>10</v>
      </c>
      <c r="AC459" s="114">
        <v>412136.131</v>
      </c>
      <c r="AD459" s="114">
        <v>7498496.891</v>
      </c>
      <c r="AE459" s="114">
        <v>13628496.03</v>
      </c>
      <c r="AF459" s="114">
        <v>1492334</v>
      </c>
      <c r="AG459" s="114">
        <v>9132.336</v>
      </c>
      <c r="AH459" s="114">
        <v>1155355</v>
      </c>
      <c r="AI459" s="114">
        <v>3626.681</v>
      </c>
      <c r="AJ459" s="114">
        <v>374</v>
      </c>
      <c r="AK459" s="114">
        <v>6131</v>
      </c>
      <c r="AL459" s="114">
        <v>1007095.26</v>
      </c>
      <c r="AM459" s="114">
        <v>10</v>
      </c>
      <c r="AN459" s="114">
        <v>43378</v>
      </c>
      <c r="AO459" s="114">
        <v>2956.3348</v>
      </c>
      <c r="AP459" s="114">
        <v>9.925</v>
      </c>
      <c r="AQ459" s="114">
        <v>137</v>
      </c>
      <c r="AR459" s="114">
        <v>1529</v>
      </c>
      <c r="AS459" s="114">
        <v>6284</v>
      </c>
      <c r="AT459" s="114">
        <v>5</v>
      </c>
      <c r="AU459" s="114">
        <v>5723</v>
      </c>
      <c r="AV459" s="114">
        <v>0</v>
      </c>
      <c r="AW459" s="114">
        <v>0</v>
      </c>
      <c r="AX459" s="114">
        <v>1</v>
      </c>
      <c r="AY459" s="114">
        <v>4</v>
      </c>
      <c r="AZ459" s="114">
        <v>28</v>
      </c>
      <c r="BA459" s="114">
        <v>1526</v>
      </c>
      <c r="BB459" s="116"/>
      <c r="BC459" s="116"/>
      <c r="BD459" s="116"/>
      <c r="BE459" s="116"/>
      <c r="BF459" s="116"/>
      <c r="BG459" s="116"/>
      <c r="BH459" s="116"/>
      <c r="BI459" s="116"/>
      <c r="BJ459" s="117">
        <v>1038111</v>
      </c>
      <c r="BK459" s="117">
        <v>2902</v>
      </c>
      <c r="BL459" s="117">
        <v>1548636</v>
      </c>
      <c r="BM459" s="118">
        <v>6251329</v>
      </c>
      <c r="BN459" s="118"/>
      <c r="BO459" s="120">
        <v>0.688</v>
      </c>
      <c r="BP459" s="120">
        <v>0.312</v>
      </c>
      <c r="BQ459" s="120">
        <v>0</v>
      </c>
      <c r="BR459" s="120">
        <v>0.016</v>
      </c>
      <c r="BS459" s="120">
        <v>0.075</v>
      </c>
      <c r="BT459" s="120">
        <v>0.315</v>
      </c>
      <c r="BU459" s="120">
        <v>0.237</v>
      </c>
      <c r="BV459" s="120">
        <v>0.174</v>
      </c>
      <c r="BW459" s="120">
        <v>0.116</v>
      </c>
      <c r="BX459" s="120">
        <v>0.066</v>
      </c>
    </row>
    <row r="460" s="96" customFormat="1" ht="15.75" customHeight="1" spans="1:76">
      <c r="A460" s="111">
        <v>459</v>
      </c>
      <c r="B460" s="112" t="s">
        <v>46</v>
      </c>
      <c r="C460" s="112" t="s">
        <v>52</v>
      </c>
      <c r="D460" s="111">
        <v>2026</v>
      </c>
      <c r="E460" s="113" t="s">
        <v>34</v>
      </c>
      <c r="F460" s="114">
        <v>8374439</v>
      </c>
      <c r="G460" s="114">
        <v>8226651</v>
      </c>
      <c r="H460" s="114">
        <v>626364.9174</v>
      </c>
      <c r="I460" s="114">
        <v>11291</v>
      </c>
      <c r="J460" s="115">
        <v>0.0031712962962963</v>
      </c>
      <c r="K460" s="114">
        <v>2.32</v>
      </c>
      <c r="L460" s="114">
        <v>239</v>
      </c>
      <c r="M460" s="114">
        <v>67524918</v>
      </c>
      <c r="N460" s="114">
        <v>9.35</v>
      </c>
      <c r="O460" s="114">
        <v>5393132</v>
      </c>
      <c r="P460" s="114">
        <v>2846198</v>
      </c>
      <c r="Q460" s="114">
        <v>2367639</v>
      </c>
      <c r="R460" s="114">
        <v>2098646</v>
      </c>
      <c r="S460" s="114">
        <v>268993</v>
      </c>
      <c r="T460" s="114">
        <v>14102</v>
      </c>
      <c r="U460" s="114">
        <v>2811</v>
      </c>
      <c r="V460" s="114">
        <v>45703</v>
      </c>
      <c r="W460" s="114">
        <v>1905</v>
      </c>
      <c r="X460" s="114">
        <v>7801</v>
      </c>
      <c r="Y460" s="114">
        <v>10733</v>
      </c>
      <c r="Z460" s="114">
        <v>49123140.28</v>
      </c>
      <c r="AA460" s="114">
        <v>0</v>
      </c>
      <c r="AB460" s="114">
        <v>10</v>
      </c>
      <c r="AC460" s="114">
        <v>1760579.496</v>
      </c>
      <c r="AD460" s="114">
        <v>47204065.57</v>
      </c>
      <c r="AE460" s="114">
        <v>85798257.61</v>
      </c>
      <c r="AF460" s="114">
        <v>8823155</v>
      </c>
      <c r="AG460" s="114">
        <v>9724.215</v>
      </c>
      <c r="AH460" s="114">
        <v>6034691</v>
      </c>
      <c r="AI460" s="114">
        <v>6023.959</v>
      </c>
      <c r="AJ460" s="114">
        <v>936</v>
      </c>
      <c r="AK460" s="114">
        <v>16599</v>
      </c>
      <c r="AL460" s="114">
        <v>2520122.064</v>
      </c>
      <c r="AM460" s="114">
        <v>11</v>
      </c>
      <c r="AN460" s="114">
        <v>146407</v>
      </c>
      <c r="AO460" s="114">
        <v>14433.9681</v>
      </c>
      <c r="AP460" s="114">
        <v>256.539</v>
      </c>
      <c r="AQ460" s="114">
        <v>1045</v>
      </c>
      <c r="AR460" s="114">
        <v>267687</v>
      </c>
      <c r="AS460" s="114">
        <v>358399</v>
      </c>
      <c r="AT460" s="114">
        <v>4</v>
      </c>
      <c r="AU460" s="114">
        <v>4442</v>
      </c>
      <c r="AV460" s="114">
        <v>0</v>
      </c>
      <c r="AW460" s="114">
        <v>0</v>
      </c>
      <c r="AX460" s="114">
        <v>0</v>
      </c>
      <c r="AY460" s="114">
        <v>12</v>
      </c>
      <c r="AZ460" s="114">
        <v>42</v>
      </c>
      <c r="BA460" s="114">
        <v>1567</v>
      </c>
      <c r="BB460" s="116"/>
      <c r="BC460" s="116"/>
      <c r="BD460" s="116"/>
      <c r="BE460" s="116"/>
      <c r="BF460" s="116"/>
      <c r="BG460" s="116"/>
      <c r="BH460" s="116"/>
      <c r="BI460" s="116"/>
      <c r="BJ460" s="117">
        <v>1049402</v>
      </c>
      <c r="BK460" s="117">
        <v>11291</v>
      </c>
      <c r="BL460" s="117">
        <v>7284438</v>
      </c>
      <c r="BM460" s="118">
        <v>46569331</v>
      </c>
      <c r="BN460" s="118"/>
      <c r="BO460" s="120">
        <v>0.737</v>
      </c>
      <c r="BP460" s="120">
        <v>0.262</v>
      </c>
      <c r="BQ460" s="120">
        <v>0.001</v>
      </c>
      <c r="BR460" s="120">
        <v>0.016</v>
      </c>
      <c r="BS460" s="120">
        <v>0.074</v>
      </c>
      <c r="BT460" s="120">
        <v>0.315</v>
      </c>
      <c r="BU460" s="120">
        <v>0.25</v>
      </c>
      <c r="BV460" s="120">
        <v>0.188</v>
      </c>
      <c r="BW460" s="120">
        <v>0.11</v>
      </c>
      <c r="BX460" s="120">
        <v>0.048</v>
      </c>
    </row>
    <row r="461" s="96" customFormat="1" ht="15.75" customHeight="1" spans="1:76">
      <c r="A461" s="111">
        <v>460</v>
      </c>
      <c r="B461" s="112" t="s">
        <v>46</v>
      </c>
      <c r="C461" s="112" t="s">
        <v>52</v>
      </c>
      <c r="D461" s="111">
        <v>2026</v>
      </c>
      <c r="E461" s="113" t="s">
        <v>35</v>
      </c>
      <c r="F461" s="114">
        <v>3448237</v>
      </c>
      <c r="G461" s="114">
        <v>3351371</v>
      </c>
      <c r="H461" s="114">
        <v>282127.8653</v>
      </c>
      <c r="I461" s="114">
        <v>3308</v>
      </c>
      <c r="J461" s="115">
        <v>0.00350694444444444</v>
      </c>
      <c r="K461" s="114">
        <v>3.15</v>
      </c>
      <c r="L461" s="114">
        <v>166</v>
      </c>
      <c r="M461" s="114">
        <v>33794598</v>
      </c>
      <c r="N461" s="114">
        <v>6.95</v>
      </c>
      <c r="O461" s="114">
        <v>2211089</v>
      </c>
      <c r="P461" s="114">
        <v>771381</v>
      </c>
      <c r="Q461" s="114">
        <v>1379089</v>
      </c>
      <c r="R461" s="114">
        <v>1175274</v>
      </c>
      <c r="S461" s="114">
        <v>203815</v>
      </c>
      <c r="T461" s="114">
        <v>5701</v>
      </c>
      <c r="U461" s="114">
        <v>2393</v>
      </c>
      <c r="V461" s="114">
        <v>16115</v>
      </c>
      <c r="W461" s="114">
        <v>930</v>
      </c>
      <c r="X461" s="114">
        <v>5158</v>
      </c>
      <c r="Y461" s="114">
        <v>6726</v>
      </c>
      <c r="Z461" s="114">
        <v>14379613.86</v>
      </c>
      <c r="AA461" s="114">
        <v>0</v>
      </c>
      <c r="AB461" s="114">
        <v>3</v>
      </c>
      <c r="AC461" s="114">
        <v>748192.95</v>
      </c>
      <c r="AD461" s="114">
        <v>13606327.85</v>
      </c>
      <c r="AE461" s="114">
        <v>24614907.65</v>
      </c>
      <c r="AF461" s="114">
        <v>2730399</v>
      </c>
      <c r="AG461" s="114">
        <v>9015.132</v>
      </c>
      <c r="AH461" s="114">
        <v>2010806</v>
      </c>
      <c r="AI461" s="114">
        <v>4347.976</v>
      </c>
      <c r="AJ461" s="114">
        <v>704</v>
      </c>
      <c r="AK461" s="114">
        <v>34830</v>
      </c>
      <c r="AL461" s="114">
        <v>53323.129</v>
      </c>
      <c r="AM461" s="114">
        <v>3</v>
      </c>
      <c r="AN461" s="114">
        <v>55332</v>
      </c>
      <c r="AO461" s="114">
        <v>5998.7869</v>
      </c>
      <c r="AP461" s="114">
        <v>380.5514</v>
      </c>
      <c r="AQ461" s="114">
        <v>1243</v>
      </c>
      <c r="AR461" s="114">
        <v>4946</v>
      </c>
      <c r="AS461" s="114">
        <v>7700</v>
      </c>
      <c r="AT461" s="114">
        <v>1</v>
      </c>
      <c r="AU461" s="114">
        <v>6038</v>
      </c>
      <c r="AV461" s="114">
        <v>0</v>
      </c>
      <c r="AW461" s="114">
        <v>0</v>
      </c>
      <c r="AX461" s="114">
        <v>0</v>
      </c>
      <c r="AY461" s="114">
        <v>0</v>
      </c>
      <c r="AZ461" s="114">
        <v>55</v>
      </c>
      <c r="BA461" s="114">
        <v>3454</v>
      </c>
      <c r="BB461" s="116"/>
      <c r="BC461" s="116"/>
      <c r="BD461" s="116"/>
      <c r="BE461" s="116"/>
      <c r="BF461" s="116"/>
      <c r="BG461" s="116"/>
      <c r="BH461" s="116"/>
      <c r="BI461" s="116"/>
      <c r="BJ461" s="117">
        <v>1052709</v>
      </c>
      <c r="BK461" s="117">
        <v>3308</v>
      </c>
      <c r="BL461" s="117">
        <v>2452177</v>
      </c>
      <c r="BM461" s="118">
        <v>11589770</v>
      </c>
      <c r="BN461" s="118"/>
      <c r="BO461" s="120">
        <v>0.734</v>
      </c>
      <c r="BP461" s="120">
        <v>0.266</v>
      </c>
      <c r="BQ461" s="120">
        <v>0</v>
      </c>
      <c r="BR461" s="120">
        <v>0.016</v>
      </c>
      <c r="BS461" s="120">
        <v>0.071</v>
      </c>
      <c r="BT461" s="120">
        <v>0.291</v>
      </c>
      <c r="BU461" s="120">
        <v>0.215</v>
      </c>
      <c r="BV461" s="120">
        <v>0.185</v>
      </c>
      <c r="BW461" s="120">
        <v>0.143</v>
      </c>
      <c r="BX461" s="120">
        <v>0.079</v>
      </c>
    </row>
    <row r="462" s="96" customFormat="1" ht="15.75" customHeight="1" spans="1:76">
      <c r="A462" s="111">
        <v>461</v>
      </c>
      <c r="B462" s="112" t="s">
        <v>46</v>
      </c>
      <c r="C462" s="112" t="s">
        <v>52</v>
      </c>
      <c r="D462" s="111">
        <v>2026</v>
      </c>
      <c r="E462" s="113" t="s">
        <v>36</v>
      </c>
      <c r="F462" s="114">
        <v>2725328</v>
      </c>
      <c r="G462" s="114">
        <v>2623388</v>
      </c>
      <c r="H462" s="114">
        <v>168955.6286</v>
      </c>
      <c r="I462" s="114">
        <v>3327</v>
      </c>
      <c r="J462" s="115">
        <v>0.00267361111111111</v>
      </c>
      <c r="K462" s="114">
        <v>2.56</v>
      </c>
      <c r="L462" s="114">
        <v>324</v>
      </c>
      <c r="M462" s="114">
        <v>26357095</v>
      </c>
      <c r="N462" s="114">
        <v>7.08</v>
      </c>
      <c r="O462" s="114">
        <v>1852456</v>
      </c>
      <c r="P462" s="114">
        <v>729641</v>
      </c>
      <c r="Q462" s="114">
        <v>1064947</v>
      </c>
      <c r="R462" s="114">
        <v>891771</v>
      </c>
      <c r="S462" s="114">
        <v>173176</v>
      </c>
      <c r="T462" s="114">
        <v>5279</v>
      </c>
      <c r="U462" s="114">
        <v>1952</v>
      </c>
      <c r="V462" s="114">
        <v>15052</v>
      </c>
      <c r="W462" s="114">
        <v>754</v>
      </c>
      <c r="X462" s="114">
        <v>6031</v>
      </c>
      <c r="Y462" s="114">
        <v>7354</v>
      </c>
      <c r="Z462" s="114">
        <v>11896327.62</v>
      </c>
      <c r="AA462" s="114">
        <v>0</v>
      </c>
      <c r="AB462" s="114">
        <v>5</v>
      </c>
      <c r="AC462" s="114">
        <v>478776.544</v>
      </c>
      <c r="AD462" s="114">
        <v>11376658.62</v>
      </c>
      <c r="AE462" s="114">
        <v>20615238.86</v>
      </c>
      <c r="AF462" s="114">
        <v>2035009</v>
      </c>
      <c r="AG462" s="114">
        <v>10130.294</v>
      </c>
      <c r="AH462" s="114">
        <v>1511233</v>
      </c>
      <c r="AI462" s="114">
        <v>4553.24</v>
      </c>
      <c r="AJ462" s="114">
        <v>442</v>
      </c>
      <c r="AK462" s="114">
        <v>32415</v>
      </c>
      <c r="AL462" s="114">
        <v>320124.206</v>
      </c>
      <c r="AM462" s="114">
        <v>5</v>
      </c>
      <c r="AN462" s="114">
        <v>45567</v>
      </c>
      <c r="AO462" s="114">
        <v>3886.8091</v>
      </c>
      <c r="AP462" s="114">
        <v>176.3082</v>
      </c>
      <c r="AQ462" s="114">
        <v>485</v>
      </c>
      <c r="AR462" s="114">
        <v>3671</v>
      </c>
      <c r="AS462" s="114">
        <v>26785</v>
      </c>
      <c r="AT462" s="114">
        <v>5</v>
      </c>
      <c r="AU462" s="114">
        <v>3639</v>
      </c>
      <c r="AV462" s="114">
        <v>0</v>
      </c>
      <c r="AW462" s="114">
        <v>0</v>
      </c>
      <c r="AX462" s="114">
        <v>0</v>
      </c>
      <c r="AY462" s="114">
        <v>1</v>
      </c>
      <c r="AZ462" s="114">
        <v>26</v>
      </c>
      <c r="BA462" s="114">
        <v>1766</v>
      </c>
      <c r="BB462" s="116"/>
      <c r="BC462" s="116"/>
      <c r="BD462" s="116"/>
      <c r="BE462" s="116"/>
      <c r="BF462" s="116"/>
      <c r="BG462" s="116"/>
      <c r="BH462" s="116"/>
      <c r="BI462" s="116"/>
      <c r="BJ462" s="117">
        <v>1056037</v>
      </c>
      <c r="BK462" s="117">
        <v>3327</v>
      </c>
      <c r="BL462" s="117">
        <v>1523057</v>
      </c>
      <c r="BM462" s="118">
        <v>7587397</v>
      </c>
      <c r="BN462" s="118"/>
      <c r="BO462" s="120">
        <v>0.693</v>
      </c>
      <c r="BP462" s="120">
        <v>0.306</v>
      </c>
      <c r="BQ462" s="120">
        <v>0</v>
      </c>
      <c r="BR462" s="120">
        <v>0.016</v>
      </c>
      <c r="BS462" s="120">
        <v>0.073</v>
      </c>
      <c r="BT462" s="120">
        <v>0.304</v>
      </c>
      <c r="BU462" s="120">
        <v>0.221</v>
      </c>
      <c r="BV462" s="120">
        <v>0.172</v>
      </c>
      <c r="BW462" s="120">
        <v>0.137</v>
      </c>
      <c r="BX462" s="120">
        <v>0.078</v>
      </c>
    </row>
    <row r="463" s="96" customFormat="1" ht="15.75" customHeight="1" spans="1:76">
      <c r="A463" s="111">
        <v>462</v>
      </c>
      <c r="B463" s="96" t="s">
        <v>46</v>
      </c>
      <c r="C463" s="96" t="s">
        <v>52</v>
      </c>
      <c r="D463" s="122">
        <v>2026</v>
      </c>
      <c r="E463" s="96" t="s">
        <v>37</v>
      </c>
      <c r="F463" s="123">
        <v>3313013</v>
      </c>
      <c r="G463" s="123">
        <v>3220952</v>
      </c>
      <c r="H463" s="123">
        <v>208933</v>
      </c>
      <c r="I463" s="123">
        <v>3331</v>
      </c>
      <c r="J463" s="124">
        <v>0.00269675925925926</v>
      </c>
      <c r="K463" s="125">
        <v>8</v>
      </c>
      <c r="L463" s="125">
        <v>420</v>
      </c>
      <c r="M463" s="123">
        <v>33926547</v>
      </c>
      <c r="N463" s="125">
        <v>7</v>
      </c>
      <c r="O463" s="123">
        <v>2213294</v>
      </c>
      <c r="P463" s="123">
        <v>722512</v>
      </c>
      <c r="Q463" s="123">
        <v>1346649</v>
      </c>
      <c r="R463" s="123">
        <v>1108280</v>
      </c>
      <c r="S463" s="123">
        <v>238369</v>
      </c>
      <c r="T463" s="123">
        <v>5331</v>
      </c>
      <c r="U463" s="123">
        <v>2000</v>
      </c>
      <c r="V463" s="123">
        <v>16171</v>
      </c>
      <c r="W463" s="123">
        <v>1319</v>
      </c>
      <c r="X463" s="123">
        <v>5529</v>
      </c>
      <c r="Y463" s="123">
        <v>12270</v>
      </c>
      <c r="Z463" s="123">
        <v>14579471</v>
      </c>
      <c r="AA463" s="125">
        <v>0</v>
      </c>
      <c r="AB463" s="125">
        <v>8</v>
      </c>
      <c r="AC463" s="123">
        <v>657318</v>
      </c>
      <c r="AD463" s="123">
        <v>13871648</v>
      </c>
      <c r="AE463" s="123">
        <v>25209363</v>
      </c>
      <c r="AF463" s="123">
        <v>2591335</v>
      </c>
      <c r="AG463" s="123">
        <v>9728</v>
      </c>
      <c r="AH463" s="123">
        <v>2014695</v>
      </c>
      <c r="AI463" s="123">
        <v>4525</v>
      </c>
      <c r="AJ463" s="125">
        <v>208</v>
      </c>
      <c r="AK463" s="123">
        <v>16844</v>
      </c>
      <c r="AL463" s="123">
        <v>458425</v>
      </c>
      <c r="AM463" s="125">
        <v>6</v>
      </c>
      <c r="AN463" s="123">
        <v>60808</v>
      </c>
      <c r="AO463" s="123">
        <v>5049</v>
      </c>
      <c r="AP463" s="125">
        <v>127</v>
      </c>
      <c r="AQ463" s="125">
        <v>433</v>
      </c>
      <c r="AR463" s="123">
        <v>4050</v>
      </c>
      <c r="AS463" s="123">
        <v>3053</v>
      </c>
      <c r="AT463" s="125">
        <v>4</v>
      </c>
      <c r="AU463" s="123">
        <v>6224</v>
      </c>
      <c r="AV463" s="125">
        <v>0</v>
      </c>
      <c r="AW463" s="125">
        <v>0</v>
      </c>
      <c r="AX463" s="125">
        <v>0</v>
      </c>
      <c r="AY463" s="125">
        <v>1</v>
      </c>
      <c r="AZ463" s="125">
        <v>74</v>
      </c>
      <c r="BA463" s="123">
        <v>1308</v>
      </c>
      <c r="BB463" s="125"/>
      <c r="BC463" s="125"/>
      <c r="BD463" s="125"/>
      <c r="BE463" s="125"/>
      <c r="BF463" s="125"/>
      <c r="BG463" s="125"/>
      <c r="BH463" s="125"/>
      <c r="BI463" s="125"/>
      <c r="BJ463" s="117">
        <v>1059368</v>
      </c>
      <c r="BK463" s="117">
        <v>3331</v>
      </c>
      <c r="BL463" s="117">
        <v>2585875</v>
      </c>
      <c r="BM463" s="118">
        <v>12728933</v>
      </c>
      <c r="BN463" s="118"/>
      <c r="BO463" s="120">
        <v>0.717</v>
      </c>
      <c r="BP463" s="120">
        <v>0.282</v>
      </c>
      <c r="BQ463" s="120">
        <v>0</v>
      </c>
      <c r="BR463" s="120">
        <v>0.012</v>
      </c>
      <c r="BS463" s="120">
        <v>0.064</v>
      </c>
      <c r="BT463" s="120">
        <v>0.274</v>
      </c>
      <c r="BU463" s="120">
        <v>0.216</v>
      </c>
      <c r="BV463" s="120">
        <v>0.185</v>
      </c>
      <c r="BW463" s="120">
        <v>0.158</v>
      </c>
      <c r="BX463" s="120">
        <v>0.09</v>
      </c>
    </row>
    <row r="464" s="96" customFormat="1" ht="15.75" customHeight="1" spans="1:76">
      <c r="A464" s="111">
        <v>463</v>
      </c>
      <c r="B464" s="96" t="s">
        <v>46</v>
      </c>
      <c r="C464" s="96" t="s">
        <v>52</v>
      </c>
      <c r="D464" s="122">
        <v>2026</v>
      </c>
      <c r="E464" s="96" t="s">
        <v>38</v>
      </c>
      <c r="F464" s="126">
        <v>6440036</v>
      </c>
      <c r="G464" s="126">
        <v>6350338</v>
      </c>
      <c r="H464" s="126">
        <v>446616</v>
      </c>
      <c r="I464" s="126">
        <v>7696</v>
      </c>
      <c r="J464" s="127">
        <v>0.00292824074074074</v>
      </c>
      <c r="K464" s="128">
        <v>4</v>
      </c>
      <c r="L464" s="128">
        <v>602</v>
      </c>
      <c r="M464" s="126">
        <v>56845139</v>
      </c>
      <c r="N464" s="128">
        <v>9</v>
      </c>
      <c r="O464" s="126">
        <v>3785665</v>
      </c>
      <c r="P464" s="126">
        <v>1345035</v>
      </c>
      <c r="Q464" s="126">
        <v>2073993</v>
      </c>
      <c r="R464" s="126">
        <v>1715376</v>
      </c>
      <c r="S464" s="126">
        <v>358617</v>
      </c>
      <c r="T464" s="126">
        <v>10078</v>
      </c>
      <c r="U464" s="126">
        <v>2382</v>
      </c>
      <c r="V464" s="126">
        <v>29553</v>
      </c>
      <c r="W464" s="126">
        <v>2011</v>
      </c>
      <c r="X464" s="126">
        <v>7327</v>
      </c>
      <c r="Y464" s="126">
        <v>16509</v>
      </c>
      <c r="Z464" s="126">
        <v>33178357</v>
      </c>
      <c r="AA464" s="126">
        <v>15371</v>
      </c>
      <c r="AB464" s="128">
        <v>6</v>
      </c>
      <c r="AC464" s="126">
        <v>1378884</v>
      </c>
      <c r="AD464" s="126">
        <v>31744129</v>
      </c>
      <c r="AE464" s="126">
        <v>57665754</v>
      </c>
      <c r="AF464" s="126">
        <v>5756195</v>
      </c>
      <c r="AG464" s="126">
        <v>10018</v>
      </c>
      <c r="AH464" s="126">
        <v>4313505</v>
      </c>
      <c r="AI464" s="126">
        <v>5238</v>
      </c>
      <c r="AJ464" s="128">
        <v>742</v>
      </c>
      <c r="AK464" s="126">
        <v>44812</v>
      </c>
      <c r="AL464" s="126">
        <v>271921</v>
      </c>
      <c r="AM464" s="128">
        <v>5</v>
      </c>
      <c r="AN464" s="126">
        <v>124627</v>
      </c>
      <c r="AO464" s="126">
        <v>10513</v>
      </c>
      <c r="AP464" s="128">
        <v>298</v>
      </c>
      <c r="AQ464" s="126">
        <v>2035</v>
      </c>
      <c r="AR464" s="126">
        <v>74177</v>
      </c>
      <c r="AS464" s="126">
        <v>33164</v>
      </c>
      <c r="AT464" s="128">
        <v>6</v>
      </c>
      <c r="AU464" s="126">
        <v>20172</v>
      </c>
      <c r="AV464" s="128">
        <v>0</v>
      </c>
      <c r="AW464" s="128">
        <v>0</v>
      </c>
      <c r="AX464" s="128">
        <v>0</v>
      </c>
      <c r="AY464" s="128">
        <v>0</v>
      </c>
      <c r="AZ464" s="128">
        <v>45</v>
      </c>
      <c r="BA464" s="126">
        <v>1950</v>
      </c>
      <c r="BB464" s="129"/>
      <c r="BC464" s="129"/>
      <c r="BD464" s="129"/>
      <c r="BE464" s="129"/>
      <c r="BF464" s="129"/>
      <c r="BG464" s="129"/>
      <c r="BH464" s="129"/>
      <c r="BI464" s="129"/>
      <c r="BJ464" s="130">
        <v>1067064</v>
      </c>
      <c r="BK464" s="130">
        <v>7696</v>
      </c>
      <c r="BL464" s="130">
        <v>5626660</v>
      </c>
      <c r="BM464" s="131">
        <v>30730916</v>
      </c>
      <c r="BN464" s="131"/>
      <c r="BO464" s="132">
        <v>0.752</v>
      </c>
      <c r="BP464" s="132">
        <v>0.247</v>
      </c>
      <c r="BQ464" s="132">
        <v>0.001</v>
      </c>
      <c r="BR464" s="132">
        <v>0.011</v>
      </c>
      <c r="BS464" s="132">
        <v>0.057</v>
      </c>
      <c r="BT464" s="132">
        <v>0.272</v>
      </c>
      <c r="BU464" s="132">
        <v>0.217</v>
      </c>
      <c r="BV464" s="132">
        <v>0.189</v>
      </c>
      <c r="BW464" s="132">
        <v>0.164</v>
      </c>
      <c r="BX464" s="119"/>
    </row>
    <row r="465" s="96" customFormat="1" ht="15.75" customHeight="1" spans="1:76">
      <c r="A465" s="111">
        <v>464</v>
      </c>
      <c r="B465" s="96" t="s">
        <v>46</v>
      </c>
      <c r="C465" s="96" t="s">
        <v>52</v>
      </c>
      <c r="D465" s="122">
        <v>2026</v>
      </c>
      <c r="E465" s="96" t="s">
        <v>39</v>
      </c>
      <c r="F465" s="128"/>
      <c r="G465" s="128"/>
      <c r="H465" s="128"/>
      <c r="I465" s="128"/>
      <c r="J465" s="127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9"/>
      <c r="BC465" s="129"/>
      <c r="BD465" s="129"/>
      <c r="BE465" s="129"/>
      <c r="BF465" s="129"/>
      <c r="BG465" s="129"/>
      <c r="BH465" s="129"/>
      <c r="BI465" s="129"/>
      <c r="BJ465" s="119"/>
      <c r="BK465" s="119"/>
      <c r="BL465" s="119"/>
      <c r="BM465" s="131"/>
      <c r="BN465" s="131"/>
      <c r="BO465" s="119"/>
      <c r="BP465" s="119"/>
      <c r="BQ465" s="119"/>
      <c r="BR465" s="119"/>
      <c r="BS465" s="119"/>
      <c r="BT465" s="119"/>
      <c r="BU465" s="119"/>
      <c r="BV465" s="119"/>
      <c r="BW465" s="119"/>
      <c r="BX465" s="119"/>
    </row>
    <row r="466" s="96" customFormat="1" ht="15.75" customHeight="1" spans="1:76">
      <c r="A466" s="111">
        <v>465</v>
      </c>
      <c r="B466" s="96" t="s">
        <v>46</v>
      </c>
      <c r="C466" s="96" t="s">
        <v>52</v>
      </c>
      <c r="D466" s="122">
        <v>2026</v>
      </c>
      <c r="E466" s="96" t="s">
        <v>40</v>
      </c>
      <c r="F466" s="128"/>
      <c r="G466" s="128"/>
      <c r="H466" s="128"/>
      <c r="I466" s="128"/>
      <c r="J466" s="127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9"/>
      <c r="BC466" s="129"/>
      <c r="BD466" s="129"/>
      <c r="BE466" s="129"/>
      <c r="BF466" s="129"/>
      <c r="BG466" s="129"/>
      <c r="BH466" s="129"/>
      <c r="BI466" s="129"/>
      <c r="BJ466" s="119"/>
      <c r="BK466" s="119"/>
      <c r="BL466" s="119"/>
      <c r="BM466" s="131"/>
      <c r="BN466" s="131"/>
      <c r="BO466" s="119"/>
      <c r="BP466" s="119"/>
      <c r="BQ466" s="119"/>
      <c r="BR466" s="119"/>
      <c r="BS466" s="119"/>
      <c r="BT466" s="119"/>
      <c r="BU466" s="119"/>
      <c r="BV466" s="119"/>
      <c r="BW466" s="119"/>
      <c r="BX466" s="119"/>
    </row>
    <row r="467" s="96" customFormat="1" ht="15.75" customHeight="1" spans="1:76">
      <c r="A467" s="111">
        <v>466</v>
      </c>
      <c r="B467" s="96" t="s">
        <v>46</v>
      </c>
      <c r="C467" s="96" t="s">
        <v>52</v>
      </c>
      <c r="D467" s="122">
        <v>2026</v>
      </c>
      <c r="E467" s="96" t="s">
        <v>41</v>
      </c>
      <c r="F467" s="128"/>
      <c r="G467" s="128"/>
      <c r="H467" s="128"/>
      <c r="I467" s="128"/>
      <c r="J467" s="127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9"/>
      <c r="BC467" s="129"/>
      <c r="BD467" s="129"/>
      <c r="BE467" s="129"/>
      <c r="BF467" s="129"/>
      <c r="BG467" s="129"/>
      <c r="BH467" s="129"/>
      <c r="BI467" s="129"/>
      <c r="BJ467" s="119"/>
      <c r="BK467" s="119"/>
      <c r="BL467" s="119"/>
      <c r="BM467" s="131"/>
      <c r="BN467" s="131"/>
      <c r="BO467" s="119"/>
      <c r="BP467" s="119"/>
      <c r="BQ467" s="119"/>
      <c r="BR467" s="119"/>
      <c r="BS467" s="119"/>
      <c r="BT467" s="119"/>
      <c r="BU467" s="119"/>
      <c r="BV467" s="119"/>
      <c r="BW467" s="119"/>
      <c r="BX467" s="119"/>
    </row>
    <row r="468" s="96" customFormat="1" ht="15.75" customHeight="1" spans="1:76">
      <c r="A468" s="111">
        <v>467</v>
      </c>
      <c r="B468" s="96" t="s">
        <v>46</v>
      </c>
      <c r="C468" s="96" t="s">
        <v>52</v>
      </c>
      <c r="D468" s="122">
        <v>2026</v>
      </c>
      <c r="E468" s="96" t="s">
        <v>42</v>
      </c>
      <c r="F468" s="128"/>
      <c r="G468" s="128"/>
      <c r="H468" s="128"/>
      <c r="I468" s="128"/>
      <c r="J468" s="127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9"/>
      <c r="BC468" s="129"/>
      <c r="BD468" s="129"/>
      <c r="BE468" s="129"/>
      <c r="BF468" s="129"/>
      <c r="BG468" s="129"/>
      <c r="BH468" s="129"/>
      <c r="BI468" s="129"/>
      <c r="BJ468" s="119"/>
      <c r="BK468" s="119"/>
      <c r="BL468" s="119"/>
      <c r="BM468" s="131"/>
      <c r="BN468" s="131"/>
      <c r="BO468" s="119"/>
      <c r="BP468" s="119"/>
      <c r="BQ468" s="119"/>
      <c r="BR468" s="119"/>
      <c r="BS468" s="119"/>
      <c r="BT468" s="119"/>
      <c r="BU468" s="119"/>
      <c r="BV468" s="119"/>
      <c r="BW468" s="119"/>
      <c r="BX468" s="119"/>
    </row>
    <row r="469" s="96" customFormat="1" ht="15.75" customHeight="1" spans="1:76">
      <c r="A469" s="111">
        <v>468</v>
      </c>
      <c r="B469" s="96" t="s">
        <v>46</v>
      </c>
      <c r="C469" s="96" t="s">
        <v>52</v>
      </c>
      <c r="D469" s="122">
        <v>2026</v>
      </c>
      <c r="E469" s="96" t="s">
        <v>43</v>
      </c>
      <c r="F469" s="128"/>
      <c r="G469" s="128"/>
      <c r="H469" s="128"/>
      <c r="I469" s="128"/>
      <c r="J469" s="127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9"/>
      <c r="BC469" s="129"/>
      <c r="BD469" s="129"/>
      <c r="BE469" s="129"/>
      <c r="BF469" s="129"/>
      <c r="BG469" s="129"/>
      <c r="BH469" s="129"/>
      <c r="BI469" s="129"/>
      <c r="BJ469" s="119"/>
      <c r="BK469" s="119"/>
      <c r="BL469" s="119"/>
      <c r="BM469" s="131"/>
      <c r="BN469" s="131"/>
      <c r="BO469" s="119"/>
      <c r="BP469" s="119"/>
      <c r="BQ469" s="119"/>
      <c r="BR469" s="119"/>
      <c r="BS469" s="119"/>
      <c r="BT469" s="119"/>
      <c r="BU469" s="119"/>
      <c r="BV469" s="119"/>
      <c r="BW469" s="119"/>
      <c r="BX469" s="119"/>
    </row>
    <row r="470" s="96" customFormat="1" ht="15.75" customHeight="1" spans="1:76">
      <c r="A470" s="111">
        <v>469</v>
      </c>
      <c r="B470" s="112" t="s">
        <v>46</v>
      </c>
      <c r="C470" s="112" t="s">
        <v>140</v>
      </c>
      <c r="D470" s="111">
        <v>2024</v>
      </c>
      <c r="E470" s="113" t="s">
        <v>31</v>
      </c>
      <c r="F470" s="114">
        <v>360784</v>
      </c>
      <c r="G470" s="114">
        <v>360784</v>
      </c>
      <c r="H470" s="114">
        <v>22577.5181</v>
      </c>
      <c r="I470" s="114">
        <v>1407</v>
      </c>
      <c r="J470" s="115">
        <v>0.00260416666666667</v>
      </c>
      <c r="K470" s="114">
        <v>11.01</v>
      </c>
      <c r="L470" s="114">
        <v>39</v>
      </c>
      <c r="M470" s="114">
        <v>3404237</v>
      </c>
      <c r="N470" s="114">
        <v>7.27</v>
      </c>
      <c r="O470" s="114">
        <v>293563</v>
      </c>
      <c r="P470" s="114">
        <v>207383</v>
      </c>
      <c r="Q470" s="114">
        <v>86180</v>
      </c>
      <c r="R470" s="114">
        <v>86180</v>
      </c>
      <c r="S470" s="114">
        <v>0</v>
      </c>
      <c r="T470" s="114">
        <v>2099</v>
      </c>
      <c r="U470" s="114">
        <v>692</v>
      </c>
      <c r="V470" s="114">
        <v>3645</v>
      </c>
      <c r="W470" s="114">
        <v>206</v>
      </c>
      <c r="X470" s="114">
        <v>1411</v>
      </c>
      <c r="Y470" s="114">
        <v>584</v>
      </c>
      <c r="Z470" s="114">
        <v>1131240.734</v>
      </c>
      <c r="AA470" s="114">
        <v>0</v>
      </c>
      <c r="AB470" s="114">
        <v>0</v>
      </c>
      <c r="AC470" s="114">
        <v>38430.55</v>
      </c>
      <c r="AD470" s="114">
        <v>1083187.078</v>
      </c>
      <c r="AE470" s="114">
        <v>1969577.443</v>
      </c>
      <c r="AF470" s="114">
        <v>254681</v>
      </c>
      <c r="AG470" s="114">
        <v>7733.508</v>
      </c>
      <c r="AH470" s="114">
        <v>224678</v>
      </c>
      <c r="AI470" s="114">
        <v>3135.507</v>
      </c>
      <c r="AJ470" s="114">
        <v>0</v>
      </c>
      <c r="AK470" s="114">
        <v>0</v>
      </c>
      <c r="AL470" s="114">
        <v>0</v>
      </c>
      <c r="AM470" s="114">
        <v>0</v>
      </c>
      <c r="AN470" s="114">
        <v>5289</v>
      </c>
      <c r="AO470" s="114">
        <v>395.1108</v>
      </c>
      <c r="AP470" s="114">
        <v>20.1884</v>
      </c>
      <c r="AQ470" s="114">
        <v>81</v>
      </c>
      <c r="AR470" s="114">
        <v>1388</v>
      </c>
      <c r="AS470" s="114">
        <v>306</v>
      </c>
      <c r="AT470" s="114"/>
      <c r="AU470" s="114">
        <v>41</v>
      </c>
      <c r="AV470" s="114">
        <v>0</v>
      </c>
      <c r="AW470" s="114">
        <v>0</v>
      </c>
      <c r="AX470" s="114">
        <v>0</v>
      </c>
      <c r="AY470" s="114">
        <v>0</v>
      </c>
      <c r="AZ470" s="114">
        <v>6</v>
      </c>
      <c r="BA470" s="114">
        <v>190</v>
      </c>
      <c r="BB470" s="116"/>
      <c r="BC470" s="116"/>
      <c r="BD470" s="116"/>
      <c r="BE470" s="116"/>
      <c r="BF470" s="116"/>
      <c r="BG470" s="116"/>
      <c r="BH470" s="116"/>
      <c r="BI470" s="116"/>
      <c r="BJ470" s="117">
        <v>595208</v>
      </c>
      <c r="BK470" s="117">
        <v>1407</v>
      </c>
      <c r="BL470" s="119"/>
      <c r="BM470" s="118">
        <v>0</v>
      </c>
      <c r="BN470" s="131"/>
      <c r="BO470" s="119"/>
      <c r="BP470" s="119"/>
      <c r="BQ470" s="119"/>
      <c r="BR470" s="119"/>
      <c r="BS470" s="119"/>
      <c r="BT470" s="119"/>
      <c r="BU470" s="119"/>
      <c r="BV470" s="119"/>
      <c r="BW470" s="119"/>
      <c r="BX470" s="119"/>
    </row>
    <row r="471" s="96" customFormat="1" ht="15.75" customHeight="1" spans="1:76">
      <c r="A471" s="111">
        <v>470</v>
      </c>
      <c r="B471" s="112" t="s">
        <v>46</v>
      </c>
      <c r="C471" s="112" t="s">
        <v>140</v>
      </c>
      <c r="D471" s="111">
        <v>2024</v>
      </c>
      <c r="E471" s="113" t="s">
        <v>33</v>
      </c>
      <c r="F471" s="114">
        <v>452203</v>
      </c>
      <c r="G471" s="114">
        <v>452203</v>
      </c>
      <c r="H471" s="114">
        <v>29019.4726</v>
      </c>
      <c r="I471" s="114">
        <v>2029</v>
      </c>
      <c r="J471" s="115">
        <v>0.00267361111111111</v>
      </c>
      <c r="K471" s="114">
        <v>24.14</v>
      </c>
      <c r="L471" s="114">
        <v>44</v>
      </c>
      <c r="M471" s="114">
        <v>4199662</v>
      </c>
      <c r="N471" s="114">
        <v>6.93</v>
      </c>
      <c r="O471" s="114">
        <v>353932</v>
      </c>
      <c r="P471" s="114">
        <v>249850</v>
      </c>
      <c r="Q471" s="114">
        <v>104032</v>
      </c>
      <c r="R471" s="114">
        <v>104032</v>
      </c>
      <c r="S471" s="114">
        <v>0</v>
      </c>
      <c r="T471" s="114">
        <v>2773</v>
      </c>
      <c r="U471" s="114">
        <v>744</v>
      </c>
      <c r="V471" s="114">
        <v>4697</v>
      </c>
      <c r="W471" s="114">
        <v>224</v>
      </c>
      <c r="X471" s="114">
        <v>1407</v>
      </c>
      <c r="Y471" s="114">
        <v>491</v>
      </c>
      <c r="Z471" s="114">
        <v>1858447.45</v>
      </c>
      <c r="AA471" s="114">
        <v>0</v>
      </c>
      <c r="AB471" s="114">
        <v>0</v>
      </c>
      <c r="AC471" s="114">
        <v>51327.603</v>
      </c>
      <c r="AD471" s="114">
        <v>1794362.878</v>
      </c>
      <c r="AE471" s="114">
        <v>3274340.871</v>
      </c>
      <c r="AF471" s="114">
        <v>413561</v>
      </c>
      <c r="AG471" s="114">
        <v>7917.431</v>
      </c>
      <c r="AH471" s="114">
        <v>362010</v>
      </c>
      <c r="AI471" s="114">
        <v>4109.764</v>
      </c>
      <c r="AJ471" s="114">
        <v>0</v>
      </c>
      <c r="AK471" s="114">
        <v>0</v>
      </c>
      <c r="AL471" s="114">
        <v>0</v>
      </c>
      <c r="AM471" s="114">
        <v>0</v>
      </c>
      <c r="AN471" s="114">
        <v>6972</v>
      </c>
      <c r="AO471" s="114">
        <v>455.923</v>
      </c>
      <c r="AP471" s="114">
        <v>18.5046</v>
      </c>
      <c r="AQ471" s="114">
        <v>55</v>
      </c>
      <c r="AR471" s="114">
        <v>192</v>
      </c>
      <c r="AS471" s="114">
        <v>284</v>
      </c>
      <c r="AT471" s="114">
        <v>1</v>
      </c>
      <c r="AU471" s="114">
        <v>68</v>
      </c>
      <c r="AV471" s="114">
        <v>5</v>
      </c>
      <c r="AW471" s="114">
        <v>0.1633</v>
      </c>
      <c r="AX471" s="114">
        <v>0</v>
      </c>
      <c r="AY471" s="114">
        <v>0</v>
      </c>
      <c r="AZ471" s="114">
        <v>9</v>
      </c>
      <c r="BA471" s="114">
        <v>227</v>
      </c>
      <c r="BB471" s="116"/>
      <c r="BC471" s="116"/>
      <c r="BD471" s="116"/>
      <c r="BE471" s="116"/>
      <c r="BF471" s="116"/>
      <c r="BG471" s="116"/>
      <c r="BH471" s="116"/>
      <c r="BI471" s="116"/>
      <c r="BJ471" s="117">
        <v>597237</v>
      </c>
      <c r="BK471" s="117">
        <v>2029</v>
      </c>
      <c r="BL471" s="119"/>
      <c r="BM471" s="118">
        <v>0</v>
      </c>
      <c r="BN471" s="131"/>
      <c r="BO471" s="119"/>
      <c r="BP471" s="119"/>
      <c r="BQ471" s="119"/>
      <c r="BR471" s="119"/>
      <c r="BS471" s="119"/>
      <c r="BT471" s="119"/>
      <c r="BU471" s="119"/>
      <c r="BV471" s="119"/>
      <c r="BW471" s="119"/>
      <c r="BX471" s="119"/>
    </row>
    <row r="472" s="96" customFormat="1" ht="15.75" customHeight="1" spans="1:76">
      <c r="A472" s="111">
        <v>471</v>
      </c>
      <c r="B472" s="112" t="s">
        <v>46</v>
      </c>
      <c r="C472" s="112" t="s">
        <v>140</v>
      </c>
      <c r="D472" s="111">
        <v>2024</v>
      </c>
      <c r="E472" s="113" t="s">
        <v>34</v>
      </c>
      <c r="F472" s="114">
        <v>344608</v>
      </c>
      <c r="G472" s="114">
        <v>344608</v>
      </c>
      <c r="H472" s="114">
        <v>22052.0839</v>
      </c>
      <c r="I472" s="114">
        <v>1165</v>
      </c>
      <c r="J472" s="115">
        <v>0.00266203703703704</v>
      </c>
      <c r="K472" s="114">
        <v>33.87</v>
      </c>
      <c r="L472" s="114">
        <v>57</v>
      </c>
      <c r="M472" s="114">
        <v>2844473</v>
      </c>
      <c r="N472" s="114">
        <v>7.26</v>
      </c>
      <c r="O472" s="114">
        <v>269495</v>
      </c>
      <c r="P472" s="114">
        <v>202193</v>
      </c>
      <c r="Q472" s="114">
        <v>67302</v>
      </c>
      <c r="R472" s="114">
        <v>67302</v>
      </c>
      <c r="S472" s="114">
        <v>0</v>
      </c>
      <c r="T472" s="114">
        <v>1805</v>
      </c>
      <c r="U472" s="114">
        <v>640</v>
      </c>
      <c r="V472" s="114">
        <v>2676</v>
      </c>
      <c r="W472" s="114">
        <v>191</v>
      </c>
      <c r="X472" s="114">
        <v>797</v>
      </c>
      <c r="Y472" s="114">
        <v>314</v>
      </c>
      <c r="Z472" s="114">
        <v>1743098.64</v>
      </c>
      <c r="AA472" s="114">
        <v>0</v>
      </c>
      <c r="AB472" s="114">
        <v>0</v>
      </c>
      <c r="AC472" s="114">
        <v>34132.575</v>
      </c>
      <c r="AD472" s="114">
        <v>1694726.21</v>
      </c>
      <c r="AE472" s="114">
        <v>3081315.544</v>
      </c>
      <c r="AF472" s="114">
        <v>335871</v>
      </c>
      <c r="AG472" s="114">
        <v>9174.104</v>
      </c>
      <c r="AH472" s="114">
        <v>276681</v>
      </c>
      <c r="AI472" s="114">
        <v>5058.207</v>
      </c>
      <c r="AJ472" s="114">
        <v>0</v>
      </c>
      <c r="AK472" s="114">
        <v>0</v>
      </c>
      <c r="AL472" s="114">
        <v>0</v>
      </c>
      <c r="AM472" s="114">
        <v>0</v>
      </c>
      <c r="AN472" s="114">
        <v>5402</v>
      </c>
      <c r="AO472" s="114">
        <v>357.153</v>
      </c>
      <c r="AP472" s="114">
        <v>7.9781</v>
      </c>
      <c r="AQ472" s="114">
        <v>0</v>
      </c>
      <c r="AR472" s="114">
        <v>11</v>
      </c>
      <c r="AS472" s="114">
        <v>41</v>
      </c>
      <c r="AT472" s="114"/>
      <c r="AU472" s="114">
        <v>77</v>
      </c>
      <c r="AV472" s="114">
        <v>2</v>
      </c>
      <c r="AW472" s="114">
        <v>0.1941</v>
      </c>
      <c r="AX472" s="114">
        <v>0</v>
      </c>
      <c r="AY472" s="114">
        <v>0</v>
      </c>
      <c r="AZ472" s="114">
        <v>30</v>
      </c>
      <c r="BA472" s="114">
        <v>634</v>
      </c>
      <c r="BB472" s="116"/>
      <c r="BC472" s="116"/>
      <c r="BD472" s="116"/>
      <c r="BE472" s="116"/>
      <c r="BF472" s="116"/>
      <c r="BG472" s="116"/>
      <c r="BH472" s="116"/>
      <c r="BI472" s="116"/>
      <c r="BJ472" s="117">
        <v>598402</v>
      </c>
      <c r="BK472" s="117">
        <v>1165</v>
      </c>
      <c r="BL472" s="119"/>
      <c r="BM472" s="118">
        <v>0</v>
      </c>
      <c r="BN472" s="131"/>
      <c r="BO472" s="119"/>
      <c r="BP472" s="119"/>
      <c r="BQ472" s="119"/>
      <c r="BR472" s="119"/>
      <c r="BS472" s="119"/>
      <c r="BT472" s="119"/>
      <c r="BU472" s="119"/>
      <c r="BV472" s="119"/>
      <c r="BW472" s="119"/>
      <c r="BX472" s="119"/>
    </row>
    <row r="473" s="96" customFormat="1" ht="15.75" customHeight="1" spans="1:76">
      <c r="A473" s="111">
        <v>472</v>
      </c>
      <c r="B473" s="112" t="s">
        <v>46</v>
      </c>
      <c r="C473" s="112" t="s">
        <v>140</v>
      </c>
      <c r="D473" s="111">
        <v>2024</v>
      </c>
      <c r="E473" s="113" t="s">
        <v>35</v>
      </c>
      <c r="F473" s="114">
        <v>305537</v>
      </c>
      <c r="G473" s="114">
        <v>305537</v>
      </c>
      <c r="H473" s="114">
        <v>15497.5119</v>
      </c>
      <c r="I473" s="114">
        <v>755</v>
      </c>
      <c r="J473" s="115">
        <v>0.00210648148148148</v>
      </c>
      <c r="K473" s="114">
        <v>32.37</v>
      </c>
      <c r="L473" s="114">
        <v>68</v>
      </c>
      <c r="M473" s="114">
        <v>2033479</v>
      </c>
      <c r="N473" s="114">
        <v>7.52</v>
      </c>
      <c r="O473" s="114">
        <v>225790</v>
      </c>
      <c r="P473" s="114">
        <v>164791</v>
      </c>
      <c r="Q473" s="114">
        <v>60999</v>
      </c>
      <c r="R473" s="114">
        <v>60999</v>
      </c>
      <c r="S473" s="114">
        <v>0</v>
      </c>
      <c r="T473" s="114">
        <v>1369</v>
      </c>
      <c r="U473" s="114">
        <v>614</v>
      </c>
      <c r="V473" s="114">
        <v>2408</v>
      </c>
      <c r="W473" s="114">
        <v>217</v>
      </c>
      <c r="X473" s="114">
        <v>593</v>
      </c>
      <c r="Y473" s="114">
        <v>273</v>
      </c>
      <c r="Z473" s="114">
        <v>957195.82</v>
      </c>
      <c r="AA473" s="114">
        <v>0</v>
      </c>
      <c r="AB473" s="114">
        <v>0</v>
      </c>
      <c r="AC473" s="114">
        <v>27224.991</v>
      </c>
      <c r="AD473" s="114">
        <v>912108.259</v>
      </c>
      <c r="AE473" s="114">
        <v>1658379.293</v>
      </c>
      <c r="AF473" s="114">
        <v>188834</v>
      </c>
      <c r="AG473" s="114">
        <v>8782.207</v>
      </c>
      <c r="AH473" s="114">
        <v>162811</v>
      </c>
      <c r="AI473" s="114">
        <v>3132.833</v>
      </c>
      <c r="AJ473" s="114">
        <v>0</v>
      </c>
      <c r="AK473" s="114">
        <v>0</v>
      </c>
      <c r="AL473" s="114">
        <v>0</v>
      </c>
      <c r="AM473" s="114">
        <v>0</v>
      </c>
      <c r="AN473" s="114">
        <v>4012</v>
      </c>
      <c r="AO473" s="114">
        <v>238.8074</v>
      </c>
      <c r="AP473" s="114">
        <v>6.1021</v>
      </c>
      <c r="AQ473" s="114">
        <v>0</v>
      </c>
      <c r="AR473" s="114">
        <v>5</v>
      </c>
      <c r="AS473" s="114">
        <v>2</v>
      </c>
      <c r="AT473" s="114"/>
      <c r="AU473" s="114">
        <v>47</v>
      </c>
      <c r="AV473" s="114">
        <v>1</v>
      </c>
      <c r="AW473" s="114">
        <v>0.0036</v>
      </c>
      <c r="AX473" s="114">
        <v>0</v>
      </c>
      <c r="AY473" s="114">
        <v>0</v>
      </c>
      <c r="AZ473" s="114">
        <v>103</v>
      </c>
      <c r="BA473" s="114">
        <v>4146</v>
      </c>
      <c r="BB473" s="116"/>
      <c r="BC473" s="116"/>
      <c r="BD473" s="116"/>
      <c r="BE473" s="116"/>
      <c r="BF473" s="116"/>
      <c r="BG473" s="116"/>
      <c r="BH473" s="116"/>
      <c r="BI473" s="116"/>
      <c r="BJ473" s="117">
        <v>599157</v>
      </c>
      <c r="BK473" s="133">
        <v>755</v>
      </c>
      <c r="BL473" s="119"/>
      <c r="BM473" s="118">
        <v>0</v>
      </c>
      <c r="BN473" s="131"/>
      <c r="BO473" s="119"/>
      <c r="BP473" s="119"/>
      <c r="BQ473" s="119"/>
      <c r="BR473" s="119"/>
      <c r="BS473" s="119"/>
      <c r="BT473" s="119"/>
      <c r="BU473" s="119"/>
      <c r="BV473" s="119"/>
      <c r="BW473" s="119"/>
      <c r="BX473" s="119"/>
    </row>
    <row r="474" s="96" customFormat="1" ht="15.75" customHeight="1" spans="1:76">
      <c r="A474" s="111">
        <v>473</v>
      </c>
      <c r="B474" s="112" t="s">
        <v>46</v>
      </c>
      <c r="C474" s="112" t="s">
        <v>140</v>
      </c>
      <c r="D474" s="111">
        <v>2024</v>
      </c>
      <c r="E474" s="113" t="s">
        <v>36</v>
      </c>
      <c r="F474" s="114">
        <v>229470</v>
      </c>
      <c r="G474" s="114">
        <v>229470</v>
      </c>
      <c r="H474" s="114">
        <v>14437.9167</v>
      </c>
      <c r="I474" s="114">
        <v>537</v>
      </c>
      <c r="J474" s="115">
        <v>0.00261574074074074</v>
      </c>
      <c r="K474" s="114">
        <v>30.34</v>
      </c>
      <c r="L474" s="114">
        <v>26</v>
      </c>
      <c r="M474" s="114">
        <v>2003375</v>
      </c>
      <c r="N474" s="114">
        <v>7.21</v>
      </c>
      <c r="O474" s="114">
        <v>174511</v>
      </c>
      <c r="P474" s="114">
        <v>133970</v>
      </c>
      <c r="Q474" s="114">
        <v>40541</v>
      </c>
      <c r="R474" s="114">
        <v>40541</v>
      </c>
      <c r="S474" s="114">
        <v>0</v>
      </c>
      <c r="T474" s="114">
        <v>1224</v>
      </c>
      <c r="U474" s="114">
        <v>687</v>
      </c>
      <c r="V474" s="114">
        <v>1191</v>
      </c>
      <c r="W474" s="114">
        <v>75</v>
      </c>
      <c r="X474" s="114">
        <v>460</v>
      </c>
      <c r="Y474" s="114">
        <v>150</v>
      </c>
      <c r="Z474" s="114">
        <v>909813.117</v>
      </c>
      <c r="AA474" s="114">
        <v>0</v>
      </c>
      <c r="AB474" s="114">
        <v>0</v>
      </c>
      <c r="AC474" s="114">
        <v>20819.42</v>
      </c>
      <c r="AD474" s="114">
        <v>881978.965</v>
      </c>
      <c r="AE474" s="114">
        <v>1603599.465</v>
      </c>
      <c r="AF474" s="114">
        <v>184203</v>
      </c>
      <c r="AG474" s="114">
        <v>8705.61</v>
      </c>
      <c r="AH474" s="114">
        <v>161255</v>
      </c>
      <c r="AI474" s="114">
        <v>3964.849</v>
      </c>
      <c r="AJ474" s="114">
        <v>0</v>
      </c>
      <c r="AK474" s="114">
        <v>0</v>
      </c>
      <c r="AL474" s="114">
        <v>0</v>
      </c>
      <c r="AM474" s="114">
        <v>0</v>
      </c>
      <c r="AN474" s="114">
        <v>2858</v>
      </c>
      <c r="AO474" s="114">
        <v>191.4088</v>
      </c>
      <c r="AP474" s="114">
        <v>6.0812</v>
      </c>
      <c r="AQ474" s="114">
        <v>0</v>
      </c>
      <c r="AR474" s="114">
        <v>3</v>
      </c>
      <c r="AS474" s="114">
        <v>0</v>
      </c>
      <c r="AT474" s="114">
        <v>2</v>
      </c>
      <c r="AU474" s="114">
        <v>115</v>
      </c>
      <c r="AV474" s="114">
        <v>0</v>
      </c>
      <c r="AW474" s="114">
        <v>0</v>
      </c>
      <c r="AX474" s="114">
        <v>0</v>
      </c>
      <c r="AY474" s="114">
        <v>0</v>
      </c>
      <c r="AZ474" s="114">
        <v>32</v>
      </c>
      <c r="BA474" s="114">
        <v>1151</v>
      </c>
      <c r="BB474" s="116"/>
      <c r="BC474" s="116"/>
      <c r="BD474" s="116"/>
      <c r="BE474" s="116"/>
      <c r="BF474" s="116"/>
      <c r="BG474" s="116"/>
      <c r="BH474" s="116"/>
      <c r="BI474" s="116"/>
      <c r="BJ474" s="117">
        <v>599694</v>
      </c>
      <c r="BK474" s="133">
        <v>537</v>
      </c>
      <c r="BL474" s="119"/>
      <c r="BM474" s="118">
        <v>0</v>
      </c>
      <c r="BN474" s="131"/>
      <c r="BO474" s="119"/>
      <c r="BP474" s="119"/>
      <c r="BQ474" s="119"/>
      <c r="BR474" s="119"/>
      <c r="BS474" s="119"/>
      <c r="BT474" s="119"/>
      <c r="BU474" s="119"/>
      <c r="BV474" s="119"/>
      <c r="BW474" s="119"/>
      <c r="BX474" s="119"/>
    </row>
    <row r="475" s="96" customFormat="1" ht="15.75" customHeight="1" spans="1:76">
      <c r="A475" s="111">
        <v>474</v>
      </c>
      <c r="B475" s="112" t="s">
        <v>46</v>
      </c>
      <c r="C475" s="112" t="s">
        <v>140</v>
      </c>
      <c r="D475" s="111">
        <v>2024</v>
      </c>
      <c r="E475" s="113" t="s">
        <v>37</v>
      </c>
      <c r="F475" s="114">
        <v>286772</v>
      </c>
      <c r="G475" s="114">
        <v>286772</v>
      </c>
      <c r="H475" s="114">
        <v>34438.6988</v>
      </c>
      <c r="I475" s="114">
        <v>830</v>
      </c>
      <c r="J475" s="115">
        <v>0.005</v>
      </c>
      <c r="K475" s="114">
        <v>10.99</v>
      </c>
      <c r="L475" s="114">
        <v>66</v>
      </c>
      <c r="M475" s="114">
        <v>2771604</v>
      </c>
      <c r="N475" s="114">
        <v>7.06</v>
      </c>
      <c r="O475" s="114">
        <v>216107</v>
      </c>
      <c r="P475" s="114">
        <v>169455</v>
      </c>
      <c r="Q475" s="114">
        <v>46652</v>
      </c>
      <c r="R475" s="114">
        <v>46652</v>
      </c>
      <c r="S475" s="114">
        <v>0</v>
      </c>
      <c r="T475" s="114">
        <v>1620</v>
      </c>
      <c r="U475" s="114">
        <v>790</v>
      </c>
      <c r="V475" s="114">
        <v>1519</v>
      </c>
      <c r="W475" s="114">
        <v>139</v>
      </c>
      <c r="X475" s="114">
        <v>576</v>
      </c>
      <c r="Y475" s="114">
        <v>368</v>
      </c>
      <c r="Z475" s="114">
        <v>1386842.523</v>
      </c>
      <c r="AA475" s="114">
        <v>0</v>
      </c>
      <c r="AB475" s="114">
        <v>0</v>
      </c>
      <c r="AC475" s="114">
        <v>62733.877</v>
      </c>
      <c r="AD475" s="114">
        <v>1319264.316</v>
      </c>
      <c r="AE475" s="114">
        <v>2398757.583</v>
      </c>
      <c r="AF475" s="114">
        <v>244543</v>
      </c>
      <c r="AG475" s="114">
        <v>9809.144</v>
      </c>
      <c r="AH475" s="114">
        <v>196683</v>
      </c>
      <c r="AI475" s="114">
        <v>4836.045</v>
      </c>
      <c r="AJ475" s="114">
        <v>0</v>
      </c>
      <c r="AK475" s="114">
        <v>0</v>
      </c>
      <c r="AL475" s="114">
        <v>0</v>
      </c>
      <c r="AM475" s="114">
        <v>0</v>
      </c>
      <c r="AN475" s="114">
        <v>4414</v>
      </c>
      <c r="AO475" s="114">
        <v>741.3508</v>
      </c>
      <c r="AP475" s="114">
        <v>126.1501</v>
      </c>
      <c r="AQ475" s="114">
        <v>29</v>
      </c>
      <c r="AR475" s="114">
        <v>536</v>
      </c>
      <c r="AS475" s="114">
        <v>451</v>
      </c>
      <c r="AT475" s="114"/>
      <c r="AU475" s="114">
        <v>59</v>
      </c>
      <c r="AV475" s="114">
        <v>3</v>
      </c>
      <c r="AW475" s="114">
        <v>0.0627</v>
      </c>
      <c r="AX475" s="114">
        <v>0</v>
      </c>
      <c r="AY475" s="114">
        <v>0</v>
      </c>
      <c r="AZ475" s="114">
        <v>15</v>
      </c>
      <c r="BA475" s="114">
        <v>311</v>
      </c>
      <c r="BB475" s="116"/>
      <c r="BC475" s="116"/>
      <c r="BD475" s="116"/>
      <c r="BE475" s="116"/>
      <c r="BF475" s="116"/>
      <c r="BG475" s="116"/>
      <c r="BH475" s="116"/>
      <c r="BI475" s="116"/>
      <c r="BJ475" s="117">
        <v>600524</v>
      </c>
      <c r="BK475" s="133">
        <v>830</v>
      </c>
      <c r="BL475" s="119"/>
      <c r="BM475" s="118">
        <v>0</v>
      </c>
      <c r="BN475" s="131"/>
      <c r="BO475" s="119"/>
      <c r="BP475" s="119"/>
      <c r="BQ475" s="119"/>
      <c r="BR475" s="119"/>
      <c r="BS475" s="119"/>
      <c r="BT475" s="119"/>
      <c r="BU475" s="119"/>
      <c r="BV475" s="119"/>
      <c r="BW475" s="119"/>
      <c r="BX475" s="119"/>
    </row>
    <row r="476" s="96" customFormat="1" ht="15.75" customHeight="1" spans="1:76">
      <c r="A476" s="111">
        <v>475</v>
      </c>
      <c r="B476" s="112" t="s">
        <v>46</v>
      </c>
      <c r="C476" s="112" t="s">
        <v>140</v>
      </c>
      <c r="D476" s="111">
        <v>2024</v>
      </c>
      <c r="E476" s="113" t="s">
        <v>38</v>
      </c>
      <c r="F476" s="114">
        <v>424429</v>
      </c>
      <c r="G476" s="114">
        <v>424429</v>
      </c>
      <c r="H476" s="114">
        <v>71814.9333</v>
      </c>
      <c r="I476" s="114">
        <v>1991</v>
      </c>
      <c r="J476" s="115">
        <v>0.00704861111111111</v>
      </c>
      <c r="K476" s="114">
        <v>11.33</v>
      </c>
      <c r="L476" s="114">
        <v>56</v>
      </c>
      <c r="M476" s="114">
        <v>3884554</v>
      </c>
      <c r="N476" s="114">
        <v>7.52</v>
      </c>
      <c r="O476" s="114">
        <v>325327</v>
      </c>
      <c r="P476" s="114">
        <v>254411</v>
      </c>
      <c r="Q476" s="114">
        <v>70916</v>
      </c>
      <c r="R476" s="114">
        <v>70916</v>
      </c>
      <c r="S476" s="114">
        <v>0</v>
      </c>
      <c r="T476" s="114">
        <v>2776</v>
      </c>
      <c r="U476" s="114">
        <v>785</v>
      </c>
      <c r="V476" s="114">
        <v>3345</v>
      </c>
      <c r="W476" s="114">
        <v>182</v>
      </c>
      <c r="X476" s="114">
        <v>563</v>
      </c>
      <c r="Y476" s="114">
        <v>468</v>
      </c>
      <c r="Z476" s="114">
        <v>2239756.025</v>
      </c>
      <c r="AA476" s="114">
        <v>0</v>
      </c>
      <c r="AB476" s="114">
        <v>0</v>
      </c>
      <c r="AC476" s="114">
        <v>136357.199</v>
      </c>
      <c r="AD476" s="114">
        <v>2099085.494</v>
      </c>
      <c r="AE476" s="114">
        <v>3827910.73</v>
      </c>
      <c r="AF476" s="114">
        <v>404127</v>
      </c>
      <c r="AG476" s="114">
        <v>9472.049</v>
      </c>
      <c r="AH476" s="114">
        <v>318456</v>
      </c>
      <c r="AI476" s="114">
        <v>5277.106</v>
      </c>
      <c r="AJ476" s="114">
        <v>0</v>
      </c>
      <c r="AK476" s="114">
        <v>0</v>
      </c>
      <c r="AL476" s="114">
        <v>0</v>
      </c>
      <c r="AM476" s="114">
        <v>0</v>
      </c>
      <c r="AN476" s="114">
        <v>4919</v>
      </c>
      <c r="AO476" s="114">
        <v>1223.8999</v>
      </c>
      <c r="AP476" s="114">
        <v>91.0845</v>
      </c>
      <c r="AQ476" s="114">
        <v>61</v>
      </c>
      <c r="AR476" s="114">
        <v>10246</v>
      </c>
      <c r="AS476" s="114">
        <v>6118</v>
      </c>
      <c r="AT476" s="114">
        <v>2</v>
      </c>
      <c r="AU476" s="114">
        <v>490</v>
      </c>
      <c r="AV476" s="114">
        <v>0</v>
      </c>
      <c r="AW476" s="114">
        <v>0</v>
      </c>
      <c r="AX476" s="114">
        <v>0</v>
      </c>
      <c r="AY476" s="114">
        <v>0</v>
      </c>
      <c r="AZ476" s="114">
        <v>5</v>
      </c>
      <c r="BA476" s="114">
        <v>205</v>
      </c>
      <c r="BB476" s="116"/>
      <c r="BC476" s="116"/>
      <c r="BD476" s="116"/>
      <c r="BE476" s="116"/>
      <c r="BF476" s="116"/>
      <c r="BG476" s="116"/>
      <c r="BH476" s="116"/>
      <c r="BI476" s="116"/>
      <c r="BJ476" s="117">
        <v>602515</v>
      </c>
      <c r="BK476" s="117">
        <v>1991</v>
      </c>
      <c r="BL476" s="119"/>
      <c r="BM476" s="118">
        <v>0</v>
      </c>
      <c r="BN476" s="131"/>
      <c r="BO476" s="119"/>
      <c r="BP476" s="119"/>
      <c r="BQ476" s="119"/>
      <c r="BR476" s="119"/>
      <c r="BS476" s="119"/>
      <c r="BT476" s="119"/>
      <c r="BU476" s="119"/>
      <c r="BV476" s="119"/>
      <c r="BW476" s="119"/>
      <c r="BX476" s="119"/>
    </row>
    <row r="477" s="96" customFormat="1" ht="15.75" customHeight="1" spans="1:76">
      <c r="A477" s="111">
        <v>476</v>
      </c>
      <c r="B477" s="112" t="s">
        <v>46</v>
      </c>
      <c r="C477" s="112" t="s">
        <v>140</v>
      </c>
      <c r="D477" s="111">
        <v>2024</v>
      </c>
      <c r="E477" s="113" t="s">
        <v>39</v>
      </c>
      <c r="F477" s="114">
        <v>996811</v>
      </c>
      <c r="G477" s="114">
        <v>996811</v>
      </c>
      <c r="H477" s="114">
        <v>115119.1398</v>
      </c>
      <c r="I477" s="114">
        <v>6655</v>
      </c>
      <c r="J477" s="115">
        <v>0.00480324074074074</v>
      </c>
      <c r="K477" s="114">
        <v>9.68</v>
      </c>
      <c r="L477" s="114">
        <v>72</v>
      </c>
      <c r="M477" s="114">
        <v>7703754</v>
      </c>
      <c r="N477" s="114">
        <v>10.12</v>
      </c>
      <c r="O477" s="114">
        <v>800493</v>
      </c>
      <c r="P477" s="114">
        <v>620830</v>
      </c>
      <c r="Q477" s="114">
        <v>179663</v>
      </c>
      <c r="R477" s="114">
        <v>179663</v>
      </c>
      <c r="S477" s="114">
        <v>0</v>
      </c>
      <c r="T477" s="114">
        <v>7651</v>
      </c>
      <c r="U477" s="114">
        <v>996</v>
      </c>
      <c r="V477" s="114">
        <v>7864</v>
      </c>
      <c r="W477" s="114">
        <v>555</v>
      </c>
      <c r="X477" s="114">
        <v>1917</v>
      </c>
      <c r="Y477" s="114">
        <v>1603</v>
      </c>
      <c r="Z477" s="114">
        <v>5612691.032</v>
      </c>
      <c r="AA477" s="114">
        <v>20733.823</v>
      </c>
      <c r="AB477" s="114">
        <v>2</v>
      </c>
      <c r="AC477" s="114">
        <v>206327.294</v>
      </c>
      <c r="AD477" s="114">
        <v>5382524.905</v>
      </c>
      <c r="AE477" s="114">
        <v>9803496.447</v>
      </c>
      <c r="AF477" s="114">
        <v>1098736</v>
      </c>
      <c r="AG477" s="114">
        <v>8922.522</v>
      </c>
      <c r="AH477" s="114">
        <v>964484</v>
      </c>
      <c r="AI477" s="114">
        <v>5630.647</v>
      </c>
      <c r="AJ477" s="114">
        <v>0</v>
      </c>
      <c r="AK477" s="114">
        <v>0</v>
      </c>
      <c r="AL477" s="114">
        <v>0</v>
      </c>
      <c r="AM477" s="114">
        <v>0</v>
      </c>
      <c r="AN477" s="114">
        <v>14948</v>
      </c>
      <c r="AO477" s="114">
        <v>2092.109</v>
      </c>
      <c r="AP477" s="114">
        <v>108.8384</v>
      </c>
      <c r="AQ477" s="114">
        <v>259</v>
      </c>
      <c r="AR477" s="114">
        <v>4705</v>
      </c>
      <c r="AS477" s="114">
        <v>12046</v>
      </c>
      <c r="AT477" s="114"/>
      <c r="AU477" s="114">
        <v>53</v>
      </c>
      <c r="AV477" s="114">
        <v>0</v>
      </c>
      <c r="AW477" s="114">
        <v>0</v>
      </c>
      <c r="AX477" s="114">
        <v>0</v>
      </c>
      <c r="AY477" s="114">
        <v>0</v>
      </c>
      <c r="AZ477" s="114">
        <v>15</v>
      </c>
      <c r="BA477" s="114">
        <v>242</v>
      </c>
      <c r="BB477" s="116"/>
      <c r="BC477" s="116"/>
      <c r="BD477" s="116"/>
      <c r="BE477" s="116"/>
      <c r="BF477" s="116"/>
      <c r="BG477" s="116"/>
      <c r="BH477" s="116"/>
      <c r="BI477" s="116"/>
      <c r="BJ477" s="117">
        <v>609170</v>
      </c>
      <c r="BK477" s="117">
        <v>6655</v>
      </c>
      <c r="BL477" s="119"/>
      <c r="BM477" s="118">
        <v>0</v>
      </c>
      <c r="BN477" s="131"/>
      <c r="BO477" s="119"/>
      <c r="BP477" s="119"/>
      <c r="BQ477" s="119"/>
      <c r="BR477" s="119"/>
      <c r="BS477" s="119"/>
      <c r="BT477" s="119"/>
      <c r="BU477" s="119"/>
      <c r="BV477" s="119"/>
      <c r="BW477" s="119"/>
      <c r="BX477" s="119"/>
    </row>
    <row r="478" s="96" customFormat="1" ht="15.75" customHeight="1" spans="1:76">
      <c r="A478" s="111">
        <v>477</v>
      </c>
      <c r="B478" s="112" t="s">
        <v>46</v>
      </c>
      <c r="C478" s="112" t="s">
        <v>140</v>
      </c>
      <c r="D478" s="111">
        <v>2024</v>
      </c>
      <c r="E478" s="113" t="s">
        <v>40</v>
      </c>
      <c r="F478" s="114">
        <v>461859</v>
      </c>
      <c r="G478" s="114">
        <v>461859</v>
      </c>
      <c r="H478" s="114">
        <v>29657.6228</v>
      </c>
      <c r="I478" s="114">
        <v>1817</v>
      </c>
      <c r="J478" s="115">
        <v>0.00267361111111111</v>
      </c>
      <c r="K478" s="114">
        <v>5.41</v>
      </c>
      <c r="L478" s="114">
        <v>82</v>
      </c>
      <c r="M478" s="114">
        <v>3890959</v>
      </c>
      <c r="N478" s="114">
        <v>9.59</v>
      </c>
      <c r="O478" s="114">
        <v>351146</v>
      </c>
      <c r="P478" s="114">
        <v>236954</v>
      </c>
      <c r="Q478" s="114">
        <v>114192</v>
      </c>
      <c r="R478" s="114">
        <v>114192</v>
      </c>
      <c r="S478" s="114">
        <v>0</v>
      </c>
      <c r="T478" s="114">
        <v>2646</v>
      </c>
      <c r="U478" s="114">
        <v>829</v>
      </c>
      <c r="V478" s="114">
        <v>5202</v>
      </c>
      <c r="W478" s="114">
        <v>124</v>
      </c>
      <c r="X478" s="114">
        <v>929</v>
      </c>
      <c r="Y478" s="114">
        <v>490</v>
      </c>
      <c r="Z478" s="114">
        <v>1975060.538</v>
      </c>
      <c r="AA478" s="114">
        <v>0</v>
      </c>
      <c r="AB478" s="114">
        <v>0</v>
      </c>
      <c r="AC478" s="114">
        <v>67691.887</v>
      </c>
      <c r="AD478" s="114">
        <v>1903968.873</v>
      </c>
      <c r="AE478" s="114">
        <v>3464721.415</v>
      </c>
      <c r="AF478" s="114">
        <v>396298</v>
      </c>
      <c r="AG478" s="114">
        <v>8742.717</v>
      </c>
      <c r="AH478" s="114">
        <v>342498</v>
      </c>
      <c r="AI478" s="114">
        <v>4276.328</v>
      </c>
      <c r="AJ478" s="114">
        <v>0</v>
      </c>
      <c r="AK478" s="114">
        <v>0</v>
      </c>
      <c r="AL478" s="114">
        <v>0</v>
      </c>
      <c r="AM478" s="114">
        <v>0</v>
      </c>
      <c r="AN478" s="114">
        <v>7975</v>
      </c>
      <c r="AO478" s="114">
        <v>579.8798</v>
      </c>
      <c r="AP478" s="114">
        <v>113.7087</v>
      </c>
      <c r="AQ478" s="114">
        <v>137</v>
      </c>
      <c r="AR478" s="114">
        <v>2855</v>
      </c>
      <c r="AS478" s="114">
        <v>5794</v>
      </c>
      <c r="AT478" s="114">
        <v>2</v>
      </c>
      <c r="AU478" s="114">
        <v>29</v>
      </c>
      <c r="AV478" s="114">
        <v>6</v>
      </c>
      <c r="AW478" s="114">
        <v>0.0423</v>
      </c>
      <c r="AX478" s="114">
        <v>0</v>
      </c>
      <c r="AY478" s="114">
        <v>0</v>
      </c>
      <c r="AZ478" s="114">
        <v>15</v>
      </c>
      <c r="BA478" s="114">
        <v>345</v>
      </c>
      <c r="BB478" s="116"/>
      <c r="BC478" s="116"/>
      <c r="BD478" s="116"/>
      <c r="BE478" s="116"/>
      <c r="BF478" s="116"/>
      <c r="BG478" s="116"/>
      <c r="BH478" s="116"/>
      <c r="BI478" s="116"/>
      <c r="BJ478" s="117">
        <v>610987</v>
      </c>
      <c r="BK478" s="117">
        <v>1817</v>
      </c>
      <c r="BL478" s="119"/>
      <c r="BM478" s="118">
        <v>0</v>
      </c>
      <c r="BN478" s="131"/>
      <c r="BO478" s="119"/>
      <c r="BP478" s="119"/>
      <c r="BQ478" s="119"/>
      <c r="BR478" s="119"/>
      <c r="BS478" s="119"/>
      <c r="BT478" s="119"/>
      <c r="BU478" s="119"/>
      <c r="BV478" s="119"/>
      <c r="BW478" s="119"/>
      <c r="BX478" s="119"/>
    </row>
    <row r="479" s="96" customFormat="1" ht="15.75" customHeight="1" spans="1:76">
      <c r="A479" s="111">
        <v>478</v>
      </c>
      <c r="B479" s="112" t="s">
        <v>46</v>
      </c>
      <c r="C479" s="112" t="s">
        <v>140</v>
      </c>
      <c r="D479" s="111">
        <v>2024</v>
      </c>
      <c r="E479" s="113" t="s">
        <v>41</v>
      </c>
      <c r="F479" s="114">
        <v>313735</v>
      </c>
      <c r="G479" s="114">
        <v>313735</v>
      </c>
      <c r="H479" s="114">
        <v>23265.6591</v>
      </c>
      <c r="I479" s="114">
        <v>2098</v>
      </c>
      <c r="J479" s="115">
        <v>0.0030787037037037</v>
      </c>
      <c r="K479" s="114">
        <v>8.54</v>
      </c>
      <c r="L479" s="114">
        <v>48</v>
      </c>
      <c r="M479" s="114">
        <v>2822113</v>
      </c>
      <c r="N479" s="114">
        <v>9.19</v>
      </c>
      <c r="O479" s="114">
        <v>253611</v>
      </c>
      <c r="P479" s="114">
        <v>164152</v>
      </c>
      <c r="Q479" s="114">
        <v>89459</v>
      </c>
      <c r="R479" s="114">
        <v>89459</v>
      </c>
      <c r="S479" s="114">
        <v>0</v>
      </c>
      <c r="T479" s="114">
        <v>2798</v>
      </c>
      <c r="U479" s="114">
        <v>700</v>
      </c>
      <c r="V479" s="114">
        <v>2119</v>
      </c>
      <c r="W479" s="114">
        <v>102</v>
      </c>
      <c r="X479" s="114">
        <v>469</v>
      </c>
      <c r="Y479" s="114">
        <v>360</v>
      </c>
      <c r="Z479" s="114">
        <v>1559079.562</v>
      </c>
      <c r="AA479" s="114">
        <v>0</v>
      </c>
      <c r="AB479" s="114">
        <v>0</v>
      </c>
      <c r="AC479" s="114">
        <v>37615.523</v>
      </c>
      <c r="AD479" s="114">
        <v>1520785.846</v>
      </c>
      <c r="AE479" s="114">
        <v>2767977.35</v>
      </c>
      <c r="AF479" s="114">
        <v>315745</v>
      </c>
      <c r="AG479" s="114">
        <v>8766.496</v>
      </c>
      <c r="AH479" s="114">
        <v>276577</v>
      </c>
      <c r="AI479" s="114">
        <v>4969.415</v>
      </c>
      <c r="AJ479" s="114">
        <v>0</v>
      </c>
      <c r="AK479" s="114">
        <v>0</v>
      </c>
      <c r="AL479" s="114">
        <v>0</v>
      </c>
      <c r="AM479" s="114">
        <v>0</v>
      </c>
      <c r="AN479" s="114">
        <v>3477</v>
      </c>
      <c r="AO479" s="114">
        <v>298.4569</v>
      </c>
      <c r="AP479" s="114">
        <v>90.7962</v>
      </c>
      <c r="AQ479" s="114">
        <v>97</v>
      </c>
      <c r="AR479" s="114">
        <v>673</v>
      </c>
      <c r="AS479" s="114">
        <v>294</v>
      </c>
      <c r="AT479" s="114"/>
      <c r="AU479" s="114">
        <v>29</v>
      </c>
      <c r="AV479" s="114">
        <v>0</v>
      </c>
      <c r="AW479" s="114">
        <v>0</v>
      </c>
      <c r="AX479" s="114">
        <v>0</v>
      </c>
      <c r="AY479" s="114">
        <v>0</v>
      </c>
      <c r="AZ479" s="114">
        <v>7</v>
      </c>
      <c r="BA479" s="114">
        <v>309</v>
      </c>
      <c r="BB479" s="116"/>
      <c r="BC479" s="116"/>
      <c r="BD479" s="116"/>
      <c r="BE479" s="116"/>
      <c r="BF479" s="116"/>
      <c r="BG479" s="116"/>
      <c r="BH479" s="116"/>
      <c r="BI479" s="116"/>
      <c r="BJ479" s="117">
        <v>613085</v>
      </c>
      <c r="BK479" s="117">
        <v>2098</v>
      </c>
      <c r="BL479" s="119"/>
      <c r="BM479" s="118">
        <v>0</v>
      </c>
      <c r="BN479" s="131"/>
      <c r="BO479" s="119"/>
      <c r="BP479" s="119"/>
      <c r="BQ479" s="119"/>
      <c r="BR479" s="119"/>
      <c r="BS479" s="119"/>
      <c r="BT479" s="119"/>
      <c r="BU479" s="119"/>
      <c r="BV479" s="119"/>
      <c r="BW479" s="119"/>
      <c r="BX479" s="119"/>
    </row>
    <row r="480" s="96" customFormat="1" ht="15.75" customHeight="1" spans="1:76">
      <c r="A480" s="111">
        <v>479</v>
      </c>
      <c r="B480" s="112" t="s">
        <v>46</v>
      </c>
      <c r="C480" s="112" t="s">
        <v>140</v>
      </c>
      <c r="D480" s="111">
        <v>2024</v>
      </c>
      <c r="E480" s="113" t="s">
        <v>42</v>
      </c>
      <c r="F480" s="114">
        <v>204151</v>
      </c>
      <c r="G480" s="114">
        <v>204151</v>
      </c>
      <c r="H480" s="114">
        <v>11929.7102</v>
      </c>
      <c r="I480" s="114">
        <v>462</v>
      </c>
      <c r="J480" s="115">
        <v>0.00243055555555556</v>
      </c>
      <c r="K480" s="114">
        <v>3.9</v>
      </c>
      <c r="L480" s="114">
        <v>53</v>
      </c>
      <c r="M480" s="114">
        <v>1912184</v>
      </c>
      <c r="N480" s="114">
        <v>8.69</v>
      </c>
      <c r="O480" s="114">
        <v>156995</v>
      </c>
      <c r="P480" s="114">
        <v>110048</v>
      </c>
      <c r="Q480" s="114">
        <v>46947</v>
      </c>
      <c r="R480" s="114">
        <v>46947</v>
      </c>
      <c r="S480" s="114">
        <v>0</v>
      </c>
      <c r="T480" s="114">
        <v>1025</v>
      </c>
      <c r="U480" s="114">
        <v>563</v>
      </c>
      <c r="V480" s="114">
        <v>761</v>
      </c>
      <c r="W480" s="114">
        <v>34</v>
      </c>
      <c r="X480" s="114">
        <v>345</v>
      </c>
      <c r="Y480" s="114">
        <v>77</v>
      </c>
      <c r="Z480" s="114">
        <v>838376.744</v>
      </c>
      <c r="AA480" s="114">
        <v>0</v>
      </c>
      <c r="AB480" s="114">
        <v>0</v>
      </c>
      <c r="AC480" s="114">
        <v>23552.429</v>
      </c>
      <c r="AD480" s="114">
        <v>813692.682</v>
      </c>
      <c r="AE480" s="114">
        <v>1482415.848</v>
      </c>
      <c r="AF480" s="114">
        <v>161118</v>
      </c>
      <c r="AG480" s="114">
        <v>9200.808</v>
      </c>
      <c r="AH480" s="114">
        <v>141616</v>
      </c>
      <c r="AI480" s="114">
        <v>4106.65</v>
      </c>
      <c r="AJ480" s="114">
        <v>1</v>
      </c>
      <c r="AK480" s="114">
        <v>44</v>
      </c>
      <c r="AL480" s="114">
        <v>0</v>
      </c>
      <c r="AM480" s="114">
        <v>0</v>
      </c>
      <c r="AN480" s="114">
        <v>2928</v>
      </c>
      <c r="AO480" s="114">
        <v>165.7758</v>
      </c>
      <c r="AP480" s="114">
        <v>51.7455</v>
      </c>
      <c r="AQ480" s="114">
        <v>121</v>
      </c>
      <c r="AR480" s="114">
        <v>1296</v>
      </c>
      <c r="AS480" s="114">
        <v>2299</v>
      </c>
      <c r="AT480" s="114"/>
      <c r="AU480" s="114">
        <v>26</v>
      </c>
      <c r="AV480" s="114">
        <v>10</v>
      </c>
      <c r="AW480" s="114">
        <v>0.4019</v>
      </c>
      <c r="AX480" s="114">
        <v>0</v>
      </c>
      <c r="AY480" s="114">
        <v>0</v>
      </c>
      <c r="AZ480" s="114">
        <v>1</v>
      </c>
      <c r="BA480" s="114">
        <v>171</v>
      </c>
      <c r="BB480" s="116"/>
      <c r="BC480" s="116"/>
      <c r="BD480" s="116"/>
      <c r="BE480" s="116"/>
      <c r="BF480" s="116"/>
      <c r="BG480" s="116"/>
      <c r="BH480" s="116"/>
      <c r="BI480" s="116"/>
      <c r="BJ480" s="117">
        <v>613547</v>
      </c>
      <c r="BK480" s="133">
        <v>462</v>
      </c>
      <c r="BL480" s="119"/>
      <c r="BM480" s="118">
        <v>0</v>
      </c>
      <c r="BN480" s="131"/>
      <c r="BO480" s="119"/>
      <c r="BP480" s="119"/>
      <c r="BQ480" s="119"/>
      <c r="BR480" s="119"/>
      <c r="BS480" s="119"/>
      <c r="BT480" s="119"/>
      <c r="BU480" s="119"/>
      <c r="BV480" s="119"/>
      <c r="BW480" s="119"/>
      <c r="BX480" s="119"/>
    </row>
    <row r="481" s="96" customFormat="1" ht="15.75" customHeight="1" spans="1:76">
      <c r="A481" s="111">
        <v>480</v>
      </c>
      <c r="B481" s="112" t="s">
        <v>46</v>
      </c>
      <c r="C481" s="112" t="s">
        <v>140</v>
      </c>
      <c r="D481" s="111">
        <v>2024</v>
      </c>
      <c r="E481" s="113" t="s">
        <v>43</v>
      </c>
      <c r="F481" s="114">
        <v>240257</v>
      </c>
      <c r="G481" s="114">
        <v>240257</v>
      </c>
      <c r="H481" s="114">
        <v>21698.5352</v>
      </c>
      <c r="I481" s="114">
        <v>1003</v>
      </c>
      <c r="J481" s="115">
        <v>0.00376157407407407</v>
      </c>
      <c r="K481" s="114">
        <v>14.4</v>
      </c>
      <c r="L481" s="114">
        <v>45</v>
      </c>
      <c r="M481" s="114">
        <v>2272019</v>
      </c>
      <c r="N481" s="114">
        <v>7.9</v>
      </c>
      <c r="O481" s="114">
        <v>191189</v>
      </c>
      <c r="P481" s="114">
        <v>134541</v>
      </c>
      <c r="Q481" s="114">
        <v>56648</v>
      </c>
      <c r="R481" s="114">
        <v>56648</v>
      </c>
      <c r="S481" s="114">
        <v>0</v>
      </c>
      <c r="T481" s="114">
        <v>1667</v>
      </c>
      <c r="U481" s="114">
        <v>664</v>
      </c>
      <c r="V481" s="114">
        <v>1247</v>
      </c>
      <c r="W481" s="114">
        <v>80</v>
      </c>
      <c r="X481" s="114">
        <v>495</v>
      </c>
      <c r="Y481" s="114">
        <v>157</v>
      </c>
      <c r="Z481" s="114">
        <v>1383290.915</v>
      </c>
      <c r="AA481" s="114">
        <v>0</v>
      </c>
      <c r="AB481" s="114">
        <v>0</v>
      </c>
      <c r="AC481" s="114">
        <v>32102.11</v>
      </c>
      <c r="AD481" s="114">
        <v>1348834.659</v>
      </c>
      <c r="AE481" s="114">
        <v>2453492.647</v>
      </c>
      <c r="AF481" s="114">
        <v>262851</v>
      </c>
      <c r="AG481" s="114">
        <v>9334.158</v>
      </c>
      <c r="AH481" s="114">
        <v>225961</v>
      </c>
      <c r="AI481" s="114">
        <v>5757.547</v>
      </c>
      <c r="AJ481" s="114">
        <v>0</v>
      </c>
      <c r="AK481" s="114">
        <v>0</v>
      </c>
      <c r="AL481" s="114">
        <v>0</v>
      </c>
      <c r="AM481" s="114">
        <v>0</v>
      </c>
      <c r="AN481" s="114">
        <v>2398</v>
      </c>
      <c r="AO481" s="114">
        <v>230.4179</v>
      </c>
      <c r="AP481" s="114">
        <v>31.8713</v>
      </c>
      <c r="AQ481" s="114">
        <v>306</v>
      </c>
      <c r="AR481" s="114">
        <v>69</v>
      </c>
      <c r="AS481" s="114">
        <v>137</v>
      </c>
      <c r="AT481" s="114"/>
      <c r="AU481" s="114">
        <v>18</v>
      </c>
      <c r="AV481" s="114">
        <v>9</v>
      </c>
      <c r="AW481" s="114">
        <v>0.25</v>
      </c>
      <c r="AX481" s="114">
        <v>0</v>
      </c>
      <c r="AY481" s="114">
        <v>0</v>
      </c>
      <c r="AZ481" s="114">
        <v>5</v>
      </c>
      <c r="BA481" s="114">
        <v>125</v>
      </c>
      <c r="BB481" s="116"/>
      <c r="BC481" s="116"/>
      <c r="BD481" s="116"/>
      <c r="BE481" s="116"/>
      <c r="BF481" s="116"/>
      <c r="BG481" s="116"/>
      <c r="BH481" s="116"/>
      <c r="BI481" s="116"/>
      <c r="BJ481" s="117">
        <v>614550</v>
      </c>
      <c r="BK481" s="117">
        <v>1003</v>
      </c>
      <c r="BL481" s="119"/>
      <c r="BM481" s="118">
        <v>0</v>
      </c>
      <c r="BN481" s="131"/>
      <c r="BO481" s="119"/>
      <c r="BP481" s="119"/>
      <c r="BQ481" s="119"/>
      <c r="BR481" s="119"/>
      <c r="BS481" s="119"/>
      <c r="BT481" s="119"/>
      <c r="BU481" s="119"/>
      <c r="BV481" s="119"/>
      <c r="BW481" s="119"/>
      <c r="BX481" s="119"/>
    </row>
    <row r="482" s="96" customFormat="1" ht="15.75" customHeight="1" spans="1:76">
      <c r="A482" s="111">
        <v>481</v>
      </c>
      <c r="B482" s="112" t="s">
        <v>46</v>
      </c>
      <c r="C482" s="112" t="s">
        <v>140</v>
      </c>
      <c r="D482" s="111">
        <v>2025</v>
      </c>
      <c r="E482" s="113" t="s">
        <v>31</v>
      </c>
      <c r="F482" s="114">
        <v>252755</v>
      </c>
      <c r="G482" s="114">
        <v>252755</v>
      </c>
      <c r="H482" s="114">
        <v>21592.6541</v>
      </c>
      <c r="I482" s="114">
        <v>1168</v>
      </c>
      <c r="J482" s="115">
        <v>0.00355324074074074</v>
      </c>
      <c r="K482" s="114">
        <v>11.36</v>
      </c>
      <c r="L482" s="114">
        <v>39</v>
      </c>
      <c r="M482" s="114">
        <v>2558833</v>
      </c>
      <c r="N482" s="114">
        <v>7.73</v>
      </c>
      <c r="O482" s="114">
        <v>200710</v>
      </c>
      <c r="P482" s="114">
        <v>138742</v>
      </c>
      <c r="Q482" s="114">
        <v>61968</v>
      </c>
      <c r="R482" s="114">
        <v>61968</v>
      </c>
      <c r="S482" s="114">
        <v>0</v>
      </c>
      <c r="T482" s="114">
        <v>1837</v>
      </c>
      <c r="U482" s="114">
        <v>669</v>
      </c>
      <c r="V482" s="114">
        <v>1420</v>
      </c>
      <c r="W482" s="114">
        <v>136</v>
      </c>
      <c r="X482" s="114">
        <v>456</v>
      </c>
      <c r="Y482" s="114">
        <v>383</v>
      </c>
      <c r="Z482" s="114">
        <v>989948.707</v>
      </c>
      <c r="AA482" s="114">
        <v>0</v>
      </c>
      <c r="AB482" s="114">
        <v>0</v>
      </c>
      <c r="AC482" s="114">
        <v>41328.716</v>
      </c>
      <c r="AD482" s="114">
        <v>947828.657</v>
      </c>
      <c r="AE482" s="114">
        <v>1723812.981</v>
      </c>
      <c r="AF482" s="114">
        <v>214629</v>
      </c>
      <c r="AG482" s="114">
        <v>8031.594</v>
      </c>
      <c r="AH482" s="114">
        <v>193608</v>
      </c>
      <c r="AI482" s="114">
        <v>3916.636</v>
      </c>
      <c r="AJ482" s="114">
        <v>0</v>
      </c>
      <c r="AK482" s="114">
        <v>0</v>
      </c>
      <c r="AL482" s="114">
        <v>0</v>
      </c>
      <c r="AM482" s="114">
        <v>0</v>
      </c>
      <c r="AN482" s="114">
        <v>2978</v>
      </c>
      <c r="AO482" s="114">
        <v>301.8575</v>
      </c>
      <c r="AP482" s="114">
        <v>49.0162</v>
      </c>
      <c r="AQ482" s="114">
        <v>473</v>
      </c>
      <c r="AR482" s="114">
        <v>149</v>
      </c>
      <c r="AS482" s="114">
        <v>251</v>
      </c>
      <c r="AT482" s="114">
        <v>1</v>
      </c>
      <c r="AU482" s="114">
        <v>1030</v>
      </c>
      <c r="AV482" s="114">
        <v>1</v>
      </c>
      <c r="AW482" s="114">
        <v>0.0203</v>
      </c>
      <c r="AX482" s="114">
        <v>0</v>
      </c>
      <c r="AY482" s="114">
        <v>0</v>
      </c>
      <c r="AZ482" s="114">
        <v>9</v>
      </c>
      <c r="BA482" s="114">
        <v>137</v>
      </c>
      <c r="BB482" s="116"/>
      <c r="BC482" s="116"/>
      <c r="BD482" s="116"/>
      <c r="BE482" s="116"/>
      <c r="BF482" s="116"/>
      <c r="BG482" s="116"/>
      <c r="BH482" s="116"/>
      <c r="BI482" s="116"/>
      <c r="BJ482" s="117">
        <v>615718</v>
      </c>
      <c r="BK482" s="117">
        <v>1168</v>
      </c>
      <c r="BL482" s="117">
        <v>104539</v>
      </c>
      <c r="BM482" s="118">
        <v>548590</v>
      </c>
      <c r="BN482" s="118">
        <v>32.27</v>
      </c>
      <c r="BO482" s="119"/>
      <c r="BP482" s="119"/>
      <c r="BQ482" s="119"/>
      <c r="BR482" s="119"/>
      <c r="BS482" s="119"/>
      <c r="BT482" s="119"/>
      <c r="BU482" s="119"/>
      <c r="BV482" s="119"/>
      <c r="BW482" s="119"/>
      <c r="BX482" s="119"/>
    </row>
    <row r="483" s="96" customFormat="1" ht="15.75" customHeight="1" spans="1:76">
      <c r="A483" s="111">
        <v>482</v>
      </c>
      <c r="B483" s="112" t="s">
        <v>46</v>
      </c>
      <c r="C483" s="112" t="s">
        <v>140</v>
      </c>
      <c r="D483" s="111">
        <v>2025</v>
      </c>
      <c r="E483" s="113" t="s">
        <v>33</v>
      </c>
      <c r="F483" s="114">
        <v>186593</v>
      </c>
      <c r="G483" s="114">
        <v>186593</v>
      </c>
      <c r="H483" s="114">
        <v>19134.3109</v>
      </c>
      <c r="I483" s="114">
        <v>739</v>
      </c>
      <c r="J483" s="115">
        <v>0.00427083333333333</v>
      </c>
      <c r="K483" s="114">
        <v>11.53</v>
      </c>
      <c r="L483" s="114">
        <v>46</v>
      </c>
      <c r="M483" s="114">
        <v>1883090</v>
      </c>
      <c r="N483" s="114">
        <v>7.47</v>
      </c>
      <c r="O483" s="114">
        <v>146354</v>
      </c>
      <c r="P483" s="114">
        <v>109053</v>
      </c>
      <c r="Q483" s="114">
        <v>37301</v>
      </c>
      <c r="R483" s="114">
        <v>37301</v>
      </c>
      <c r="S483" s="114">
        <v>0</v>
      </c>
      <c r="T483" s="114">
        <v>1104</v>
      </c>
      <c r="U483" s="114">
        <v>365</v>
      </c>
      <c r="V483" s="114">
        <v>982</v>
      </c>
      <c r="W483" s="114">
        <v>46</v>
      </c>
      <c r="X483" s="114">
        <v>399</v>
      </c>
      <c r="Y483" s="114">
        <v>348</v>
      </c>
      <c r="Z483" s="114">
        <v>841955.77</v>
      </c>
      <c r="AA483" s="114">
        <v>0</v>
      </c>
      <c r="AB483" s="114">
        <v>0</v>
      </c>
      <c r="AC483" s="114">
        <v>36559.65</v>
      </c>
      <c r="AD483" s="114">
        <v>804578.091</v>
      </c>
      <c r="AE483" s="114">
        <v>1469871.248</v>
      </c>
      <c r="AF483" s="114">
        <v>155310</v>
      </c>
      <c r="AG483" s="114">
        <v>9464.112</v>
      </c>
      <c r="AH483" s="114">
        <v>132951</v>
      </c>
      <c r="AI483" s="114">
        <v>4512.257</v>
      </c>
      <c r="AJ483" s="114">
        <v>0</v>
      </c>
      <c r="AK483" s="114">
        <v>3</v>
      </c>
      <c r="AL483" s="114">
        <v>0</v>
      </c>
      <c r="AM483" s="114">
        <v>0</v>
      </c>
      <c r="AN483" s="114">
        <v>2121</v>
      </c>
      <c r="AO483" s="114">
        <v>237.7139</v>
      </c>
      <c r="AP483" s="114">
        <v>46.8284</v>
      </c>
      <c r="AQ483" s="114">
        <v>225</v>
      </c>
      <c r="AR483" s="114">
        <v>126</v>
      </c>
      <c r="AS483" s="114">
        <v>172</v>
      </c>
      <c r="AT483" s="114"/>
      <c r="AU483" s="114">
        <v>26</v>
      </c>
      <c r="AV483" s="114">
        <v>0</v>
      </c>
      <c r="AW483" s="114">
        <v>0</v>
      </c>
      <c r="AX483" s="114">
        <v>0</v>
      </c>
      <c r="AY483" s="114">
        <v>0</v>
      </c>
      <c r="AZ483" s="114">
        <v>6</v>
      </c>
      <c r="BA483" s="114">
        <v>116</v>
      </c>
      <c r="BB483" s="116"/>
      <c r="BC483" s="116"/>
      <c r="BD483" s="116"/>
      <c r="BE483" s="116"/>
      <c r="BF483" s="116"/>
      <c r="BG483" s="116"/>
      <c r="BH483" s="116"/>
      <c r="BI483" s="116"/>
      <c r="BJ483" s="117">
        <v>616457</v>
      </c>
      <c r="BK483" s="133">
        <v>739</v>
      </c>
      <c r="BL483" s="117">
        <v>59146</v>
      </c>
      <c r="BM483" s="118">
        <v>387430</v>
      </c>
      <c r="BN483" s="118">
        <v>22.79</v>
      </c>
      <c r="BO483" s="119"/>
      <c r="BP483" s="119"/>
      <c r="BQ483" s="119"/>
      <c r="BR483" s="119"/>
      <c r="BS483" s="119"/>
      <c r="BT483" s="119"/>
      <c r="BU483" s="119"/>
      <c r="BV483" s="119"/>
      <c r="BW483" s="119"/>
      <c r="BX483" s="119"/>
    </row>
    <row r="484" s="96" customFormat="1" ht="15.75" customHeight="1" spans="1:76">
      <c r="A484" s="111">
        <v>483</v>
      </c>
      <c r="B484" s="112" t="s">
        <v>46</v>
      </c>
      <c r="C484" s="112" t="s">
        <v>140</v>
      </c>
      <c r="D484" s="111">
        <v>2025</v>
      </c>
      <c r="E484" s="113" t="s">
        <v>34</v>
      </c>
      <c r="F484" s="114">
        <v>150005</v>
      </c>
      <c r="G484" s="114">
        <v>149858</v>
      </c>
      <c r="H484" s="114">
        <v>9869.1818</v>
      </c>
      <c r="I484" s="114">
        <v>152</v>
      </c>
      <c r="J484" s="115">
        <v>0.00274305555555556</v>
      </c>
      <c r="K484" s="114">
        <v>6.71</v>
      </c>
      <c r="L484" s="114">
        <v>35</v>
      </c>
      <c r="M484" s="114">
        <v>1397571</v>
      </c>
      <c r="N484" s="114">
        <v>8.27</v>
      </c>
      <c r="O484" s="114">
        <v>117844</v>
      </c>
      <c r="P484" s="114">
        <v>93502</v>
      </c>
      <c r="Q484" s="114">
        <v>24328</v>
      </c>
      <c r="R484" s="114">
        <v>23930</v>
      </c>
      <c r="S484" s="114">
        <v>398</v>
      </c>
      <c r="T484" s="114">
        <v>868</v>
      </c>
      <c r="U484" s="114">
        <v>716</v>
      </c>
      <c r="V484" s="114">
        <v>526</v>
      </c>
      <c r="W484" s="114">
        <v>38</v>
      </c>
      <c r="X484" s="114">
        <v>340</v>
      </c>
      <c r="Y484" s="114">
        <v>79</v>
      </c>
      <c r="Z484" s="114">
        <v>698012.561</v>
      </c>
      <c r="AA484" s="114">
        <v>0</v>
      </c>
      <c r="AB484" s="114">
        <v>0</v>
      </c>
      <c r="AC484" s="114">
        <v>15825.624</v>
      </c>
      <c r="AD484" s="114">
        <v>681173.833</v>
      </c>
      <c r="AE484" s="114">
        <v>1238498.219</v>
      </c>
      <c r="AF484" s="114">
        <v>138397</v>
      </c>
      <c r="AG484" s="114">
        <v>8948.881</v>
      </c>
      <c r="AH484" s="114">
        <v>120139</v>
      </c>
      <c r="AI484" s="114">
        <v>4657.829</v>
      </c>
      <c r="AJ484" s="114">
        <v>0</v>
      </c>
      <c r="AK484" s="114">
        <v>0</v>
      </c>
      <c r="AL484" s="114">
        <v>0</v>
      </c>
      <c r="AM484" s="114">
        <v>0</v>
      </c>
      <c r="AN484" s="114">
        <v>1854</v>
      </c>
      <c r="AO484" s="114">
        <v>132.222</v>
      </c>
      <c r="AP484" s="114">
        <v>41.0958</v>
      </c>
      <c r="AQ484" s="114">
        <v>498</v>
      </c>
      <c r="AR484" s="114">
        <v>620</v>
      </c>
      <c r="AS484" s="114">
        <v>2474</v>
      </c>
      <c r="AT484" s="114"/>
      <c r="AU484" s="114">
        <v>46</v>
      </c>
      <c r="AV484" s="114">
        <v>1</v>
      </c>
      <c r="AW484" s="114">
        <v>0.0069</v>
      </c>
      <c r="AX484" s="114">
        <v>0</v>
      </c>
      <c r="AY484" s="114">
        <v>0</v>
      </c>
      <c r="AZ484" s="114">
        <v>1</v>
      </c>
      <c r="BA484" s="114">
        <v>92</v>
      </c>
      <c r="BB484" s="116"/>
      <c r="BC484" s="116"/>
      <c r="BD484" s="116"/>
      <c r="BE484" s="116"/>
      <c r="BF484" s="116"/>
      <c r="BG484" s="116"/>
      <c r="BH484" s="116"/>
      <c r="BI484" s="116"/>
      <c r="BJ484" s="117">
        <v>616609</v>
      </c>
      <c r="BK484" s="133">
        <v>152</v>
      </c>
      <c r="BL484" s="117">
        <v>42702</v>
      </c>
      <c r="BM484" s="118">
        <v>272170</v>
      </c>
      <c r="BN484" s="118">
        <v>16.01</v>
      </c>
      <c r="BO484" s="119"/>
      <c r="BP484" s="119"/>
      <c r="BQ484" s="119"/>
      <c r="BR484" s="119"/>
      <c r="BS484" s="119"/>
      <c r="BT484" s="119"/>
      <c r="BU484" s="119"/>
      <c r="BV484" s="119"/>
      <c r="BW484" s="119"/>
      <c r="BX484" s="119"/>
    </row>
    <row r="485" s="96" customFormat="1" ht="15.75" customHeight="1" spans="1:76">
      <c r="A485" s="111">
        <v>484</v>
      </c>
      <c r="B485" s="112" t="s">
        <v>46</v>
      </c>
      <c r="C485" s="112" t="s">
        <v>140</v>
      </c>
      <c r="D485" s="111">
        <v>2025</v>
      </c>
      <c r="E485" s="113" t="s">
        <v>35</v>
      </c>
      <c r="F485" s="114">
        <v>85882</v>
      </c>
      <c r="G485" s="114">
        <v>83449</v>
      </c>
      <c r="H485" s="114">
        <v>5381.6563</v>
      </c>
      <c r="I485" s="114">
        <v>-72</v>
      </c>
      <c r="J485" s="115">
        <v>0.00268518518518518</v>
      </c>
      <c r="K485" s="114">
        <v>24.7</v>
      </c>
      <c r="L485" s="114">
        <v>3</v>
      </c>
      <c r="M485" s="114">
        <v>863512</v>
      </c>
      <c r="N485" s="114">
        <v>7.27</v>
      </c>
      <c r="O485" s="114">
        <v>61429</v>
      </c>
      <c r="P485" s="114">
        <v>47063</v>
      </c>
      <c r="Q485" s="114">
        <v>14478</v>
      </c>
      <c r="R485" s="114">
        <v>14029</v>
      </c>
      <c r="S485" s="114">
        <v>449</v>
      </c>
      <c r="T485" s="114">
        <v>557</v>
      </c>
      <c r="U485" s="114">
        <v>629</v>
      </c>
      <c r="V485" s="114">
        <v>-71</v>
      </c>
      <c r="W485" s="114">
        <v>7</v>
      </c>
      <c r="X485" s="114">
        <v>192</v>
      </c>
      <c r="Y485" s="114">
        <v>70</v>
      </c>
      <c r="Z485" s="114">
        <v>269784.871</v>
      </c>
      <c r="AA485" s="114">
        <v>0</v>
      </c>
      <c r="AB485" s="114">
        <v>0</v>
      </c>
      <c r="AC485" s="114">
        <v>8252.515</v>
      </c>
      <c r="AD485" s="114">
        <v>260838.677</v>
      </c>
      <c r="AE485" s="114">
        <v>474252.974</v>
      </c>
      <c r="AF485" s="114">
        <v>57431</v>
      </c>
      <c r="AG485" s="114">
        <v>8257.787</v>
      </c>
      <c r="AH485" s="114">
        <v>51851</v>
      </c>
      <c r="AI485" s="114">
        <v>3232.937</v>
      </c>
      <c r="AJ485" s="114">
        <v>0</v>
      </c>
      <c r="AK485" s="114">
        <v>0</v>
      </c>
      <c r="AL485" s="114">
        <v>0</v>
      </c>
      <c r="AM485" s="114">
        <v>0</v>
      </c>
      <c r="AN485" s="114">
        <v>831</v>
      </c>
      <c r="AO485" s="114">
        <v>59.9029</v>
      </c>
      <c r="AP485" s="114">
        <v>0.7475</v>
      </c>
      <c r="AQ485" s="114">
        <v>0</v>
      </c>
      <c r="AR485" s="114">
        <v>0</v>
      </c>
      <c r="AS485" s="114">
        <v>0</v>
      </c>
      <c r="AT485" s="114"/>
      <c r="AU485" s="114">
        <v>55</v>
      </c>
      <c r="AV485" s="114">
        <v>0</v>
      </c>
      <c r="AW485" s="114">
        <v>0</v>
      </c>
      <c r="AX485" s="114">
        <v>0</v>
      </c>
      <c r="AY485" s="114">
        <v>0</v>
      </c>
      <c r="AZ485" s="114">
        <v>1</v>
      </c>
      <c r="BA485" s="114">
        <v>84</v>
      </c>
      <c r="BB485" s="116"/>
      <c r="BC485" s="116"/>
      <c r="BD485" s="116"/>
      <c r="BE485" s="116"/>
      <c r="BF485" s="116"/>
      <c r="BG485" s="116"/>
      <c r="BH485" s="116"/>
      <c r="BI485" s="116"/>
      <c r="BJ485" s="117">
        <v>616537</v>
      </c>
      <c r="BK485" s="133">
        <v>-72</v>
      </c>
      <c r="BL485" s="133">
        <v>411</v>
      </c>
      <c r="BM485" s="118">
        <v>5780</v>
      </c>
      <c r="BN485" s="118">
        <v>0.34</v>
      </c>
      <c r="BO485" s="119"/>
      <c r="BP485" s="119"/>
      <c r="BQ485" s="119"/>
      <c r="BR485" s="119"/>
      <c r="BS485" s="119"/>
      <c r="BT485" s="119"/>
      <c r="BU485" s="119"/>
      <c r="BV485" s="119"/>
      <c r="BW485" s="119"/>
      <c r="BX485" s="119"/>
    </row>
    <row r="486" s="96" customFormat="1" ht="15.75" customHeight="1" spans="1:76">
      <c r="A486" s="111">
        <v>485</v>
      </c>
      <c r="B486" s="112" t="s">
        <v>46</v>
      </c>
      <c r="C486" s="112" t="s">
        <v>140</v>
      </c>
      <c r="D486" s="111">
        <v>2025</v>
      </c>
      <c r="E486" s="113" t="s">
        <v>36</v>
      </c>
      <c r="F486" s="114">
        <v>107704</v>
      </c>
      <c r="G486" s="114">
        <v>105418</v>
      </c>
      <c r="H486" s="114">
        <v>6958.0407</v>
      </c>
      <c r="I486" s="114">
        <v>40</v>
      </c>
      <c r="J486" s="115">
        <v>0.00274305555555556</v>
      </c>
      <c r="K486" s="114">
        <v>26.23</v>
      </c>
      <c r="L486" s="114">
        <v>32</v>
      </c>
      <c r="M486" s="114">
        <v>1155550</v>
      </c>
      <c r="N486" s="114">
        <v>6.61</v>
      </c>
      <c r="O486" s="114">
        <v>79721</v>
      </c>
      <c r="P486" s="114">
        <v>60679</v>
      </c>
      <c r="Q486" s="114">
        <v>19042</v>
      </c>
      <c r="R486" s="114">
        <v>18489</v>
      </c>
      <c r="S486" s="114">
        <v>553</v>
      </c>
      <c r="T486" s="114">
        <v>666</v>
      </c>
      <c r="U486" s="114">
        <v>626</v>
      </c>
      <c r="V486" s="114">
        <v>230</v>
      </c>
      <c r="W486" s="114">
        <v>45</v>
      </c>
      <c r="X486" s="114">
        <v>282</v>
      </c>
      <c r="Y486" s="114">
        <v>432</v>
      </c>
      <c r="Z486" s="114">
        <v>348203.257</v>
      </c>
      <c r="AA486" s="114">
        <v>0</v>
      </c>
      <c r="AB486" s="114">
        <v>0</v>
      </c>
      <c r="AC486" s="114">
        <v>12682.823</v>
      </c>
      <c r="AD486" s="114">
        <v>334895.399</v>
      </c>
      <c r="AE486" s="114">
        <v>609409.368</v>
      </c>
      <c r="AF486" s="114">
        <v>69836</v>
      </c>
      <c r="AG486" s="114">
        <v>8726.293</v>
      </c>
      <c r="AH486" s="114">
        <v>61813</v>
      </c>
      <c r="AI486" s="114">
        <v>3303.077</v>
      </c>
      <c r="AJ486" s="114">
        <v>0</v>
      </c>
      <c r="AK486" s="114">
        <v>0</v>
      </c>
      <c r="AL486" s="114">
        <v>0</v>
      </c>
      <c r="AM486" s="114">
        <v>0</v>
      </c>
      <c r="AN486" s="114">
        <v>1380</v>
      </c>
      <c r="AO486" s="114">
        <v>98.8352</v>
      </c>
      <c r="AP486" s="114">
        <v>9.7414</v>
      </c>
      <c r="AQ486" s="114">
        <v>0</v>
      </c>
      <c r="AR486" s="114">
        <v>19</v>
      </c>
      <c r="AS486" s="114">
        <v>472</v>
      </c>
      <c r="AT486" s="114"/>
      <c r="AU486" s="114">
        <v>100</v>
      </c>
      <c r="AV486" s="114">
        <v>0</v>
      </c>
      <c r="AW486" s="114">
        <v>0</v>
      </c>
      <c r="AX486" s="114">
        <v>0</v>
      </c>
      <c r="AY486" s="114">
        <v>0</v>
      </c>
      <c r="AZ486" s="114">
        <v>140</v>
      </c>
      <c r="BA486" s="114">
        <v>3254</v>
      </c>
      <c r="BB486" s="116"/>
      <c r="BC486" s="116"/>
      <c r="BD486" s="116"/>
      <c r="BE486" s="116"/>
      <c r="BF486" s="116"/>
      <c r="BG486" s="116"/>
      <c r="BH486" s="116"/>
      <c r="BI486" s="116"/>
      <c r="BJ486" s="117">
        <v>616577</v>
      </c>
      <c r="BK486" s="133">
        <v>40</v>
      </c>
      <c r="BL486" s="117">
        <v>15717</v>
      </c>
      <c r="BM486" s="118">
        <v>41140</v>
      </c>
      <c r="BN486" s="118">
        <v>2.42</v>
      </c>
      <c r="BO486" s="119"/>
      <c r="BP486" s="119"/>
      <c r="BQ486" s="119"/>
      <c r="BR486" s="119"/>
      <c r="BS486" s="119"/>
      <c r="BT486" s="119"/>
      <c r="BU486" s="119"/>
      <c r="BV486" s="119"/>
      <c r="BW486" s="119"/>
      <c r="BX486" s="119"/>
    </row>
    <row r="487" s="96" customFormat="1" ht="15.75" customHeight="1" spans="1:76">
      <c r="A487" s="111">
        <v>486</v>
      </c>
      <c r="B487" s="112" t="s">
        <v>46</v>
      </c>
      <c r="C487" s="112" t="s">
        <v>140</v>
      </c>
      <c r="D487" s="111">
        <v>2025</v>
      </c>
      <c r="E487" s="113" t="s">
        <v>37</v>
      </c>
      <c r="F487" s="114">
        <v>374238</v>
      </c>
      <c r="G487" s="114">
        <v>372079</v>
      </c>
      <c r="H487" s="114">
        <v>33701.6622</v>
      </c>
      <c r="I487" s="114">
        <v>1727</v>
      </c>
      <c r="J487" s="115">
        <v>0.00377314814814815</v>
      </c>
      <c r="K487" s="114">
        <v>23.06</v>
      </c>
      <c r="L487" s="114">
        <v>18</v>
      </c>
      <c r="M487" s="114">
        <v>3634134</v>
      </c>
      <c r="N487" s="114">
        <v>6.85</v>
      </c>
      <c r="O487" s="114">
        <v>258254</v>
      </c>
      <c r="P487" s="114">
        <v>202263</v>
      </c>
      <c r="Q487" s="114">
        <v>55991</v>
      </c>
      <c r="R487" s="114">
        <v>55182</v>
      </c>
      <c r="S487" s="114">
        <v>809</v>
      </c>
      <c r="T487" s="114">
        <v>2406</v>
      </c>
      <c r="U487" s="114">
        <v>679</v>
      </c>
      <c r="V487" s="114">
        <v>2436</v>
      </c>
      <c r="W487" s="114">
        <v>152</v>
      </c>
      <c r="X487" s="114">
        <v>581</v>
      </c>
      <c r="Y487" s="114">
        <v>555</v>
      </c>
      <c r="Z487" s="114">
        <v>2440858.277</v>
      </c>
      <c r="AA487" s="114">
        <v>0</v>
      </c>
      <c r="AB487" s="114">
        <v>0</v>
      </c>
      <c r="AC487" s="114">
        <v>150928.611</v>
      </c>
      <c r="AD487" s="114">
        <v>2289296.873</v>
      </c>
      <c r="AE487" s="114">
        <v>4162357.039</v>
      </c>
      <c r="AF487" s="114">
        <v>382909</v>
      </c>
      <c r="AG487" s="114">
        <v>10870.356</v>
      </c>
      <c r="AH487" s="114">
        <v>324465</v>
      </c>
      <c r="AI487" s="114">
        <v>6560.052</v>
      </c>
      <c r="AJ487" s="114">
        <v>0</v>
      </c>
      <c r="AK487" s="114">
        <v>0</v>
      </c>
      <c r="AL487" s="114">
        <v>0</v>
      </c>
      <c r="AM487" s="114">
        <v>0</v>
      </c>
      <c r="AN487" s="114">
        <v>9910</v>
      </c>
      <c r="AO487" s="114">
        <v>960.979</v>
      </c>
      <c r="AP487" s="114">
        <v>4.1609</v>
      </c>
      <c r="AQ487" s="114">
        <v>16</v>
      </c>
      <c r="AR487" s="114">
        <v>20</v>
      </c>
      <c r="AS487" s="114">
        <v>8</v>
      </c>
      <c r="AT487" s="114"/>
      <c r="AU487" s="114">
        <v>68</v>
      </c>
      <c r="AV487" s="114">
        <v>1</v>
      </c>
      <c r="AW487" s="114">
        <v>0.004</v>
      </c>
      <c r="AX487" s="114">
        <v>0</v>
      </c>
      <c r="AY487" s="114">
        <v>0</v>
      </c>
      <c r="AZ487" s="114">
        <v>20</v>
      </c>
      <c r="BA487" s="114">
        <v>283</v>
      </c>
      <c r="BB487" s="116"/>
      <c r="BC487" s="116"/>
      <c r="BD487" s="116"/>
      <c r="BE487" s="116"/>
      <c r="BF487" s="116"/>
      <c r="BG487" s="116"/>
      <c r="BH487" s="116"/>
      <c r="BI487" s="116"/>
      <c r="BJ487" s="117">
        <v>618304</v>
      </c>
      <c r="BK487" s="117">
        <v>1727</v>
      </c>
      <c r="BL487" s="117">
        <v>79989</v>
      </c>
      <c r="BM487" s="118">
        <v>422960</v>
      </c>
      <c r="BN487" s="118">
        <v>24.88</v>
      </c>
      <c r="BO487" s="119"/>
      <c r="BP487" s="119"/>
      <c r="BQ487" s="119"/>
      <c r="BR487" s="119"/>
      <c r="BS487" s="119"/>
      <c r="BT487" s="119"/>
      <c r="BU487" s="119"/>
      <c r="BV487" s="119"/>
      <c r="BW487" s="119"/>
      <c r="BX487" s="119"/>
    </row>
    <row r="488" s="96" customFormat="1" ht="15.75" customHeight="1" spans="1:76">
      <c r="A488" s="111">
        <v>487</v>
      </c>
      <c r="B488" s="112" t="s">
        <v>46</v>
      </c>
      <c r="C488" s="112" t="s">
        <v>140</v>
      </c>
      <c r="D488" s="111">
        <v>2025</v>
      </c>
      <c r="E488" s="113" t="s">
        <v>38</v>
      </c>
      <c r="F488" s="114">
        <v>461876</v>
      </c>
      <c r="G488" s="114">
        <v>438979</v>
      </c>
      <c r="H488" s="114">
        <v>26276.823</v>
      </c>
      <c r="I488" s="114">
        <v>1628</v>
      </c>
      <c r="J488" s="115">
        <v>0.00248842592592593</v>
      </c>
      <c r="K488" s="114">
        <v>30.37</v>
      </c>
      <c r="L488" s="114">
        <v>30</v>
      </c>
      <c r="M488" s="114">
        <v>4194385</v>
      </c>
      <c r="N488" s="114">
        <v>7.42</v>
      </c>
      <c r="O488" s="114">
        <v>354840</v>
      </c>
      <c r="P488" s="114">
        <v>284301</v>
      </c>
      <c r="Q488" s="114">
        <v>70539</v>
      </c>
      <c r="R488" s="114">
        <v>69824</v>
      </c>
      <c r="S488" s="114">
        <v>715</v>
      </c>
      <c r="T488" s="114">
        <v>2365</v>
      </c>
      <c r="U488" s="114">
        <v>737</v>
      </c>
      <c r="V488" s="114">
        <v>3655</v>
      </c>
      <c r="W488" s="114">
        <v>197</v>
      </c>
      <c r="X488" s="114">
        <v>778</v>
      </c>
      <c r="Y488" s="114">
        <v>1041</v>
      </c>
      <c r="Z488" s="114">
        <v>1772587.355</v>
      </c>
      <c r="AA488" s="114">
        <v>0</v>
      </c>
      <c r="AB488" s="114">
        <v>0</v>
      </c>
      <c r="AC488" s="114">
        <v>75517.467</v>
      </c>
      <c r="AD488" s="114">
        <v>1680318.711</v>
      </c>
      <c r="AE488" s="114">
        <v>3055283.748</v>
      </c>
      <c r="AF488" s="114">
        <v>298141</v>
      </c>
      <c r="AG488" s="114">
        <v>10247.781</v>
      </c>
      <c r="AH488" s="114">
        <v>255852</v>
      </c>
      <c r="AI488" s="114">
        <v>4037.978</v>
      </c>
      <c r="AJ488" s="114">
        <v>0</v>
      </c>
      <c r="AK488" s="114">
        <v>0</v>
      </c>
      <c r="AL488" s="114">
        <v>0</v>
      </c>
      <c r="AM488" s="114">
        <v>0</v>
      </c>
      <c r="AN488" s="114">
        <v>8742</v>
      </c>
      <c r="AO488" s="114">
        <v>577.7408</v>
      </c>
      <c r="AP488" s="114">
        <v>10.1548</v>
      </c>
      <c r="AQ488" s="114">
        <v>6</v>
      </c>
      <c r="AR488" s="114">
        <v>15</v>
      </c>
      <c r="AS488" s="114">
        <v>138</v>
      </c>
      <c r="AT488" s="114">
        <v>2</v>
      </c>
      <c r="AU488" s="114">
        <v>1102</v>
      </c>
      <c r="AV488" s="114">
        <v>0</v>
      </c>
      <c r="AW488" s="114">
        <v>0</v>
      </c>
      <c r="AX488" s="114">
        <v>0</v>
      </c>
      <c r="AY488" s="114">
        <v>0</v>
      </c>
      <c r="AZ488" s="114">
        <v>4</v>
      </c>
      <c r="BA488" s="114">
        <v>138</v>
      </c>
      <c r="BB488" s="116"/>
      <c r="BC488" s="116"/>
      <c r="BD488" s="116"/>
      <c r="BE488" s="116"/>
      <c r="BF488" s="116"/>
      <c r="BG488" s="116"/>
      <c r="BH488" s="116"/>
      <c r="BI488" s="116"/>
      <c r="BJ488" s="117">
        <v>619932</v>
      </c>
      <c r="BK488" s="117">
        <v>1628</v>
      </c>
      <c r="BL488" s="117">
        <v>258288</v>
      </c>
      <c r="BM488" s="118">
        <v>1138490</v>
      </c>
      <c r="BN488" s="118">
        <v>66.97</v>
      </c>
      <c r="BO488" s="120">
        <v>0.48</v>
      </c>
      <c r="BP488" s="120">
        <v>0.52</v>
      </c>
      <c r="BQ488" s="119"/>
      <c r="BR488" s="120">
        <v>0.01</v>
      </c>
      <c r="BS488" s="120">
        <v>0.073</v>
      </c>
      <c r="BT488" s="120">
        <v>0.242</v>
      </c>
      <c r="BU488" s="120">
        <v>0.169</v>
      </c>
      <c r="BV488" s="120">
        <v>0.179</v>
      </c>
      <c r="BW488" s="120">
        <v>0.202</v>
      </c>
      <c r="BX488" s="120">
        <v>0.124</v>
      </c>
    </row>
    <row r="489" s="96" customFormat="1" ht="15.75" customHeight="1" spans="1:76">
      <c r="A489" s="111">
        <v>488</v>
      </c>
      <c r="B489" s="112" t="s">
        <v>46</v>
      </c>
      <c r="C489" s="112" t="s">
        <v>140</v>
      </c>
      <c r="D489" s="111">
        <v>2025</v>
      </c>
      <c r="E489" s="113" t="s">
        <v>39</v>
      </c>
      <c r="F489" s="114">
        <v>1370054</v>
      </c>
      <c r="G489" s="114">
        <v>1195915</v>
      </c>
      <c r="H489" s="114">
        <v>48641.2385</v>
      </c>
      <c r="I489" s="114">
        <v>4949</v>
      </c>
      <c r="J489" s="115">
        <v>0.00168981481481481</v>
      </c>
      <c r="K489" s="114">
        <v>10.14</v>
      </c>
      <c r="L489" s="114">
        <v>223</v>
      </c>
      <c r="M489" s="114">
        <v>13102896</v>
      </c>
      <c r="N489" s="114">
        <v>6.38</v>
      </c>
      <c r="O489" s="114">
        <v>911798</v>
      </c>
      <c r="P489" s="114">
        <v>729959</v>
      </c>
      <c r="Q489" s="114">
        <v>181839</v>
      </c>
      <c r="R489" s="114">
        <v>180275</v>
      </c>
      <c r="S489" s="114">
        <v>1564</v>
      </c>
      <c r="T489" s="114">
        <v>5770</v>
      </c>
      <c r="U489" s="114">
        <v>821</v>
      </c>
      <c r="V489" s="114">
        <v>13029</v>
      </c>
      <c r="W489" s="114">
        <v>636</v>
      </c>
      <c r="X489" s="114">
        <v>3280</v>
      </c>
      <c r="Y489" s="114">
        <v>8920</v>
      </c>
      <c r="Z489" s="114">
        <v>3000318.135</v>
      </c>
      <c r="AA489" s="114">
        <v>13843.934</v>
      </c>
      <c r="AB489" s="114">
        <v>5</v>
      </c>
      <c r="AC489" s="114">
        <v>103073.793</v>
      </c>
      <c r="AD489" s="114">
        <v>2801131.277</v>
      </c>
      <c r="AE489" s="114">
        <v>5103422.162</v>
      </c>
      <c r="AF489" s="114">
        <v>610365</v>
      </c>
      <c r="AG489" s="114">
        <v>8361.263</v>
      </c>
      <c r="AH489" s="114">
        <v>549227</v>
      </c>
      <c r="AI489" s="114">
        <v>2508.804</v>
      </c>
      <c r="AJ489" s="114">
        <v>256</v>
      </c>
      <c r="AK489" s="114">
        <v>16764</v>
      </c>
      <c r="AL489" s="114">
        <v>380046.613</v>
      </c>
      <c r="AM489" s="114">
        <v>4</v>
      </c>
      <c r="AN489" s="114">
        <v>21008</v>
      </c>
      <c r="AO489" s="114">
        <v>871.4989</v>
      </c>
      <c r="AP489" s="114">
        <v>91.9813</v>
      </c>
      <c r="AQ489" s="114">
        <v>22</v>
      </c>
      <c r="AR489" s="114">
        <v>1535</v>
      </c>
      <c r="AS489" s="114">
        <v>1770</v>
      </c>
      <c r="AT489" s="114"/>
      <c r="AU489" s="114">
        <v>131</v>
      </c>
      <c r="AV489" s="114">
        <v>0</v>
      </c>
      <c r="AW489" s="114">
        <v>0</v>
      </c>
      <c r="AX489" s="114">
        <v>0</v>
      </c>
      <c r="AY489" s="114">
        <v>0</v>
      </c>
      <c r="AZ489" s="114">
        <v>6</v>
      </c>
      <c r="BA489" s="114">
        <v>1519</v>
      </c>
      <c r="BB489" s="116"/>
      <c r="BC489" s="116"/>
      <c r="BD489" s="116"/>
      <c r="BE489" s="116"/>
      <c r="BF489" s="116"/>
      <c r="BG489" s="116"/>
      <c r="BH489" s="116"/>
      <c r="BI489" s="116"/>
      <c r="BJ489" s="117">
        <v>626718</v>
      </c>
      <c r="BK489" s="117">
        <v>4949</v>
      </c>
      <c r="BL489" s="117">
        <v>1220298</v>
      </c>
      <c r="BM489" s="118">
        <v>2659310</v>
      </c>
      <c r="BN489" s="118">
        <v>156.43</v>
      </c>
      <c r="BO489" s="120">
        <v>0.716</v>
      </c>
      <c r="BP489" s="120">
        <v>0.284</v>
      </c>
      <c r="BQ489" s="134">
        <v>0</v>
      </c>
      <c r="BR489" s="120">
        <v>0.011</v>
      </c>
      <c r="BS489" s="120">
        <v>0.068</v>
      </c>
      <c r="BT489" s="120">
        <v>0.283</v>
      </c>
      <c r="BU489" s="120">
        <v>0.218</v>
      </c>
      <c r="BV489" s="120">
        <v>0.176</v>
      </c>
      <c r="BW489" s="120">
        <v>0.157</v>
      </c>
      <c r="BX489" s="120">
        <v>0.087</v>
      </c>
    </row>
    <row r="490" s="96" customFormat="1" ht="15.75" customHeight="1" spans="1:76">
      <c r="A490" s="111">
        <v>489</v>
      </c>
      <c r="B490" s="112" t="s">
        <v>46</v>
      </c>
      <c r="C490" s="112" t="s">
        <v>140</v>
      </c>
      <c r="D490" s="111">
        <v>2025</v>
      </c>
      <c r="E490" s="113" t="s">
        <v>40</v>
      </c>
      <c r="F490" s="114">
        <v>7267994</v>
      </c>
      <c r="G490" s="114">
        <v>7048173</v>
      </c>
      <c r="H490" s="114">
        <v>413901.729</v>
      </c>
      <c r="I490" s="114">
        <v>32324</v>
      </c>
      <c r="J490" s="115">
        <v>0.00244212962962963</v>
      </c>
      <c r="K490" s="114">
        <v>27.31</v>
      </c>
      <c r="L490" s="114">
        <v>755</v>
      </c>
      <c r="M490" s="114">
        <v>78277446</v>
      </c>
      <c r="N490" s="114">
        <v>6.84</v>
      </c>
      <c r="O490" s="114">
        <v>3948019</v>
      </c>
      <c r="P490" s="114">
        <v>2958651</v>
      </c>
      <c r="Q490" s="114">
        <v>989368</v>
      </c>
      <c r="R490" s="114">
        <v>985484</v>
      </c>
      <c r="S490" s="114">
        <v>3884</v>
      </c>
      <c r="T490" s="114">
        <v>34793</v>
      </c>
      <c r="U490" s="114">
        <v>2469</v>
      </c>
      <c r="V490" s="114">
        <v>59108</v>
      </c>
      <c r="W490" s="114">
        <v>2470</v>
      </c>
      <c r="X490" s="114">
        <v>11579</v>
      </c>
      <c r="Y490" s="114">
        <v>37150</v>
      </c>
      <c r="Z490" s="114">
        <v>29387091.17</v>
      </c>
      <c r="AA490" s="114">
        <v>0</v>
      </c>
      <c r="AB490" s="114">
        <v>12</v>
      </c>
      <c r="AC490" s="114">
        <v>919102.028</v>
      </c>
      <c r="AD490" s="114">
        <v>28310730.3</v>
      </c>
      <c r="AE490" s="114">
        <v>51540028.9</v>
      </c>
      <c r="AF490" s="114">
        <v>5958950</v>
      </c>
      <c r="AG490" s="114">
        <v>8649.18</v>
      </c>
      <c r="AH490" s="114">
        <v>4892324</v>
      </c>
      <c r="AI490" s="114">
        <v>4169.462</v>
      </c>
      <c r="AJ490" s="114">
        <v>25</v>
      </c>
      <c r="AK490" s="114">
        <v>1687</v>
      </c>
      <c r="AL490" s="114">
        <v>2435403.325</v>
      </c>
      <c r="AM490" s="114">
        <v>9</v>
      </c>
      <c r="AN490" s="114">
        <v>107479</v>
      </c>
      <c r="AO490" s="114">
        <v>6419.7642</v>
      </c>
      <c r="AP490" s="114">
        <v>116.586</v>
      </c>
      <c r="AQ490" s="114">
        <v>-24</v>
      </c>
      <c r="AR490" s="114">
        <v>555</v>
      </c>
      <c r="AS490" s="114">
        <v>645</v>
      </c>
      <c r="AT490" s="114"/>
      <c r="AU490" s="114">
        <v>67</v>
      </c>
      <c r="AV490" s="114">
        <v>0</v>
      </c>
      <c r="AW490" s="114">
        <v>0</v>
      </c>
      <c r="AX490" s="114">
        <v>0</v>
      </c>
      <c r="AY490" s="114">
        <v>0</v>
      </c>
      <c r="AZ490" s="114">
        <v>1215</v>
      </c>
      <c r="BA490" s="114">
        <v>156128</v>
      </c>
      <c r="BB490" s="116"/>
      <c r="BC490" s="116"/>
      <c r="BD490" s="116"/>
      <c r="BE490" s="116"/>
      <c r="BF490" s="116"/>
      <c r="BG490" s="116"/>
      <c r="BH490" s="116"/>
      <c r="BI490" s="116"/>
      <c r="BJ490" s="117">
        <v>657188</v>
      </c>
      <c r="BK490" s="117">
        <v>32322</v>
      </c>
      <c r="BL490" s="117">
        <v>6787792</v>
      </c>
      <c r="BM490" s="118">
        <v>25728650</v>
      </c>
      <c r="BN490" s="118">
        <v>1513.45</v>
      </c>
      <c r="BO490" s="120">
        <v>0.757</v>
      </c>
      <c r="BP490" s="120">
        <v>0.242</v>
      </c>
      <c r="BQ490" s="120">
        <v>0.001</v>
      </c>
      <c r="BR490" s="120">
        <v>0.011</v>
      </c>
      <c r="BS490" s="120">
        <v>0.06</v>
      </c>
      <c r="BT490" s="120">
        <v>0.256</v>
      </c>
      <c r="BU490" s="120">
        <v>0.201</v>
      </c>
      <c r="BV490" s="120">
        <v>0.187</v>
      </c>
      <c r="BW490" s="120">
        <v>0.18</v>
      </c>
      <c r="BX490" s="120">
        <v>0.105</v>
      </c>
    </row>
    <row r="491" s="96" customFormat="1" ht="15.75" customHeight="1" spans="1:76">
      <c r="A491" s="111">
        <v>490</v>
      </c>
      <c r="B491" s="112" t="s">
        <v>46</v>
      </c>
      <c r="C491" s="112" t="s">
        <v>140</v>
      </c>
      <c r="D491" s="111">
        <v>2025</v>
      </c>
      <c r="E491" s="113" t="s">
        <v>41</v>
      </c>
      <c r="F491" s="114">
        <v>9856796</v>
      </c>
      <c r="G491" s="114">
        <v>9577892</v>
      </c>
      <c r="H491" s="114">
        <v>542760.9113</v>
      </c>
      <c r="I491" s="114">
        <v>37047</v>
      </c>
      <c r="J491" s="115">
        <v>0.00234953703703704</v>
      </c>
      <c r="K491" s="114">
        <v>22.02</v>
      </c>
      <c r="L491" s="114">
        <v>1009</v>
      </c>
      <c r="M491" s="114">
        <v>103245285</v>
      </c>
      <c r="N491" s="114">
        <v>6.97</v>
      </c>
      <c r="O491" s="114">
        <v>5012119</v>
      </c>
      <c r="P491" s="114">
        <v>2756681</v>
      </c>
      <c r="Q491" s="114">
        <v>2255438</v>
      </c>
      <c r="R491" s="114">
        <v>2248139</v>
      </c>
      <c r="S491" s="114">
        <v>7299</v>
      </c>
      <c r="T491" s="114">
        <v>40348</v>
      </c>
      <c r="U491" s="114">
        <v>3301</v>
      </c>
      <c r="V491" s="114">
        <v>75581</v>
      </c>
      <c r="W491" s="114">
        <v>3515</v>
      </c>
      <c r="X491" s="114">
        <v>15664</v>
      </c>
      <c r="Y491" s="114">
        <v>51610</v>
      </c>
      <c r="Z491" s="114">
        <v>40703229.91</v>
      </c>
      <c r="AA491" s="114">
        <v>0</v>
      </c>
      <c r="AB491" s="114">
        <v>0</v>
      </c>
      <c r="AC491" s="114">
        <v>1281842.519</v>
      </c>
      <c r="AD491" s="114">
        <v>39345908.65</v>
      </c>
      <c r="AE491" s="114">
        <v>72072847.23</v>
      </c>
      <c r="AF491" s="114">
        <v>8668459</v>
      </c>
      <c r="AG491" s="114">
        <v>8314.378</v>
      </c>
      <c r="AH491" s="114">
        <v>7052161</v>
      </c>
      <c r="AI491" s="114">
        <v>4249.706</v>
      </c>
      <c r="AJ491" s="114">
        <v>7</v>
      </c>
      <c r="AK491" s="114">
        <v>884</v>
      </c>
      <c r="AL491" s="114">
        <v>0</v>
      </c>
      <c r="AM491" s="114">
        <v>0</v>
      </c>
      <c r="AN491" s="114">
        <v>157517</v>
      </c>
      <c r="AO491" s="114">
        <v>9530.2816</v>
      </c>
      <c r="AP491" s="114">
        <v>125.503</v>
      </c>
      <c r="AQ491" s="114">
        <v>23</v>
      </c>
      <c r="AR491" s="114">
        <v>3734</v>
      </c>
      <c r="AS491" s="114">
        <v>1734</v>
      </c>
      <c r="AT491" s="114"/>
      <c r="AU491" s="114">
        <v>117</v>
      </c>
      <c r="AV491" s="114">
        <v>0</v>
      </c>
      <c r="AW491" s="114">
        <v>0</v>
      </c>
      <c r="AX491" s="114">
        <v>0</v>
      </c>
      <c r="AY491" s="114">
        <v>0</v>
      </c>
      <c r="AZ491" s="114">
        <v>151</v>
      </c>
      <c r="BA491" s="114">
        <v>29427</v>
      </c>
      <c r="BB491" s="116"/>
      <c r="BC491" s="116"/>
      <c r="BD491" s="116"/>
      <c r="BE491" s="116"/>
      <c r="BF491" s="116"/>
      <c r="BG491" s="116"/>
      <c r="BH491" s="116"/>
      <c r="BI491" s="116"/>
      <c r="BJ491" s="117">
        <v>694237</v>
      </c>
      <c r="BK491" s="117">
        <v>37047</v>
      </c>
      <c r="BL491" s="117">
        <v>9085464</v>
      </c>
      <c r="BM491" s="118">
        <v>39102720</v>
      </c>
      <c r="BN491" s="118">
        <v>2300.16</v>
      </c>
      <c r="BO491" s="120">
        <v>0.763</v>
      </c>
      <c r="BP491" s="120">
        <v>0.236</v>
      </c>
      <c r="BQ491" s="120">
        <v>0.001</v>
      </c>
      <c r="BR491" s="120">
        <v>0.011</v>
      </c>
      <c r="BS491" s="120">
        <v>0.058</v>
      </c>
      <c r="BT491" s="120">
        <v>0.255</v>
      </c>
      <c r="BU491" s="120">
        <v>0.202</v>
      </c>
      <c r="BV491" s="120">
        <v>0.186</v>
      </c>
      <c r="BW491" s="120">
        <v>0.179</v>
      </c>
      <c r="BX491" s="120">
        <v>0.108</v>
      </c>
    </row>
    <row r="492" s="96" customFormat="1" ht="15.75" customHeight="1" spans="1:76">
      <c r="A492" s="111">
        <v>491</v>
      </c>
      <c r="B492" s="112" t="s">
        <v>46</v>
      </c>
      <c r="C492" s="112" t="s">
        <v>140</v>
      </c>
      <c r="D492" s="111">
        <v>2025</v>
      </c>
      <c r="E492" s="113" t="s">
        <v>42</v>
      </c>
      <c r="F492" s="114">
        <v>9910249</v>
      </c>
      <c r="G492" s="114">
        <v>9752063</v>
      </c>
      <c r="H492" s="114">
        <v>593383.326</v>
      </c>
      <c r="I492" s="114">
        <v>23686</v>
      </c>
      <c r="J492" s="115">
        <v>0.00253472222222222</v>
      </c>
      <c r="K492" s="114">
        <v>24.45</v>
      </c>
      <c r="L492" s="114">
        <v>905</v>
      </c>
      <c r="M492" s="114">
        <v>106366248</v>
      </c>
      <c r="N492" s="114">
        <v>7.06</v>
      </c>
      <c r="O492" s="114">
        <v>4680438</v>
      </c>
      <c r="P492" s="114">
        <v>1919524</v>
      </c>
      <c r="Q492" s="114">
        <v>2762060</v>
      </c>
      <c r="R492" s="114">
        <v>2744692</v>
      </c>
      <c r="S492" s="114">
        <v>17368</v>
      </c>
      <c r="T492" s="114">
        <v>26528</v>
      </c>
      <c r="U492" s="114">
        <v>2842</v>
      </c>
      <c r="V492" s="114">
        <v>64379</v>
      </c>
      <c r="W492" s="114">
        <v>3488</v>
      </c>
      <c r="X492" s="114">
        <v>15001</v>
      </c>
      <c r="Y492" s="114">
        <v>51257</v>
      </c>
      <c r="Z492" s="114">
        <v>46392776.06</v>
      </c>
      <c r="AA492" s="114">
        <v>0</v>
      </c>
      <c r="AB492" s="114">
        <v>0</v>
      </c>
      <c r="AC492" s="114">
        <v>1552020.498</v>
      </c>
      <c r="AD492" s="114">
        <v>44541939.3</v>
      </c>
      <c r="AE492" s="114">
        <v>81019554.63</v>
      </c>
      <c r="AF492" s="114">
        <v>9093674</v>
      </c>
      <c r="AG492" s="114">
        <v>8909.441</v>
      </c>
      <c r="AH492" s="114">
        <v>7491309</v>
      </c>
      <c r="AI492" s="114">
        <v>4757.227</v>
      </c>
      <c r="AJ492" s="114">
        <v>5</v>
      </c>
      <c r="AK492" s="114">
        <v>779</v>
      </c>
      <c r="AL492" s="114">
        <v>0</v>
      </c>
      <c r="AM492" s="114">
        <v>0</v>
      </c>
      <c r="AN492" s="114">
        <v>168368</v>
      </c>
      <c r="AO492" s="114">
        <v>10784.0895</v>
      </c>
      <c r="AP492" s="114">
        <v>117.8559</v>
      </c>
      <c r="AQ492" s="114">
        <v>5</v>
      </c>
      <c r="AR492" s="114">
        <v>4114</v>
      </c>
      <c r="AS492" s="114">
        <v>719</v>
      </c>
      <c r="AT492" s="114"/>
      <c r="AU492" s="114">
        <v>112</v>
      </c>
      <c r="AV492" s="114">
        <v>0</v>
      </c>
      <c r="AW492" s="114">
        <v>0</v>
      </c>
      <c r="AX492" s="114">
        <v>0</v>
      </c>
      <c r="AY492" s="114">
        <v>0</v>
      </c>
      <c r="AZ492" s="114">
        <v>1783</v>
      </c>
      <c r="BA492" s="114">
        <v>401171</v>
      </c>
      <c r="BB492" s="116"/>
      <c r="BC492" s="116"/>
      <c r="BD492" s="116"/>
      <c r="BE492" s="116"/>
      <c r="BF492" s="116"/>
      <c r="BG492" s="116"/>
      <c r="BH492" s="116"/>
      <c r="BI492" s="116"/>
      <c r="BJ492" s="117">
        <v>717923</v>
      </c>
      <c r="BK492" s="117">
        <v>23686</v>
      </c>
      <c r="BL492" s="117">
        <v>9210360</v>
      </c>
      <c r="BM492" s="118">
        <v>44124180</v>
      </c>
      <c r="BN492" s="118">
        <v>2595.54</v>
      </c>
      <c r="BO492" s="120">
        <v>0.767</v>
      </c>
      <c r="BP492" s="120">
        <v>0.232</v>
      </c>
      <c r="BQ492" s="120">
        <v>0.001</v>
      </c>
      <c r="BR492" s="120">
        <v>0.01</v>
      </c>
      <c r="BS492" s="120">
        <v>0.054</v>
      </c>
      <c r="BT492" s="120">
        <v>0.24</v>
      </c>
      <c r="BU492" s="120">
        <v>0.192</v>
      </c>
      <c r="BV492" s="120">
        <v>0.194</v>
      </c>
      <c r="BW492" s="120">
        <v>0.194</v>
      </c>
      <c r="BX492" s="120">
        <v>0.115</v>
      </c>
    </row>
    <row r="493" s="96" customFormat="1" ht="15.75" customHeight="1" spans="1:76">
      <c r="A493" s="111">
        <v>492</v>
      </c>
      <c r="B493" s="112" t="s">
        <v>46</v>
      </c>
      <c r="C493" s="112" t="s">
        <v>140</v>
      </c>
      <c r="D493" s="111">
        <v>2025</v>
      </c>
      <c r="E493" s="113" t="s">
        <v>43</v>
      </c>
      <c r="F493" s="114">
        <v>6976225</v>
      </c>
      <c r="G493" s="114">
        <v>6875254</v>
      </c>
      <c r="H493" s="114">
        <v>546847.7015</v>
      </c>
      <c r="I493" s="114">
        <v>11295</v>
      </c>
      <c r="J493" s="115">
        <v>0.00331018518518519</v>
      </c>
      <c r="K493" s="114">
        <v>15.52</v>
      </c>
      <c r="L493" s="114">
        <v>859</v>
      </c>
      <c r="M493" s="114">
        <v>69474343</v>
      </c>
      <c r="N493" s="114">
        <v>7.1</v>
      </c>
      <c r="O493" s="114">
        <v>3780722</v>
      </c>
      <c r="P493" s="114">
        <v>1417851</v>
      </c>
      <c r="Q493" s="114">
        <v>2360435</v>
      </c>
      <c r="R493" s="114">
        <v>2316660</v>
      </c>
      <c r="S493" s="114">
        <v>43775</v>
      </c>
      <c r="T493" s="114">
        <v>13326</v>
      </c>
      <c r="U493" s="114">
        <v>2031</v>
      </c>
      <c r="V493" s="114">
        <v>36806</v>
      </c>
      <c r="W493" s="114">
        <v>2749</v>
      </c>
      <c r="X493" s="114">
        <v>8335</v>
      </c>
      <c r="Y493" s="114">
        <v>29661</v>
      </c>
      <c r="Z493" s="114">
        <v>36154417.88</v>
      </c>
      <c r="AA493" s="114">
        <v>0</v>
      </c>
      <c r="AB493" s="114">
        <v>0</v>
      </c>
      <c r="AC493" s="114">
        <v>855435.164</v>
      </c>
      <c r="AD493" s="114">
        <v>35263187.86</v>
      </c>
      <c r="AE493" s="114">
        <v>64224574.78</v>
      </c>
      <c r="AF493" s="114">
        <v>7228551</v>
      </c>
      <c r="AG493" s="114">
        <v>8884.848</v>
      </c>
      <c r="AH493" s="114">
        <v>5822366</v>
      </c>
      <c r="AI493" s="114">
        <v>5258.63</v>
      </c>
      <c r="AJ493" s="114">
        <v>3</v>
      </c>
      <c r="AK493" s="114">
        <v>558</v>
      </c>
      <c r="AL493" s="114">
        <v>0</v>
      </c>
      <c r="AM493" s="114">
        <v>0</v>
      </c>
      <c r="AN493" s="114">
        <v>91309</v>
      </c>
      <c r="AO493" s="114">
        <v>6785.2537</v>
      </c>
      <c r="AP493" s="114">
        <v>116.3238</v>
      </c>
      <c r="AQ493" s="114">
        <v>3</v>
      </c>
      <c r="AR493" s="114">
        <v>5014</v>
      </c>
      <c r="AS493" s="114">
        <v>4399</v>
      </c>
      <c r="AT493" s="114"/>
      <c r="AU493" s="114">
        <v>130</v>
      </c>
      <c r="AV493" s="114">
        <v>0</v>
      </c>
      <c r="AW493" s="114">
        <v>0</v>
      </c>
      <c r="AX493" s="114">
        <v>0</v>
      </c>
      <c r="AY493" s="114">
        <v>0</v>
      </c>
      <c r="AZ493" s="114">
        <v>1865</v>
      </c>
      <c r="BA493" s="114">
        <v>347698</v>
      </c>
      <c r="BB493" s="116"/>
      <c r="BC493" s="116"/>
      <c r="BD493" s="116"/>
      <c r="BE493" s="116"/>
      <c r="BF493" s="116"/>
      <c r="BG493" s="116"/>
      <c r="BH493" s="116"/>
      <c r="BI493" s="116"/>
      <c r="BJ493" s="117">
        <v>729216</v>
      </c>
      <c r="BK493" s="117">
        <v>11293</v>
      </c>
      <c r="BL493" s="117">
        <v>5864203</v>
      </c>
      <c r="BM493" s="118">
        <v>29800830</v>
      </c>
      <c r="BN493" s="118">
        <v>1752.99</v>
      </c>
      <c r="BO493" s="120">
        <v>0.766</v>
      </c>
      <c r="BP493" s="120">
        <v>0.233</v>
      </c>
      <c r="BQ493" s="120">
        <v>0.001</v>
      </c>
      <c r="BR493" s="120">
        <v>0.012</v>
      </c>
      <c r="BS493" s="120">
        <v>0.058</v>
      </c>
      <c r="BT493" s="120">
        <v>0.253</v>
      </c>
      <c r="BU493" s="120">
        <v>0.188</v>
      </c>
      <c r="BV493" s="120">
        <v>0.188</v>
      </c>
      <c r="BW493" s="120">
        <v>0.189</v>
      </c>
      <c r="BX493" s="120">
        <v>0.111</v>
      </c>
    </row>
    <row r="494" s="96" customFormat="1" ht="15.75" customHeight="1" spans="1:76">
      <c r="A494" s="111">
        <v>493</v>
      </c>
      <c r="B494" s="112" t="s">
        <v>46</v>
      </c>
      <c r="C494" s="112" t="s">
        <v>140</v>
      </c>
      <c r="D494" s="111">
        <v>2026</v>
      </c>
      <c r="E494" s="112" t="s">
        <v>31</v>
      </c>
      <c r="F494" s="121">
        <v>10966815</v>
      </c>
      <c r="G494" s="114">
        <v>10387265</v>
      </c>
      <c r="H494" s="114">
        <v>796211.9825</v>
      </c>
      <c r="I494" s="114">
        <v>16940</v>
      </c>
      <c r="J494" s="115">
        <v>0.00318287037037037</v>
      </c>
      <c r="K494" s="114">
        <v>30.83</v>
      </c>
      <c r="L494" s="114">
        <v>893</v>
      </c>
      <c r="M494" s="114">
        <v>100749282</v>
      </c>
      <c r="N494" s="114">
        <v>6.8</v>
      </c>
      <c r="O494" s="114">
        <v>5606200</v>
      </c>
      <c r="P494" s="114">
        <v>2687028</v>
      </c>
      <c r="Q494" s="114">
        <v>2919449</v>
      </c>
      <c r="R494" s="114">
        <v>2759764</v>
      </c>
      <c r="S494" s="114">
        <v>159685</v>
      </c>
      <c r="T494" s="114">
        <v>19556</v>
      </c>
      <c r="U494" s="114">
        <v>2616</v>
      </c>
      <c r="V494" s="114">
        <v>83769</v>
      </c>
      <c r="W494" s="114">
        <v>3951</v>
      </c>
      <c r="X494" s="114">
        <v>10732</v>
      </c>
      <c r="Y494" s="114">
        <v>42829</v>
      </c>
      <c r="Z494" s="121">
        <v>34125942</v>
      </c>
      <c r="AA494" s="114">
        <v>0</v>
      </c>
      <c r="AB494" s="114">
        <v>0</v>
      </c>
      <c r="AC494" s="114">
        <v>1112158.079</v>
      </c>
      <c r="AD494" s="114">
        <v>31723964.56</v>
      </c>
      <c r="AE494" s="114">
        <v>57721964.13</v>
      </c>
      <c r="AF494" s="114">
        <v>6813833</v>
      </c>
      <c r="AG494" s="114">
        <v>8471.291</v>
      </c>
      <c r="AH494" s="114">
        <v>5647563</v>
      </c>
      <c r="AI494" s="114">
        <v>3181.592</v>
      </c>
      <c r="AJ494" s="114">
        <v>19</v>
      </c>
      <c r="AK494" s="114">
        <v>1030</v>
      </c>
      <c r="AL494" s="114">
        <v>0</v>
      </c>
      <c r="AM494" s="114">
        <v>0</v>
      </c>
      <c r="AN494" s="114">
        <v>261294</v>
      </c>
      <c r="AO494" s="114">
        <v>20730.92</v>
      </c>
      <c r="AP494" s="114">
        <v>121.3641</v>
      </c>
      <c r="AQ494" s="114">
        <v>0</v>
      </c>
      <c r="AR494" s="114">
        <v>390</v>
      </c>
      <c r="AS494" s="114">
        <v>1033</v>
      </c>
      <c r="AT494" s="114"/>
      <c r="AU494" s="114">
        <v>122</v>
      </c>
      <c r="AV494" s="114">
        <v>0</v>
      </c>
      <c r="AW494" s="114">
        <v>0</v>
      </c>
      <c r="AX494" s="114">
        <v>0</v>
      </c>
      <c r="AY494" s="114">
        <v>0</v>
      </c>
      <c r="AZ494" s="114">
        <v>434</v>
      </c>
      <c r="BA494" s="114">
        <v>103839</v>
      </c>
      <c r="BB494" s="116"/>
      <c r="BC494" s="116"/>
      <c r="BD494" s="116"/>
      <c r="BE494" s="116"/>
      <c r="BF494" s="116"/>
      <c r="BG494" s="116"/>
      <c r="BH494" s="116"/>
      <c r="BI494" s="116"/>
      <c r="BJ494" s="117">
        <v>746160</v>
      </c>
      <c r="BK494" s="117">
        <v>16942</v>
      </c>
      <c r="BL494" s="117">
        <v>9783059</v>
      </c>
      <c r="BM494" s="118">
        <v>27425945</v>
      </c>
      <c r="BN494" s="118"/>
      <c r="BO494" s="120">
        <v>0.797</v>
      </c>
      <c r="BP494" s="120">
        <v>0.202</v>
      </c>
      <c r="BQ494" s="120">
        <v>0.001</v>
      </c>
      <c r="BR494" s="120">
        <v>0.01</v>
      </c>
      <c r="BS494" s="120">
        <v>0.054</v>
      </c>
      <c r="BT494" s="120">
        <v>0.257</v>
      </c>
      <c r="BU494" s="120">
        <v>0.214</v>
      </c>
      <c r="BV494" s="120">
        <v>0.185</v>
      </c>
      <c r="BW494" s="120">
        <v>0.172</v>
      </c>
      <c r="BX494" s="120">
        <v>0.108</v>
      </c>
    </row>
    <row r="495" s="96" customFormat="1" ht="15.75" customHeight="1" spans="1:76">
      <c r="A495" s="111">
        <v>494</v>
      </c>
      <c r="B495" s="112" t="s">
        <v>46</v>
      </c>
      <c r="C495" s="112" t="s">
        <v>140</v>
      </c>
      <c r="D495" s="111">
        <v>2026</v>
      </c>
      <c r="E495" s="112" t="s">
        <v>33</v>
      </c>
      <c r="F495" s="114">
        <v>5221337</v>
      </c>
      <c r="G495" s="114">
        <v>5143509</v>
      </c>
      <c r="H495" s="114">
        <v>363454.9568</v>
      </c>
      <c r="I495" s="114">
        <v>6884</v>
      </c>
      <c r="J495" s="115">
        <v>0.00293981481481481</v>
      </c>
      <c r="K495" s="114">
        <v>20.86</v>
      </c>
      <c r="L495" s="114">
        <v>809</v>
      </c>
      <c r="M495" s="114">
        <v>54440604</v>
      </c>
      <c r="N495" s="114">
        <v>6.37</v>
      </c>
      <c r="O495" s="114">
        <v>3062677</v>
      </c>
      <c r="P495" s="114">
        <v>828055</v>
      </c>
      <c r="Q495" s="114">
        <v>2237230</v>
      </c>
      <c r="R495" s="114">
        <v>1900747</v>
      </c>
      <c r="S495" s="114">
        <v>336483</v>
      </c>
      <c r="T495" s="114">
        <v>8760</v>
      </c>
      <c r="U495" s="114">
        <v>1876</v>
      </c>
      <c r="V495" s="114">
        <v>29093</v>
      </c>
      <c r="W495" s="114">
        <v>1842</v>
      </c>
      <c r="X495" s="114">
        <v>4981</v>
      </c>
      <c r="Y495" s="114">
        <v>20593</v>
      </c>
      <c r="Z495" s="114">
        <v>21180058.67</v>
      </c>
      <c r="AA495" s="114">
        <v>0</v>
      </c>
      <c r="AB495" s="114">
        <v>0</v>
      </c>
      <c r="AC495" s="114">
        <v>704091.743</v>
      </c>
      <c r="AD495" s="114">
        <v>20440392.51</v>
      </c>
      <c r="AE495" s="114">
        <v>37135293.2</v>
      </c>
      <c r="AF495" s="114">
        <v>4532048</v>
      </c>
      <c r="AG495" s="114">
        <v>8193.932</v>
      </c>
      <c r="AH495" s="114">
        <v>3656297</v>
      </c>
      <c r="AI495" s="114">
        <v>4116.894</v>
      </c>
      <c r="AJ495" s="114">
        <v>6</v>
      </c>
      <c r="AK495" s="114">
        <v>524</v>
      </c>
      <c r="AL495" s="114">
        <v>0</v>
      </c>
      <c r="AM495" s="114">
        <v>0</v>
      </c>
      <c r="AN495" s="114">
        <v>91871</v>
      </c>
      <c r="AO495" s="114">
        <v>6375.4299</v>
      </c>
      <c r="AP495" s="114">
        <v>139.814</v>
      </c>
      <c r="AQ495" s="114">
        <v>16</v>
      </c>
      <c r="AR495" s="114">
        <v>2066</v>
      </c>
      <c r="AS495" s="114">
        <v>5648</v>
      </c>
      <c r="AT495" s="114">
        <v>0</v>
      </c>
      <c r="AU495" s="114">
        <v>78</v>
      </c>
      <c r="AV495" s="114">
        <v>0</v>
      </c>
      <c r="AW495" s="114">
        <v>0</v>
      </c>
      <c r="AX495" s="114">
        <v>0</v>
      </c>
      <c r="AY495" s="114">
        <v>0</v>
      </c>
      <c r="AZ495" s="114">
        <v>1025</v>
      </c>
      <c r="BA495" s="114">
        <v>156440</v>
      </c>
      <c r="BB495" s="116"/>
      <c r="BC495" s="116"/>
      <c r="BD495" s="116"/>
      <c r="BE495" s="116"/>
      <c r="BF495" s="116"/>
      <c r="BG495" s="116"/>
      <c r="BH495" s="116"/>
      <c r="BI495" s="116"/>
      <c r="BJ495" s="117">
        <v>753042</v>
      </c>
      <c r="BK495" s="117">
        <v>6884</v>
      </c>
      <c r="BL495" s="117">
        <v>3793256</v>
      </c>
      <c r="BM495" s="118">
        <v>16025894</v>
      </c>
      <c r="BN495" s="118"/>
      <c r="BO495" s="120">
        <v>0.771</v>
      </c>
      <c r="BP495" s="120">
        <v>0.229</v>
      </c>
      <c r="BQ495" s="120">
        <v>0.001</v>
      </c>
      <c r="BR495" s="120">
        <v>0.011</v>
      </c>
      <c r="BS495" s="120">
        <v>0.056</v>
      </c>
      <c r="BT495" s="120">
        <v>0.254</v>
      </c>
      <c r="BU495" s="120">
        <v>0.196</v>
      </c>
      <c r="BV495" s="120">
        <v>0.185</v>
      </c>
      <c r="BW495" s="120">
        <v>0.186</v>
      </c>
      <c r="BX495" s="120">
        <v>0.113</v>
      </c>
    </row>
    <row r="496" s="96" customFormat="1" ht="15.75" customHeight="1" spans="1:76">
      <c r="A496" s="111">
        <v>495</v>
      </c>
      <c r="B496" s="112" t="s">
        <v>46</v>
      </c>
      <c r="C496" s="112" t="s">
        <v>140</v>
      </c>
      <c r="D496" s="111">
        <v>2026</v>
      </c>
      <c r="E496" s="113" t="s">
        <v>34</v>
      </c>
      <c r="F496" s="114">
        <v>11850403</v>
      </c>
      <c r="G496" s="114">
        <v>11723085</v>
      </c>
      <c r="H496" s="114">
        <v>816722.4435</v>
      </c>
      <c r="I496" s="114">
        <v>20408</v>
      </c>
      <c r="J496" s="115">
        <v>0.00289351851851852</v>
      </c>
      <c r="K496" s="114">
        <v>22.73</v>
      </c>
      <c r="L496" s="114">
        <v>684</v>
      </c>
      <c r="M496" s="114">
        <v>105043101</v>
      </c>
      <c r="N496" s="114">
        <v>8.42</v>
      </c>
      <c r="O496" s="114">
        <v>6424046</v>
      </c>
      <c r="P496" s="114">
        <v>2490975</v>
      </c>
      <c r="Q496" s="114">
        <v>3831830</v>
      </c>
      <c r="R496" s="114">
        <v>3168916</v>
      </c>
      <c r="S496" s="114">
        <v>662914</v>
      </c>
      <c r="T496" s="114">
        <v>23642</v>
      </c>
      <c r="U496" s="114">
        <v>3234</v>
      </c>
      <c r="V496" s="114">
        <v>85081</v>
      </c>
      <c r="W496" s="114">
        <v>4053</v>
      </c>
      <c r="X496" s="114">
        <v>10450</v>
      </c>
      <c r="Y496" s="114">
        <v>46855</v>
      </c>
      <c r="Z496" s="114">
        <v>61674968.09</v>
      </c>
      <c r="AA496" s="114">
        <v>0</v>
      </c>
      <c r="AB496" s="114">
        <v>1</v>
      </c>
      <c r="AC496" s="114">
        <v>1693972.25</v>
      </c>
      <c r="AD496" s="114">
        <v>59887813.55</v>
      </c>
      <c r="AE496" s="114">
        <v>108619419.2</v>
      </c>
      <c r="AF496" s="114">
        <v>12000151</v>
      </c>
      <c r="AG496" s="114">
        <v>9051.504</v>
      </c>
      <c r="AH496" s="114">
        <v>9189861</v>
      </c>
      <c r="AI496" s="114">
        <v>5275.476</v>
      </c>
      <c r="AJ496" s="114">
        <v>4</v>
      </c>
      <c r="AK496" s="114">
        <v>516</v>
      </c>
      <c r="AL496" s="114">
        <v>43080.566</v>
      </c>
      <c r="AM496" s="114">
        <v>1</v>
      </c>
      <c r="AN496" s="114">
        <v>191975</v>
      </c>
      <c r="AO496" s="114">
        <v>14286.5057</v>
      </c>
      <c r="AP496" s="114">
        <v>124.8652</v>
      </c>
      <c r="AQ496" s="114">
        <v>11</v>
      </c>
      <c r="AR496" s="114">
        <v>1380</v>
      </c>
      <c r="AS496" s="114">
        <v>2579</v>
      </c>
      <c r="AT496" s="114"/>
      <c r="AU496" s="114">
        <v>71</v>
      </c>
      <c r="AV496" s="114">
        <v>4</v>
      </c>
      <c r="AW496" s="114">
        <v>0.0121</v>
      </c>
      <c r="AX496" s="114">
        <v>0</v>
      </c>
      <c r="AY496" s="114">
        <v>0</v>
      </c>
      <c r="AZ496" s="114">
        <v>6766</v>
      </c>
      <c r="BA496" s="114">
        <v>1419842</v>
      </c>
      <c r="BB496" s="116"/>
      <c r="BC496" s="116"/>
      <c r="BD496" s="116"/>
      <c r="BE496" s="116"/>
      <c r="BF496" s="116"/>
      <c r="BG496" s="116"/>
      <c r="BH496" s="116"/>
      <c r="BI496" s="116"/>
      <c r="BJ496" s="117">
        <v>773446</v>
      </c>
      <c r="BK496" s="117">
        <v>20408</v>
      </c>
      <c r="BL496" s="117">
        <v>10897767</v>
      </c>
      <c r="BM496" s="118">
        <v>57982790</v>
      </c>
      <c r="BN496" s="118"/>
      <c r="BO496" s="120">
        <v>0.783</v>
      </c>
      <c r="BP496" s="120">
        <v>0.216</v>
      </c>
      <c r="BQ496" s="120">
        <v>0.001</v>
      </c>
      <c r="BR496" s="120">
        <v>0.014</v>
      </c>
      <c r="BS496" s="120">
        <v>0.06</v>
      </c>
      <c r="BT496" s="120">
        <v>0.265</v>
      </c>
      <c r="BU496" s="120">
        <v>0.223</v>
      </c>
      <c r="BV496" s="120">
        <v>0.203</v>
      </c>
      <c r="BW496" s="120">
        <v>0.157</v>
      </c>
      <c r="BX496" s="120">
        <v>0.079</v>
      </c>
    </row>
    <row r="497" s="96" customFormat="1" ht="15.75" customHeight="1" spans="1:76">
      <c r="A497" s="111">
        <v>496</v>
      </c>
      <c r="B497" s="112" t="s">
        <v>46</v>
      </c>
      <c r="C497" s="112" t="s">
        <v>140</v>
      </c>
      <c r="D497" s="111">
        <v>2026</v>
      </c>
      <c r="E497" s="113" t="s">
        <v>35</v>
      </c>
      <c r="F497" s="114">
        <v>5240715</v>
      </c>
      <c r="G497" s="114">
        <v>5063599</v>
      </c>
      <c r="H497" s="114">
        <v>383602.5432</v>
      </c>
      <c r="I497" s="114">
        <v>7662</v>
      </c>
      <c r="J497" s="115">
        <v>0.00314814814814815</v>
      </c>
      <c r="K497" s="114">
        <v>22.34</v>
      </c>
      <c r="L497" s="114">
        <v>242</v>
      </c>
      <c r="M497" s="114">
        <v>43644221</v>
      </c>
      <c r="N497" s="114">
        <v>7.73</v>
      </c>
      <c r="O497" s="114">
        <v>3075587</v>
      </c>
      <c r="P497" s="114">
        <v>770221</v>
      </c>
      <c r="Q497" s="114">
        <v>2178450</v>
      </c>
      <c r="R497" s="114">
        <v>1651351</v>
      </c>
      <c r="S497" s="114">
        <v>527099</v>
      </c>
      <c r="T497" s="114">
        <v>9880</v>
      </c>
      <c r="U497" s="114">
        <v>2218</v>
      </c>
      <c r="V497" s="114">
        <v>40899</v>
      </c>
      <c r="W497" s="114">
        <v>2235</v>
      </c>
      <c r="X497" s="114">
        <v>5561</v>
      </c>
      <c r="Y497" s="114">
        <v>17601</v>
      </c>
      <c r="Z497" s="114">
        <v>20551721.31</v>
      </c>
      <c r="AA497" s="114">
        <v>0</v>
      </c>
      <c r="AB497" s="114">
        <v>0</v>
      </c>
      <c r="AC497" s="114">
        <v>697549.454</v>
      </c>
      <c r="AD497" s="114">
        <v>19766798.62</v>
      </c>
      <c r="AE497" s="114">
        <v>35857570.14</v>
      </c>
      <c r="AF497" s="114">
        <v>4024598</v>
      </c>
      <c r="AG497" s="114">
        <v>8909.603</v>
      </c>
      <c r="AH497" s="114">
        <v>3225817</v>
      </c>
      <c r="AI497" s="114">
        <v>3910.429</v>
      </c>
      <c r="AJ497" s="114">
        <v>4</v>
      </c>
      <c r="AK497" s="114">
        <v>422</v>
      </c>
      <c r="AL497" s="114">
        <v>0</v>
      </c>
      <c r="AM497" s="114">
        <v>0</v>
      </c>
      <c r="AN497" s="114">
        <v>76356</v>
      </c>
      <c r="AO497" s="114">
        <v>6104.2537</v>
      </c>
      <c r="AP497" s="114">
        <v>96.847</v>
      </c>
      <c r="AQ497" s="114">
        <v>3</v>
      </c>
      <c r="AR497" s="114">
        <v>219</v>
      </c>
      <c r="AS497" s="114">
        <v>181</v>
      </c>
      <c r="AT497" s="114">
        <v>3</v>
      </c>
      <c r="AU497" s="114">
        <v>475</v>
      </c>
      <c r="AV497" s="114">
        <v>0</v>
      </c>
      <c r="AW497" s="114">
        <v>0</v>
      </c>
      <c r="AX497" s="114">
        <v>0</v>
      </c>
      <c r="AY497" s="114">
        <v>0</v>
      </c>
      <c r="AZ497" s="114">
        <v>303</v>
      </c>
      <c r="BA497" s="114">
        <v>86396</v>
      </c>
      <c r="BB497" s="116"/>
      <c r="BC497" s="116"/>
      <c r="BD497" s="116"/>
      <c r="BE497" s="116"/>
      <c r="BF497" s="116"/>
      <c r="BG497" s="116"/>
      <c r="BH497" s="116"/>
      <c r="BI497" s="116"/>
      <c r="BJ497" s="117">
        <v>781112</v>
      </c>
      <c r="BK497" s="117">
        <v>7662</v>
      </c>
      <c r="BL497" s="117">
        <v>4063454</v>
      </c>
      <c r="BM497" s="118">
        <v>16149514</v>
      </c>
      <c r="BN497" s="118"/>
      <c r="BO497" s="120">
        <v>0.779</v>
      </c>
      <c r="BP497" s="120">
        <v>0.22</v>
      </c>
      <c r="BQ497" s="120">
        <v>0.001</v>
      </c>
      <c r="BR497" s="120">
        <v>0.013</v>
      </c>
      <c r="BS497" s="120">
        <v>0.062</v>
      </c>
      <c r="BT497" s="120">
        <v>0.265</v>
      </c>
      <c r="BU497" s="120">
        <v>0.196</v>
      </c>
      <c r="BV497" s="120">
        <v>0.182</v>
      </c>
      <c r="BW497" s="120">
        <v>0.174</v>
      </c>
      <c r="BX497" s="120">
        <v>0.107</v>
      </c>
    </row>
    <row r="498" s="96" customFormat="1" ht="15.75" customHeight="1" spans="1:76">
      <c r="A498" s="111">
        <v>497</v>
      </c>
      <c r="B498" s="112" t="s">
        <v>46</v>
      </c>
      <c r="C498" s="112" t="s">
        <v>140</v>
      </c>
      <c r="D498" s="111">
        <v>2026</v>
      </c>
      <c r="E498" s="113" t="s">
        <v>36</v>
      </c>
      <c r="F498" s="114">
        <v>3706963</v>
      </c>
      <c r="G498" s="114">
        <v>3589573</v>
      </c>
      <c r="H498" s="114">
        <v>290400.0608</v>
      </c>
      <c r="I498" s="114">
        <v>4351</v>
      </c>
      <c r="J498" s="115">
        <v>0.00336805555555556</v>
      </c>
      <c r="K498" s="114">
        <v>18.18</v>
      </c>
      <c r="L498" s="114">
        <v>448</v>
      </c>
      <c r="M498" s="114">
        <v>34673943</v>
      </c>
      <c r="N498" s="114">
        <v>6.95</v>
      </c>
      <c r="O498" s="114">
        <v>2312531</v>
      </c>
      <c r="P498" s="114">
        <v>608570</v>
      </c>
      <c r="Q498" s="114">
        <v>1644973</v>
      </c>
      <c r="R498" s="114">
        <v>1146673</v>
      </c>
      <c r="S498" s="114">
        <v>498300</v>
      </c>
      <c r="T498" s="114">
        <v>5922</v>
      </c>
      <c r="U498" s="114">
        <v>1571</v>
      </c>
      <c r="V498" s="114">
        <v>23399</v>
      </c>
      <c r="W498" s="114">
        <v>1560</v>
      </c>
      <c r="X498" s="114">
        <v>4770</v>
      </c>
      <c r="Y498" s="114">
        <v>16212</v>
      </c>
      <c r="Z498" s="114">
        <v>15891379.02</v>
      </c>
      <c r="AA498" s="114">
        <v>0</v>
      </c>
      <c r="AB498" s="114">
        <v>0</v>
      </c>
      <c r="AC498" s="114">
        <v>680367.929</v>
      </c>
      <c r="AD498" s="114">
        <v>15154140.97</v>
      </c>
      <c r="AE498" s="114">
        <v>27463042.13</v>
      </c>
      <c r="AF498" s="114">
        <v>2889266</v>
      </c>
      <c r="AG498" s="114">
        <v>9505.197</v>
      </c>
      <c r="AH498" s="114">
        <v>2282411</v>
      </c>
      <c r="AI498" s="114">
        <v>4408.144</v>
      </c>
      <c r="AJ498" s="114">
        <v>2</v>
      </c>
      <c r="AK498" s="114">
        <v>395</v>
      </c>
      <c r="AL498" s="114">
        <v>0</v>
      </c>
      <c r="AM498" s="114">
        <v>0</v>
      </c>
      <c r="AN498" s="114">
        <v>66762</v>
      </c>
      <c r="AO498" s="114">
        <v>6086.4708</v>
      </c>
      <c r="AP498" s="114">
        <v>118.8493</v>
      </c>
      <c r="AQ498" s="114">
        <v>48</v>
      </c>
      <c r="AR498" s="114">
        <v>987</v>
      </c>
      <c r="AS498" s="114">
        <v>3432</v>
      </c>
      <c r="AT498" s="114"/>
      <c r="AU498" s="114">
        <v>185</v>
      </c>
      <c r="AV498" s="114">
        <v>0</v>
      </c>
      <c r="AW498" s="114">
        <v>0</v>
      </c>
      <c r="AX498" s="114">
        <v>0</v>
      </c>
      <c r="AY498" s="114">
        <v>0</v>
      </c>
      <c r="AZ498" s="114">
        <v>590</v>
      </c>
      <c r="BA498" s="114">
        <v>113593</v>
      </c>
      <c r="BB498" s="116"/>
      <c r="BC498" s="116"/>
      <c r="BD498" s="116"/>
      <c r="BE498" s="116"/>
      <c r="BF498" s="116"/>
      <c r="BG498" s="116"/>
      <c r="BH498" s="116"/>
      <c r="BI498" s="116"/>
      <c r="BJ498" s="117">
        <v>785463</v>
      </c>
      <c r="BK498" s="117">
        <v>4351</v>
      </c>
      <c r="BL498" s="117">
        <v>2676080</v>
      </c>
      <c r="BM498" s="118">
        <v>11928716</v>
      </c>
      <c r="BN498" s="118"/>
      <c r="BO498" s="120">
        <v>0.77</v>
      </c>
      <c r="BP498" s="120">
        <v>0.23</v>
      </c>
      <c r="BQ498" s="120">
        <v>0.001</v>
      </c>
      <c r="BR498" s="120">
        <v>0.012</v>
      </c>
      <c r="BS498" s="120">
        <v>0.057</v>
      </c>
      <c r="BT498" s="120">
        <v>0.255</v>
      </c>
      <c r="BU498" s="120">
        <v>0.194</v>
      </c>
      <c r="BV498" s="120">
        <v>0.183</v>
      </c>
      <c r="BW498" s="120">
        <v>0.183</v>
      </c>
      <c r="BX498" s="120">
        <v>0.117</v>
      </c>
    </row>
    <row r="499" s="96" customFormat="1" ht="15.75" customHeight="1" spans="1:76">
      <c r="A499" s="111">
        <v>498</v>
      </c>
      <c r="B499" s="96" t="s">
        <v>46</v>
      </c>
      <c r="C499" s="96" t="s">
        <v>140</v>
      </c>
      <c r="D499" s="122">
        <v>2026</v>
      </c>
      <c r="E499" s="96" t="s">
        <v>37</v>
      </c>
      <c r="F499" s="123">
        <v>2839313</v>
      </c>
      <c r="G499" s="123">
        <v>2814867</v>
      </c>
      <c r="H499" s="123">
        <v>295671</v>
      </c>
      <c r="I499" s="123">
        <v>3347</v>
      </c>
      <c r="J499" s="124">
        <v>0.004375</v>
      </c>
      <c r="K499" s="125">
        <v>11</v>
      </c>
      <c r="L499" s="125">
        <v>450</v>
      </c>
      <c r="M499" s="123">
        <v>27477545</v>
      </c>
      <c r="N499" s="125">
        <v>8</v>
      </c>
      <c r="O499" s="123">
        <v>1896436</v>
      </c>
      <c r="P499" s="123">
        <v>413142</v>
      </c>
      <c r="Q499" s="123">
        <v>1379305</v>
      </c>
      <c r="R499" s="123">
        <v>886220</v>
      </c>
      <c r="S499" s="123">
        <v>493085</v>
      </c>
      <c r="T499" s="123">
        <v>4816</v>
      </c>
      <c r="U499" s="123">
        <v>1469</v>
      </c>
      <c r="V499" s="123">
        <v>16165</v>
      </c>
      <c r="W499" s="123">
        <v>1651</v>
      </c>
      <c r="X499" s="123">
        <v>3626</v>
      </c>
      <c r="Y499" s="123">
        <v>15294</v>
      </c>
      <c r="Z499" s="123">
        <v>16283973</v>
      </c>
      <c r="AA499" s="125">
        <v>0</v>
      </c>
      <c r="AB499" s="125">
        <v>0</v>
      </c>
      <c r="AC499" s="123">
        <v>662164</v>
      </c>
      <c r="AD499" s="123">
        <v>15606249</v>
      </c>
      <c r="AE499" s="123">
        <v>28361709</v>
      </c>
      <c r="AF499" s="123">
        <v>2880338</v>
      </c>
      <c r="AG499" s="123">
        <v>9847</v>
      </c>
      <c r="AH499" s="123">
        <v>2213826</v>
      </c>
      <c r="AI499" s="123">
        <v>5812</v>
      </c>
      <c r="AJ499" s="125">
        <v>0</v>
      </c>
      <c r="AK499" s="125">
        <v>195</v>
      </c>
      <c r="AL499" s="125">
        <v>0</v>
      </c>
      <c r="AM499" s="125">
        <v>0</v>
      </c>
      <c r="AN499" s="123">
        <v>51428</v>
      </c>
      <c r="AO499" s="123">
        <v>5192</v>
      </c>
      <c r="AP499" s="125">
        <v>463</v>
      </c>
      <c r="AQ499" s="125">
        <v>123</v>
      </c>
      <c r="AR499" s="123">
        <v>2016</v>
      </c>
      <c r="AS499" s="125">
        <v>464</v>
      </c>
      <c r="AT499" s="125"/>
      <c r="AU499" s="125">
        <v>66</v>
      </c>
      <c r="AV499" s="125">
        <v>0</v>
      </c>
      <c r="AW499" s="125">
        <v>0</v>
      </c>
      <c r="AX499" s="125">
        <v>0</v>
      </c>
      <c r="AY499" s="125">
        <v>0</v>
      </c>
      <c r="AZ499" s="125">
        <v>290</v>
      </c>
      <c r="BA499" s="123">
        <v>67202</v>
      </c>
      <c r="BB499" s="125"/>
      <c r="BC499" s="125"/>
      <c r="BD499" s="125"/>
      <c r="BE499" s="125"/>
      <c r="BF499" s="125"/>
      <c r="BG499" s="125"/>
      <c r="BH499" s="125"/>
      <c r="BI499" s="125"/>
      <c r="BJ499" s="117">
        <v>788811</v>
      </c>
      <c r="BK499" s="117">
        <v>3347</v>
      </c>
      <c r="BL499" s="117">
        <v>2106101</v>
      </c>
      <c r="BM499" s="118">
        <v>12682993</v>
      </c>
      <c r="BN499" s="118"/>
      <c r="BO499" s="120">
        <v>0.768</v>
      </c>
      <c r="BP499" s="120">
        <v>0.232</v>
      </c>
      <c r="BQ499" s="120">
        <v>0</v>
      </c>
      <c r="BR499" s="120">
        <v>0.011</v>
      </c>
      <c r="BS499" s="120">
        <v>0.053</v>
      </c>
      <c r="BT499" s="120">
        <v>0.251</v>
      </c>
      <c r="BU499" s="120">
        <v>0.188</v>
      </c>
      <c r="BV499" s="120">
        <v>0.182</v>
      </c>
      <c r="BW499" s="120">
        <v>0.193</v>
      </c>
      <c r="BX499" s="120">
        <v>0.123</v>
      </c>
    </row>
    <row r="500" s="96" customFormat="1" ht="15.75" customHeight="1" spans="1:76">
      <c r="A500" s="111">
        <v>499</v>
      </c>
      <c r="B500" s="96" t="s">
        <v>46</v>
      </c>
      <c r="C500" s="96" t="s">
        <v>140</v>
      </c>
      <c r="D500" s="122">
        <v>2026</v>
      </c>
      <c r="E500" s="96" t="s">
        <v>38</v>
      </c>
      <c r="F500" s="126">
        <v>6923931</v>
      </c>
      <c r="G500" s="126">
        <v>6463910</v>
      </c>
      <c r="H500" s="126">
        <v>435831</v>
      </c>
      <c r="I500" s="126">
        <v>7105</v>
      </c>
      <c r="J500" s="127">
        <v>0.00280092592592593</v>
      </c>
      <c r="K500" s="128">
        <v>16</v>
      </c>
      <c r="L500" s="126">
        <v>1154</v>
      </c>
      <c r="M500" s="126">
        <v>54561550</v>
      </c>
      <c r="N500" s="128">
        <v>8</v>
      </c>
      <c r="O500" s="126">
        <v>3838800</v>
      </c>
      <c r="P500" s="126">
        <v>1005330</v>
      </c>
      <c r="Q500" s="126">
        <v>2555822</v>
      </c>
      <c r="R500" s="126">
        <v>1681682</v>
      </c>
      <c r="S500" s="126">
        <v>874140</v>
      </c>
      <c r="T500" s="126">
        <v>8863</v>
      </c>
      <c r="U500" s="126">
        <v>1758</v>
      </c>
      <c r="V500" s="126">
        <v>46361</v>
      </c>
      <c r="W500" s="126">
        <v>2211</v>
      </c>
      <c r="X500" s="126">
        <v>6608</v>
      </c>
      <c r="Y500" s="126">
        <v>24499</v>
      </c>
      <c r="Z500" s="126">
        <v>27917594</v>
      </c>
      <c r="AA500" s="128">
        <v>0</v>
      </c>
      <c r="AB500" s="128">
        <v>0</v>
      </c>
      <c r="AC500" s="126">
        <v>1013480</v>
      </c>
      <c r="AD500" s="126">
        <v>26684932</v>
      </c>
      <c r="AE500" s="126">
        <v>48489178</v>
      </c>
      <c r="AF500" s="126">
        <v>5014579</v>
      </c>
      <c r="AG500" s="126">
        <v>9670</v>
      </c>
      <c r="AH500" s="126">
        <v>4083593</v>
      </c>
      <c r="AI500" s="126">
        <v>4368</v>
      </c>
      <c r="AJ500" s="128">
        <v>2</v>
      </c>
      <c r="AK500" s="128">
        <v>195</v>
      </c>
      <c r="AL500" s="128">
        <v>0</v>
      </c>
      <c r="AM500" s="128">
        <v>0</v>
      </c>
      <c r="AN500" s="126">
        <v>111736</v>
      </c>
      <c r="AO500" s="126">
        <v>8085</v>
      </c>
      <c r="AP500" s="128">
        <v>152</v>
      </c>
      <c r="AQ500" s="128">
        <v>221</v>
      </c>
      <c r="AR500" s="126">
        <v>1979</v>
      </c>
      <c r="AS500" s="128">
        <v>517</v>
      </c>
      <c r="AT500" s="128"/>
      <c r="AU500" s="128">
        <v>70</v>
      </c>
      <c r="AV500" s="128">
        <v>3</v>
      </c>
      <c r="AW500" s="128">
        <v>0</v>
      </c>
      <c r="AX500" s="128">
        <v>0</v>
      </c>
      <c r="AY500" s="128">
        <v>0</v>
      </c>
      <c r="AZ500" s="128">
        <v>738</v>
      </c>
      <c r="BA500" s="126">
        <v>152170</v>
      </c>
      <c r="BB500" s="129"/>
      <c r="BC500" s="129"/>
      <c r="BD500" s="129"/>
      <c r="BE500" s="129"/>
      <c r="BF500" s="129"/>
      <c r="BG500" s="129"/>
      <c r="BH500" s="129"/>
      <c r="BI500" s="129"/>
      <c r="BJ500" s="130">
        <v>795915</v>
      </c>
      <c r="BK500" s="130">
        <v>7105</v>
      </c>
      <c r="BL500" s="130">
        <v>5910278</v>
      </c>
      <c r="BM500" s="131">
        <v>23281175.97</v>
      </c>
      <c r="BN500" s="131"/>
      <c r="BO500" s="132">
        <v>0.779</v>
      </c>
      <c r="BP500" s="132">
        <v>0.221</v>
      </c>
      <c r="BQ500" s="132">
        <v>0.001</v>
      </c>
      <c r="BR500" s="132">
        <v>0.011</v>
      </c>
      <c r="BS500" s="132">
        <v>0.053</v>
      </c>
      <c r="BT500" s="132">
        <v>0.262</v>
      </c>
      <c r="BU500" s="132">
        <v>0.2</v>
      </c>
      <c r="BV500" s="132">
        <v>0.179</v>
      </c>
      <c r="BW500" s="132">
        <v>0.18</v>
      </c>
      <c r="BX500" s="119"/>
    </row>
    <row r="501" s="96" customFormat="1" ht="15.75" customHeight="1" spans="1:76">
      <c r="A501" s="111">
        <v>500</v>
      </c>
      <c r="B501" s="96" t="s">
        <v>46</v>
      </c>
      <c r="C501" s="96" t="s">
        <v>140</v>
      </c>
      <c r="D501" s="122">
        <v>2026</v>
      </c>
      <c r="E501" s="96" t="s">
        <v>39</v>
      </c>
      <c r="F501" s="128"/>
      <c r="G501" s="128"/>
      <c r="H501" s="128"/>
      <c r="I501" s="128"/>
      <c r="J501" s="127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9"/>
      <c r="BC501" s="129"/>
      <c r="BD501" s="129"/>
      <c r="BE501" s="129"/>
      <c r="BF501" s="129"/>
      <c r="BG501" s="129"/>
      <c r="BH501" s="129"/>
      <c r="BI501" s="129"/>
      <c r="BJ501" s="119"/>
      <c r="BK501" s="119"/>
      <c r="BL501" s="119"/>
      <c r="BM501" s="131"/>
      <c r="BN501" s="131"/>
      <c r="BO501" s="119"/>
      <c r="BP501" s="119"/>
      <c r="BQ501" s="119"/>
      <c r="BR501" s="119"/>
      <c r="BS501" s="119"/>
      <c r="BT501" s="119"/>
      <c r="BU501" s="119"/>
      <c r="BV501" s="119"/>
      <c r="BW501" s="119"/>
      <c r="BX501" s="119"/>
    </row>
    <row r="502" s="96" customFormat="1" ht="15.75" customHeight="1" spans="1:76">
      <c r="A502" s="111">
        <v>501</v>
      </c>
      <c r="B502" s="96" t="s">
        <v>46</v>
      </c>
      <c r="C502" s="96" t="s">
        <v>140</v>
      </c>
      <c r="D502" s="122">
        <v>2026</v>
      </c>
      <c r="E502" s="96" t="s">
        <v>40</v>
      </c>
      <c r="F502" s="128"/>
      <c r="G502" s="128"/>
      <c r="H502" s="128"/>
      <c r="I502" s="128"/>
      <c r="J502" s="127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9"/>
      <c r="BC502" s="129"/>
      <c r="BD502" s="129"/>
      <c r="BE502" s="129"/>
      <c r="BF502" s="129"/>
      <c r="BG502" s="129"/>
      <c r="BH502" s="129"/>
      <c r="BI502" s="129"/>
      <c r="BJ502" s="119"/>
      <c r="BK502" s="119"/>
      <c r="BL502" s="119"/>
      <c r="BM502" s="131"/>
      <c r="BN502" s="131"/>
      <c r="BO502" s="119"/>
      <c r="BP502" s="119"/>
      <c r="BQ502" s="119"/>
      <c r="BR502" s="119"/>
      <c r="BS502" s="119"/>
      <c r="BT502" s="119"/>
      <c r="BU502" s="119"/>
      <c r="BV502" s="119"/>
      <c r="BW502" s="119"/>
      <c r="BX502" s="119"/>
    </row>
    <row r="503" s="96" customFormat="1" ht="15.75" customHeight="1" spans="1:76">
      <c r="A503" s="111">
        <v>502</v>
      </c>
      <c r="B503" s="96" t="s">
        <v>46</v>
      </c>
      <c r="C503" s="96" t="s">
        <v>140</v>
      </c>
      <c r="D503" s="122">
        <v>2026</v>
      </c>
      <c r="E503" s="96" t="s">
        <v>41</v>
      </c>
      <c r="F503" s="128"/>
      <c r="G503" s="128"/>
      <c r="H503" s="128"/>
      <c r="I503" s="128"/>
      <c r="J503" s="127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9"/>
      <c r="BC503" s="129"/>
      <c r="BD503" s="129"/>
      <c r="BE503" s="129"/>
      <c r="BF503" s="129"/>
      <c r="BG503" s="129"/>
      <c r="BH503" s="129"/>
      <c r="BI503" s="129"/>
      <c r="BJ503" s="119"/>
      <c r="BK503" s="119"/>
      <c r="BL503" s="119"/>
      <c r="BM503" s="131"/>
      <c r="BN503" s="131"/>
      <c r="BO503" s="119"/>
      <c r="BP503" s="119"/>
      <c r="BQ503" s="119"/>
      <c r="BR503" s="119"/>
      <c r="BS503" s="119"/>
      <c r="BT503" s="119"/>
      <c r="BU503" s="119"/>
      <c r="BV503" s="119"/>
      <c r="BW503" s="119"/>
      <c r="BX503" s="119"/>
    </row>
    <row r="504" s="96" customFormat="1" ht="15.75" customHeight="1" spans="1:76">
      <c r="A504" s="111">
        <v>503</v>
      </c>
      <c r="B504" s="96" t="s">
        <v>46</v>
      </c>
      <c r="C504" s="96" t="s">
        <v>140</v>
      </c>
      <c r="D504" s="122">
        <v>2026</v>
      </c>
      <c r="E504" s="96" t="s">
        <v>42</v>
      </c>
      <c r="F504" s="128"/>
      <c r="G504" s="128"/>
      <c r="H504" s="128"/>
      <c r="I504" s="128"/>
      <c r="J504" s="127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9"/>
      <c r="BC504" s="129"/>
      <c r="BD504" s="129"/>
      <c r="BE504" s="129"/>
      <c r="BF504" s="129"/>
      <c r="BG504" s="129"/>
      <c r="BH504" s="129"/>
      <c r="BI504" s="129"/>
      <c r="BJ504" s="119"/>
      <c r="BK504" s="119"/>
      <c r="BL504" s="119"/>
      <c r="BM504" s="131"/>
      <c r="BN504" s="131"/>
      <c r="BO504" s="119"/>
      <c r="BP504" s="119"/>
      <c r="BQ504" s="119"/>
      <c r="BR504" s="119"/>
      <c r="BS504" s="119"/>
      <c r="BT504" s="119"/>
      <c r="BU504" s="119"/>
      <c r="BV504" s="119"/>
      <c r="BW504" s="119"/>
      <c r="BX504" s="119"/>
    </row>
    <row r="505" s="96" customFormat="1" ht="15.75" customHeight="1" spans="1:76">
      <c r="A505" s="111">
        <v>504</v>
      </c>
      <c r="B505" s="96" t="s">
        <v>46</v>
      </c>
      <c r="C505" s="96" t="s">
        <v>140</v>
      </c>
      <c r="D505" s="122">
        <v>2026</v>
      </c>
      <c r="E505" s="96" t="s">
        <v>43</v>
      </c>
      <c r="F505" s="128"/>
      <c r="G505" s="128"/>
      <c r="H505" s="128"/>
      <c r="I505" s="128"/>
      <c r="J505" s="127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9"/>
      <c r="BC505" s="129"/>
      <c r="BD505" s="129"/>
      <c r="BE505" s="129"/>
      <c r="BF505" s="129"/>
      <c r="BG505" s="129"/>
      <c r="BH505" s="129"/>
      <c r="BI505" s="129"/>
      <c r="BJ505" s="119"/>
      <c r="BK505" s="119"/>
      <c r="BL505" s="119"/>
      <c r="BM505" s="131"/>
      <c r="BN505" s="131"/>
      <c r="BO505" s="119"/>
      <c r="BP505" s="119"/>
      <c r="BQ505" s="119"/>
      <c r="BR505" s="119"/>
      <c r="BS505" s="119"/>
      <c r="BT505" s="119"/>
      <c r="BU505" s="119"/>
      <c r="BV505" s="119"/>
      <c r="BW505" s="119"/>
      <c r="BX505" s="119"/>
    </row>
    <row r="506" s="96" customFormat="1" ht="15.75" customHeight="1" spans="1:76">
      <c r="A506" s="111">
        <v>505</v>
      </c>
      <c r="B506" s="112" t="s">
        <v>53</v>
      </c>
      <c r="C506" s="112" t="s">
        <v>53</v>
      </c>
      <c r="D506" s="111">
        <v>2024</v>
      </c>
      <c r="E506" s="113" t="s">
        <v>31</v>
      </c>
      <c r="F506" s="114">
        <v>8209988</v>
      </c>
      <c r="G506" s="114">
        <v>8209988</v>
      </c>
      <c r="H506" s="114">
        <v>528729.3991</v>
      </c>
      <c r="I506" s="114">
        <v>34755</v>
      </c>
      <c r="J506" s="115">
        <v>0.00267361111111111</v>
      </c>
      <c r="K506" s="114">
        <v>10.66</v>
      </c>
      <c r="L506" s="114">
        <v>1496</v>
      </c>
      <c r="M506" s="114">
        <v>65143583</v>
      </c>
      <c r="N506" s="114">
        <v>9.36</v>
      </c>
      <c r="O506" s="114">
        <v>4901315</v>
      </c>
      <c r="P506" s="114">
        <v>2858400</v>
      </c>
      <c r="Q506" s="114">
        <v>2042915</v>
      </c>
      <c r="R506" s="114">
        <v>2042915</v>
      </c>
      <c r="S506" s="114">
        <v>0</v>
      </c>
      <c r="T506" s="114">
        <v>38123</v>
      </c>
      <c r="U506" s="114">
        <v>3368</v>
      </c>
      <c r="V506" s="114">
        <v>105945</v>
      </c>
      <c r="W506" s="114">
        <v>3819</v>
      </c>
      <c r="X506" s="114">
        <v>17228</v>
      </c>
      <c r="Y506" s="114">
        <v>33818</v>
      </c>
      <c r="Z506" s="114">
        <v>23828462.39</v>
      </c>
      <c r="AA506" s="114">
        <v>0</v>
      </c>
      <c r="AB506" s="114">
        <v>0</v>
      </c>
      <c r="AC506" s="114">
        <v>781044.285</v>
      </c>
      <c r="AD506" s="114">
        <v>22928733.44</v>
      </c>
      <c r="AE506" s="114">
        <v>41904747.74</v>
      </c>
      <c r="AF506" s="114">
        <v>5153512</v>
      </c>
      <c r="AG506" s="114">
        <v>8131.299</v>
      </c>
      <c r="AH506" s="114">
        <v>4553204</v>
      </c>
      <c r="AI506" s="114">
        <v>2902.375</v>
      </c>
      <c r="AJ506" s="114">
        <v>0</v>
      </c>
      <c r="AK506" s="114">
        <v>0</v>
      </c>
      <c r="AL506" s="114">
        <v>0</v>
      </c>
      <c r="AM506" s="114">
        <v>0</v>
      </c>
      <c r="AN506" s="114">
        <v>93108</v>
      </c>
      <c r="AO506" s="114">
        <v>7458.5197</v>
      </c>
      <c r="AP506" s="114">
        <v>269.6024</v>
      </c>
      <c r="AQ506" s="114">
        <v>2611</v>
      </c>
      <c r="AR506" s="114">
        <v>58447</v>
      </c>
      <c r="AS506" s="114">
        <v>4273</v>
      </c>
      <c r="AT506" s="114">
        <v>5</v>
      </c>
      <c r="AU506" s="114">
        <v>5242</v>
      </c>
      <c r="AV506" s="114">
        <v>0</v>
      </c>
      <c r="AW506" s="114">
        <v>0</v>
      </c>
      <c r="AX506" s="114">
        <v>0</v>
      </c>
      <c r="AY506" s="114">
        <v>0</v>
      </c>
      <c r="AZ506" s="114">
        <v>81</v>
      </c>
      <c r="BA506" s="114">
        <v>20400</v>
      </c>
      <c r="BB506" s="116"/>
      <c r="BC506" s="116"/>
      <c r="BD506" s="116"/>
      <c r="BE506" s="116"/>
      <c r="BF506" s="116"/>
      <c r="BG506" s="116"/>
      <c r="BH506" s="116"/>
      <c r="BI506" s="116"/>
      <c r="BJ506" s="117">
        <v>1348976</v>
      </c>
      <c r="BK506" s="117">
        <v>34755</v>
      </c>
      <c r="BL506" s="117">
        <v>7071698</v>
      </c>
      <c r="BM506" s="118">
        <v>25194000</v>
      </c>
      <c r="BN506" s="118">
        <v>1482</v>
      </c>
      <c r="BO506" s="119"/>
      <c r="BP506" s="119"/>
      <c r="BQ506" s="119"/>
      <c r="BR506" s="119"/>
      <c r="BS506" s="119"/>
      <c r="BT506" s="119"/>
      <c r="BU506" s="119"/>
      <c r="BV506" s="119"/>
      <c r="BW506" s="119"/>
      <c r="BX506" s="119"/>
    </row>
    <row r="507" s="96" customFormat="1" ht="15.75" customHeight="1" spans="1:76">
      <c r="A507" s="111">
        <v>506</v>
      </c>
      <c r="B507" s="112" t="s">
        <v>53</v>
      </c>
      <c r="C507" s="112" t="s">
        <v>53</v>
      </c>
      <c r="D507" s="111">
        <v>2024</v>
      </c>
      <c r="E507" s="113" t="s">
        <v>33</v>
      </c>
      <c r="F507" s="114">
        <v>8031703</v>
      </c>
      <c r="G507" s="114">
        <v>8031703</v>
      </c>
      <c r="H507" s="114">
        <v>451826.0929</v>
      </c>
      <c r="I507" s="114">
        <v>27073</v>
      </c>
      <c r="J507" s="115">
        <v>0.00233796296296296</v>
      </c>
      <c r="K507" s="114">
        <v>4.87</v>
      </c>
      <c r="L507" s="114">
        <v>1507</v>
      </c>
      <c r="M507" s="114">
        <v>71569654</v>
      </c>
      <c r="N507" s="114">
        <v>8.32</v>
      </c>
      <c r="O507" s="114">
        <v>4763174</v>
      </c>
      <c r="P507" s="114">
        <v>2297085</v>
      </c>
      <c r="Q507" s="114">
        <v>2468890</v>
      </c>
      <c r="R507" s="114">
        <v>2468890</v>
      </c>
      <c r="S507" s="114">
        <v>0</v>
      </c>
      <c r="T507" s="114">
        <v>30224</v>
      </c>
      <c r="U507" s="114">
        <v>3151</v>
      </c>
      <c r="V507" s="114">
        <v>79095</v>
      </c>
      <c r="W507" s="114">
        <v>3935</v>
      </c>
      <c r="X507" s="114">
        <v>19370</v>
      </c>
      <c r="Y507" s="114">
        <v>30543</v>
      </c>
      <c r="Z507" s="114">
        <v>22667389.91</v>
      </c>
      <c r="AA507" s="114">
        <v>0</v>
      </c>
      <c r="AB507" s="114">
        <v>0</v>
      </c>
      <c r="AC507" s="114">
        <v>835420.796</v>
      </c>
      <c r="AD507" s="114">
        <v>21686096.48</v>
      </c>
      <c r="AE507" s="114">
        <v>39854408.56</v>
      </c>
      <c r="AF507" s="114">
        <v>4900204</v>
      </c>
      <c r="AG507" s="114">
        <v>8133.214</v>
      </c>
      <c r="AH507" s="114">
        <v>4317819</v>
      </c>
      <c r="AI507" s="114">
        <v>2822.24</v>
      </c>
      <c r="AJ507" s="114">
        <v>0</v>
      </c>
      <c r="AK507" s="114">
        <v>0</v>
      </c>
      <c r="AL507" s="114">
        <v>0</v>
      </c>
      <c r="AM507" s="114">
        <v>0</v>
      </c>
      <c r="AN507" s="114">
        <v>108179</v>
      </c>
      <c r="AO507" s="114">
        <v>7144.59</v>
      </c>
      <c r="AP507" s="114">
        <v>375.5521</v>
      </c>
      <c r="AQ507" s="114">
        <v>1837</v>
      </c>
      <c r="AR507" s="114">
        <v>95465</v>
      </c>
      <c r="AS507" s="114">
        <v>31883</v>
      </c>
      <c r="AT507" s="114">
        <v>8</v>
      </c>
      <c r="AU507" s="114">
        <v>14543</v>
      </c>
      <c r="AV507" s="114">
        <v>0</v>
      </c>
      <c r="AW507" s="114">
        <v>0</v>
      </c>
      <c r="AX507" s="114">
        <v>0</v>
      </c>
      <c r="AY507" s="114">
        <v>0</v>
      </c>
      <c r="AZ507" s="114">
        <v>49</v>
      </c>
      <c r="BA507" s="114">
        <v>17145</v>
      </c>
      <c r="BB507" s="116"/>
      <c r="BC507" s="116"/>
      <c r="BD507" s="116"/>
      <c r="BE507" s="116"/>
      <c r="BF507" s="116"/>
      <c r="BG507" s="116"/>
      <c r="BH507" s="116"/>
      <c r="BI507" s="116"/>
      <c r="BJ507" s="117">
        <v>1376049</v>
      </c>
      <c r="BK507" s="117">
        <v>27073</v>
      </c>
      <c r="BL507" s="117">
        <v>5956797</v>
      </c>
      <c r="BM507" s="118">
        <v>17731000</v>
      </c>
      <c r="BN507" s="118">
        <v>1043</v>
      </c>
      <c r="BO507" s="119"/>
      <c r="BP507" s="119"/>
      <c r="BQ507" s="119"/>
      <c r="BR507" s="119"/>
      <c r="BS507" s="119"/>
      <c r="BT507" s="119"/>
      <c r="BU507" s="119"/>
      <c r="BV507" s="119"/>
      <c r="BW507" s="119"/>
      <c r="BX507" s="119"/>
    </row>
    <row r="508" s="96" customFormat="1" ht="15.75" customHeight="1" spans="1:76">
      <c r="A508" s="111">
        <v>507</v>
      </c>
      <c r="B508" s="112" t="s">
        <v>53</v>
      </c>
      <c r="C508" s="112" t="s">
        <v>53</v>
      </c>
      <c r="D508" s="111">
        <v>2024</v>
      </c>
      <c r="E508" s="113" t="s">
        <v>34</v>
      </c>
      <c r="F508" s="114">
        <v>12745466</v>
      </c>
      <c r="G508" s="114">
        <v>12745466</v>
      </c>
      <c r="H508" s="114">
        <v>811194.3628</v>
      </c>
      <c r="I508" s="114">
        <v>38924</v>
      </c>
      <c r="J508" s="115">
        <v>0.00265046296296296</v>
      </c>
      <c r="K508" s="114">
        <v>4.5</v>
      </c>
      <c r="L508" s="114">
        <v>1637</v>
      </c>
      <c r="M508" s="114">
        <v>92034083</v>
      </c>
      <c r="N508" s="114">
        <v>8.78</v>
      </c>
      <c r="O508" s="114">
        <v>6463775</v>
      </c>
      <c r="P508" s="114">
        <v>2698424</v>
      </c>
      <c r="Q508" s="114">
        <v>3765351</v>
      </c>
      <c r="R508" s="114">
        <v>3765351</v>
      </c>
      <c r="S508" s="114">
        <v>0</v>
      </c>
      <c r="T508" s="114">
        <v>43033</v>
      </c>
      <c r="U508" s="114">
        <v>4109</v>
      </c>
      <c r="V508" s="114">
        <v>101678</v>
      </c>
      <c r="W508" s="114">
        <v>7487</v>
      </c>
      <c r="X508" s="114">
        <v>21008</v>
      </c>
      <c r="Y508" s="114">
        <v>33696</v>
      </c>
      <c r="Z508" s="114">
        <v>42767513.14</v>
      </c>
      <c r="AA508" s="114">
        <v>0</v>
      </c>
      <c r="AB508" s="114">
        <v>0</v>
      </c>
      <c r="AC508" s="114">
        <v>1303800.422</v>
      </c>
      <c r="AD508" s="114">
        <v>41091381.39</v>
      </c>
      <c r="AE508" s="114">
        <v>74735682.04</v>
      </c>
      <c r="AF508" s="114">
        <v>8026999</v>
      </c>
      <c r="AG508" s="114">
        <v>9310.538</v>
      </c>
      <c r="AH508" s="114">
        <v>6844966</v>
      </c>
      <c r="AI508" s="114">
        <v>3355.508</v>
      </c>
      <c r="AJ508" s="114">
        <v>0</v>
      </c>
      <c r="AK508" s="114">
        <v>0</v>
      </c>
      <c r="AL508" s="114">
        <v>0</v>
      </c>
      <c r="AM508" s="114">
        <v>0</v>
      </c>
      <c r="AN508" s="114">
        <v>146307</v>
      </c>
      <c r="AO508" s="114">
        <v>12672.191</v>
      </c>
      <c r="AP508" s="114">
        <v>407.8144</v>
      </c>
      <c r="AQ508" s="114">
        <v>7340</v>
      </c>
      <c r="AR508" s="114">
        <v>121341</v>
      </c>
      <c r="AS508" s="114">
        <v>19755</v>
      </c>
      <c r="AT508" s="114">
        <v>5</v>
      </c>
      <c r="AU508" s="114">
        <v>20707</v>
      </c>
      <c r="AV508" s="114">
        <v>0</v>
      </c>
      <c r="AW508" s="114">
        <v>0</v>
      </c>
      <c r="AX508" s="114">
        <v>0</v>
      </c>
      <c r="AY508" s="114">
        <v>0</v>
      </c>
      <c r="AZ508" s="114">
        <v>80</v>
      </c>
      <c r="BA508" s="114">
        <v>21481</v>
      </c>
      <c r="BB508" s="116"/>
      <c r="BC508" s="116"/>
      <c r="BD508" s="116"/>
      <c r="BE508" s="116"/>
      <c r="BF508" s="116"/>
      <c r="BG508" s="116"/>
      <c r="BH508" s="116"/>
      <c r="BI508" s="116"/>
      <c r="BJ508" s="117">
        <v>1414973</v>
      </c>
      <c r="BK508" s="117">
        <v>38924</v>
      </c>
      <c r="BL508" s="117">
        <v>8491823</v>
      </c>
      <c r="BM508" s="118">
        <v>38981000</v>
      </c>
      <c r="BN508" s="118">
        <v>2293</v>
      </c>
      <c r="BO508" s="119"/>
      <c r="BP508" s="119"/>
      <c r="BQ508" s="119"/>
      <c r="BR508" s="119"/>
      <c r="BS508" s="119"/>
      <c r="BT508" s="119"/>
      <c r="BU508" s="119"/>
      <c r="BV508" s="119"/>
      <c r="BW508" s="119"/>
      <c r="BX508" s="119"/>
    </row>
    <row r="509" s="96" customFormat="1" ht="15.75" customHeight="1" spans="1:76">
      <c r="A509" s="111">
        <v>508</v>
      </c>
      <c r="B509" s="112" t="s">
        <v>53</v>
      </c>
      <c r="C509" s="112" t="s">
        <v>53</v>
      </c>
      <c r="D509" s="111">
        <v>2024</v>
      </c>
      <c r="E509" s="113" t="s">
        <v>35</v>
      </c>
      <c r="F509" s="114">
        <v>8668590</v>
      </c>
      <c r="G509" s="114">
        <v>8668590</v>
      </c>
      <c r="H509" s="114">
        <v>496013.5258</v>
      </c>
      <c r="I509" s="114">
        <v>23800</v>
      </c>
      <c r="J509" s="115">
        <v>0.00237268518518519</v>
      </c>
      <c r="K509" s="114">
        <v>17.52</v>
      </c>
      <c r="L509" s="114">
        <v>1773</v>
      </c>
      <c r="M509" s="114">
        <v>64829347</v>
      </c>
      <c r="N509" s="114">
        <v>7.84</v>
      </c>
      <c r="O509" s="114">
        <v>5141511</v>
      </c>
      <c r="P509" s="114">
        <v>1836759</v>
      </c>
      <c r="Q509" s="114">
        <v>3304752</v>
      </c>
      <c r="R509" s="114">
        <v>3304752</v>
      </c>
      <c r="S509" s="114">
        <v>0</v>
      </c>
      <c r="T509" s="114">
        <v>26821</v>
      </c>
      <c r="U509" s="114">
        <v>3021</v>
      </c>
      <c r="V509" s="114">
        <v>73581</v>
      </c>
      <c r="W509" s="114">
        <v>5939</v>
      </c>
      <c r="X509" s="114">
        <v>9315</v>
      </c>
      <c r="Y509" s="114">
        <v>28139</v>
      </c>
      <c r="Z509" s="114">
        <v>24071381.23</v>
      </c>
      <c r="AA509" s="114">
        <v>0</v>
      </c>
      <c r="AB509" s="114">
        <v>0</v>
      </c>
      <c r="AC509" s="114">
        <v>835901.238</v>
      </c>
      <c r="AD509" s="114">
        <v>22884830.68</v>
      </c>
      <c r="AE509" s="114">
        <v>41656162.79</v>
      </c>
      <c r="AF509" s="114">
        <v>4653686</v>
      </c>
      <c r="AG509" s="114">
        <v>8951.219</v>
      </c>
      <c r="AH509" s="114">
        <v>4156598</v>
      </c>
      <c r="AI509" s="114">
        <v>2776.851</v>
      </c>
      <c r="AJ509" s="114">
        <v>0</v>
      </c>
      <c r="AK509" s="114">
        <v>0</v>
      </c>
      <c r="AL509" s="114">
        <v>0</v>
      </c>
      <c r="AM509" s="114">
        <v>0</v>
      </c>
      <c r="AN509" s="114">
        <v>103915</v>
      </c>
      <c r="AO509" s="114">
        <v>7199.5291</v>
      </c>
      <c r="AP509" s="114">
        <v>278.401</v>
      </c>
      <c r="AQ509" s="114">
        <v>3648</v>
      </c>
      <c r="AR509" s="114">
        <v>10070</v>
      </c>
      <c r="AS509" s="114">
        <v>6392</v>
      </c>
      <c r="AT509" s="114">
        <v>3</v>
      </c>
      <c r="AU509" s="114">
        <v>2864</v>
      </c>
      <c r="AV509" s="114">
        <v>0</v>
      </c>
      <c r="AW509" s="114">
        <v>0</v>
      </c>
      <c r="AX509" s="114">
        <v>0</v>
      </c>
      <c r="AY509" s="114">
        <v>0</v>
      </c>
      <c r="AZ509" s="114">
        <v>53</v>
      </c>
      <c r="BA509" s="114">
        <v>16466</v>
      </c>
      <c r="BB509" s="116"/>
      <c r="BC509" s="116"/>
      <c r="BD509" s="116"/>
      <c r="BE509" s="116"/>
      <c r="BF509" s="116"/>
      <c r="BG509" s="116"/>
      <c r="BH509" s="116"/>
      <c r="BI509" s="116"/>
      <c r="BJ509" s="117">
        <v>1438773</v>
      </c>
      <c r="BK509" s="117">
        <v>23800</v>
      </c>
      <c r="BL509" s="117">
        <v>6200561</v>
      </c>
      <c r="BM509" s="118">
        <v>19788000</v>
      </c>
      <c r="BN509" s="118">
        <v>1164</v>
      </c>
      <c r="BO509" s="119"/>
      <c r="BP509" s="119"/>
      <c r="BQ509" s="119"/>
      <c r="BR509" s="119"/>
      <c r="BS509" s="119"/>
      <c r="BT509" s="119"/>
      <c r="BU509" s="119"/>
      <c r="BV509" s="119"/>
      <c r="BW509" s="119"/>
      <c r="BX509" s="119"/>
    </row>
    <row r="510" s="96" customFormat="1" ht="15.75" customHeight="1" spans="1:76">
      <c r="A510" s="111">
        <v>509</v>
      </c>
      <c r="B510" s="112" t="s">
        <v>53</v>
      </c>
      <c r="C510" s="112" t="s">
        <v>53</v>
      </c>
      <c r="D510" s="111">
        <v>2024</v>
      </c>
      <c r="E510" s="113" t="s">
        <v>36</v>
      </c>
      <c r="F510" s="114">
        <v>5298317</v>
      </c>
      <c r="G510" s="114">
        <v>5298317</v>
      </c>
      <c r="H510" s="114">
        <v>317312.6532</v>
      </c>
      <c r="I510" s="114">
        <v>13955</v>
      </c>
      <c r="J510" s="115">
        <v>0.00248842592592593</v>
      </c>
      <c r="K510" s="114">
        <v>12.67</v>
      </c>
      <c r="L510" s="114">
        <v>1906</v>
      </c>
      <c r="M510" s="114">
        <v>48875267</v>
      </c>
      <c r="N510" s="114">
        <v>7.46</v>
      </c>
      <c r="O510" s="114">
        <v>3495498</v>
      </c>
      <c r="P510" s="114">
        <v>1263143</v>
      </c>
      <c r="Q510" s="114">
        <v>2232355</v>
      </c>
      <c r="R510" s="114">
        <v>2232355</v>
      </c>
      <c r="S510" s="114">
        <v>0</v>
      </c>
      <c r="T510" s="114">
        <v>16691</v>
      </c>
      <c r="U510" s="114">
        <v>2736</v>
      </c>
      <c r="V510" s="114">
        <v>39491</v>
      </c>
      <c r="W510" s="114">
        <v>2730</v>
      </c>
      <c r="X510" s="114">
        <v>6331</v>
      </c>
      <c r="Y510" s="114">
        <v>13157</v>
      </c>
      <c r="Z510" s="114">
        <v>14214515</v>
      </c>
      <c r="AA510" s="114">
        <v>0</v>
      </c>
      <c r="AB510" s="114">
        <v>0</v>
      </c>
      <c r="AC510" s="114">
        <v>572181.838</v>
      </c>
      <c r="AD510" s="114">
        <v>13507914.33</v>
      </c>
      <c r="AE510" s="114">
        <v>24941707.58</v>
      </c>
      <c r="AF510" s="114">
        <v>2663947</v>
      </c>
      <c r="AG510" s="114">
        <v>9362.689</v>
      </c>
      <c r="AH510" s="114">
        <v>2347388</v>
      </c>
      <c r="AI510" s="114">
        <v>2682.836</v>
      </c>
      <c r="AJ510" s="114">
        <v>0</v>
      </c>
      <c r="AK510" s="114">
        <v>0</v>
      </c>
      <c r="AL510" s="114">
        <v>0</v>
      </c>
      <c r="AM510" s="114">
        <v>0</v>
      </c>
      <c r="AN510" s="114">
        <v>62504</v>
      </c>
      <c r="AO510" s="114">
        <v>5536.1894</v>
      </c>
      <c r="AP510" s="114">
        <v>263.2849</v>
      </c>
      <c r="AQ510" s="114">
        <v>2918</v>
      </c>
      <c r="AR510" s="114">
        <v>20449</v>
      </c>
      <c r="AS510" s="114">
        <v>26795</v>
      </c>
      <c r="AT510" s="114">
        <v>5</v>
      </c>
      <c r="AU510" s="114">
        <v>929</v>
      </c>
      <c r="AV510" s="114">
        <v>0</v>
      </c>
      <c r="AW510" s="114">
        <v>0</v>
      </c>
      <c r="AX510" s="114">
        <v>0</v>
      </c>
      <c r="AY510" s="114">
        <v>0</v>
      </c>
      <c r="AZ510" s="114">
        <v>67</v>
      </c>
      <c r="BA510" s="114">
        <v>17524</v>
      </c>
      <c r="BB510" s="116"/>
      <c r="BC510" s="116"/>
      <c r="BD510" s="116"/>
      <c r="BE510" s="116"/>
      <c r="BF510" s="116"/>
      <c r="BG510" s="116"/>
      <c r="BH510" s="116"/>
      <c r="BI510" s="116"/>
      <c r="BJ510" s="117">
        <v>1452728</v>
      </c>
      <c r="BK510" s="117">
        <v>13955</v>
      </c>
      <c r="BL510" s="117">
        <v>3269750</v>
      </c>
      <c r="BM510" s="118">
        <v>8636000</v>
      </c>
      <c r="BN510" s="118">
        <v>508</v>
      </c>
      <c r="BO510" s="119"/>
      <c r="BP510" s="119"/>
      <c r="BQ510" s="119"/>
      <c r="BR510" s="119"/>
      <c r="BS510" s="119"/>
      <c r="BT510" s="119"/>
      <c r="BU510" s="119"/>
      <c r="BV510" s="119"/>
      <c r="BW510" s="119"/>
      <c r="BX510" s="119"/>
    </row>
    <row r="511" s="96" customFormat="1" ht="15.75" customHeight="1" spans="1:76">
      <c r="A511" s="111">
        <v>510</v>
      </c>
      <c r="B511" s="112" t="s">
        <v>53</v>
      </c>
      <c r="C511" s="112" t="s">
        <v>53</v>
      </c>
      <c r="D511" s="111">
        <v>2024</v>
      </c>
      <c r="E511" s="113" t="s">
        <v>37</v>
      </c>
      <c r="F511" s="114">
        <v>4290859</v>
      </c>
      <c r="G511" s="114">
        <v>4290859</v>
      </c>
      <c r="H511" s="114">
        <v>225725.6126</v>
      </c>
      <c r="I511" s="114">
        <v>11273</v>
      </c>
      <c r="J511" s="115">
        <v>0.0021875</v>
      </c>
      <c r="K511" s="114">
        <v>12.7</v>
      </c>
      <c r="L511" s="114">
        <v>1890</v>
      </c>
      <c r="M511" s="114">
        <v>42342769</v>
      </c>
      <c r="N511" s="114">
        <v>6.56</v>
      </c>
      <c r="O511" s="114">
        <v>2834100</v>
      </c>
      <c r="P511" s="114">
        <v>1087428</v>
      </c>
      <c r="Q511" s="114">
        <v>1746672</v>
      </c>
      <c r="R511" s="114">
        <v>1746672</v>
      </c>
      <c r="S511" s="114">
        <v>0</v>
      </c>
      <c r="T511" s="114">
        <v>13724</v>
      </c>
      <c r="U511" s="114">
        <v>2451</v>
      </c>
      <c r="V511" s="114">
        <v>34539</v>
      </c>
      <c r="W511" s="114">
        <v>2403</v>
      </c>
      <c r="X511" s="114">
        <v>5065</v>
      </c>
      <c r="Y511" s="114">
        <v>11389</v>
      </c>
      <c r="Z511" s="114">
        <v>10021523.58</v>
      </c>
      <c r="AA511" s="114">
        <v>0</v>
      </c>
      <c r="AB511" s="114">
        <v>0</v>
      </c>
      <c r="AC511" s="114">
        <v>297561.692</v>
      </c>
      <c r="AD511" s="114">
        <v>9492049.993</v>
      </c>
      <c r="AE511" s="114">
        <v>17313974.62</v>
      </c>
      <c r="AF511" s="114">
        <v>1795895</v>
      </c>
      <c r="AG511" s="114">
        <v>9640.861</v>
      </c>
      <c r="AH511" s="114">
        <v>1587069</v>
      </c>
      <c r="AI511" s="114">
        <v>2335.552</v>
      </c>
      <c r="AJ511" s="114">
        <v>0</v>
      </c>
      <c r="AK511" s="114">
        <v>0</v>
      </c>
      <c r="AL511" s="114">
        <v>0</v>
      </c>
      <c r="AM511" s="114">
        <v>0</v>
      </c>
      <c r="AN511" s="114">
        <v>41038</v>
      </c>
      <c r="AO511" s="114">
        <v>2888.8621</v>
      </c>
      <c r="AP511" s="114">
        <v>300.0451</v>
      </c>
      <c r="AQ511" s="114">
        <v>3391</v>
      </c>
      <c r="AR511" s="114">
        <v>18294</v>
      </c>
      <c r="AS511" s="114">
        <v>72755</v>
      </c>
      <c r="AT511" s="114">
        <v>1</v>
      </c>
      <c r="AU511" s="114">
        <v>158</v>
      </c>
      <c r="AV511" s="114">
        <v>0</v>
      </c>
      <c r="AW511" s="114">
        <v>0</v>
      </c>
      <c r="AX511" s="114">
        <v>0</v>
      </c>
      <c r="AY511" s="114">
        <v>0</v>
      </c>
      <c r="AZ511" s="114">
        <v>47</v>
      </c>
      <c r="BA511" s="114">
        <v>15268</v>
      </c>
      <c r="BB511" s="116"/>
      <c r="BC511" s="116"/>
      <c r="BD511" s="116"/>
      <c r="BE511" s="116"/>
      <c r="BF511" s="116"/>
      <c r="BG511" s="116"/>
      <c r="BH511" s="116"/>
      <c r="BI511" s="116"/>
      <c r="BJ511" s="117">
        <v>1464001</v>
      </c>
      <c r="BK511" s="117">
        <v>11273</v>
      </c>
      <c r="BL511" s="117">
        <v>2210625</v>
      </c>
      <c r="BM511" s="118">
        <v>5253000</v>
      </c>
      <c r="BN511" s="118">
        <v>309</v>
      </c>
      <c r="BO511" s="119"/>
      <c r="BP511" s="119"/>
      <c r="BQ511" s="119"/>
      <c r="BR511" s="119"/>
      <c r="BS511" s="119"/>
      <c r="BT511" s="119"/>
      <c r="BU511" s="119"/>
      <c r="BV511" s="119"/>
      <c r="BW511" s="119"/>
      <c r="BX511" s="119"/>
    </row>
    <row r="512" s="96" customFormat="1" ht="15.75" customHeight="1" spans="1:76">
      <c r="A512" s="111">
        <v>511</v>
      </c>
      <c r="B512" s="112" t="s">
        <v>53</v>
      </c>
      <c r="C512" s="112" t="s">
        <v>53</v>
      </c>
      <c r="D512" s="111">
        <v>2024</v>
      </c>
      <c r="E512" s="113" t="s">
        <v>38</v>
      </c>
      <c r="F512" s="114">
        <v>5916637</v>
      </c>
      <c r="G512" s="114">
        <v>5916637</v>
      </c>
      <c r="H512" s="114">
        <v>343713.1835</v>
      </c>
      <c r="I512" s="114">
        <v>14908</v>
      </c>
      <c r="J512" s="115">
        <v>0.00241898148148148</v>
      </c>
      <c r="K512" s="114">
        <v>19.55</v>
      </c>
      <c r="L512" s="114">
        <v>1628</v>
      </c>
      <c r="M512" s="114">
        <v>54805918</v>
      </c>
      <c r="N512" s="114">
        <v>6.89</v>
      </c>
      <c r="O512" s="114">
        <v>3579514</v>
      </c>
      <c r="P512" s="114">
        <v>1301999</v>
      </c>
      <c r="Q512" s="114">
        <v>2277515</v>
      </c>
      <c r="R512" s="114">
        <v>2277515</v>
      </c>
      <c r="S512" s="114">
        <v>0</v>
      </c>
      <c r="T512" s="114">
        <v>17599</v>
      </c>
      <c r="U512" s="114">
        <v>2691</v>
      </c>
      <c r="V512" s="114">
        <v>44856</v>
      </c>
      <c r="W512" s="114">
        <v>3693</v>
      </c>
      <c r="X512" s="114">
        <v>5314</v>
      </c>
      <c r="Y512" s="114">
        <v>19149</v>
      </c>
      <c r="Z512" s="114">
        <v>14443476.14</v>
      </c>
      <c r="AA512" s="114">
        <v>0</v>
      </c>
      <c r="AB512" s="114">
        <v>0</v>
      </c>
      <c r="AC512" s="114">
        <v>413146.868</v>
      </c>
      <c r="AD512" s="114">
        <v>13740748.62</v>
      </c>
      <c r="AE512" s="114">
        <v>24992309.02</v>
      </c>
      <c r="AF512" s="114">
        <v>2843135</v>
      </c>
      <c r="AG512" s="114">
        <v>8790.405</v>
      </c>
      <c r="AH512" s="114">
        <v>2559989</v>
      </c>
      <c r="AI512" s="114">
        <v>2441.162</v>
      </c>
      <c r="AJ512" s="114">
        <v>0</v>
      </c>
      <c r="AK512" s="114">
        <v>0</v>
      </c>
      <c r="AL512" s="114">
        <v>0</v>
      </c>
      <c r="AM512" s="114">
        <v>0</v>
      </c>
      <c r="AN512" s="114">
        <v>59312</v>
      </c>
      <c r="AO512" s="114">
        <v>4157.7007</v>
      </c>
      <c r="AP512" s="114">
        <v>261.8271</v>
      </c>
      <c r="AQ512" s="114">
        <v>1320</v>
      </c>
      <c r="AR512" s="114">
        <v>18872</v>
      </c>
      <c r="AS512" s="114">
        <v>9924</v>
      </c>
      <c r="AT512" s="114">
        <v>6</v>
      </c>
      <c r="AU512" s="114">
        <v>3355</v>
      </c>
      <c r="AV512" s="114">
        <v>0</v>
      </c>
      <c r="AW512" s="114">
        <v>0</v>
      </c>
      <c r="AX512" s="114">
        <v>0</v>
      </c>
      <c r="AY512" s="114">
        <v>8</v>
      </c>
      <c r="AZ512" s="114">
        <v>94</v>
      </c>
      <c r="BA512" s="114">
        <v>15297</v>
      </c>
      <c r="BB512" s="116"/>
      <c r="BC512" s="116"/>
      <c r="BD512" s="116"/>
      <c r="BE512" s="116"/>
      <c r="BF512" s="116"/>
      <c r="BG512" s="116"/>
      <c r="BH512" s="116"/>
      <c r="BI512" s="116"/>
      <c r="BJ512" s="117">
        <v>1478909</v>
      </c>
      <c r="BK512" s="117">
        <v>14908</v>
      </c>
      <c r="BL512" s="117">
        <v>3766148</v>
      </c>
      <c r="BM512" s="118">
        <v>10625000</v>
      </c>
      <c r="BN512" s="118">
        <v>625</v>
      </c>
      <c r="BO512" s="119"/>
      <c r="BP512" s="119"/>
      <c r="BQ512" s="119"/>
      <c r="BR512" s="119"/>
      <c r="BS512" s="119"/>
      <c r="BT512" s="119"/>
      <c r="BU512" s="119"/>
      <c r="BV512" s="119"/>
      <c r="BW512" s="119"/>
      <c r="BX512" s="119"/>
    </row>
    <row r="513" s="96" customFormat="1" ht="15.75" customHeight="1" spans="1:76">
      <c r="A513" s="111">
        <v>512</v>
      </c>
      <c r="B513" s="112" t="s">
        <v>53</v>
      </c>
      <c r="C513" s="112" t="s">
        <v>53</v>
      </c>
      <c r="D513" s="111">
        <v>2024</v>
      </c>
      <c r="E513" s="113" t="s">
        <v>39</v>
      </c>
      <c r="F513" s="114">
        <v>5350401</v>
      </c>
      <c r="G513" s="114">
        <v>5350401</v>
      </c>
      <c r="H513" s="114">
        <v>291735.6244</v>
      </c>
      <c r="I513" s="114">
        <v>13225</v>
      </c>
      <c r="J513" s="115">
        <v>0.00226851851851852</v>
      </c>
      <c r="K513" s="114">
        <v>12.21</v>
      </c>
      <c r="L513" s="114">
        <v>2032</v>
      </c>
      <c r="M513" s="114">
        <v>54339179</v>
      </c>
      <c r="N513" s="114">
        <v>7.3</v>
      </c>
      <c r="O513" s="114">
        <v>3377975</v>
      </c>
      <c r="P513" s="114">
        <v>1181146</v>
      </c>
      <c r="Q513" s="114">
        <v>2196829</v>
      </c>
      <c r="R513" s="114">
        <v>2196829</v>
      </c>
      <c r="S513" s="114">
        <v>0</v>
      </c>
      <c r="T513" s="114">
        <v>15857</v>
      </c>
      <c r="U513" s="114">
        <v>2632</v>
      </c>
      <c r="V513" s="114">
        <v>43276</v>
      </c>
      <c r="W513" s="114">
        <v>2424</v>
      </c>
      <c r="X513" s="114">
        <v>10121</v>
      </c>
      <c r="Y513" s="114">
        <v>12699</v>
      </c>
      <c r="Z513" s="114">
        <v>14534486.64</v>
      </c>
      <c r="AA513" s="114">
        <v>13980.73</v>
      </c>
      <c r="AB513" s="114">
        <v>1</v>
      </c>
      <c r="AC513" s="114">
        <v>592470.497</v>
      </c>
      <c r="AD513" s="114">
        <v>13765443.26</v>
      </c>
      <c r="AE513" s="114">
        <v>25053141.57</v>
      </c>
      <c r="AF513" s="114">
        <v>2908683</v>
      </c>
      <c r="AG513" s="114">
        <v>8613.225</v>
      </c>
      <c r="AH513" s="114">
        <v>2595040</v>
      </c>
      <c r="AI513" s="114">
        <v>2716.524</v>
      </c>
      <c r="AJ513" s="114">
        <v>0</v>
      </c>
      <c r="AK513" s="114">
        <v>0</v>
      </c>
      <c r="AL513" s="114">
        <v>0</v>
      </c>
      <c r="AM513" s="114">
        <v>0</v>
      </c>
      <c r="AN513" s="114">
        <v>90118</v>
      </c>
      <c r="AO513" s="114">
        <v>5592.4504</v>
      </c>
      <c r="AP513" s="114">
        <v>234.8733</v>
      </c>
      <c r="AQ513" s="114">
        <v>1736</v>
      </c>
      <c r="AR513" s="114">
        <v>30963</v>
      </c>
      <c r="AS513" s="114">
        <v>27909</v>
      </c>
      <c r="AT513" s="114">
        <v>3</v>
      </c>
      <c r="AU513" s="114">
        <v>26247</v>
      </c>
      <c r="AV513" s="114">
        <v>14</v>
      </c>
      <c r="AW513" s="114">
        <v>0.3659</v>
      </c>
      <c r="AX513" s="114">
        <v>0</v>
      </c>
      <c r="AY513" s="114">
        <v>14</v>
      </c>
      <c r="AZ513" s="114">
        <v>68</v>
      </c>
      <c r="BA513" s="114">
        <v>17228</v>
      </c>
      <c r="BB513" s="116"/>
      <c r="BC513" s="116"/>
      <c r="BD513" s="116"/>
      <c r="BE513" s="116"/>
      <c r="BF513" s="116"/>
      <c r="BG513" s="116"/>
      <c r="BH513" s="116"/>
      <c r="BI513" s="116"/>
      <c r="BJ513" s="117">
        <v>1492134</v>
      </c>
      <c r="BK513" s="117">
        <v>13225</v>
      </c>
      <c r="BL513" s="117">
        <v>3252926</v>
      </c>
      <c r="BM513" s="118">
        <v>9758000</v>
      </c>
      <c r="BN513" s="118">
        <v>574</v>
      </c>
      <c r="BO513" s="119"/>
      <c r="BP513" s="119"/>
      <c r="BQ513" s="119"/>
      <c r="BR513" s="119"/>
      <c r="BS513" s="119"/>
      <c r="BT513" s="119"/>
      <c r="BU513" s="119"/>
      <c r="BV513" s="119"/>
      <c r="BW513" s="119"/>
      <c r="BX513" s="119"/>
    </row>
    <row r="514" s="96" customFormat="1" ht="15.75" customHeight="1" spans="1:76">
      <c r="A514" s="111">
        <v>513</v>
      </c>
      <c r="B514" s="112" t="s">
        <v>53</v>
      </c>
      <c r="C514" s="112" t="s">
        <v>53</v>
      </c>
      <c r="D514" s="111">
        <v>2024</v>
      </c>
      <c r="E514" s="113" t="s">
        <v>40</v>
      </c>
      <c r="F514" s="114">
        <v>5514798</v>
      </c>
      <c r="G514" s="114">
        <v>5514798</v>
      </c>
      <c r="H514" s="114">
        <v>330017.7648</v>
      </c>
      <c r="I514" s="114">
        <v>15407</v>
      </c>
      <c r="J514" s="115">
        <v>0.00248842592592593</v>
      </c>
      <c r="K514" s="114">
        <v>7.93</v>
      </c>
      <c r="L514" s="114">
        <v>2204</v>
      </c>
      <c r="M514" s="114">
        <v>58664252</v>
      </c>
      <c r="N514" s="114">
        <v>7.07</v>
      </c>
      <c r="O514" s="114">
        <v>3411928</v>
      </c>
      <c r="P514" s="114">
        <v>1282627</v>
      </c>
      <c r="Q514" s="114">
        <v>2129301</v>
      </c>
      <c r="R514" s="114">
        <v>2129301</v>
      </c>
      <c r="S514" s="114">
        <v>0</v>
      </c>
      <c r="T514" s="114">
        <v>18207</v>
      </c>
      <c r="U514" s="114">
        <v>2800</v>
      </c>
      <c r="V514" s="114">
        <v>47026</v>
      </c>
      <c r="W514" s="114">
        <v>2623</v>
      </c>
      <c r="X514" s="114">
        <v>7872</v>
      </c>
      <c r="Y514" s="114">
        <v>11249</v>
      </c>
      <c r="Z514" s="114">
        <v>17728191.1</v>
      </c>
      <c r="AA514" s="114">
        <v>0</v>
      </c>
      <c r="AB514" s="114">
        <v>0</v>
      </c>
      <c r="AC514" s="114">
        <v>592395.822</v>
      </c>
      <c r="AD514" s="114">
        <v>16963840.26</v>
      </c>
      <c r="AE514" s="114">
        <v>30994354.12</v>
      </c>
      <c r="AF514" s="114">
        <v>3474144</v>
      </c>
      <c r="AG514" s="114">
        <v>8921.436</v>
      </c>
      <c r="AH514" s="114">
        <v>2935147</v>
      </c>
      <c r="AI514" s="114">
        <v>3214.658</v>
      </c>
      <c r="AJ514" s="114">
        <v>0</v>
      </c>
      <c r="AK514" s="114">
        <v>0</v>
      </c>
      <c r="AL514" s="114">
        <v>0</v>
      </c>
      <c r="AM514" s="114">
        <v>0</v>
      </c>
      <c r="AN514" s="114">
        <v>77401</v>
      </c>
      <c r="AO514" s="114">
        <v>5475.0182</v>
      </c>
      <c r="AP514" s="114">
        <v>269.1777</v>
      </c>
      <c r="AQ514" s="114">
        <v>2183</v>
      </c>
      <c r="AR514" s="114">
        <v>44144</v>
      </c>
      <c r="AS514" s="114">
        <v>29185</v>
      </c>
      <c r="AT514" s="114">
        <v>2</v>
      </c>
      <c r="AU514" s="114">
        <v>7151</v>
      </c>
      <c r="AV514" s="114">
        <v>4</v>
      </c>
      <c r="AW514" s="114">
        <v>0.025</v>
      </c>
      <c r="AX514" s="114">
        <v>0</v>
      </c>
      <c r="AY514" s="114">
        <v>14</v>
      </c>
      <c r="AZ514" s="114">
        <v>81</v>
      </c>
      <c r="BA514" s="114">
        <v>15455</v>
      </c>
      <c r="BB514" s="116"/>
      <c r="BC514" s="116"/>
      <c r="BD514" s="116"/>
      <c r="BE514" s="116"/>
      <c r="BF514" s="116"/>
      <c r="BG514" s="116"/>
      <c r="BH514" s="116"/>
      <c r="BI514" s="116"/>
      <c r="BJ514" s="117">
        <v>1507541</v>
      </c>
      <c r="BK514" s="117">
        <v>15407</v>
      </c>
      <c r="BL514" s="117">
        <v>3392624</v>
      </c>
      <c r="BM514" s="118">
        <v>12342000</v>
      </c>
      <c r="BN514" s="118">
        <v>726</v>
      </c>
      <c r="BO514" s="119"/>
      <c r="BP514" s="119"/>
      <c r="BQ514" s="119"/>
      <c r="BR514" s="119"/>
      <c r="BS514" s="119"/>
      <c r="BT514" s="119"/>
      <c r="BU514" s="119"/>
      <c r="BV514" s="119"/>
      <c r="BW514" s="119"/>
      <c r="BX514" s="119"/>
    </row>
    <row r="515" s="96" customFormat="1" ht="15.75" customHeight="1" spans="1:76">
      <c r="A515" s="111">
        <v>514</v>
      </c>
      <c r="B515" s="112" t="s">
        <v>53</v>
      </c>
      <c r="C515" s="112" t="s">
        <v>53</v>
      </c>
      <c r="D515" s="111">
        <v>2024</v>
      </c>
      <c r="E515" s="113" t="s">
        <v>41</v>
      </c>
      <c r="F515" s="114">
        <v>5412208</v>
      </c>
      <c r="G515" s="114">
        <v>5412208</v>
      </c>
      <c r="H515" s="114">
        <v>285113.2097</v>
      </c>
      <c r="I515" s="114">
        <v>12832</v>
      </c>
      <c r="J515" s="115">
        <v>0.0021875</v>
      </c>
      <c r="K515" s="114">
        <v>15.72</v>
      </c>
      <c r="L515" s="114">
        <v>2752</v>
      </c>
      <c r="M515" s="114">
        <v>54198516</v>
      </c>
      <c r="N515" s="114">
        <v>7.43</v>
      </c>
      <c r="O515" s="114">
        <v>3439613</v>
      </c>
      <c r="P515" s="114">
        <v>1159497</v>
      </c>
      <c r="Q515" s="114">
        <v>2280116</v>
      </c>
      <c r="R515" s="114">
        <v>2280116</v>
      </c>
      <c r="S515" s="114">
        <v>0</v>
      </c>
      <c r="T515" s="114">
        <v>15523</v>
      </c>
      <c r="U515" s="114">
        <v>2691</v>
      </c>
      <c r="V515" s="114">
        <v>42034</v>
      </c>
      <c r="W515" s="114">
        <v>2432</v>
      </c>
      <c r="X515" s="114">
        <v>7646</v>
      </c>
      <c r="Y515" s="114">
        <v>18371</v>
      </c>
      <c r="Z515" s="114">
        <v>13674715.96</v>
      </c>
      <c r="AA515" s="114">
        <v>0</v>
      </c>
      <c r="AB515" s="114">
        <v>2</v>
      </c>
      <c r="AC515" s="114">
        <v>445260.039</v>
      </c>
      <c r="AD515" s="114">
        <v>13036800.19</v>
      </c>
      <c r="AE515" s="114">
        <v>23721720.37</v>
      </c>
      <c r="AF515" s="114">
        <v>2909722</v>
      </c>
      <c r="AG515" s="114">
        <v>8152.573</v>
      </c>
      <c r="AH515" s="114">
        <v>2629332</v>
      </c>
      <c r="AI515" s="114">
        <v>2526.641</v>
      </c>
      <c r="AJ515" s="114">
        <v>195</v>
      </c>
      <c r="AK515" s="114">
        <v>6509</v>
      </c>
      <c r="AL515" s="114">
        <v>272488.365</v>
      </c>
      <c r="AM515" s="114">
        <v>2</v>
      </c>
      <c r="AN515" s="114">
        <v>65583</v>
      </c>
      <c r="AO515" s="114">
        <v>3708.3627</v>
      </c>
      <c r="AP515" s="114">
        <v>185.6342</v>
      </c>
      <c r="AQ515" s="114">
        <v>990</v>
      </c>
      <c r="AR515" s="114">
        <v>9234</v>
      </c>
      <c r="AS515" s="114">
        <v>6936</v>
      </c>
      <c r="AT515" s="114">
        <v>11</v>
      </c>
      <c r="AU515" s="114">
        <v>40933</v>
      </c>
      <c r="AV515" s="114">
        <v>0</v>
      </c>
      <c r="AW515" s="114">
        <v>0</v>
      </c>
      <c r="AX515" s="114">
        <v>1</v>
      </c>
      <c r="AY515" s="114">
        <v>71</v>
      </c>
      <c r="AZ515" s="114">
        <v>64</v>
      </c>
      <c r="BA515" s="114">
        <v>16445</v>
      </c>
      <c r="BB515" s="116"/>
      <c r="BC515" s="116"/>
      <c r="BD515" s="116"/>
      <c r="BE515" s="116"/>
      <c r="BF515" s="116"/>
      <c r="BG515" s="116"/>
      <c r="BH515" s="116"/>
      <c r="BI515" s="116"/>
      <c r="BJ515" s="117">
        <v>1520373</v>
      </c>
      <c r="BK515" s="117">
        <v>12832</v>
      </c>
      <c r="BL515" s="117">
        <v>3255953</v>
      </c>
      <c r="BM515" s="118">
        <v>8857000</v>
      </c>
      <c r="BN515" s="118">
        <v>521</v>
      </c>
      <c r="BO515" s="119"/>
      <c r="BP515" s="119"/>
      <c r="BQ515" s="119"/>
      <c r="BR515" s="119"/>
      <c r="BS515" s="119"/>
      <c r="BT515" s="119"/>
      <c r="BU515" s="119"/>
      <c r="BV515" s="119"/>
      <c r="BW515" s="119"/>
      <c r="BX515" s="119"/>
    </row>
    <row r="516" s="96" customFormat="1" ht="15.75" customHeight="1" spans="1:76">
      <c r="A516" s="111">
        <v>515</v>
      </c>
      <c r="B516" s="112" t="s">
        <v>53</v>
      </c>
      <c r="C516" s="112" t="s">
        <v>53</v>
      </c>
      <c r="D516" s="111">
        <v>2024</v>
      </c>
      <c r="E516" s="113" t="s">
        <v>42</v>
      </c>
      <c r="F516" s="114">
        <v>4715450</v>
      </c>
      <c r="G516" s="114">
        <v>4715450</v>
      </c>
      <c r="H516" s="114">
        <v>228996.2895</v>
      </c>
      <c r="I516" s="114">
        <v>12567</v>
      </c>
      <c r="J516" s="115">
        <v>0.00201388888888889</v>
      </c>
      <c r="K516" s="114">
        <v>16.16</v>
      </c>
      <c r="L516" s="114">
        <v>2189</v>
      </c>
      <c r="M516" s="114">
        <v>48424831</v>
      </c>
      <c r="N516" s="114">
        <v>7.48</v>
      </c>
      <c r="O516" s="114">
        <v>3189340</v>
      </c>
      <c r="P516" s="114">
        <v>1148853</v>
      </c>
      <c r="Q516" s="114">
        <v>2040487</v>
      </c>
      <c r="R516" s="114">
        <v>2040487</v>
      </c>
      <c r="S516" s="114">
        <v>0</v>
      </c>
      <c r="T516" s="114">
        <v>14837</v>
      </c>
      <c r="U516" s="114">
        <v>2270</v>
      </c>
      <c r="V516" s="114">
        <v>37900</v>
      </c>
      <c r="W516" s="114">
        <v>2045</v>
      </c>
      <c r="X516" s="114">
        <v>7951</v>
      </c>
      <c r="Y516" s="114">
        <v>15006</v>
      </c>
      <c r="Z516" s="114">
        <v>12800844.69</v>
      </c>
      <c r="AA516" s="114">
        <v>0</v>
      </c>
      <c r="AB516" s="114">
        <v>45</v>
      </c>
      <c r="AC516" s="114">
        <v>408356.058</v>
      </c>
      <c r="AD516" s="114">
        <v>12121278.36</v>
      </c>
      <c r="AE516" s="114">
        <v>22066287.44</v>
      </c>
      <c r="AF516" s="114">
        <v>2521056</v>
      </c>
      <c r="AG516" s="114">
        <v>8752.795</v>
      </c>
      <c r="AH516" s="114">
        <v>2242204</v>
      </c>
      <c r="AI516" s="114">
        <v>2714.661</v>
      </c>
      <c r="AJ516" s="114">
        <v>313</v>
      </c>
      <c r="AK516" s="114">
        <v>13995</v>
      </c>
      <c r="AL516" s="114">
        <v>2297552.688</v>
      </c>
      <c r="AM516" s="114">
        <v>12</v>
      </c>
      <c r="AN516" s="114">
        <v>53328</v>
      </c>
      <c r="AO516" s="114">
        <v>2883.3723</v>
      </c>
      <c r="AP516" s="114">
        <v>107.4429</v>
      </c>
      <c r="AQ516" s="114">
        <v>701</v>
      </c>
      <c r="AR516" s="114">
        <v>13387</v>
      </c>
      <c r="AS516" s="114">
        <v>2857</v>
      </c>
      <c r="AT516" s="114">
        <v>12</v>
      </c>
      <c r="AU516" s="114">
        <v>24036</v>
      </c>
      <c r="AV516" s="114">
        <v>0</v>
      </c>
      <c r="AW516" s="114">
        <v>0</v>
      </c>
      <c r="AX516" s="114">
        <v>0</v>
      </c>
      <c r="AY516" s="114">
        <v>47</v>
      </c>
      <c r="AZ516" s="114">
        <v>58</v>
      </c>
      <c r="BA516" s="114">
        <v>17107</v>
      </c>
      <c r="BB516" s="116"/>
      <c r="BC516" s="116"/>
      <c r="BD516" s="116"/>
      <c r="BE516" s="116"/>
      <c r="BF516" s="116"/>
      <c r="BG516" s="116"/>
      <c r="BH516" s="116"/>
      <c r="BI516" s="116"/>
      <c r="BJ516" s="117">
        <v>1532940</v>
      </c>
      <c r="BK516" s="117">
        <v>12567</v>
      </c>
      <c r="BL516" s="117">
        <v>2854923</v>
      </c>
      <c r="BM516" s="118">
        <v>8347000</v>
      </c>
      <c r="BN516" s="118">
        <v>491</v>
      </c>
      <c r="BO516" s="119"/>
      <c r="BP516" s="119"/>
      <c r="BQ516" s="119"/>
      <c r="BR516" s="119"/>
      <c r="BS516" s="119"/>
      <c r="BT516" s="119"/>
      <c r="BU516" s="119"/>
      <c r="BV516" s="119"/>
      <c r="BW516" s="119"/>
      <c r="BX516" s="119"/>
    </row>
    <row r="517" s="96" customFormat="1" ht="15.75" customHeight="1" spans="1:76">
      <c r="A517" s="111">
        <v>516</v>
      </c>
      <c r="B517" s="112" t="s">
        <v>53</v>
      </c>
      <c r="C517" s="112" t="s">
        <v>53</v>
      </c>
      <c r="D517" s="111">
        <v>2024</v>
      </c>
      <c r="E517" s="113" t="s">
        <v>43</v>
      </c>
      <c r="F517" s="114">
        <v>4068903</v>
      </c>
      <c r="G517" s="114">
        <v>4068903</v>
      </c>
      <c r="H517" s="114">
        <v>237992.4625</v>
      </c>
      <c r="I517" s="114">
        <v>10177</v>
      </c>
      <c r="J517" s="115">
        <v>0.00243055555555556</v>
      </c>
      <c r="K517" s="114">
        <v>17.93</v>
      </c>
      <c r="L517" s="114">
        <v>1949</v>
      </c>
      <c r="M517" s="114">
        <v>47096680</v>
      </c>
      <c r="N517" s="114">
        <v>6.68</v>
      </c>
      <c r="O517" s="114">
        <v>2811890</v>
      </c>
      <c r="P517" s="114">
        <v>997478</v>
      </c>
      <c r="Q517" s="114">
        <v>1814412</v>
      </c>
      <c r="R517" s="114">
        <v>1814412</v>
      </c>
      <c r="S517" s="114">
        <v>0</v>
      </c>
      <c r="T517" s="114">
        <v>12582</v>
      </c>
      <c r="U517" s="114">
        <v>2405</v>
      </c>
      <c r="V517" s="114">
        <v>27398</v>
      </c>
      <c r="W517" s="114">
        <v>1467</v>
      </c>
      <c r="X517" s="114">
        <v>6974</v>
      </c>
      <c r="Y517" s="114">
        <v>10902</v>
      </c>
      <c r="Z517" s="114">
        <v>13505134.29</v>
      </c>
      <c r="AA517" s="114">
        <v>27772.498</v>
      </c>
      <c r="AB517" s="114">
        <v>14</v>
      </c>
      <c r="AC517" s="114">
        <v>449251.584</v>
      </c>
      <c r="AD517" s="114">
        <v>12911301.64</v>
      </c>
      <c r="AE517" s="114">
        <v>23482209.26</v>
      </c>
      <c r="AF517" s="114">
        <v>2499150</v>
      </c>
      <c r="AG517" s="114">
        <v>9396.078</v>
      </c>
      <c r="AH517" s="114">
        <v>2178180</v>
      </c>
      <c r="AI517" s="114">
        <v>3319.109</v>
      </c>
      <c r="AJ517" s="114">
        <v>341</v>
      </c>
      <c r="AK517" s="114">
        <v>54744</v>
      </c>
      <c r="AL517" s="114">
        <v>316385.511</v>
      </c>
      <c r="AM517" s="114">
        <v>8</v>
      </c>
      <c r="AN517" s="114">
        <v>46241</v>
      </c>
      <c r="AO517" s="114">
        <v>3330.826</v>
      </c>
      <c r="AP517" s="114">
        <v>87.807</v>
      </c>
      <c r="AQ517" s="114">
        <v>1272</v>
      </c>
      <c r="AR517" s="114">
        <v>1904</v>
      </c>
      <c r="AS517" s="114">
        <v>1193</v>
      </c>
      <c r="AT517" s="114">
        <v>11</v>
      </c>
      <c r="AU517" s="114">
        <v>6938</v>
      </c>
      <c r="AV517" s="114">
        <v>0</v>
      </c>
      <c r="AW517" s="114">
        <v>0</v>
      </c>
      <c r="AX517" s="114">
        <v>0</v>
      </c>
      <c r="AY517" s="114">
        <v>23</v>
      </c>
      <c r="AZ517" s="114">
        <v>58</v>
      </c>
      <c r="BA517" s="114">
        <v>13147</v>
      </c>
      <c r="BB517" s="116"/>
      <c r="BC517" s="116"/>
      <c r="BD517" s="116"/>
      <c r="BE517" s="116"/>
      <c r="BF517" s="116"/>
      <c r="BG517" s="116"/>
      <c r="BH517" s="116"/>
      <c r="BI517" s="116"/>
      <c r="BJ517" s="117">
        <v>1543117</v>
      </c>
      <c r="BK517" s="117">
        <v>10177</v>
      </c>
      <c r="BL517" s="117">
        <v>1941275</v>
      </c>
      <c r="BM517" s="118">
        <v>7072000</v>
      </c>
      <c r="BN517" s="118">
        <v>416</v>
      </c>
      <c r="BO517" s="119"/>
      <c r="BP517" s="119"/>
      <c r="BQ517" s="119"/>
      <c r="BR517" s="119"/>
      <c r="BS517" s="119"/>
      <c r="BT517" s="119"/>
      <c r="BU517" s="119"/>
      <c r="BV517" s="119"/>
      <c r="BW517" s="119"/>
      <c r="BX517" s="119"/>
    </row>
    <row r="518" s="96" customFormat="1" ht="15.75" customHeight="1" spans="1:76">
      <c r="A518" s="111">
        <v>517</v>
      </c>
      <c r="B518" s="112" t="s">
        <v>53</v>
      </c>
      <c r="C518" s="112" t="s">
        <v>53</v>
      </c>
      <c r="D518" s="111">
        <v>2025</v>
      </c>
      <c r="E518" s="113" t="s">
        <v>31</v>
      </c>
      <c r="F518" s="114">
        <v>3441821</v>
      </c>
      <c r="G518" s="114">
        <v>3441821</v>
      </c>
      <c r="H518" s="114">
        <v>224669.7766</v>
      </c>
      <c r="I518" s="114">
        <v>8837</v>
      </c>
      <c r="J518" s="115">
        <v>0.00270833333333333</v>
      </c>
      <c r="K518" s="114">
        <v>19.9</v>
      </c>
      <c r="L518" s="114">
        <v>1875</v>
      </c>
      <c r="M518" s="114">
        <v>40640061</v>
      </c>
      <c r="N518" s="114">
        <v>6.48</v>
      </c>
      <c r="O518" s="114">
        <v>2443616</v>
      </c>
      <c r="P518" s="114">
        <v>915660</v>
      </c>
      <c r="Q518" s="114">
        <v>1527956</v>
      </c>
      <c r="R518" s="114">
        <v>1527956</v>
      </c>
      <c r="S518" s="114">
        <v>0</v>
      </c>
      <c r="T518" s="114">
        <v>11122</v>
      </c>
      <c r="U518" s="114">
        <v>2285</v>
      </c>
      <c r="V518" s="114">
        <v>23984</v>
      </c>
      <c r="W518" s="114">
        <v>1341</v>
      </c>
      <c r="X518" s="114">
        <v>5931</v>
      </c>
      <c r="Y518" s="114">
        <v>11602</v>
      </c>
      <c r="Z518" s="114">
        <v>9891320.381</v>
      </c>
      <c r="AA518" s="114">
        <v>0</v>
      </c>
      <c r="AB518" s="114">
        <v>49</v>
      </c>
      <c r="AC518" s="114">
        <v>527241.516</v>
      </c>
      <c r="AD518" s="114">
        <v>9187549.963</v>
      </c>
      <c r="AE518" s="114">
        <v>16716991.84</v>
      </c>
      <c r="AF518" s="114">
        <v>1936697</v>
      </c>
      <c r="AG518" s="114">
        <v>8631.702</v>
      </c>
      <c r="AH518" s="114">
        <v>1745956</v>
      </c>
      <c r="AI518" s="114">
        <v>2873.864</v>
      </c>
      <c r="AJ518" s="114">
        <v>24</v>
      </c>
      <c r="AK518" s="114">
        <v>2316</v>
      </c>
      <c r="AL518" s="114">
        <v>2340491.64</v>
      </c>
      <c r="AM518" s="114">
        <v>38</v>
      </c>
      <c r="AN518" s="114">
        <v>47513</v>
      </c>
      <c r="AO518" s="114">
        <v>3939.1702</v>
      </c>
      <c r="AP518" s="114">
        <v>80.9574</v>
      </c>
      <c r="AQ518" s="114">
        <v>924</v>
      </c>
      <c r="AR518" s="114">
        <v>4473</v>
      </c>
      <c r="AS518" s="114">
        <v>15690</v>
      </c>
      <c r="AT518" s="114">
        <v>5</v>
      </c>
      <c r="AU518" s="114">
        <v>7190</v>
      </c>
      <c r="AV518" s="114">
        <v>1</v>
      </c>
      <c r="AW518" s="114">
        <v>0.0568</v>
      </c>
      <c r="AX518" s="114">
        <v>0</v>
      </c>
      <c r="AY518" s="114">
        <v>16</v>
      </c>
      <c r="AZ518" s="114">
        <v>25</v>
      </c>
      <c r="BA518" s="114">
        <v>9554</v>
      </c>
      <c r="BB518" s="116"/>
      <c r="BC518" s="116"/>
      <c r="BD518" s="116"/>
      <c r="BE518" s="116"/>
      <c r="BF518" s="116"/>
      <c r="BG518" s="116"/>
      <c r="BH518" s="116"/>
      <c r="BI518" s="116"/>
      <c r="BJ518" s="117">
        <v>1551954</v>
      </c>
      <c r="BK518" s="117">
        <v>8837</v>
      </c>
      <c r="BL518" s="117">
        <v>2027245</v>
      </c>
      <c r="BM518" s="118">
        <v>6837570</v>
      </c>
      <c r="BN518" s="118">
        <v>402.21</v>
      </c>
      <c r="BO518" s="119"/>
      <c r="BP518" s="119"/>
      <c r="BQ518" s="119"/>
      <c r="BR518" s="119"/>
      <c r="BS518" s="119"/>
      <c r="BT518" s="119"/>
      <c r="BU518" s="119"/>
      <c r="BV518" s="119"/>
      <c r="BW518" s="119"/>
      <c r="BX518" s="119"/>
    </row>
    <row r="519" s="96" customFormat="1" ht="15.75" customHeight="1" spans="1:76">
      <c r="A519" s="111">
        <v>518</v>
      </c>
      <c r="B519" s="112" t="s">
        <v>53</v>
      </c>
      <c r="C519" s="112" t="s">
        <v>53</v>
      </c>
      <c r="D519" s="111">
        <v>2025</v>
      </c>
      <c r="E519" s="113" t="s">
        <v>33</v>
      </c>
      <c r="F519" s="114">
        <v>3001052</v>
      </c>
      <c r="G519" s="114">
        <v>3001052</v>
      </c>
      <c r="H519" s="114">
        <v>137553.4572</v>
      </c>
      <c r="I519" s="114">
        <v>6517</v>
      </c>
      <c r="J519" s="115">
        <v>0.00190972222222222</v>
      </c>
      <c r="K519" s="114">
        <v>15.71</v>
      </c>
      <c r="L519" s="114">
        <v>1632</v>
      </c>
      <c r="M519" s="114">
        <v>28883895</v>
      </c>
      <c r="N519" s="114">
        <v>7.86</v>
      </c>
      <c r="O519" s="114">
        <v>2183690</v>
      </c>
      <c r="P519" s="114">
        <v>814575</v>
      </c>
      <c r="Q519" s="114">
        <v>1369115</v>
      </c>
      <c r="R519" s="114">
        <v>1369115</v>
      </c>
      <c r="S519" s="114">
        <v>0</v>
      </c>
      <c r="T519" s="114">
        <v>8074</v>
      </c>
      <c r="U519" s="114">
        <v>1557</v>
      </c>
      <c r="V519" s="114">
        <v>18522</v>
      </c>
      <c r="W519" s="114">
        <v>1016</v>
      </c>
      <c r="X519" s="114">
        <v>3934</v>
      </c>
      <c r="Y519" s="114">
        <v>28379</v>
      </c>
      <c r="Z519" s="114">
        <v>7825603.288</v>
      </c>
      <c r="AA519" s="114">
        <v>0</v>
      </c>
      <c r="AB519" s="114">
        <v>0</v>
      </c>
      <c r="AC519" s="114">
        <v>325470.105</v>
      </c>
      <c r="AD519" s="114">
        <v>7409071.579</v>
      </c>
      <c r="AE519" s="114">
        <v>13475317.73</v>
      </c>
      <c r="AF519" s="114">
        <v>1470935</v>
      </c>
      <c r="AG519" s="114">
        <v>9161.056</v>
      </c>
      <c r="AH519" s="114">
        <v>1307417</v>
      </c>
      <c r="AI519" s="114">
        <v>2607.617</v>
      </c>
      <c r="AJ519" s="114">
        <v>309</v>
      </c>
      <c r="AK519" s="114">
        <v>78852</v>
      </c>
      <c r="AL519" s="114">
        <v>0</v>
      </c>
      <c r="AM519" s="114">
        <v>0</v>
      </c>
      <c r="AN519" s="114">
        <v>42677</v>
      </c>
      <c r="AO519" s="114">
        <v>2177.9662</v>
      </c>
      <c r="AP519" s="114">
        <v>63.6987</v>
      </c>
      <c r="AQ519" s="114">
        <v>844</v>
      </c>
      <c r="AR519" s="114">
        <v>4283</v>
      </c>
      <c r="AS519" s="114">
        <v>2215</v>
      </c>
      <c r="AT519" s="114">
        <v>4</v>
      </c>
      <c r="AU519" s="114">
        <v>1566</v>
      </c>
      <c r="AV519" s="114">
        <v>2</v>
      </c>
      <c r="AW519" s="114">
        <v>0.0324</v>
      </c>
      <c r="AX519" s="114">
        <v>0</v>
      </c>
      <c r="AY519" s="114">
        <v>6</v>
      </c>
      <c r="AZ519" s="114">
        <v>31</v>
      </c>
      <c r="BA519" s="114">
        <v>7311</v>
      </c>
      <c r="BB519" s="116"/>
      <c r="BC519" s="116"/>
      <c r="BD519" s="116"/>
      <c r="BE519" s="116"/>
      <c r="BF519" s="116"/>
      <c r="BG519" s="116"/>
      <c r="BH519" s="116"/>
      <c r="BI519" s="116"/>
      <c r="BJ519" s="117">
        <v>1558471</v>
      </c>
      <c r="BK519" s="117">
        <v>6517</v>
      </c>
      <c r="BL519" s="117">
        <v>1806729</v>
      </c>
      <c r="BM519" s="118">
        <v>5289040</v>
      </c>
      <c r="BN519" s="118">
        <v>311.12</v>
      </c>
      <c r="BO519" s="119"/>
      <c r="BP519" s="119"/>
      <c r="BQ519" s="119"/>
      <c r="BR519" s="119"/>
      <c r="BS519" s="119"/>
      <c r="BT519" s="119"/>
      <c r="BU519" s="119"/>
      <c r="BV519" s="119"/>
      <c r="BW519" s="119"/>
      <c r="BX519" s="119"/>
    </row>
    <row r="520" s="96" customFormat="1" ht="15.75" customHeight="1" spans="1:76">
      <c r="A520" s="111">
        <v>519</v>
      </c>
      <c r="B520" s="112" t="s">
        <v>53</v>
      </c>
      <c r="C520" s="112" t="s">
        <v>53</v>
      </c>
      <c r="D520" s="111">
        <v>2025</v>
      </c>
      <c r="E520" s="113" t="s">
        <v>34</v>
      </c>
      <c r="F520" s="114">
        <v>2524023</v>
      </c>
      <c r="G520" s="114">
        <v>2514379</v>
      </c>
      <c r="H520" s="114">
        <v>132175.0913</v>
      </c>
      <c r="I520" s="114">
        <v>4629</v>
      </c>
      <c r="J520" s="115">
        <v>0.0021875</v>
      </c>
      <c r="K520" s="114">
        <v>15.83</v>
      </c>
      <c r="L520" s="114">
        <v>1354</v>
      </c>
      <c r="M520" s="114">
        <v>23171144</v>
      </c>
      <c r="N520" s="114">
        <v>7.48</v>
      </c>
      <c r="O520" s="114">
        <v>1801075</v>
      </c>
      <c r="P520" s="114">
        <v>720300</v>
      </c>
      <c r="Q520" s="114">
        <v>1081823</v>
      </c>
      <c r="R520" s="114">
        <v>905027</v>
      </c>
      <c r="S520" s="114">
        <v>176796</v>
      </c>
      <c r="T520" s="114">
        <v>7290</v>
      </c>
      <c r="U520" s="114">
        <v>2661</v>
      </c>
      <c r="V520" s="114">
        <v>20620</v>
      </c>
      <c r="W520" s="114">
        <v>1147</v>
      </c>
      <c r="X520" s="114">
        <v>3520</v>
      </c>
      <c r="Y520" s="114">
        <v>11136</v>
      </c>
      <c r="Z520" s="114">
        <v>8447451.681</v>
      </c>
      <c r="AA520" s="114">
        <v>0</v>
      </c>
      <c r="AB520" s="114">
        <v>14</v>
      </c>
      <c r="AC520" s="114">
        <v>296507.589</v>
      </c>
      <c r="AD520" s="114">
        <v>7936479.862</v>
      </c>
      <c r="AE520" s="114">
        <v>14429964.65</v>
      </c>
      <c r="AF520" s="114">
        <v>1462734</v>
      </c>
      <c r="AG520" s="114">
        <v>9865.064</v>
      </c>
      <c r="AH520" s="114">
        <v>1281831</v>
      </c>
      <c r="AI520" s="114">
        <v>3359.656</v>
      </c>
      <c r="AJ520" s="114">
        <v>869</v>
      </c>
      <c r="AK520" s="114">
        <v>95276</v>
      </c>
      <c r="AL520" s="114">
        <v>1793856.833</v>
      </c>
      <c r="AM520" s="114">
        <v>13</v>
      </c>
      <c r="AN520" s="114">
        <v>34565</v>
      </c>
      <c r="AO520" s="114">
        <v>2338.0107</v>
      </c>
      <c r="AP520" s="114">
        <v>57.5697</v>
      </c>
      <c r="AQ520" s="114">
        <v>1117</v>
      </c>
      <c r="AR520" s="114">
        <v>670</v>
      </c>
      <c r="AS520" s="114">
        <v>1338</v>
      </c>
      <c r="AT520" s="114">
        <v>12</v>
      </c>
      <c r="AU520" s="114">
        <v>7192</v>
      </c>
      <c r="AV520" s="114">
        <v>0</v>
      </c>
      <c r="AW520" s="114">
        <v>0</v>
      </c>
      <c r="AX520" s="114">
        <v>0</v>
      </c>
      <c r="AY520" s="114">
        <v>13</v>
      </c>
      <c r="AZ520" s="114">
        <v>30</v>
      </c>
      <c r="BA520" s="114">
        <v>7799</v>
      </c>
      <c r="BB520" s="116"/>
      <c r="BC520" s="116"/>
      <c r="BD520" s="116"/>
      <c r="BE520" s="116"/>
      <c r="BF520" s="116"/>
      <c r="BG520" s="116"/>
      <c r="BH520" s="116"/>
      <c r="BI520" s="116"/>
      <c r="BJ520" s="117">
        <v>1563100</v>
      </c>
      <c r="BK520" s="117">
        <v>4629</v>
      </c>
      <c r="BL520" s="117">
        <v>1401602</v>
      </c>
      <c r="BM520" s="118">
        <v>5982470</v>
      </c>
      <c r="BN520" s="118">
        <v>351.91</v>
      </c>
      <c r="BO520" s="119"/>
      <c r="BP520" s="119"/>
      <c r="BQ520" s="119"/>
      <c r="BR520" s="119"/>
      <c r="BS520" s="119"/>
      <c r="BT520" s="119"/>
      <c r="BU520" s="119"/>
      <c r="BV520" s="119"/>
      <c r="BW520" s="119"/>
      <c r="BX520" s="119"/>
    </row>
    <row r="521" s="96" customFormat="1" ht="15.75" customHeight="1" spans="1:76">
      <c r="A521" s="111">
        <v>520</v>
      </c>
      <c r="B521" s="112" t="s">
        <v>53</v>
      </c>
      <c r="C521" s="112" t="s">
        <v>53</v>
      </c>
      <c r="D521" s="111">
        <v>2025</v>
      </c>
      <c r="E521" s="113" t="s">
        <v>35</v>
      </c>
      <c r="F521" s="114">
        <v>3331095</v>
      </c>
      <c r="G521" s="114">
        <v>3003842</v>
      </c>
      <c r="H521" s="114">
        <v>243859.8267</v>
      </c>
      <c r="I521" s="114">
        <v>9131</v>
      </c>
      <c r="J521" s="115">
        <v>0.00337962962962963</v>
      </c>
      <c r="K521" s="114">
        <v>14.72</v>
      </c>
      <c r="L521" s="114">
        <v>761</v>
      </c>
      <c r="M521" s="114">
        <v>27359348</v>
      </c>
      <c r="N521" s="114">
        <v>7.72</v>
      </c>
      <c r="O521" s="114">
        <v>2023512</v>
      </c>
      <c r="P521" s="114">
        <v>843298</v>
      </c>
      <c r="Q521" s="114">
        <v>1181887</v>
      </c>
      <c r="R521" s="114">
        <v>933221</v>
      </c>
      <c r="S521" s="114">
        <v>248666</v>
      </c>
      <c r="T521" s="114">
        <v>11347</v>
      </c>
      <c r="U521" s="114">
        <v>2216</v>
      </c>
      <c r="V521" s="114">
        <v>20336</v>
      </c>
      <c r="W521" s="114">
        <v>1321</v>
      </c>
      <c r="X521" s="114">
        <v>4657</v>
      </c>
      <c r="Y521" s="114">
        <v>11614</v>
      </c>
      <c r="Z521" s="114">
        <v>10556641.48</v>
      </c>
      <c r="AA521" s="114">
        <v>0</v>
      </c>
      <c r="AB521" s="114">
        <v>35</v>
      </c>
      <c r="AC521" s="114">
        <v>427616.372</v>
      </c>
      <c r="AD521" s="114">
        <v>9946792.687</v>
      </c>
      <c r="AE521" s="114">
        <v>18085627.51</v>
      </c>
      <c r="AF521" s="114">
        <v>2014340</v>
      </c>
      <c r="AG521" s="114">
        <v>8978.438</v>
      </c>
      <c r="AH521" s="114">
        <v>1779940</v>
      </c>
      <c r="AI521" s="114">
        <v>3514.381</v>
      </c>
      <c r="AJ521" s="114">
        <v>3397</v>
      </c>
      <c r="AK521" s="114">
        <v>241678</v>
      </c>
      <c r="AL521" s="114">
        <v>2138068.746</v>
      </c>
      <c r="AM521" s="114">
        <v>26</v>
      </c>
      <c r="AN521" s="114">
        <v>37960</v>
      </c>
      <c r="AO521" s="114">
        <v>3184.6067</v>
      </c>
      <c r="AP521" s="114">
        <v>40.1988</v>
      </c>
      <c r="AQ521" s="114">
        <v>779</v>
      </c>
      <c r="AR521" s="114">
        <v>2644</v>
      </c>
      <c r="AS521" s="114">
        <v>19095</v>
      </c>
      <c r="AT521" s="114">
        <v>11</v>
      </c>
      <c r="AU521" s="114">
        <v>40335</v>
      </c>
      <c r="AV521" s="114">
        <v>0</v>
      </c>
      <c r="AW521" s="114">
        <v>0</v>
      </c>
      <c r="AX521" s="114">
        <v>0</v>
      </c>
      <c r="AY521" s="114">
        <v>6</v>
      </c>
      <c r="AZ521" s="114">
        <v>27</v>
      </c>
      <c r="BA521" s="114">
        <v>6380</v>
      </c>
      <c r="BB521" s="116"/>
      <c r="BC521" s="116"/>
      <c r="BD521" s="116"/>
      <c r="BE521" s="116"/>
      <c r="BF521" s="116"/>
      <c r="BG521" s="116"/>
      <c r="BH521" s="116"/>
      <c r="BI521" s="116"/>
      <c r="BJ521" s="117">
        <v>1572231</v>
      </c>
      <c r="BK521" s="117">
        <v>9131</v>
      </c>
      <c r="BL521" s="117">
        <v>2173008</v>
      </c>
      <c r="BM521" s="118">
        <v>7911630</v>
      </c>
      <c r="BN521" s="118">
        <v>465.39</v>
      </c>
      <c r="BO521" s="119"/>
      <c r="BP521" s="119"/>
      <c r="BQ521" s="119"/>
      <c r="BR521" s="119"/>
      <c r="BS521" s="119"/>
      <c r="BT521" s="119"/>
      <c r="BU521" s="119"/>
      <c r="BV521" s="119"/>
      <c r="BW521" s="119"/>
      <c r="BX521" s="119"/>
    </row>
    <row r="522" s="96" customFormat="1" ht="15.75" customHeight="1" spans="1:76">
      <c r="A522" s="111">
        <v>521</v>
      </c>
      <c r="B522" s="112" t="s">
        <v>53</v>
      </c>
      <c r="C522" s="112" t="s">
        <v>53</v>
      </c>
      <c r="D522" s="111">
        <v>2025</v>
      </c>
      <c r="E522" s="113" t="s">
        <v>36</v>
      </c>
      <c r="F522" s="114">
        <v>6529294</v>
      </c>
      <c r="G522" s="114">
        <v>6082834</v>
      </c>
      <c r="H522" s="114">
        <v>640796.8197</v>
      </c>
      <c r="I522" s="114">
        <v>21025</v>
      </c>
      <c r="J522" s="115">
        <v>0.00438657407407407</v>
      </c>
      <c r="K522" s="114">
        <v>27.34</v>
      </c>
      <c r="L522" s="114">
        <v>412</v>
      </c>
      <c r="M522" s="114">
        <v>50142054</v>
      </c>
      <c r="N522" s="114">
        <v>7.94</v>
      </c>
      <c r="O522" s="114">
        <v>3379056</v>
      </c>
      <c r="P522" s="114">
        <v>1587650</v>
      </c>
      <c r="Q522" s="114">
        <v>1791406</v>
      </c>
      <c r="R522" s="114">
        <v>1495465</v>
      </c>
      <c r="S522" s="114">
        <v>295941</v>
      </c>
      <c r="T522" s="114">
        <v>23965</v>
      </c>
      <c r="U522" s="114">
        <v>2940</v>
      </c>
      <c r="V522" s="114">
        <v>37452</v>
      </c>
      <c r="W522" s="114">
        <v>3297</v>
      </c>
      <c r="X522" s="114">
        <v>7521</v>
      </c>
      <c r="Y522" s="114">
        <v>30250</v>
      </c>
      <c r="Z522" s="114">
        <v>27677343.46</v>
      </c>
      <c r="AA522" s="114">
        <v>0</v>
      </c>
      <c r="AB522" s="114">
        <v>127</v>
      </c>
      <c r="AC522" s="114">
        <v>1059473.452</v>
      </c>
      <c r="AD522" s="114">
        <v>26201367.31</v>
      </c>
      <c r="AE522" s="114">
        <v>47661291.49</v>
      </c>
      <c r="AF522" s="114">
        <v>5336926</v>
      </c>
      <c r="AG522" s="114">
        <v>8930.476</v>
      </c>
      <c r="AH522" s="114">
        <v>4566442</v>
      </c>
      <c r="AI522" s="114">
        <v>4550.074</v>
      </c>
      <c r="AJ522" s="114">
        <v>8636</v>
      </c>
      <c r="AK522" s="114">
        <v>467633</v>
      </c>
      <c r="AL522" s="114">
        <v>7768653.616</v>
      </c>
      <c r="AM522" s="114">
        <v>101</v>
      </c>
      <c r="AN522" s="114">
        <v>74931</v>
      </c>
      <c r="AO522" s="114">
        <v>8965.8393</v>
      </c>
      <c r="AP522" s="114">
        <v>16.9578</v>
      </c>
      <c r="AQ522" s="114">
        <v>340</v>
      </c>
      <c r="AR522" s="114">
        <v>34</v>
      </c>
      <c r="AS522" s="114">
        <v>83</v>
      </c>
      <c r="AT522" s="114">
        <v>2</v>
      </c>
      <c r="AU522" s="114">
        <v>4736</v>
      </c>
      <c r="AV522" s="114">
        <v>0</v>
      </c>
      <c r="AW522" s="114">
        <v>0</v>
      </c>
      <c r="AX522" s="114">
        <v>0</v>
      </c>
      <c r="AY522" s="114">
        <v>13</v>
      </c>
      <c r="AZ522" s="114">
        <v>27</v>
      </c>
      <c r="BA522" s="114">
        <v>7527</v>
      </c>
      <c r="BB522" s="116"/>
      <c r="BC522" s="116"/>
      <c r="BD522" s="116"/>
      <c r="BE522" s="116"/>
      <c r="BF522" s="116"/>
      <c r="BG522" s="116"/>
      <c r="BH522" s="116"/>
      <c r="BI522" s="116"/>
      <c r="BJ522" s="117">
        <v>1593256</v>
      </c>
      <c r="BK522" s="117">
        <v>21025</v>
      </c>
      <c r="BL522" s="117">
        <v>2151585</v>
      </c>
      <c r="BM522" s="118">
        <v>9138350</v>
      </c>
      <c r="BN522" s="118">
        <v>537.55</v>
      </c>
      <c r="BO522" s="119"/>
      <c r="BP522" s="119"/>
      <c r="BQ522" s="119"/>
      <c r="BR522" s="119"/>
      <c r="BS522" s="119"/>
      <c r="BT522" s="119"/>
      <c r="BU522" s="119"/>
      <c r="BV522" s="119"/>
      <c r="BW522" s="119"/>
      <c r="BX522" s="119"/>
    </row>
    <row r="523" s="96" customFormat="1" ht="15.75" customHeight="1" spans="1:76">
      <c r="A523" s="111">
        <v>522</v>
      </c>
      <c r="B523" s="112" t="s">
        <v>53</v>
      </c>
      <c r="C523" s="112" t="s">
        <v>53</v>
      </c>
      <c r="D523" s="111">
        <v>2025</v>
      </c>
      <c r="E523" s="113" t="s">
        <v>37</v>
      </c>
      <c r="F523" s="114">
        <v>7509628</v>
      </c>
      <c r="G523" s="114">
        <v>7032560</v>
      </c>
      <c r="H523" s="114">
        <v>490944.494</v>
      </c>
      <c r="I523" s="114">
        <v>17137</v>
      </c>
      <c r="J523" s="115">
        <v>0.00290509259259259</v>
      </c>
      <c r="K523" s="114">
        <v>8.61</v>
      </c>
      <c r="L523" s="114">
        <v>260</v>
      </c>
      <c r="M523" s="114">
        <v>57688138</v>
      </c>
      <c r="N523" s="114">
        <v>9.35</v>
      </c>
      <c r="O523" s="114">
        <v>4178607</v>
      </c>
      <c r="P523" s="114">
        <v>2072731</v>
      </c>
      <c r="Q523" s="114">
        <v>2105876</v>
      </c>
      <c r="R523" s="114">
        <v>1804845</v>
      </c>
      <c r="S523" s="114">
        <v>301031</v>
      </c>
      <c r="T523" s="114">
        <v>19898</v>
      </c>
      <c r="U523" s="114">
        <v>2761</v>
      </c>
      <c r="V523" s="114">
        <v>50643</v>
      </c>
      <c r="W523" s="114">
        <v>3459</v>
      </c>
      <c r="X523" s="114">
        <v>8966</v>
      </c>
      <c r="Y523" s="114">
        <v>55171</v>
      </c>
      <c r="Z523" s="114">
        <v>30718723.6</v>
      </c>
      <c r="AA523" s="114">
        <v>0</v>
      </c>
      <c r="AB523" s="114">
        <v>55</v>
      </c>
      <c r="AC523" s="114">
        <v>1424061.095</v>
      </c>
      <c r="AD523" s="114">
        <v>28972461.92</v>
      </c>
      <c r="AE523" s="114">
        <v>52677199.86</v>
      </c>
      <c r="AF523" s="114">
        <v>5281447</v>
      </c>
      <c r="AG523" s="114">
        <v>9974.009</v>
      </c>
      <c r="AH523" s="114">
        <v>4215382</v>
      </c>
      <c r="AI523" s="114">
        <v>4368.071</v>
      </c>
      <c r="AJ523" s="114">
        <v>2303</v>
      </c>
      <c r="AK523" s="114">
        <v>359078</v>
      </c>
      <c r="AL523" s="114">
        <v>3807762.497</v>
      </c>
      <c r="AM523" s="114">
        <v>46</v>
      </c>
      <c r="AN523" s="114">
        <v>128187</v>
      </c>
      <c r="AO523" s="114">
        <v>10577.3805</v>
      </c>
      <c r="AP523" s="114">
        <v>39.5111</v>
      </c>
      <c r="AQ523" s="114">
        <v>714</v>
      </c>
      <c r="AR523" s="114">
        <v>8461</v>
      </c>
      <c r="AS523" s="114">
        <v>32339</v>
      </c>
      <c r="AT523" s="114">
        <v>6</v>
      </c>
      <c r="AU523" s="114">
        <v>15618</v>
      </c>
      <c r="AV523" s="114">
        <v>0</v>
      </c>
      <c r="AW523" s="114">
        <v>0</v>
      </c>
      <c r="AX523" s="114">
        <v>0</v>
      </c>
      <c r="AY523" s="114">
        <v>12</v>
      </c>
      <c r="AZ523" s="114">
        <v>30</v>
      </c>
      <c r="BA523" s="114">
        <v>8348</v>
      </c>
      <c r="BB523" s="116"/>
      <c r="BC523" s="116"/>
      <c r="BD523" s="116"/>
      <c r="BE523" s="116"/>
      <c r="BF523" s="116"/>
      <c r="BG523" s="116"/>
      <c r="BH523" s="116"/>
      <c r="BI523" s="116"/>
      <c r="BJ523" s="117">
        <v>1610393</v>
      </c>
      <c r="BK523" s="117">
        <v>17137</v>
      </c>
      <c r="BL523" s="117">
        <v>5369420</v>
      </c>
      <c r="BM523" s="118">
        <v>26121690</v>
      </c>
      <c r="BN523" s="118">
        <v>1536.57</v>
      </c>
      <c r="BO523" s="119"/>
      <c r="BP523" s="119"/>
      <c r="BQ523" s="119"/>
      <c r="BR523" s="119"/>
      <c r="BS523" s="119"/>
      <c r="BT523" s="119"/>
      <c r="BU523" s="119"/>
      <c r="BV523" s="119"/>
      <c r="BW523" s="119"/>
      <c r="BX523" s="119"/>
    </row>
    <row r="524" s="96" customFormat="1" ht="15.75" customHeight="1" spans="1:76">
      <c r="A524" s="111">
        <v>523</v>
      </c>
      <c r="B524" s="112" t="s">
        <v>53</v>
      </c>
      <c r="C524" s="112" t="s">
        <v>53</v>
      </c>
      <c r="D524" s="111">
        <v>2025</v>
      </c>
      <c r="E524" s="113" t="s">
        <v>38</v>
      </c>
      <c r="F524" s="114">
        <v>14406954</v>
      </c>
      <c r="G524" s="114">
        <v>13974697</v>
      </c>
      <c r="H524" s="114">
        <v>976744.1512</v>
      </c>
      <c r="I524" s="114">
        <v>38483</v>
      </c>
      <c r="J524" s="115">
        <v>0.00290509259259259</v>
      </c>
      <c r="K524" s="114">
        <v>21.95</v>
      </c>
      <c r="L524" s="114">
        <v>515</v>
      </c>
      <c r="M524" s="114">
        <v>112373579</v>
      </c>
      <c r="N524" s="114">
        <v>9.58</v>
      </c>
      <c r="O524" s="114">
        <v>6143781</v>
      </c>
      <c r="P524" s="114">
        <v>2366102</v>
      </c>
      <c r="Q524" s="114">
        <v>3777679</v>
      </c>
      <c r="R524" s="114">
        <v>3114076</v>
      </c>
      <c r="S524" s="114">
        <v>663603</v>
      </c>
      <c r="T524" s="114">
        <v>43467</v>
      </c>
      <c r="U524" s="114">
        <v>4984</v>
      </c>
      <c r="V524" s="114">
        <v>110180</v>
      </c>
      <c r="W524" s="114">
        <v>4902</v>
      </c>
      <c r="X524" s="114">
        <v>15564</v>
      </c>
      <c r="Y524" s="114">
        <v>106613</v>
      </c>
      <c r="Z524" s="114">
        <v>54922002.54</v>
      </c>
      <c r="AA524" s="114">
        <v>0</v>
      </c>
      <c r="AB524" s="114">
        <v>199</v>
      </c>
      <c r="AC524" s="114">
        <v>2344400.062</v>
      </c>
      <c r="AD524" s="114">
        <v>51822621.89</v>
      </c>
      <c r="AE524" s="114">
        <v>94298542.26</v>
      </c>
      <c r="AF524" s="114">
        <v>10562128</v>
      </c>
      <c r="AG524" s="114">
        <v>8927.987</v>
      </c>
      <c r="AH524" s="114">
        <v>8981101</v>
      </c>
      <c r="AI524" s="114">
        <v>3930.104</v>
      </c>
      <c r="AJ524" s="114">
        <v>10492</v>
      </c>
      <c r="AK524" s="114">
        <v>630154</v>
      </c>
      <c r="AL524" s="114">
        <v>12336232.84</v>
      </c>
      <c r="AM524" s="114">
        <v>174</v>
      </c>
      <c r="AN524" s="114">
        <v>228729</v>
      </c>
      <c r="AO524" s="114">
        <v>17576.8822</v>
      </c>
      <c r="AP524" s="114">
        <v>138.069</v>
      </c>
      <c r="AQ524" s="114">
        <v>737</v>
      </c>
      <c r="AR524" s="114">
        <v>14605</v>
      </c>
      <c r="AS524" s="114">
        <v>8745</v>
      </c>
      <c r="AT524" s="114">
        <v>9</v>
      </c>
      <c r="AU524" s="114">
        <v>109487</v>
      </c>
      <c r="AV524" s="114">
        <v>0</v>
      </c>
      <c r="AW524" s="114">
        <v>0</v>
      </c>
      <c r="AX524" s="114">
        <v>0</v>
      </c>
      <c r="AY524" s="114">
        <v>10</v>
      </c>
      <c r="AZ524" s="114">
        <v>28381</v>
      </c>
      <c r="BA524" s="114">
        <v>1255819</v>
      </c>
      <c r="BB524" s="116"/>
      <c r="BC524" s="116"/>
      <c r="BD524" s="116"/>
      <c r="BE524" s="116"/>
      <c r="BF524" s="116"/>
      <c r="BG524" s="116"/>
      <c r="BH524" s="116"/>
      <c r="BI524" s="116"/>
      <c r="BJ524" s="117">
        <v>1648875</v>
      </c>
      <c r="BK524" s="117">
        <v>38482</v>
      </c>
      <c r="BL524" s="117">
        <v>11506220</v>
      </c>
      <c r="BM524" s="118">
        <v>47489670</v>
      </c>
      <c r="BN524" s="118">
        <v>2793.51</v>
      </c>
      <c r="BO524" s="120">
        <v>0.782</v>
      </c>
      <c r="BP524" s="120">
        <v>0.217</v>
      </c>
      <c r="BQ524" s="119"/>
      <c r="BR524" s="120">
        <v>0.012</v>
      </c>
      <c r="BS524" s="120">
        <v>0.076</v>
      </c>
      <c r="BT524" s="120">
        <v>0.303</v>
      </c>
      <c r="BU524" s="120">
        <v>0.251</v>
      </c>
      <c r="BV524" s="120">
        <v>0.184</v>
      </c>
      <c r="BW524" s="120">
        <v>0.124</v>
      </c>
      <c r="BX524" s="120">
        <v>0.052</v>
      </c>
    </row>
    <row r="525" s="96" customFormat="1" ht="15.75" customHeight="1" spans="1:76">
      <c r="A525" s="111">
        <v>524</v>
      </c>
      <c r="B525" s="112" t="s">
        <v>53</v>
      </c>
      <c r="C525" s="112" t="s">
        <v>53</v>
      </c>
      <c r="D525" s="111">
        <v>2025</v>
      </c>
      <c r="E525" s="113" t="s">
        <v>39</v>
      </c>
      <c r="F525" s="114">
        <v>23014620</v>
      </c>
      <c r="G525" s="114">
        <v>20788115</v>
      </c>
      <c r="H525" s="114">
        <v>1411015.902</v>
      </c>
      <c r="I525" s="114">
        <v>54055</v>
      </c>
      <c r="J525" s="115">
        <v>0.00282407407407407</v>
      </c>
      <c r="K525" s="114">
        <v>13.46</v>
      </c>
      <c r="L525" s="114">
        <v>612</v>
      </c>
      <c r="M525" s="114">
        <v>155648717</v>
      </c>
      <c r="N525" s="114">
        <v>9.41</v>
      </c>
      <c r="O525" s="114">
        <v>8877887</v>
      </c>
      <c r="P525" s="114">
        <v>3887886</v>
      </c>
      <c r="Q525" s="114">
        <v>4990001</v>
      </c>
      <c r="R525" s="114">
        <v>4128008</v>
      </c>
      <c r="S525" s="114">
        <v>861993</v>
      </c>
      <c r="T525" s="114">
        <v>59660</v>
      </c>
      <c r="U525" s="114">
        <v>5605</v>
      </c>
      <c r="V525" s="114">
        <v>195172</v>
      </c>
      <c r="W525" s="114">
        <v>8370</v>
      </c>
      <c r="X525" s="114">
        <v>37937</v>
      </c>
      <c r="Y525" s="114">
        <v>102670</v>
      </c>
      <c r="Z525" s="114">
        <v>79852586.59</v>
      </c>
      <c r="AA525" s="114">
        <v>60488.707</v>
      </c>
      <c r="AB525" s="114">
        <v>157</v>
      </c>
      <c r="AC525" s="114">
        <v>3890515.547</v>
      </c>
      <c r="AD525" s="114">
        <v>74608812.85</v>
      </c>
      <c r="AE525" s="114">
        <v>135816196.3</v>
      </c>
      <c r="AF525" s="114">
        <v>14441229</v>
      </c>
      <c r="AG525" s="114">
        <v>9404.753</v>
      </c>
      <c r="AH525" s="114">
        <v>11759777</v>
      </c>
      <c r="AI525" s="114">
        <v>3841.261</v>
      </c>
      <c r="AJ525" s="114">
        <v>8470</v>
      </c>
      <c r="AK525" s="114">
        <v>703387</v>
      </c>
      <c r="AL525" s="114">
        <v>7138571.752</v>
      </c>
      <c r="AM525" s="114">
        <v>142</v>
      </c>
      <c r="AN525" s="114">
        <v>396084</v>
      </c>
      <c r="AO525" s="114">
        <v>29737.1708</v>
      </c>
      <c r="AP525" s="114">
        <v>225.9669</v>
      </c>
      <c r="AQ525" s="114">
        <v>1871</v>
      </c>
      <c r="AR525" s="114">
        <v>177076</v>
      </c>
      <c r="AS525" s="114">
        <v>243908</v>
      </c>
      <c r="AT525" s="114">
        <v>4</v>
      </c>
      <c r="AU525" s="114">
        <v>35669</v>
      </c>
      <c r="AV525" s="114">
        <v>2</v>
      </c>
      <c r="AW525" s="114">
        <v>0.0218</v>
      </c>
      <c r="AX525" s="114">
        <v>3372</v>
      </c>
      <c r="AY525" s="114">
        <v>86829</v>
      </c>
      <c r="AZ525" s="114">
        <v>130527</v>
      </c>
      <c r="BA525" s="114">
        <v>3642849</v>
      </c>
      <c r="BB525" s="116"/>
      <c r="BC525" s="116"/>
      <c r="BD525" s="116"/>
      <c r="BE525" s="116"/>
      <c r="BF525" s="116"/>
      <c r="BG525" s="116"/>
      <c r="BH525" s="116"/>
      <c r="BI525" s="116"/>
      <c r="BJ525" s="117">
        <v>1717048</v>
      </c>
      <c r="BK525" s="117">
        <v>54055</v>
      </c>
      <c r="BL525" s="117">
        <v>18750050</v>
      </c>
      <c r="BM525" s="118">
        <v>66424270</v>
      </c>
      <c r="BN525" s="118">
        <v>3907.31</v>
      </c>
      <c r="BO525" s="120">
        <v>0.783</v>
      </c>
      <c r="BP525" s="120">
        <v>0.216</v>
      </c>
      <c r="BQ525" s="120">
        <v>0.001</v>
      </c>
      <c r="BR525" s="120">
        <v>0.011</v>
      </c>
      <c r="BS525" s="120">
        <v>0.072</v>
      </c>
      <c r="BT525" s="120">
        <v>0.305</v>
      </c>
      <c r="BU525" s="120">
        <v>0.257</v>
      </c>
      <c r="BV525" s="120">
        <v>0.186</v>
      </c>
      <c r="BW525" s="120">
        <v>0.118</v>
      </c>
      <c r="BX525" s="120">
        <v>0.05</v>
      </c>
    </row>
    <row r="526" s="96" customFormat="1" ht="15.75" customHeight="1" spans="1:76">
      <c r="A526" s="111">
        <v>525</v>
      </c>
      <c r="B526" s="112" t="s">
        <v>53</v>
      </c>
      <c r="C526" s="112" t="s">
        <v>53</v>
      </c>
      <c r="D526" s="111">
        <v>2025</v>
      </c>
      <c r="E526" s="113" t="s">
        <v>40</v>
      </c>
      <c r="F526" s="114">
        <v>16568197</v>
      </c>
      <c r="G526" s="114">
        <v>16276888</v>
      </c>
      <c r="H526" s="114">
        <v>1609509.846</v>
      </c>
      <c r="I526" s="114">
        <v>51396</v>
      </c>
      <c r="J526" s="115">
        <v>0.0041087962962963</v>
      </c>
      <c r="K526" s="114">
        <v>24.15</v>
      </c>
      <c r="L526" s="114">
        <v>652</v>
      </c>
      <c r="M526" s="114">
        <v>162806174</v>
      </c>
      <c r="N526" s="114">
        <v>7.25</v>
      </c>
      <c r="O526" s="114">
        <v>8167826</v>
      </c>
      <c r="P526" s="114">
        <v>3078227</v>
      </c>
      <c r="Q526" s="114">
        <v>5089599</v>
      </c>
      <c r="R526" s="114">
        <v>4168326</v>
      </c>
      <c r="S526" s="114">
        <v>921273</v>
      </c>
      <c r="T526" s="114">
        <v>57241</v>
      </c>
      <c r="U526" s="114">
        <v>5845</v>
      </c>
      <c r="V526" s="114">
        <v>149875</v>
      </c>
      <c r="W526" s="114">
        <v>5418</v>
      </c>
      <c r="X526" s="114">
        <v>31460</v>
      </c>
      <c r="Y526" s="114">
        <v>55258</v>
      </c>
      <c r="Z526" s="114">
        <v>112048663.2</v>
      </c>
      <c r="AA526" s="114">
        <v>0</v>
      </c>
      <c r="AB526" s="114">
        <v>480</v>
      </c>
      <c r="AC526" s="114">
        <v>6073881.937</v>
      </c>
      <c r="AD526" s="114">
        <v>104572362.1</v>
      </c>
      <c r="AE526" s="114">
        <v>190140906.9</v>
      </c>
      <c r="AF526" s="114">
        <v>18026101</v>
      </c>
      <c r="AG526" s="114">
        <v>10548.088</v>
      </c>
      <c r="AH526" s="114">
        <v>12492317</v>
      </c>
      <c r="AI526" s="114">
        <v>6883.912</v>
      </c>
      <c r="AJ526" s="114">
        <v>14997</v>
      </c>
      <c r="AK526" s="114">
        <v>623233</v>
      </c>
      <c r="AL526" s="114">
        <v>30285261.42</v>
      </c>
      <c r="AM526" s="114">
        <v>395</v>
      </c>
      <c r="AN526" s="114">
        <v>380593</v>
      </c>
      <c r="AO526" s="114">
        <v>45134.8815</v>
      </c>
      <c r="AP526" s="114">
        <v>482.0019</v>
      </c>
      <c r="AQ526" s="114">
        <v>4198</v>
      </c>
      <c r="AR526" s="114">
        <v>52781</v>
      </c>
      <c r="AS526" s="114">
        <v>39087</v>
      </c>
      <c r="AT526" s="114">
        <v>4</v>
      </c>
      <c r="AU526" s="114">
        <v>18509</v>
      </c>
      <c r="AV526" s="114">
        <v>2</v>
      </c>
      <c r="AW526" s="114">
        <v>0.0291</v>
      </c>
      <c r="AX526" s="114">
        <v>1020</v>
      </c>
      <c r="AY526" s="114">
        <v>39357</v>
      </c>
      <c r="AZ526" s="114">
        <v>77791</v>
      </c>
      <c r="BA526" s="114">
        <v>3132167</v>
      </c>
      <c r="BB526" s="116"/>
      <c r="BC526" s="116"/>
      <c r="BD526" s="116"/>
      <c r="BE526" s="116"/>
      <c r="BF526" s="116"/>
      <c r="BG526" s="116"/>
      <c r="BH526" s="116"/>
      <c r="BI526" s="116"/>
      <c r="BJ526" s="117">
        <v>1753996</v>
      </c>
      <c r="BK526" s="117">
        <v>51397</v>
      </c>
      <c r="BL526" s="117">
        <v>12582802</v>
      </c>
      <c r="BM526" s="118">
        <v>94447920</v>
      </c>
      <c r="BN526" s="118">
        <v>5555.76</v>
      </c>
      <c r="BO526" s="120">
        <v>0.788</v>
      </c>
      <c r="BP526" s="120">
        <v>0.21</v>
      </c>
      <c r="BQ526" s="120">
        <v>0.001</v>
      </c>
      <c r="BR526" s="120">
        <v>0.011</v>
      </c>
      <c r="BS526" s="120">
        <v>0.081</v>
      </c>
      <c r="BT526" s="120">
        <v>0.33</v>
      </c>
      <c r="BU526" s="120">
        <v>0.241</v>
      </c>
      <c r="BV526" s="120">
        <v>0.169</v>
      </c>
      <c r="BW526" s="120">
        <v>0.115</v>
      </c>
      <c r="BX526" s="120">
        <v>0.054</v>
      </c>
    </row>
    <row r="527" s="96" customFormat="1" ht="15.75" customHeight="1" spans="1:76">
      <c r="A527" s="111">
        <v>526</v>
      </c>
      <c r="B527" s="112" t="s">
        <v>53</v>
      </c>
      <c r="C527" s="112" t="s">
        <v>53</v>
      </c>
      <c r="D527" s="111">
        <v>2025</v>
      </c>
      <c r="E527" s="113" t="s">
        <v>41</v>
      </c>
      <c r="F527" s="114">
        <v>11454889</v>
      </c>
      <c r="G527" s="114">
        <v>11252132</v>
      </c>
      <c r="H527" s="114">
        <v>977777.0392</v>
      </c>
      <c r="I527" s="114">
        <v>28631</v>
      </c>
      <c r="J527" s="115">
        <v>0.00361111111111111</v>
      </c>
      <c r="K527" s="114">
        <v>13.22</v>
      </c>
      <c r="L527" s="114">
        <v>853</v>
      </c>
      <c r="M527" s="114">
        <v>101203500</v>
      </c>
      <c r="N527" s="114">
        <v>8.19</v>
      </c>
      <c r="O527" s="114">
        <v>5595797</v>
      </c>
      <c r="P527" s="114">
        <v>1565853</v>
      </c>
      <c r="Q527" s="114">
        <v>4029944</v>
      </c>
      <c r="R527" s="114">
        <v>3097983</v>
      </c>
      <c r="S527" s="114">
        <v>931961</v>
      </c>
      <c r="T527" s="114">
        <v>33389</v>
      </c>
      <c r="U527" s="114">
        <v>4758</v>
      </c>
      <c r="V527" s="114">
        <v>93326</v>
      </c>
      <c r="W527" s="114">
        <v>3804</v>
      </c>
      <c r="X527" s="114">
        <v>17430</v>
      </c>
      <c r="Y527" s="114">
        <v>45476</v>
      </c>
      <c r="Z527" s="114">
        <v>62559005.54</v>
      </c>
      <c r="AA527" s="114">
        <v>14978.534</v>
      </c>
      <c r="AB527" s="114">
        <v>184</v>
      </c>
      <c r="AC527" s="114">
        <v>3329247.967</v>
      </c>
      <c r="AD527" s="114">
        <v>58723929.98</v>
      </c>
      <c r="AE527" s="114">
        <v>106823812.1</v>
      </c>
      <c r="AF527" s="114">
        <v>11146384</v>
      </c>
      <c r="AG527" s="114">
        <v>9583.719</v>
      </c>
      <c r="AH527" s="114">
        <v>8033881</v>
      </c>
      <c r="AI527" s="114">
        <v>5559.747</v>
      </c>
      <c r="AJ527" s="114">
        <v>7415</v>
      </c>
      <c r="AK527" s="114">
        <v>450088</v>
      </c>
      <c r="AL527" s="114">
        <v>10911391.04</v>
      </c>
      <c r="AM527" s="114">
        <v>145</v>
      </c>
      <c r="AN527" s="114">
        <v>232062</v>
      </c>
      <c r="AO527" s="114">
        <v>25245.0747</v>
      </c>
      <c r="AP527" s="114">
        <v>413.9329</v>
      </c>
      <c r="AQ527" s="114">
        <v>4404</v>
      </c>
      <c r="AR527" s="114">
        <v>91787</v>
      </c>
      <c r="AS527" s="114">
        <v>144560</v>
      </c>
      <c r="AT527" s="114">
        <v>1</v>
      </c>
      <c r="AU527" s="114">
        <v>24460</v>
      </c>
      <c r="AV527" s="114">
        <v>0</v>
      </c>
      <c r="AW527" s="114">
        <v>0</v>
      </c>
      <c r="AX527" s="114">
        <v>55</v>
      </c>
      <c r="AY527" s="114">
        <v>6380</v>
      </c>
      <c r="AZ527" s="114">
        <v>39194</v>
      </c>
      <c r="BA527" s="114">
        <v>2131115</v>
      </c>
      <c r="BB527" s="116"/>
      <c r="BC527" s="116"/>
      <c r="BD527" s="116"/>
      <c r="BE527" s="116"/>
      <c r="BF527" s="116"/>
      <c r="BG527" s="116"/>
      <c r="BH527" s="116"/>
      <c r="BI527" s="116"/>
      <c r="BJ527" s="117">
        <v>1782627</v>
      </c>
      <c r="BK527" s="117">
        <v>28632</v>
      </c>
      <c r="BL527" s="117">
        <v>7744960</v>
      </c>
      <c r="BM527" s="118">
        <v>46737760</v>
      </c>
      <c r="BN527" s="118">
        <v>2749.28</v>
      </c>
      <c r="BO527" s="120">
        <v>0.762</v>
      </c>
      <c r="BP527" s="120">
        <v>0.237</v>
      </c>
      <c r="BQ527" s="120">
        <v>0.001</v>
      </c>
      <c r="BR527" s="120">
        <v>0.012</v>
      </c>
      <c r="BS527" s="120">
        <v>0.072</v>
      </c>
      <c r="BT527" s="120">
        <v>0.308</v>
      </c>
      <c r="BU527" s="120">
        <v>0.24</v>
      </c>
      <c r="BV527" s="120">
        <v>0.179</v>
      </c>
      <c r="BW527" s="120">
        <v>0.127</v>
      </c>
      <c r="BX527" s="120">
        <v>0.062</v>
      </c>
    </row>
    <row r="528" s="96" customFormat="1" ht="15.75" customHeight="1" spans="1:76">
      <c r="A528" s="111">
        <v>527</v>
      </c>
      <c r="B528" s="112" t="s">
        <v>53</v>
      </c>
      <c r="C528" s="112" t="s">
        <v>53</v>
      </c>
      <c r="D528" s="111">
        <v>2025</v>
      </c>
      <c r="E528" s="113" t="s">
        <v>42</v>
      </c>
      <c r="F528" s="114">
        <v>16241486</v>
      </c>
      <c r="G528" s="114">
        <v>15573288</v>
      </c>
      <c r="H528" s="114">
        <v>1139632.804</v>
      </c>
      <c r="I528" s="114">
        <v>25630</v>
      </c>
      <c r="J528" s="115">
        <v>0.00304398148148148</v>
      </c>
      <c r="K528" s="114">
        <v>23.63</v>
      </c>
      <c r="L528" s="114">
        <v>861</v>
      </c>
      <c r="M528" s="114">
        <v>126544665</v>
      </c>
      <c r="N528" s="114">
        <v>9.16</v>
      </c>
      <c r="O528" s="114">
        <v>6659961</v>
      </c>
      <c r="P528" s="114">
        <v>1930325</v>
      </c>
      <c r="Q528" s="114">
        <v>4741082</v>
      </c>
      <c r="R528" s="114">
        <v>3463136</v>
      </c>
      <c r="S528" s="114">
        <v>1277946</v>
      </c>
      <c r="T528" s="114">
        <v>30460</v>
      </c>
      <c r="U528" s="114">
        <v>4830</v>
      </c>
      <c r="V528" s="114">
        <v>131865</v>
      </c>
      <c r="W528" s="114">
        <v>5202</v>
      </c>
      <c r="X528" s="114">
        <v>25627</v>
      </c>
      <c r="Y528" s="114">
        <v>64839</v>
      </c>
      <c r="Z528" s="114">
        <v>73614997.07</v>
      </c>
      <c r="AA528" s="114">
        <v>15701.131</v>
      </c>
      <c r="AB528" s="114">
        <v>132</v>
      </c>
      <c r="AC528" s="114">
        <v>3319797.654</v>
      </c>
      <c r="AD528" s="114">
        <v>69717196.1</v>
      </c>
      <c r="AE528" s="114">
        <v>126766623.5</v>
      </c>
      <c r="AF528" s="114">
        <v>13366664</v>
      </c>
      <c r="AG528" s="114">
        <v>9483.789</v>
      </c>
      <c r="AH528" s="114">
        <v>10114408</v>
      </c>
      <c r="AI528" s="114">
        <v>4727.005</v>
      </c>
      <c r="AJ528" s="114">
        <v>6132</v>
      </c>
      <c r="AK528" s="114">
        <v>376625</v>
      </c>
      <c r="AL528" s="114">
        <v>8121618.905</v>
      </c>
      <c r="AM528" s="114">
        <v>110</v>
      </c>
      <c r="AN528" s="114">
        <v>276698</v>
      </c>
      <c r="AO528" s="114">
        <v>25326.6015</v>
      </c>
      <c r="AP528" s="114">
        <v>266.5189</v>
      </c>
      <c r="AQ528" s="114">
        <v>3273</v>
      </c>
      <c r="AR528" s="114">
        <v>26133</v>
      </c>
      <c r="AS528" s="114">
        <v>28431</v>
      </c>
      <c r="AT528" s="114">
        <v>7</v>
      </c>
      <c r="AU528" s="114">
        <v>5463</v>
      </c>
      <c r="AV528" s="114">
        <v>2</v>
      </c>
      <c r="AW528" s="114">
        <v>0.0058</v>
      </c>
      <c r="AX528" s="114">
        <v>797</v>
      </c>
      <c r="AY528" s="114">
        <v>72789</v>
      </c>
      <c r="AZ528" s="114">
        <v>59406</v>
      </c>
      <c r="BA528" s="114">
        <v>2340984</v>
      </c>
      <c r="BB528" s="116"/>
      <c r="BC528" s="116"/>
      <c r="BD528" s="116"/>
      <c r="BE528" s="116"/>
      <c r="BF528" s="116"/>
      <c r="BG528" s="116"/>
      <c r="BH528" s="116"/>
      <c r="BI528" s="116"/>
      <c r="BJ528" s="117">
        <v>1808255</v>
      </c>
      <c r="BK528" s="117">
        <v>25629</v>
      </c>
      <c r="BL528" s="117">
        <v>13441327</v>
      </c>
      <c r="BM528" s="118">
        <v>62961710</v>
      </c>
      <c r="BN528" s="118">
        <v>3703.63</v>
      </c>
      <c r="BO528" s="120">
        <v>0.782</v>
      </c>
      <c r="BP528" s="120">
        <v>0.217</v>
      </c>
      <c r="BQ528" s="120">
        <v>0.001</v>
      </c>
      <c r="BR528" s="120">
        <v>0.011</v>
      </c>
      <c r="BS528" s="120">
        <v>0.064</v>
      </c>
      <c r="BT528" s="120">
        <v>0.293</v>
      </c>
      <c r="BU528" s="120">
        <v>0.255</v>
      </c>
      <c r="BV528" s="120">
        <v>0.195</v>
      </c>
      <c r="BW528" s="120">
        <v>0.127</v>
      </c>
      <c r="BX528" s="120">
        <v>0.055</v>
      </c>
    </row>
    <row r="529" s="96" customFormat="1" ht="15.75" customHeight="1" spans="1:76">
      <c r="A529" s="111">
        <v>528</v>
      </c>
      <c r="B529" s="112" t="s">
        <v>53</v>
      </c>
      <c r="C529" s="112" t="s">
        <v>53</v>
      </c>
      <c r="D529" s="111">
        <v>2025</v>
      </c>
      <c r="E529" s="113" t="s">
        <v>43</v>
      </c>
      <c r="F529" s="114">
        <v>19111310</v>
      </c>
      <c r="G529" s="114">
        <v>18790475</v>
      </c>
      <c r="H529" s="114">
        <v>2397294.862</v>
      </c>
      <c r="I529" s="114">
        <v>22896</v>
      </c>
      <c r="J529" s="115">
        <v>0.0053125</v>
      </c>
      <c r="K529" s="114">
        <v>22.02</v>
      </c>
      <c r="L529" s="114">
        <v>744</v>
      </c>
      <c r="M529" s="114">
        <v>197145397</v>
      </c>
      <c r="N529" s="114">
        <v>6.99</v>
      </c>
      <c r="O529" s="114">
        <v>8128873</v>
      </c>
      <c r="P529" s="114">
        <v>3082715</v>
      </c>
      <c r="Q529" s="114">
        <v>5036454</v>
      </c>
      <c r="R529" s="114">
        <v>3700532</v>
      </c>
      <c r="S529" s="114">
        <v>1335922</v>
      </c>
      <c r="T529" s="114">
        <v>27811</v>
      </c>
      <c r="U529" s="114">
        <v>4915</v>
      </c>
      <c r="V529" s="114">
        <v>115165</v>
      </c>
      <c r="W529" s="114">
        <v>6882</v>
      </c>
      <c r="X529" s="114">
        <v>17212</v>
      </c>
      <c r="Y529" s="114">
        <v>39018</v>
      </c>
      <c r="Z529" s="114">
        <v>116749277.4</v>
      </c>
      <c r="AA529" s="114">
        <v>0</v>
      </c>
      <c r="AB529" s="114">
        <v>332</v>
      </c>
      <c r="AC529" s="114">
        <v>5441469.79</v>
      </c>
      <c r="AD529" s="114">
        <v>110304681.2</v>
      </c>
      <c r="AE529" s="114">
        <v>200869522.6</v>
      </c>
      <c r="AF529" s="114">
        <v>23002363</v>
      </c>
      <c r="AG529" s="114">
        <v>8732.56</v>
      </c>
      <c r="AH529" s="114">
        <v>14057771</v>
      </c>
      <c r="AI529" s="114">
        <v>6213.216</v>
      </c>
      <c r="AJ529" s="114">
        <v>12629</v>
      </c>
      <c r="AK529" s="114">
        <v>991055</v>
      </c>
      <c r="AL529" s="114">
        <v>18417130.47</v>
      </c>
      <c r="AM529" s="114">
        <v>266</v>
      </c>
      <c r="AN529" s="114">
        <v>312594</v>
      </c>
      <c r="AO529" s="114">
        <v>45124.7215</v>
      </c>
      <c r="AP529" s="114">
        <v>931.6561</v>
      </c>
      <c r="AQ529" s="114">
        <v>2131</v>
      </c>
      <c r="AR529" s="114">
        <v>12387</v>
      </c>
      <c r="AS529" s="114">
        <v>14673</v>
      </c>
      <c r="AT529" s="114">
        <v>4</v>
      </c>
      <c r="AU529" s="114">
        <v>43186</v>
      </c>
      <c r="AV529" s="114">
        <v>1</v>
      </c>
      <c r="AW529" s="114">
        <v>0.0156</v>
      </c>
      <c r="AX529" s="114">
        <v>83</v>
      </c>
      <c r="AY529" s="114">
        <v>10966</v>
      </c>
      <c r="AZ529" s="114">
        <v>67925</v>
      </c>
      <c r="BA529" s="114">
        <v>1733419</v>
      </c>
      <c r="BB529" s="116"/>
      <c r="BC529" s="116"/>
      <c r="BD529" s="116"/>
      <c r="BE529" s="116"/>
      <c r="BF529" s="116"/>
      <c r="BG529" s="116"/>
      <c r="BH529" s="116"/>
      <c r="BI529" s="116"/>
      <c r="BJ529" s="117">
        <v>1831149</v>
      </c>
      <c r="BK529" s="117">
        <v>22893</v>
      </c>
      <c r="BL529" s="117">
        <v>15431755</v>
      </c>
      <c r="BM529" s="118">
        <v>105090090</v>
      </c>
      <c r="BN529" s="118">
        <v>6181.77</v>
      </c>
      <c r="BO529" s="120">
        <v>0.79</v>
      </c>
      <c r="BP529" s="120">
        <v>0.209</v>
      </c>
      <c r="BQ529" s="120">
        <v>0.001</v>
      </c>
      <c r="BR529" s="120">
        <v>0.013</v>
      </c>
      <c r="BS529" s="120">
        <v>0.076</v>
      </c>
      <c r="BT529" s="120">
        <v>0.329</v>
      </c>
      <c r="BU529" s="120">
        <v>0.243</v>
      </c>
      <c r="BV529" s="120">
        <v>0.179</v>
      </c>
      <c r="BW529" s="120">
        <v>0.114</v>
      </c>
      <c r="BX529" s="120">
        <v>0.045</v>
      </c>
    </row>
    <row r="530" s="96" customFormat="1" ht="15.75" customHeight="1" spans="1:76">
      <c r="A530" s="111">
        <v>529</v>
      </c>
      <c r="B530" s="112" t="s">
        <v>53</v>
      </c>
      <c r="C530" s="112" t="s">
        <v>53</v>
      </c>
      <c r="D530" s="111">
        <v>2026</v>
      </c>
      <c r="E530" s="112" t="s">
        <v>31</v>
      </c>
      <c r="F530" s="121">
        <v>12206181</v>
      </c>
      <c r="G530" s="114">
        <v>11845912</v>
      </c>
      <c r="H530" s="114">
        <v>1094382.6</v>
      </c>
      <c r="I530" s="114">
        <v>16304</v>
      </c>
      <c r="J530" s="115">
        <v>0.00384259259259259</v>
      </c>
      <c r="K530" s="114">
        <v>23.86</v>
      </c>
      <c r="L530" s="114">
        <v>839</v>
      </c>
      <c r="M530" s="114">
        <v>106185116</v>
      </c>
      <c r="N530" s="114">
        <v>8.17</v>
      </c>
      <c r="O530" s="114">
        <v>5911132</v>
      </c>
      <c r="P530" s="114">
        <v>1640195</v>
      </c>
      <c r="Q530" s="114">
        <v>4266380</v>
      </c>
      <c r="R530" s="114">
        <v>2936423</v>
      </c>
      <c r="S530" s="114">
        <v>1329957</v>
      </c>
      <c r="T530" s="114">
        <v>20470</v>
      </c>
      <c r="U530" s="114">
        <v>4166</v>
      </c>
      <c r="V530" s="114">
        <v>88563</v>
      </c>
      <c r="W530" s="114">
        <v>3929</v>
      </c>
      <c r="X530" s="114">
        <v>39702</v>
      </c>
      <c r="Y530" s="114">
        <v>42768</v>
      </c>
      <c r="Z530" s="121">
        <v>56610933</v>
      </c>
      <c r="AA530" s="114">
        <v>0</v>
      </c>
      <c r="AB530" s="114">
        <v>100</v>
      </c>
      <c r="AC530" s="114">
        <v>3066961.071</v>
      </c>
      <c r="AD530" s="114">
        <v>51815885.15</v>
      </c>
      <c r="AE530" s="114">
        <v>94267509.41</v>
      </c>
      <c r="AF530" s="114">
        <v>10559214</v>
      </c>
      <c r="AG530" s="114">
        <v>8927.512</v>
      </c>
      <c r="AH530" s="114">
        <v>7462630</v>
      </c>
      <c r="AI530" s="114">
        <v>4696.619</v>
      </c>
      <c r="AJ530" s="114">
        <v>5213</v>
      </c>
      <c r="AK530" s="114">
        <v>297900</v>
      </c>
      <c r="AL530" s="114">
        <v>5425013.682</v>
      </c>
      <c r="AM530" s="114">
        <v>88</v>
      </c>
      <c r="AN530" s="114">
        <v>222890</v>
      </c>
      <c r="AO530" s="114">
        <v>25105.0983</v>
      </c>
      <c r="AP530" s="114">
        <v>898.8065</v>
      </c>
      <c r="AQ530" s="114">
        <v>2099</v>
      </c>
      <c r="AR530" s="114">
        <v>3644</v>
      </c>
      <c r="AS530" s="114">
        <v>33180</v>
      </c>
      <c r="AT530" s="114">
        <v>7</v>
      </c>
      <c r="AU530" s="114">
        <v>26211</v>
      </c>
      <c r="AV530" s="114">
        <v>3</v>
      </c>
      <c r="AW530" s="114">
        <v>0.0253</v>
      </c>
      <c r="AX530" s="114">
        <v>294</v>
      </c>
      <c r="AY530" s="114">
        <v>22841</v>
      </c>
      <c r="AZ530" s="114">
        <v>27240</v>
      </c>
      <c r="BA530" s="114">
        <v>1207070</v>
      </c>
      <c r="BB530" s="116"/>
      <c r="BC530" s="116"/>
      <c r="BD530" s="116"/>
      <c r="BE530" s="116"/>
      <c r="BF530" s="116"/>
      <c r="BG530" s="116"/>
      <c r="BH530" s="116"/>
      <c r="BI530" s="116"/>
      <c r="BJ530" s="117">
        <v>1847452</v>
      </c>
      <c r="BK530" s="117">
        <v>16300</v>
      </c>
      <c r="BL530" s="117">
        <v>8824975</v>
      </c>
      <c r="BM530" s="118">
        <v>42149659</v>
      </c>
      <c r="BN530" s="118"/>
      <c r="BO530" s="120">
        <v>0.778</v>
      </c>
      <c r="BP530" s="120">
        <v>0.221</v>
      </c>
      <c r="BQ530" s="120">
        <v>0.001</v>
      </c>
      <c r="BR530" s="120">
        <v>0.013</v>
      </c>
      <c r="BS530" s="120">
        <v>0.065</v>
      </c>
      <c r="BT530" s="120">
        <v>0.309</v>
      </c>
      <c r="BU530" s="120">
        <v>0.256</v>
      </c>
      <c r="BV530" s="120">
        <v>0.185</v>
      </c>
      <c r="BW530" s="120">
        <v>0.12</v>
      </c>
      <c r="BX530" s="120">
        <v>0.054</v>
      </c>
    </row>
    <row r="531" s="96" customFormat="1" ht="15.75" customHeight="1" spans="1:76">
      <c r="A531" s="111">
        <v>530</v>
      </c>
      <c r="B531" s="112" t="s">
        <v>53</v>
      </c>
      <c r="C531" s="112" t="s">
        <v>53</v>
      </c>
      <c r="D531" s="111">
        <v>2026</v>
      </c>
      <c r="E531" s="112" t="s">
        <v>33</v>
      </c>
      <c r="F531" s="114">
        <v>16949006</v>
      </c>
      <c r="G531" s="114">
        <v>15895831</v>
      </c>
      <c r="H531" s="114">
        <v>1214713.032</v>
      </c>
      <c r="I531" s="114">
        <v>16926</v>
      </c>
      <c r="J531" s="115">
        <v>0.00318287037037037</v>
      </c>
      <c r="K531" s="114">
        <v>25.45</v>
      </c>
      <c r="L531" s="114">
        <v>924</v>
      </c>
      <c r="M531" s="114">
        <v>131696642</v>
      </c>
      <c r="N531" s="114">
        <v>8.54</v>
      </c>
      <c r="O531" s="114">
        <v>6982385</v>
      </c>
      <c r="P531" s="114">
        <v>1768312</v>
      </c>
      <c r="Q531" s="114">
        <v>5228342</v>
      </c>
      <c r="R531" s="114">
        <v>3355717</v>
      </c>
      <c r="S531" s="114">
        <v>1872625</v>
      </c>
      <c r="T531" s="114">
        <v>21643</v>
      </c>
      <c r="U531" s="114">
        <v>4717</v>
      </c>
      <c r="V531" s="114">
        <v>134273</v>
      </c>
      <c r="W531" s="114">
        <v>5153</v>
      </c>
      <c r="X531" s="114">
        <v>43008</v>
      </c>
      <c r="Y531" s="114">
        <v>68626</v>
      </c>
      <c r="Z531" s="114">
        <v>71487278.42</v>
      </c>
      <c r="AA531" s="114">
        <v>0</v>
      </c>
      <c r="AB531" s="114">
        <v>87</v>
      </c>
      <c r="AC531" s="114">
        <v>4424864.195</v>
      </c>
      <c r="AD531" s="114">
        <v>66513663.8</v>
      </c>
      <c r="AE531" s="114">
        <v>120793002.6</v>
      </c>
      <c r="AF531" s="114">
        <v>13200112</v>
      </c>
      <c r="AG531" s="114">
        <v>9150.907</v>
      </c>
      <c r="AH531" s="114">
        <v>9631282</v>
      </c>
      <c r="AI531" s="114">
        <v>4496.631</v>
      </c>
      <c r="AJ531" s="114">
        <v>4572</v>
      </c>
      <c r="AK531" s="114">
        <v>430150</v>
      </c>
      <c r="AL531" s="114">
        <v>4460552.41</v>
      </c>
      <c r="AM531" s="114">
        <v>68</v>
      </c>
      <c r="AN531" s="114">
        <v>354693</v>
      </c>
      <c r="AO531" s="114">
        <v>32611.605</v>
      </c>
      <c r="AP531" s="114">
        <v>764.9867</v>
      </c>
      <c r="AQ531" s="114">
        <v>1328</v>
      </c>
      <c r="AR531" s="114">
        <v>17869</v>
      </c>
      <c r="AS531" s="114">
        <v>19025</v>
      </c>
      <c r="AT531" s="114">
        <v>4</v>
      </c>
      <c r="AU531" s="114">
        <v>1783</v>
      </c>
      <c r="AV531" s="114">
        <v>1</v>
      </c>
      <c r="AW531" s="114">
        <v>0.0087</v>
      </c>
      <c r="AX531" s="114">
        <v>304</v>
      </c>
      <c r="AY531" s="114">
        <v>14478</v>
      </c>
      <c r="AZ531" s="114">
        <v>45582</v>
      </c>
      <c r="BA531" s="114">
        <v>2051262</v>
      </c>
      <c r="BB531" s="116"/>
      <c r="BC531" s="116"/>
      <c r="BD531" s="116"/>
      <c r="BE531" s="116"/>
      <c r="BF531" s="116"/>
      <c r="BG531" s="116"/>
      <c r="BH531" s="116"/>
      <c r="BI531" s="116"/>
      <c r="BJ531" s="117">
        <v>1864382</v>
      </c>
      <c r="BK531" s="117">
        <v>16926</v>
      </c>
      <c r="BL531" s="117">
        <v>12840146</v>
      </c>
      <c r="BM531" s="118">
        <v>52135865</v>
      </c>
      <c r="BN531" s="118"/>
      <c r="BO531" s="120">
        <v>0.789</v>
      </c>
      <c r="BP531" s="120">
        <v>0.209</v>
      </c>
      <c r="BQ531" s="120">
        <v>0.001</v>
      </c>
      <c r="BR531" s="120">
        <v>0.011</v>
      </c>
      <c r="BS531" s="120">
        <v>0.058</v>
      </c>
      <c r="BT531" s="120">
        <v>0.304</v>
      </c>
      <c r="BU531" s="120">
        <v>0.268</v>
      </c>
      <c r="BV531" s="120">
        <v>0.192</v>
      </c>
      <c r="BW531" s="120">
        <v>0.117</v>
      </c>
      <c r="BX531" s="120">
        <v>0.049</v>
      </c>
    </row>
    <row r="532" s="96" customFormat="1" ht="15.75" customHeight="1" spans="1:76">
      <c r="A532" s="111">
        <v>531</v>
      </c>
      <c r="B532" s="112" t="s">
        <v>53</v>
      </c>
      <c r="C532" s="112" t="s">
        <v>53</v>
      </c>
      <c r="D532" s="111">
        <v>2026</v>
      </c>
      <c r="E532" s="113" t="s">
        <v>34</v>
      </c>
      <c r="F532" s="114">
        <v>16782880</v>
      </c>
      <c r="G532" s="114">
        <v>16425329</v>
      </c>
      <c r="H532" s="114">
        <v>1199748.459</v>
      </c>
      <c r="I532" s="114">
        <v>19913</v>
      </c>
      <c r="J532" s="115">
        <v>0.00303240740740741</v>
      </c>
      <c r="K532" s="114">
        <v>22.59</v>
      </c>
      <c r="L532" s="114">
        <v>904</v>
      </c>
      <c r="M532" s="114">
        <v>143831504</v>
      </c>
      <c r="N532" s="114">
        <v>8.79</v>
      </c>
      <c r="O532" s="114">
        <v>8172394</v>
      </c>
      <c r="P532" s="114">
        <v>2315635</v>
      </c>
      <c r="Q532" s="114">
        <v>5475707</v>
      </c>
      <c r="R532" s="114">
        <v>3517821</v>
      </c>
      <c r="S532" s="114">
        <v>1957886</v>
      </c>
      <c r="T532" s="114">
        <v>24842</v>
      </c>
      <c r="U532" s="114">
        <v>4929</v>
      </c>
      <c r="V532" s="114">
        <v>125942</v>
      </c>
      <c r="W532" s="114">
        <v>5351</v>
      </c>
      <c r="X532" s="114">
        <v>25309</v>
      </c>
      <c r="Y532" s="114">
        <v>77338</v>
      </c>
      <c r="Z532" s="114">
        <v>82719362.9</v>
      </c>
      <c r="AA532" s="114">
        <v>0</v>
      </c>
      <c r="AB532" s="114">
        <v>194</v>
      </c>
      <c r="AC532" s="114">
        <v>3062948.364</v>
      </c>
      <c r="AD532" s="114">
        <v>78952678.97</v>
      </c>
      <c r="AE532" s="114">
        <v>143457763.5</v>
      </c>
      <c r="AF532" s="114">
        <v>14859488</v>
      </c>
      <c r="AG532" s="114">
        <v>9654.287</v>
      </c>
      <c r="AH532" s="114">
        <v>11040977</v>
      </c>
      <c r="AI532" s="114">
        <v>5075.172</v>
      </c>
      <c r="AJ532" s="114">
        <v>8558</v>
      </c>
      <c r="AK532" s="114">
        <v>468815</v>
      </c>
      <c r="AL532" s="114">
        <v>15309458.45</v>
      </c>
      <c r="AM532" s="114">
        <v>161</v>
      </c>
      <c r="AN532" s="114">
        <v>295316</v>
      </c>
      <c r="AO532" s="114">
        <v>25738.8849</v>
      </c>
      <c r="AP532" s="114">
        <v>754.4932</v>
      </c>
      <c r="AQ532" s="114">
        <v>1662</v>
      </c>
      <c r="AR532" s="114">
        <v>7821</v>
      </c>
      <c r="AS532" s="114">
        <v>49917</v>
      </c>
      <c r="AT532" s="114">
        <v>3</v>
      </c>
      <c r="AU532" s="114">
        <v>2106</v>
      </c>
      <c r="AV532" s="114">
        <v>0</v>
      </c>
      <c r="AW532" s="114">
        <v>0</v>
      </c>
      <c r="AX532" s="114">
        <v>50</v>
      </c>
      <c r="AY532" s="114">
        <v>5117</v>
      </c>
      <c r="AZ532" s="114">
        <v>35448</v>
      </c>
      <c r="BA532" s="114">
        <v>2163795</v>
      </c>
      <c r="BB532" s="116"/>
      <c r="BC532" s="116"/>
      <c r="BD532" s="116"/>
      <c r="BE532" s="116"/>
      <c r="BF532" s="116"/>
      <c r="BG532" s="116"/>
      <c r="BH532" s="116"/>
      <c r="BI532" s="116"/>
      <c r="BJ532" s="117">
        <v>1884291</v>
      </c>
      <c r="BK532" s="117">
        <v>19913</v>
      </c>
      <c r="BL532" s="117">
        <v>11528486</v>
      </c>
      <c r="BM532" s="118">
        <v>53338475</v>
      </c>
      <c r="BN532" s="118"/>
      <c r="BO532" s="120">
        <v>0.776</v>
      </c>
      <c r="BP532" s="120">
        <v>0.223</v>
      </c>
      <c r="BQ532" s="120">
        <v>0.001</v>
      </c>
      <c r="BR532" s="120">
        <v>0.014</v>
      </c>
      <c r="BS532" s="120">
        <v>0.063</v>
      </c>
      <c r="BT532" s="120">
        <v>0.304</v>
      </c>
      <c r="BU532" s="120">
        <v>0.256</v>
      </c>
      <c r="BV532" s="120">
        <v>0.187</v>
      </c>
      <c r="BW532" s="120">
        <v>0.121</v>
      </c>
      <c r="BX532" s="120">
        <v>0.056</v>
      </c>
    </row>
    <row r="533" s="96" customFormat="1" ht="15.75" customHeight="1" spans="1:76">
      <c r="A533" s="111">
        <v>532</v>
      </c>
      <c r="B533" s="112" t="s">
        <v>53</v>
      </c>
      <c r="C533" s="112" t="s">
        <v>53</v>
      </c>
      <c r="D533" s="111">
        <v>2026</v>
      </c>
      <c r="E533" s="113" t="s">
        <v>35</v>
      </c>
      <c r="F533" s="114">
        <v>19747845</v>
      </c>
      <c r="G533" s="114">
        <v>19269631</v>
      </c>
      <c r="H533" s="114">
        <v>1224336.905</v>
      </c>
      <c r="I533" s="114">
        <v>14052</v>
      </c>
      <c r="J533" s="115">
        <v>0.00263888888888889</v>
      </c>
      <c r="K533" s="114">
        <v>23.68</v>
      </c>
      <c r="L533" s="114">
        <v>567</v>
      </c>
      <c r="M533" s="114">
        <v>164476486</v>
      </c>
      <c r="N533" s="114">
        <v>9.23</v>
      </c>
      <c r="O533" s="114">
        <v>7924068</v>
      </c>
      <c r="P533" s="114">
        <v>2166126</v>
      </c>
      <c r="Q533" s="114">
        <v>5426492</v>
      </c>
      <c r="R533" s="114">
        <v>3377723</v>
      </c>
      <c r="S533" s="114">
        <v>2048769</v>
      </c>
      <c r="T533" s="114">
        <v>19184</v>
      </c>
      <c r="U533" s="114">
        <v>5132</v>
      </c>
      <c r="V533" s="114">
        <v>123904</v>
      </c>
      <c r="W533" s="114">
        <v>6231</v>
      </c>
      <c r="X533" s="114">
        <v>22305</v>
      </c>
      <c r="Y533" s="114">
        <v>92760</v>
      </c>
      <c r="Z533" s="114">
        <v>67183204.05</v>
      </c>
      <c r="AA533" s="114">
        <v>12332.241</v>
      </c>
      <c r="AB533" s="114">
        <v>129</v>
      </c>
      <c r="AC533" s="114">
        <v>2742709.516</v>
      </c>
      <c r="AD533" s="114">
        <v>63838023.44</v>
      </c>
      <c r="AE533" s="114">
        <v>115862273.9</v>
      </c>
      <c r="AF533" s="114">
        <v>12626029</v>
      </c>
      <c r="AG533" s="114">
        <v>9176.462</v>
      </c>
      <c r="AH533" s="114">
        <v>9850701</v>
      </c>
      <c r="AI533" s="114">
        <v>3428.542</v>
      </c>
      <c r="AJ533" s="114">
        <v>9560</v>
      </c>
      <c r="AK533" s="114">
        <v>965369</v>
      </c>
      <c r="AL533" s="114">
        <v>8715154.629</v>
      </c>
      <c r="AM533" s="114">
        <v>102</v>
      </c>
      <c r="AN533" s="114">
        <v>288821</v>
      </c>
      <c r="AO533" s="114">
        <v>22389.8846</v>
      </c>
      <c r="AP533" s="114">
        <v>758.3621</v>
      </c>
      <c r="AQ533" s="114">
        <v>1091</v>
      </c>
      <c r="AR533" s="114">
        <v>1334</v>
      </c>
      <c r="AS533" s="114">
        <v>11854</v>
      </c>
      <c r="AT533" s="114">
        <v>4</v>
      </c>
      <c r="AU533" s="114">
        <v>1260</v>
      </c>
      <c r="AV533" s="114">
        <v>2</v>
      </c>
      <c r="AW533" s="114">
        <v>0.0153</v>
      </c>
      <c r="AX533" s="114">
        <v>212</v>
      </c>
      <c r="AY533" s="114">
        <v>7716</v>
      </c>
      <c r="AZ533" s="114">
        <v>35804</v>
      </c>
      <c r="BA533" s="114">
        <v>2376474</v>
      </c>
      <c r="BB533" s="116"/>
      <c r="BC533" s="116"/>
      <c r="BD533" s="116"/>
      <c r="BE533" s="116"/>
      <c r="BF533" s="116"/>
      <c r="BG533" s="116"/>
      <c r="BH533" s="116"/>
      <c r="BI533" s="116"/>
      <c r="BJ533" s="117">
        <v>1898343</v>
      </c>
      <c r="BK533" s="117">
        <v>14051</v>
      </c>
      <c r="BL533" s="117">
        <v>15217650</v>
      </c>
      <c r="BM533" s="118">
        <v>50615074</v>
      </c>
      <c r="BN533" s="118"/>
      <c r="BO533" s="120">
        <v>0.795</v>
      </c>
      <c r="BP533" s="120">
        <v>0.204</v>
      </c>
      <c r="BQ533" s="120">
        <v>0.001</v>
      </c>
      <c r="BR533" s="120">
        <v>0.011</v>
      </c>
      <c r="BS533" s="120">
        <v>0.061</v>
      </c>
      <c r="BT533" s="120">
        <v>0.314</v>
      </c>
      <c r="BU533" s="120">
        <v>0.272</v>
      </c>
      <c r="BV533" s="120">
        <v>0.185</v>
      </c>
      <c r="BW533" s="120">
        <v>0.111</v>
      </c>
      <c r="BX533" s="120">
        <v>0.047</v>
      </c>
    </row>
    <row r="534" s="96" customFormat="1" ht="15.75" customHeight="1" spans="1:76">
      <c r="A534" s="111">
        <v>533</v>
      </c>
      <c r="B534" s="112" t="s">
        <v>53</v>
      </c>
      <c r="C534" s="112" t="s">
        <v>53</v>
      </c>
      <c r="D534" s="111">
        <v>2026</v>
      </c>
      <c r="E534" s="113" t="s">
        <v>36</v>
      </c>
      <c r="F534" s="114">
        <v>19868920</v>
      </c>
      <c r="G534" s="114">
        <v>19327348</v>
      </c>
      <c r="H534" s="114">
        <v>1377157.248</v>
      </c>
      <c r="I534" s="114">
        <v>14796</v>
      </c>
      <c r="J534" s="115">
        <v>0.00296296296296296</v>
      </c>
      <c r="K534" s="114">
        <v>19.78</v>
      </c>
      <c r="L534" s="114">
        <v>1227</v>
      </c>
      <c r="M534" s="114">
        <v>164223480</v>
      </c>
      <c r="N534" s="114">
        <v>8.97</v>
      </c>
      <c r="O534" s="114">
        <v>7305398</v>
      </c>
      <c r="P534" s="114">
        <v>2079355</v>
      </c>
      <c r="Q534" s="114">
        <v>4990121</v>
      </c>
      <c r="R534" s="114">
        <v>2925297</v>
      </c>
      <c r="S534" s="114">
        <v>2064824</v>
      </c>
      <c r="T534" s="114">
        <v>19589</v>
      </c>
      <c r="U534" s="114">
        <v>4793</v>
      </c>
      <c r="V534" s="114">
        <v>139897</v>
      </c>
      <c r="W534" s="114">
        <v>6101</v>
      </c>
      <c r="X534" s="114">
        <v>25664</v>
      </c>
      <c r="Y534" s="114">
        <v>85603</v>
      </c>
      <c r="Z534" s="114">
        <v>85678901.57</v>
      </c>
      <c r="AA534" s="114">
        <v>0</v>
      </c>
      <c r="AB534" s="114">
        <v>113</v>
      </c>
      <c r="AC534" s="114">
        <v>3562949.212</v>
      </c>
      <c r="AD534" s="114">
        <v>81515829.46</v>
      </c>
      <c r="AE534" s="114">
        <v>147902312.9</v>
      </c>
      <c r="AF534" s="114">
        <v>14296223</v>
      </c>
      <c r="AG534" s="114">
        <v>10345.552</v>
      </c>
      <c r="AH534" s="114">
        <v>10592617</v>
      </c>
      <c r="AI534" s="114">
        <v>4441.193</v>
      </c>
      <c r="AJ534" s="114">
        <v>6845</v>
      </c>
      <c r="AK534" s="114">
        <v>720167</v>
      </c>
      <c r="AL534" s="114">
        <v>17810703.68</v>
      </c>
      <c r="AM534" s="114">
        <v>98</v>
      </c>
      <c r="AN534" s="114">
        <v>346625</v>
      </c>
      <c r="AO534" s="114">
        <v>30415.5841</v>
      </c>
      <c r="AP534" s="114">
        <v>896.6993</v>
      </c>
      <c r="AQ534" s="114">
        <v>1952</v>
      </c>
      <c r="AR534" s="114">
        <v>56614</v>
      </c>
      <c r="AS534" s="114">
        <v>106234</v>
      </c>
      <c r="AT534" s="114">
        <v>8</v>
      </c>
      <c r="AU534" s="114">
        <v>10978</v>
      </c>
      <c r="AV534" s="114">
        <v>0</v>
      </c>
      <c r="AW534" s="114">
        <v>0</v>
      </c>
      <c r="AX534" s="114">
        <v>545</v>
      </c>
      <c r="AY534" s="114">
        <v>46755</v>
      </c>
      <c r="AZ534" s="114">
        <v>48927</v>
      </c>
      <c r="BA534" s="114">
        <v>3332641</v>
      </c>
      <c r="BB534" s="116"/>
      <c r="BC534" s="116"/>
      <c r="BD534" s="116"/>
      <c r="BE534" s="116"/>
      <c r="BF534" s="116"/>
      <c r="BG534" s="116"/>
      <c r="BH534" s="116"/>
      <c r="BI534" s="116"/>
      <c r="BJ534" s="117">
        <v>1913143</v>
      </c>
      <c r="BK534" s="117">
        <v>14796</v>
      </c>
      <c r="BL534" s="117">
        <v>14415670</v>
      </c>
      <c r="BM534" s="118">
        <v>63807820</v>
      </c>
      <c r="BN534" s="118"/>
      <c r="BO534" s="120">
        <v>0.787</v>
      </c>
      <c r="BP534" s="120">
        <v>0.212</v>
      </c>
      <c r="BQ534" s="120">
        <v>0.001</v>
      </c>
      <c r="BR534" s="120">
        <v>0.013</v>
      </c>
      <c r="BS534" s="120">
        <v>0.064</v>
      </c>
      <c r="BT534" s="120">
        <v>0.315</v>
      </c>
      <c r="BU534" s="120">
        <v>0.269</v>
      </c>
      <c r="BV534" s="120">
        <v>0.183</v>
      </c>
      <c r="BW534" s="120">
        <v>0.11</v>
      </c>
      <c r="BX534" s="120">
        <v>0.046</v>
      </c>
    </row>
    <row r="535" s="96" customFormat="1" ht="15.75" customHeight="1" spans="1:76">
      <c r="A535" s="111">
        <v>534</v>
      </c>
      <c r="B535" s="96" t="s">
        <v>53</v>
      </c>
      <c r="C535" s="96" t="s">
        <v>53</v>
      </c>
      <c r="D535" s="122">
        <v>2026</v>
      </c>
      <c r="E535" s="96" t="s">
        <v>37</v>
      </c>
      <c r="F535" s="123">
        <v>17101620</v>
      </c>
      <c r="G535" s="123">
        <v>16454119</v>
      </c>
      <c r="H535" s="123">
        <v>1036345</v>
      </c>
      <c r="I535" s="123">
        <v>11346</v>
      </c>
      <c r="J535" s="124">
        <v>0.00261574074074074</v>
      </c>
      <c r="K535" s="125">
        <v>18</v>
      </c>
      <c r="L535" s="123">
        <v>1182</v>
      </c>
      <c r="M535" s="123">
        <v>130890232</v>
      </c>
      <c r="N535" s="125">
        <v>9</v>
      </c>
      <c r="O535" s="123">
        <v>6781284</v>
      </c>
      <c r="P535" s="123">
        <v>1909831</v>
      </c>
      <c r="Q535" s="123">
        <v>4562286</v>
      </c>
      <c r="R535" s="123">
        <v>2599165</v>
      </c>
      <c r="S535" s="123">
        <v>1963121</v>
      </c>
      <c r="T535" s="123">
        <v>15989</v>
      </c>
      <c r="U535" s="123">
        <v>4643</v>
      </c>
      <c r="V535" s="123">
        <v>112227</v>
      </c>
      <c r="W535" s="123">
        <v>5833</v>
      </c>
      <c r="X535" s="123">
        <v>19827</v>
      </c>
      <c r="Y535" s="123">
        <v>73766</v>
      </c>
      <c r="Z535" s="123">
        <v>77153876</v>
      </c>
      <c r="AA535" s="123">
        <v>47965</v>
      </c>
      <c r="AB535" s="125">
        <v>51</v>
      </c>
      <c r="AC535" s="123">
        <v>2825618</v>
      </c>
      <c r="AD535" s="123">
        <v>73815357</v>
      </c>
      <c r="AE535" s="123">
        <v>134005277</v>
      </c>
      <c r="AF535" s="123">
        <v>11832853</v>
      </c>
      <c r="AG535" s="123">
        <v>11325</v>
      </c>
      <c r="AH535" s="123">
        <v>8911223</v>
      </c>
      <c r="AI535" s="123">
        <v>4664</v>
      </c>
      <c r="AJ535" s="123">
        <v>3741</v>
      </c>
      <c r="AK535" s="123">
        <v>489198</v>
      </c>
      <c r="AL535" s="123">
        <v>3325698</v>
      </c>
      <c r="AM535" s="125">
        <v>46</v>
      </c>
      <c r="AN535" s="123">
        <v>299039</v>
      </c>
      <c r="AO535" s="123">
        <v>22981</v>
      </c>
      <c r="AP535" s="125">
        <v>894</v>
      </c>
      <c r="AQ535" s="123">
        <v>3699</v>
      </c>
      <c r="AR535" s="123">
        <v>21135</v>
      </c>
      <c r="AS535" s="123">
        <v>34126</v>
      </c>
      <c r="AT535" s="125">
        <v>8</v>
      </c>
      <c r="AU535" s="123">
        <v>4834</v>
      </c>
      <c r="AV535" s="125">
        <v>0</v>
      </c>
      <c r="AW535" s="125">
        <v>0</v>
      </c>
      <c r="AX535" s="125">
        <v>82</v>
      </c>
      <c r="AY535" s="123">
        <v>8799</v>
      </c>
      <c r="AZ535" s="123">
        <v>51253</v>
      </c>
      <c r="BA535" s="123">
        <v>2751118</v>
      </c>
      <c r="BB535" s="125"/>
      <c r="BC535" s="125"/>
      <c r="BD535" s="125"/>
      <c r="BE535" s="125"/>
      <c r="BF535" s="125"/>
      <c r="BG535" s="125"/>
      <c r="BH535" s="125"/>
      <c r="BI535" s="125"/>
      <c r="BJ535" s="117">
        <v>1924489</v>
      </c>
      <c r="BK535" s="117">
        <v>11346</v>
      </c>
      <c r="BL535" s="117">
        <v>11650972</v>
      </c>
      <c r="BM535" s="118">
        <v>52840496</v>
      </c>
      <c r="BN535" s="118"/>
      <c r="BO535" s="120">
        <v>0.773</v>
      </c>
      <c r="BP535" s="120">
        <v>0.226</v>
      </c>
      <c r="BQ535" s="120">
        <v>0.001</v>
      </c>
      <c r="BR535" s="120">
        <v>0.013</v>
      </c>
      <c r="BS535" s="120">
        <v>0.062</v>
      </c>
      <c r="BT535" s="120">
        <v>0.306</v>
      </c>
      <c r="BU535" s="120">
        <v>0.27</v>
      </c>
      <c r="BV535" s="120">
        <v>0.191</v>
      </c>
      <c r="BW535" s="120">
        <v>0.113</v>
      </c>
      <c r="BX535" s="120">
        <v>0.046</v>
      </c>
    </row>
    <row r="536" s="96" customFormat="1" ht="15.75" customHeight="1" spans="1:76">
      <c r="A536" s="111">
        <v>535</v>
      </c>
      <c r="B536" s="96" t="s">
        <v>53</v>
      </c>
      <c r="C536" s="96" t="s">
        <v>53</v>
      </c>
      <c r="D536" s="122">
        <v>2026</v>
      </c>
      <c r="E536" s="96" t="s">
        <v>38</v>
      </c>
      <c r="F536" s="126">
        <v>17458324</v>
      </c>
      <c r="G536" s="126">
        <v>16774351</v>
      </c>
      <c r="H536" s="126">
        <v>1428948</v>
      </c>
      <c r="I536" s="126">
        <v>12970</v>
      </c>
      <c r="J536" s="127">
        <v>0.00354166666666667</v>
      </c>
      <c r="K536" s="128">
        <v>24</v>
      </c>
      <c r="L536" s="126">
        <v>1346</v>
      </c>
      <c r="M536" s="126">
        <v>140139445</v>
      </c>
      <c r="N536" s="128">
        <v>9</v>
      </c>
      <c r="O536" s="126">
        <v>6678740</v>
      </c>
      <c r="P536" s="126">
        <v>1373292</v>
      </c>
      <c r="Q536" s="126">
        <v>4546913</v>
      </c>
      <c r="R536" s="126">
        <v>2322327</v>
      </c>
      <c r="S536" s="126">
        <v>2224586</v>
      </c>
      <c r="T536" s="126">
        <v>17789</v>
      </c>
      <c r="U536" s="126">
        <v>4819</v>
      </c>
      <c r="V536" s="126">
        <v>136778</v>
      </c>
      <c r="W536" s="126">
        <v>4443</v>
      </c>
      <c r="X536" s="126">
        <v>18886</v>
      </c>
      <c r="Y536" s="126">
        <v>71993</v>
      </c>
      <c r="Z536" s="126">
        <v>102756074</v>
      </c>
      <c r="AA536" s="126">
        <v>16081</v>
      </c>
      <c r="AB536" s="128">
        <v>31</v>
      </c>
      <c r="AC536" s="126">
        <v>4733396</v>
      </c>
      <c r="AD536" s="126">
        <v>97443046</v>
      </c>
      <c r="AE536" s="126">
        <v>177040968</v>
      </c>
      <c r="AF536" s="126">
        <v>15690403</v>
      </c>
      <c r="AG536" s="126">
        <v>11283</v>
      </c>
      <c r="AH536" s="126">
        <v>11067444</v>
      </c>
      <c r="AI536" s="126">
        <v>6147</v>
      </c>
      <c r="AJ536" s="126">
        <v>4003</v>
      </c>
      <c r="AK536" s="126">
        <v>569066</v>
      </c>
      <c r="AL536" s="126">
        <v>3707157</v>
      </c>
      <c r="AM536" s="128">
        <v>30</v>
      </c>
      <c r="AN536" s="126">
        <v>347855</v>
      </c>
      <c r="AO536" s="126">
        <v>39248</v>
      </c>
      <c r="AP536" s="126">
        <v>1010</v>
      </c>
      <c r="AQ536" s="126">
        <v>5724</v>
      </c>
      <c r="AR536" s="126">
        <v>15322</v>
      </c>
      <c r="AS536" s="126">
        <v>41188</v>
      </c>
      <c r="AT536" s="128">
        <v>3</v>
      </c>
      <c r="AU536" s="126">
        <v>10737</v>
      </c>
      <c r="AV536" s="128">
        <v>0</v>
      </c>
      <c r="AW536" s="128">
        <v>0</v>
      </c>
      <c r="AX536" s="128">
        <v>232</v>
      </c>
      <c r="AY536" s="126">
        <v>5968</v>
      </c>
      <c r="AZ536" s="126">
        <v>48974</v>
      </c>
      <c r="BA536" s="126">
        <v>3032208</v>
      </c>
      <c r="BB536" s="129"/>
      <c r="BC536" s="129"/>
      <c r="BD536" s="129"/>
      <c r="BE536" s="129"/>
      <c r="BF536" s="129"/>
      <c r="BG536" s="129"/>
      <c r="BH536" s="129"/>
      <c r="BI536" s="129"/>
      <c r="BJ536" s="130">
        <v>1937459</v>
      </c>
      <c r="BK536" s="130">
        <v>12970</v>
      </c>
      <c r="BL536" s="130">
        <v>13126812</v>
      </c>
      <c r="BM536" s="131">
        <v>81632273.98</v>
      </c>
      <c r="BN536" s="131"/>
      <c r="BO536" s="132">
        <v>0.811</v>
      </c>
      <c r="BP536" s="132">
        <v>0.188</v>
      </c>
      <c r="BQ536" s="132">
        <v>0.001</v>
      </c>
      <c r="BR536" s="132">
        <v>0.011</v>
      </c>
      <c r="BS536" s="132">
        <v>0.06</v>
      </c>
      <c r="BT536" s="132">
        <v>0.305</v>
      </c>
      <c r="BU536" s="132">
        <v>0.268</v>
      </c>
      <c r="BV536" s="132">
        <v>0.193</v>
      </c>
      <c r="BW536" s="132">
        <v>0.116</v>
      </c>
      <c r="BX536" s="119"/>
    </row>
    <row r="537" s="96" customFormat="1" ht="15.75" customHeight="1" spans="1:76">
      <c r="A537" s="111">
        <v>536</v>
      </c>
      <c r="B537" s="96" t="s">
        <v>53</v>
      </c>
      <c r="C537" s="96" t="s">
        <v>53</v>
      </c>
      <c r="D537" s="122">
        <v>2026</v>
      </c>
      <c r="E537" s="96" t="s">
        <v>39</v>
      </c>
      <c r="F537" s="128"/>
      <c r="G537" s="128"/>
      <c r="H537" s="128"/>
      <c r="I537" s="128"/>
      <c r="J537" s="127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9"/>
      <c r="BC537" s="129"/>
      <c r="BD537" s="129"/>
      <c r="BE537" s="129"/>
      <c r="BF537" s="129"/>
      <c r="BG537" s="129"/>
      <c r="BH537" s="129"/>
      <c r="BI537" s="129"/>
      <c r="BJ537" s="119"/>
      <c r="BK537" s="119"/>
      <c r="BL537" s="119"/>
      <c r="BM537" s="131"/>
      <c r="BN537" s="131"/>
      <c r="BO537" s="119"/>
      <c r="BP537" s="119"/>
      <c r="BQ537" s="119"/>
      <c r="BR537" s="119"/>
      <c r="BS537" s="119"/>
      <c r="BT537" s="119"/>
      <c r="BU537" s="119"/>
      <c r="BV537" s="119"/>
      <c r="BW537" s="119"/>
      <c r="BX537" s="119"/>
    </row>
    <row r="538" s="96" customFormat="1" ht="15.75" customHeight="1" spans="1:76">
      <c r="A538" s="111">
        <v>537</v>
      </c>
      <c r="B538" s="96" t="s">
        <v>53</v>
      </c>
      <c r="C538" s="96" t="s">
        <v>53</v>
      </c>
      <c r="D538" s="122">
        <v>2026</v>
      </c>
      <c r="E538" s="96" t="s">
        <v>40</v>
      </c>
      <c r="F538" s="128"/>
      <c r="G538" s="128"/>
      <c r="H538" s="128"/>
      <c r="I538" s="128"/>
      <c r="J538" s="127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9"/>
      <c r="BC538" s="129"/>
      <c r="BD538" s="129"/>
      <c r="BE538" s="129"/>
      <c r="BF538" s="129"/>
      <c r="BG538" s="129"/>
      <c r="BH538" s="129"/>
      <c r="BI538" s="129"/>
      <c r="BJ538" s="119"/>
      <c r="BK538" s="119"/>
      <c r="BL538" s="119"/>
      <c r="BM538" s="131"/>
      <c r="BN538" s="131"/>
      <c r="BO538" s="119"/>
      <c r="BP538" s="119"/>
      <c r="BQ538" s="119"/>
      <c r="BR538" s="119"/>
      <c r="BS538" s="119"/>
      <c r="BT538" s="119"/>
      <c r="BU538" s="119"/>
      <c r="BV538" s="119"/>
      <c r="BW538" s="119"/>
      <c r="BX538" s="119"/>
    </row>
    <row r="539" s="96" customFormat="1" ht="15.75" customHeight="1" spans="1:76">
      <c r="A539" s="111">
        <v>538</v>
      </c>
      <c r="B539" s="96" t="s">
        <v>53</v>
      </c>
      <c r="C539" s="96" t="s">
        <v>53</v>
      </c>
      <c r="D539" s="122">
        <v>2026</v>
      </c>
      <c r="E539" s="96" t="s">
        <v>41</v>
      </c>
      <c r="F539" s="128"/>
      <c r="G539" s="128"/>
      <c r="H539" s="128"/>
      <c r="I539" s="128"/>
      <c r="J539" s="127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9"/>
      <c r="BC539" s="129"/>
      <c r="BD539" s="129"/>
      <c r="BE539" s="129"/>
      <c r="BF539" s="129"/>
      <c r="BG539" s="129"/>
      <c r="BH539" s="129"/>
      <c r="BI539" s="129"/>
      <c r="BJ539" s="119"/>
      <c r="BK539" s="119"/>
      <c r="BL539" s="119"/>
      <c r="BM539" s="131"/>
      <c r="BN539" s="131"/>
      <c r="BO539" s="119"/>
      <c r="BP539" s="119"/>
      <c r="BQ539" s="119"/>
      <c r="BR539" s="119"/>
      <c r="BS539" s="119"/>
      <c r="BT539" s="119"/>
      <c r="BU539" s="119"/>
      <c r="BV539" s="119"/>
      <c r="BW539" s="119"/>
      <c r="BX539" s="119"/>
    </row>
    <row r="540" s="96" customFormat="1" ht="15.75" customHeight="1" spans="1:76">
      <c r="A540" s="111">
        <v>539</v>
      </c>
      <c r="B540" s="96" t="s">
        <v>53</v>
      </c>
      <c r="C540" s="96" t="s">
        <v>53</v>
      </c>
      <c r="D540" s="122">
        <v>2026</v>
      </c>
      <c r="E540" s="96" t="s">
        <v>42</v>
      </c>
      <c r="F540" s="128"/>
      <c r="G540" s="128"/>
      <c r="H540" s="128"/>
      <c r="I540" s="128"/>
      <c r="J540" s="127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9"/>
      <c r="BC540" s="129"/>
      <c r="BD540" s="129"/>
      <c r="BE540" s="129"/>
      <c r="BF540" s="129"/>
      <c r="BG540" s="129"/>
      <c r="BH540" s="129"/>
      <c r="BI540" s="129"/>
      <c r="BJ540" s="119"/>
      <c r="BK540" s="119"/>
      <c r="BL540" s="119"/>
      <c r="BM540" s="131"/>
      <c r="BN540" s="131"/>
      <c r="BO540" s="119"/>
      <c r="BP540" s="119"/>
      <c r="BQ540" s="119"/>
      <c r="BR540" s="119"/>
      <c r="BS540" s="119"/>
      <c r="BT540" s="119"/>
      <c r="BU540" s="119"/>
      <c r="BV540" s="119"/>
      <c r="BW540" s="119"/>
      <c r="BX540" s="119"/>
    </row>
    <row r="541" s="96" customFormat="1" ht="15.75" customHeight="1" spans="1:76">
      <c r="A541" s="111">
        <v>540</v>
      </c>
      <c r="B541" s="96" t="s">
        <v>53</v>
      </c>
      <c r="C541" s="96" t="s">
        <v>53</v>
      </c>
      <c r="D541" s="122">
        <v>2026</v>
      </c>
      <c r="E541" s="96" t="s">
        <v>43</v>
      </c>
      <c r="F541" s="128"/>
      <c r="G541" s="128"/>
      <c r="H541" s="128"/>
      <c r="I541" s="128"/>
      <c r="J541" s="127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9"/>
      <c r="BC541" s="129"/>
      <c r="BD541" s="129"/>
      <c r="BE541" s="129"/>
      <c r="BF541" s="129"/>
      <c r="BG541" s="129"/>
      <c r="BH541" s="129"/>
      <c r="BI541" s="129"/>
      <c r="BJ541" s="119"/>
      <c r="BK541" s="119"/>
      <c r="BL541" s="119"/>
      <c r="BM541" s="131"/>
      <c r="BN541" s="131"/>
      <c r="BO541" s="119"/>
      <c r="BP541" s="119"/>
      <c r="BQ541" s="119"/>
      <c r="BR541" s="119"/>
      <c r="BS541" s="119"/>
      <c r="BT541" s="119"/>
      <c r="BU541" s="119"/>
      <c r="BV541" s="119"/>
      <c r="BW541" s="119"/>
      <c r="BX541" s="119"/>
    </row>
    <row r="542" s="96" customFormat="1" ht="15.75" customHeight="1" spans="1:76">
      <c r="A542" s="111">
        <v>541</v>
      </c>
      <c r="B542" s="112" t="s">
        <v>53</v>
      </c>
      <c r="C542" s="112" t="s">
        <v>141</v>
      </c>
      <c r="D542" s="111">
        <v>2024</v>
      </c>
      <c r="E542" s="113" t="s">
        <v>31</v>
      </c>
      <c r="F542" s="114">
        <v>357226</v>
      </c>
      <c r="G542" s="114">
        <v>357226</v>
      </c>
      <c r="H542" s="114">
        <v>16903.2154</v>
      </c>
      <c r="I542" s="114">
        <v>-233</v>
      </c>
      <c r="J542" s="115">
        <v>0.00196759259259259</v>
      </c>
      <c r="K542" s="114">
        <v>41.09</v>
      </c>
      <c r="L542" s="114">
        <v>15</v>
      </c>
      <c r="M542" s="114">
        <v>3246496</v>
      </c>
      <c r="N542" s="114">
        <v>7.69</v>
      </c>
      <c r="O542" s="114">
        <v>255714</v>
      </c>
      <c r="P542" s="114">
        <v>180897</v>
      </c>
      <c r="Q542" s="114">
        <v>74817</v>
      </c>
      <c r="R542" s="114">
        <v>74817</v>
      </c>
      <c r="S542" s="114">
        <v>0</v>
      </c>
      <c r="T542" s="114">
        <v>1624</v>
      </c>
      <c r="U542" s="114">
        <v>1857</v>
      </c>
      <c r="V542" s="114">
        <v>813</v>
      </c>
      <c r="W542" s="114">
        <v>-7</v>
      </c>
      <c r="X542" s="114">
        <v>321</v>
      </c>
      <c r="Y542" s="114">
        <v>183</v>
      </c>
      <c r="Z542" s="114">
        <v>1137082.701</v>
      </c>
      <c r="AA542" s="114">
        <v>0</v>
      </c>
      <c r="AB542" s="114">
        <v>0</v>
      </c>
      <c r="AC542" s="114">
        <v>22401.492</v>
      </c>
      <c r="AD542" s="114">
        <v>1112704.975</v>
      </c>
      <c r="AE542" s="114">
        <v>2024464.82</v>
      </c>
      <c r="AF542" s="114">
        <v>227818</v>
      </c>
      <c r="AG542" s="114">
        <v>8886.325</v>
      </c>
      <c r="AH542" s="114">
        <v>202013</v>
      </c>
      <c r="AI542" s="114">
        <v>3183.091</v>
      </c>
      <c r="AJ542" s="114">
        <v>0</v>
      </c>
      <c r="AK542" s="114">
        <v>0</v>
      </c>
      <c r="AL542" s="114">
        <v>0</v>
      </c>
      <c r="AM542" s="114">
        <v>0</v>
      </c>
      <c r="AN542" s="114">
        <v>5053</v>
      </c>
      <c r="AO542" s="114">
        <v>223.4748</v>
      </c>
      <c r="AP542" s="114">
        <v>3.9508</v>
      </c>
      <c r="AQ542" s="114">
        <v>9</v>
      </c>
      <c r="AR542" s="114">
        <v>1</v>
      </c>
      <c r="AS542" s="114">
        <v>16</v>
      </c>
      <c r="AT542" s="114"/>
      <c r="AU542" s="114">
        <v>12</v>
      </c>
      <c r="AV542" s="114">
        <v>2</v>
      </c>
      <c r="AW542" s="114">
        <v>0.0331</v>
      </c>
      <c r="AX542" s="114">
        <v>0</v>
      </c>
      <c r="AY542" s="114">
        <v>0</v>
      </c>
      <c r="AZ542" s="114">
        <v>8695</v>
      </c>
      <c r="BA542" s="114">
        <v>101601</v>
      </c>
      <c r="BB542" s="116"/>
      <c r="BC542" s="116"/>
      <c r="BD542" s="116"/>
      <c r="BE542" s="116"/>
      <c r="BF542" s="116"/>
      <c r="BG542" s="116"/>
      <c r="BH542" s="116"/>
      <c r="BI542" s="116"/>
      <c r="BJ542" s="117">
        <v>2076716</v>
      </c>
      <c r="BK542" s="133">
        <v>-233</v>
      </c>
      <c r="BL542" s="119"/>
      <c r="BM542" s="118">
        <v>0</v>
      </c>
      <c r="BN542" s="131"/>
      <c r="BO542" s="119"/>
      <c r="BP542" s="119"/>
      <c r="BQ542" s="119"/>
      <c r="BR542" s="119"/>
      <c r="BS542" s="119"/>
      <c r="BT542" s="119"/>
      <c r="BU542" s="119"/>
      <c r="BV542" s="119"/>
      <c r="BW542" s="119"/>
      <c r="BX542" s="119"/>
    </row>
    <row r="543" s="96" customFormat="1" ht="15.75" customHeight="1" spans="1:76">
      <c r="A543" s="111">
        <v>542</v>
      </c>
      <c r="B543" s="112" t="s">
        <v>53</v>
      </c>
      <c r="C543" s="112" t="s">
        <v>141</v>
      </c>
      <c r="D543" s="111">
        <v>2024</v>
      </c>
      <c r="E543" s="113" t="s">
        <v>33</v>
      </c>
      <c r="F543" s="114">
        <v>236351</v>
      </c>
      <c r="G543" s="114">
        <v>236351</v>
      </c>
      <c r="H543" s="114">
        <v>11658.265</v>
      </c>
      <c r="I543" s="114">
        <v>-417</v>
      </c>
      <c r="J543" s="115">
        <v>0.00204861111111111</v>
      </c>
      <c r="K543" s="114">
        <v>42.42</v>
      </c>
      <c r="L543" s="114">
        <v>4</v>
      </c>
      <c r="M543" s="114">
        <v>2307152</v>
      </c>
      <c r="N543" s="114">
        <v>7.34</v>
      </c>
      <c r="O543" s="114">
        <v>170673</v>
      </c>
      <c r="P543" s="114">
        <v>121569</v>
      </c>
      <c r="Q543" s="114">
        <v>48851</v>
      </c>
      <c r="R543" s="114">
        <v>48851</v>
      </c>
      <c r="S543" s="114">
        <v>0</v>
      </c>
      <c r="T543" s="114">
        <v>1209</v>
      </c>
      <c r="U543" s="114">
        <v>1626</v>
      </c>
      <c r="V543" s="114">
        <v>-16</v>
      </c>
      <c r="W543" s="114">
        <v>-94</v>
      </c>
      <c r="X543" s="114">
        <v>243</v>
      </c>
      <c r="Y543" s="114">
        <v>136</v>
      </c>
      <c r="Z543" s="114">
        <v>847333.23</v>
      </c>
      <c r="AA543" s="114">
        <v>0</v>
      </c>
      <c r="AB543" s="114">
        <v>0</v>
      </c>
      <c r="AC543" s="114">
        <v>18165.583</v>
      </c>
      <c r="AD543" s="114">
        <v>828674.95</v>
      </c>
      <c r="AE543" s="114">
        <v>1506668.151</v>
      </c>
      <c r="AF543" s="114">
        <v>176958</v>
      </c>
      <c r="AG543" s="114">
        <v>8514.27</v>
      </c>
      <c r="AH543" s="114">
        <v>154208</v>
      </c>
      <c r="AI543" s="114">
        <v>3585.063</v>
      </c>
      <c r="AJ543" s="114">
        <v>0</v>
      </c>
      <c r="AK543" s="114">
        <v>0</v>
      </c>
      <c r="AL543" s="114">
        <v>0</v>
      </c>
      <c r="AM543" s="114">
        <v>0</v>
      </c>
      <c r="AN543" s="114">
        <v>3421</v>
      </c>
      <c r="AO543" s="114">
        <v>168.9954</v>
      </c>
      <c r="AP543" s="114"/>
      <c r="AQ543" s="114">
        <v>11</v>
      </c>
      <c r="AR543" s="114"/>
      <c r="AS543" s="114"/>
      <c r="AT543" s="114"/>
      <c r="AU543" s="114">
        <v>6</v>
      </c>
      <c r="AV543" s="114">
        <v>0</v>
      </c>
      <c r="AW543" s="114">
        <v>0</v>
      </c>
      <c r="AX543" s="114">
        <v>0</v>
      </c>
      <c r="AY543" s="114">
        <v>0</v>
      </c>
      <c r="AZ543" s="114">
        <v>5735</v>
      </c>
      <c r="BA543" s="114">
        <v>68955</v>
      </c>
      <c r="BB543" s="116"/>
      <c r="BC543" s="116"/>
      <c r="BD543" s="116"/>
      <c r="BE543" s="116"/>
      <c r="BF543" s="116"/>
      <c r="BG543" s="116"/>
      <c r="BH543" s="116"/>
      <c r="BI543" s="116"/>
      <c r="BJ543" s="117">
        <v>2076299</v>
      </c>
      <c r="BK543" s="133">
        <v>-417</v>
      </c>
      <c r="BL543" s="119"/>
      <c r="BM543" s="118">
        <v>0</v>
      </c>
      <c r="BN543" s="131"/>
      <c r="BO543" s="119"/>
      <c r="BP543" s="119"/>
      <c r="BQ543" s="119"/>
      <c r="BR543" s="119"/>
      <c r="BS543" s="119"/>
      <c r="BT543" s="119"/>
      <c r="BU543" s="119"/>
      <c r="BV543" s="119"/>
      <c r="BW543" s="119"/>
      <c r="BX543" s="119"/>
    </row>
    <row r="544" s="96" customFormat="1" ht="15.75" customHeight="1" spans="1:76">
      <c r="A544" s="111">
        <v>543</v>
      </c>
      <c r="B544" s="112" t="s">
        <v>53</v>
      </c>
      <c r="C544" s="112" t="s">
        <v>141</v>
      </c>
      <c r="D544" s="111">
        <v>2024</v>
      </c>
      <c r="E544" s="113" t="s">
        <v>34</v>
      </c>
      <c r="F544" s="114">
        <v>396977</v>
      </c>
      <c r="G544" s="114">
        <v>396977</v>
      </c>
      <c r="H544" s="114">
        <v>24814.1371</v>
      </c>
      <c r="I544" s="114">
        <v>241</v>
      </c>
      <c r="J544" s="115">
        <v>0.00260416666666667</v>
      </c>
      <c r="K544" s="114">
        <v>41.45</v>
      </c>
      <c r="L544" s="114">
        <v>13</v>
      </c>
      <c r="M544" s="114">
        <v>3892224</v>
      </c>
      <c r="N544" s="114">
        <v>7.49</v>
      </c>
      <c r="O544" s="114">
        <v>252796</v>
      </c>
      <c r="P544" s="114">
        <v>189059</v>
      </c>
      <c r="Q544" s="114">
        <v>63737</v>
      </c>
      <c r="R544" s="114">
        <v>63737</v>
      </c>
      <c r="S544" s="114">
        <v>0</v>
      </c>
      <c r="T544" s="114">
        <v>2026</v>
      </c>
      <c r="U544" s="114">
        <v>1785</v>
      </c>
      <c r="V544" s="114">
        <v>1051</v>
      </c>
      <c r="W544" s="114">
        <v>1</v>
      </c>
      <c r="X544" s="114">
        <v>418</v>
      </c>
      <c r="Y544" s="114">
        <v>247</v>
      </c>
      <c r="Z544" s="114">
        <v>2215682.019</v>
      </c>
      <c r="AA544" s="114">
        <v>0</v>
      </c>
      <c r="AB544" s="114">
        <v>0</v>
      </c>
      <c r="AC544" s="114">
        <v>29006.317</v>
      </c>
      <c r="AD544" s="114">
        <v>2185772.593</v>
      </c>
      <c r="AE544" s="114">
        <v>3975901.881</v>
      </c>
      <c r="AF544" s="114">
        <v>414024</v>
      </c>
      <c r="AG544" s="114">
        <v>9603.071</v>
      </c>
      <c r="AH544" s="114">
        <v>339981</v>
      </c>
      <c r="AI544" s="114">
        <v>5581.386</v>
      </c>
      <c r="AJ544" s="114">
        <v>0</v>
      </c>
      <c r="AK544" s="114">
        <v>0</v>
      </c>
      <c r="AL544" s="114">
        <v>0</v>
      </c>
      <c r="AM544" s="114">
        <v>0</v>
      </c>
      <c r="AN544" s="114">
        <v>5381</v>
      </c>
      <c r="AO544" s="114">
        <v>314.2399</v>
      </c>
      <c r="AP544" s="114">
        <v>7.2769</v>
      </c>
      <c r="AQ544" s="114">
        <v>26</v>
      </c>
      <c r="AR544" s="114">
        <v>1</v>
      </c>
      <c r="AS544" s="114">
        <v>21</v>
      </c>
      <c r="AT544" s="114"/>
      <c r="AU544" s="114">
        <v>64</v>
      </c>
      <c r="AV544" s="114">
        <v>2</v>
      </c>
      <c r="AW544" s="114">
        <v>0.1199</v>
      </c>
      <c r="AX544" s="114">
        <v>0</v>
      </c>
      <c r="AY544" s="114">
        <v>0</v>
      </c>
      <c r="AZ544" s="114">
        <v>12369</v>
      </c>
      <c r="BA544" s="114">
        <v>160810</v>
      </c>
      <c r="BB544" s="116"/>
      <c r="BC544" s="116"/>
      <c r="BD544" s="116"/>
      <c r="BE544" s="116"/>
      <c r="BF544" s="116"/>
      <c r="BG544" s="116"/>
      <c r="BH544" s="116"/>
      <c r="BI544" s="116"/>
      <c r="BJ544" s="117">
        <v>2076540</v>
      </c>
      <c r="BK544" s="133">
        <v>241</v>
      </c>
      <c r="BL544" s="119"/>
      <c r="BM544" s="118">
        <v>0</v>
      </c>
      <c r="BN544" s="131"/>
      <c r="BO544" s="119"/>
      <c r="BP544" s="119"/>
      <c r="BQ544" s="119"/>
      <c r="BR544" s="119"/>
      <c r="BS544" s="119"/>
      <c r="BT544" s="119"/>
      <c r="BU544" s="119"/>
      <c r="BV544" s="119"/>
      <c r="BW544" s="119"/>
      <c r="BX544" s="119"/>
    </row>
    <row r="545" s="96" customFormat="1" ht="15.75" customHeight="1" spans="1:76">
      <c r="A545" s="111">
        <v>544</v>
      </c>
      <c r="B545" s="112" t="s">
        <v>53</v>
      </c>
      <c r="C545" s="112" t="s">
        <v>141</v>
      </c>
      <c r="D545" s="111">
        <v>2024</v>
      </c>
      <c r="E545" s="113" t="s">
        <v>35</v>
      </c>
      <c r="F545" s="114">
        <v>739744</v>
      </c>
      <c r="G545" s="114">
        <v>739744</v>
      </c>
      <c r="H545" s="114">
        <v>39916.7601</v>
      </c>
      <c r="I545" s="114">
        <v>1591</v>
      </c>
      <c r="J545" s="115">
        <v>0.00224537037037037</v>
      </c>
      <c r="K545" s="114">
        <v>38.93</v>
      </c>
      <c r="L545" s="114">
        <v>45</v>
      </c>
      <c r="M545" s="114">
        <v>7526374</v>
      </c>
      <c r="N545" s="114">
        <v>7.86</v>
      </c>
      <c r="O545" s="114">
        <v>530315</v>
      </c>
      <c r="P545" s="114">
        <v>398545</v>
      </c>
      <c r="Q545" s="114">
        <v>131770</v>
      </c>
      <c r="R545" s="114">
        <v>131770</v>
      </c>
      <c r="S545" s="114">
        <v>0</v>
      </c>
      <c r="T545" s="114">
        <v>3490</v>
      </c>
      <c r="U545" s="114">
        <v>1899</v>
      </c>
      <c r="V545" s="114">
        <v>4363</v>
      </c>
      <c r="W545" s="114">
        <v>115</v>
      </c>
      <c r="X545" s="114">
        <v>620</v>
      </c>
      <c r="Y545" s="114">
        <v>612</v>
      </c>
      <c r="Z545" s="114">
        <v>2908617.381</v>
      </c>
      <c r="AA545" s="114">
        <v>0</v>
      </c>
      <c r="AB545" s="114">
        <v>0</v>
      </c>
      <c r="AC545" s="114">
        <v>66531.33</v>
      </c>
      <c r="AD545" s="114">
        <v>2841555.997</v>
      </c>
      <c r="AE545" s="114">
        <v>5166470.056</v>
      </c>
      <c r="AF545" s="114">
        <v>560127</v>
      </c>
      <c r="AG545" s="114">
        <v>9223.748</v>
      </c>
      <c r="AH545" s="114">
        <v>482680</v>
      </c>
      <c r="AI545" s="114">
        <v>3931.927</v>
      </c>
      <c r="AJ545" s="114">
        <v>0</v>
      </c>
      <c r="AK545" s="114">
        <v>0</v>
      </c>
      <c r="AL545" s="114">
        <v>0</v>
      </c>
      <c r="AM545" s="114">
        <v>0</v>
      </c>
      <c r="AN545" s="114">
        <v>9789</v>
      </c>
      <c r="AO545" s="114">
        <v>584.1839</v>
      </c>
      <c r="AP545" s="114">
        <v>0.8875</v>
      </c>
      <c r="AQ545" s="114">
        <v>0</v>
      </c>
      <c r="AR545" s="114">
        <v>0</v>
      </c>
      <c r="AS545" s="114">
        <v>0</v>
      </c>
      <c r="AT545" s="114"/>
      <c r="AU545" s="114">
        <v>27</v>
      </c>
      <c r="AV545" s="114">
        <v>0</v>
      </c>
      <c r="AW545" s="114">
        <v>0</v>
      </c>
      <c r="AX545" s="114">
        <v>0</v>
      </c>
      <c r="AY545" s="114">
        <v>0</v>
      </c>
      <c r="AZ545" s="114">
        <v>12818</v>
      </c>
      <c r="BA545" s="114">
        <v>171552</v>
      </c>
      <c r="BB545" s="116"/>
      <c r="BC545" s="116"/>
      <c r="BD545" s="116"/>
      <c r="BE545" s="116"/>
      <c r="BF545" s="116"/>
      <c r="BG545" s="116"/>
      <c r="BH545" s="116"/>
      <c r="BI545" s="116"/>
      <c r="BJ545" s="117">
        <v>2078131</v>
      </c>
      <c r="BK545" s="117">
        <v>1591</v>
      </c>
      <c r="BL545" s="119"/>
      <c r="BM545" s="118">
        <v>0</v>
      </c>
      <c r="BN545" s="131"/>
      <c r="BO545" s="119"/>
      <c r="BP545" s="119"/>
      <c r="BQ545" s="119"/>
      <c r="BR545" s="119"/>
      <c r="BS545" s="119"/>
      <c r="BT545" s="119"/>
      <c r="BU545" s="119"/>
      <c r="BV545" s="119"/>
      <c r="BW545" s="119"/>
      <c r="BX545" s="119"/>
    </row>
    <row r="546" s="96" customFormat="1" ht="15.75" customHeight="1" spans="1:76">
      <c r="A546" s="111">
        <v>545</v>
      </c>
      <c r="B546" s="112" t="s">
        <v>53</v>
      </c>
      <c r="C546" s="112" t="s">
        <v>141</v>
      </c>
      <c r="D546" s="111">
        <v>2024</v>
      </c>
      <c r="E546" s="113" t="s">
        <v>36</v>
      </c>
      <c r="F546" s="114">
        <v>689801</v>
      </c>
      <c r="G546" s="114">
        <v>689801</v>
      </c>
      <c r="H546" s="114">
        <v>37791.8173</v>
      </c>
      <c r="I546" s="114">
        <v>627</v>
      </c>
      <c r="J546" s="115">
        <v>0.00228009259259259</v>
      </c>
      <c r="K546" s="114">
        <v>31.21</v>
      </c>
      <c r="L546" s="114">
        <v>77</v>
      </c>
      <c r="M546" s="114">
        <v>7374745</v>
      </c>
      <c r="N546" s="114">
        <v>7.5</v>
      </c>
      <c r="O546" s="114">
        <v>465276</v>
      </c>
      <c r="P546" s="114">
        <v>329740</v>
      </c>
      <c r="Q546" s="114">
        <v>135536</v>
      </c>
      <c r="R546" s="114">
        <v>135536</v>
      </c>
      <c r="S546" s="114">
        <v>0</v>
      </c>
      <c r="T546" s="114">
        <v>2860</v>
      </c>
      <c r="U546" s="114">
        <v>2233</v>
      </c>
      <c r="V546" s="114">
        <v>3507</v>
      </c>
      <c r="W546" s="114">
        <v>23</v>
      </c>
      <c r="X546" s="114">
        <v>575</v>
      </c>
      <c r="Y546" s="114">
        <v>608</v>
      </c>
      <c r="Z546" s="114">
        <v>2952804.969</v>
      </c>
      <c r="AA546" s="114">
        <v>0</v>
      </c>
      <c r="AB546" s="114">
        <v>0</v>
      </c>
      <c r="AC546" s="114">
        <v>59619.361</v>
      </c>
      <c r="AD546" s="114">
        <v>2892630.311</v>
      </c>
      <c r="AE546" s="114">
        <v>5259644.26</v>
      </c>
      <c r="AF546" s="114">
        <v>494975</v>
      </c>
      <c r="AG546" s="114">
        <v>10626.081</v>
      </c>
      <c r="AH546" s="114">
        <v>427292</v>
      </c>
      <c r="AI546" s="114">
        <v>4280.664</v>
      </c>
      <c r="AJ546" s="114">
        <v>0</v>
      </c>
      <c r="AK546" s="114">
        <v>0</v>
      </c>
      <c r="AL546" s="114">
        <v>0</v>
      </c>
      <c r="AM546" s="114">
        <v>0</v>
      </c>
      <c r="AN546" s="114">
        <v>9297</v>
      </c>
      <c r="AO546" s="114">
        <v>555.5532</v>
      </c>
      <c r="AP546" s="114">
        <v>4.9367</v>
      </c>
      <c r="AQ546" s="114">
        <v>28</v>
      </c>
      <c r="AR546" s="114">
        <v>1</v>
      </c>
      <c r="AS546" s="114">
        <v>0</v>
      </c>
      <c r="AT546" s="114">
        <v>4</v>
      </c>
      <c r="AU546" s="114">
        <v>54537</v>
      </c>
      <c r="AV546" s="114">
        <v>4</v>
      </c>
      <c r="AW546" s="114">
        <v>0.071</v>
      </c>
      <c r="AX546" s="114">
        <v>0</v>
      </c>
      <c r="AY546" s="114">
        <v>0</v>
      </c>
      <c r="AZ546" s="114">
        <v>13797</v>
      </c>
      <c r="BA546" s="114">
        <v>182796</v>
      </c>
      <c r="BB546" s="116"/>
      <c r="BC546" s="116"/>
      <c r="BD546" s="116"/>
      <c r="BE546" s="116"/>
      <c r="BF546" s="116"/>
      <c r="BG546" s="116"/>
      <c r="BH546" s="116"/>
      <c r="BI546" s="116"/>
      <c r="BJ546" s="117">
        <v>2078758</v>
      </c>
      <c r="BK546" s="133">
        <v>627</v>
      </c>
      <c r="BL546" s="119"/>
      <c r="BM546" s="118">
        <v>0</v>
      </c>
      <c r="BN546" s="131"/>
      <c r="BO546" s="119"/>
      <c r="BP546" s="119"/>
      <c r="BQ546" s="119"/>
      <c r="BR546" s="119"/>
      <c r="BS546" s="119"/>
      <c r="BT546" s="119"/>
      <c r="BU546" s="119"/>
      <c r="BV546" s="119"/>
      <c r="BW546" s="119"/>
      <c r="BX546" s="119"/>
    </row>
    <row r="547" s="96" customFormat="1" ht="15.75" customHeight="1" spans="1:76">
      <c r="A547" s="111">
        <v>546</v>
      </c>
      <c r="B547" s="112" t="s">
        <v>53</v>
      </c>
      <c r="C547" s="112" t="s">
        <v>141</v>
      </c>
      <c r="D547" s="111">
        <v>2024</v>
      </c>
      <c r="E547" s="113" t="s">
        <v>37</v>
      </c>
      <c r="F547" s="114">
        <v>695356</v>
      </c>
      <c r="G547" s="114">
        <v>695356</v>
      </c>
      <c r="H547" s="114">
        <v>38676.4188</v>
      </c>
      <c r="I547" s="114">
        <v>818</v>
      </c>
      <c r="J547" s="115">
        <v>0.00231481481481481</v>
      </c>
      <c r="K547" s="114">
        <v>36.13</v>
      </c>
      <c r="L547" s="114">
        <v>52</v>
      </c>
      <c r="M547" s="114">
        <v>6952355</v>
      </c>
      <c r="N547" s="114">
        <v>7.9</v>
      </c>
      <c r="O547" s="114">
        <v>460082</v>
      </c>
      <c r="P547" s="114">
        <v>319861</v>
      </c>
      <c r="Q547" s="114">
        <v>140221</v>
      </c>
      <c r="R547" s="114">
        <v>140221</v>
      </c>
      <c r="S547" s="114">
        <v>0</v>
      </c>
      <c r="T547" s="114">
        <v>2873</v>
      </c>
      <c r="U547" s="114">
        <v>2055</v>
      </c>
      <c r="V547" s="114">
        <v>3278</v>
      </c>
      <c r="W547" s="114">
        <v>112</v>
      </c>
      <c r="X547" s="114">
        <v>557</v>
      </c>
      <c r="Y547" s="114">
        <v>651</v>
      </c>
      <c r="Z547" s="114">
        <v>3142537.874</v>
      </c>
      <c r="AA547" s="114">
        <v>0</v>
      </c>
      <c r="AB547" s="114">
        <v>0</v>
      </c>
      <c r="AC547" s="114">
        <v>61390.209</v>
      </c>
      <c r="AD547" s="114">
        <v>3080244.292</v>
      </c>
      <c r="AE547" s="114">
        <v>5600445.875</v>
      </c>
      <c r="AF547" s="114">
        <v>540651</v>
      </c>
      <c r="AG547" s="114">
        <v>10358.708</v>
      </c>
      <c r="AH547" s="114">
        <v>473204</v>
      </c>
      <c r="AI547" s="114">
        <v>4519.323</v>
      </c>
      <c r="AJ547" s="114">
        <v>0</v>
      </c>
      <c r="AK547" s="114">
        <v>0</v>
      </c>
      <c r="AL547" s="114">
        <v>0</v>
      </c>
      <c r="AM547" s="114">
        <v>0</v>
      </c>
      <c r="AN547" s="114">
        <v>9027</v>
      </c>
      <c r="AO547" s="114">
        <v>525.6769</v>
      </c>
      <c r="AP547" s="114">
        <v>3.6641</v>
      </c>
      <c r="AQ547" s="114">
        <v>14</v>
      </c>
      <c r="AR547" s="114">
        <v>7</v>
      </c>
      <c r="AS547" s="114">
        <v>7</v>
      </c>
      <c r="AT547" s="114"/>
      <c r="AU547" s="114">
        <v>30768</v>
      </c>
      <c r="AV547" s="114">
        <v>16</v>
      </c>
      <c r="AW547" s="114">
        <v>0.1459</v>
      </c>
      <c r="AX547" s="114">
        <v>0</v>
      </c>
      <c r="AY547" s="114">
        <v>0</v>
      </c>
      <c r="AZ547" s="114">
        <v>23863</v>
      </c>
      <c r="BA547" s="114">
        <v>262914</v>
      </c>
      <c r="BB547" s="116"/>
      <c r="BC547" s="116"/>
      <c r="BD547" s="116"/>
      <c r="BE547" s="116"/>
      <c r="BF547" s="116"/>
      <c r="BG547" s="116"/>
      <c r="BH547" s="116"/>
      <c r="BI547" s="116"/>
      <c r="BJ547" s="117">
        <v>2079576</v>
      </c>
      <c r="BK547" s="133">
        <v>818</v>
      </c>
      <c r="BL547" s="119"/>
      <c r="BM547" s="118">
        <v>0</v>
      </c>
      <c r="BN547" s="131"/>
      <c r="BO547" s="119"/>
      <c r="BP547" s="119"/>
      <c r="BQ547" s="119"/>
      <c r="BR547" s="119"/>
      <c r="BS547" s="119"/>
      <c r="BT547" s="119"/>
      <c r="BU547" s="119"/>
      <c r="BV547" s="119"/>
      <c r="BW547" s="119"/>
      <c r="BX547" s="119"/>
    </row>
    <row r="548" s="96" customFormat="1" ht="15.75" customHeight="1" spans="1:76">
      <c r="A548" s="111">
        <v>547</v>
      </c>
      <c r="B548" s="112" t="s">
        <v>53</v>
      </c>
      <c r="C548" s="112" t="s">
        <v>141</v>
      </c>
      <c r="D548" s="111">
        <v>2024</v>
      </c>
      <c r="E548" s="113" t="s">
        <v>38</v>
      </c>
      <c r="F548" s="114">
        <v>752572</v>
      </c>
      <c r="G548" s="114">
        <v>752572</v>
      </c>
      <c r="H548" s="114">
        <v>44773.7896</v>
      </c>
      <c r="I548" s="114">
        <v>1189</v>
      </c>
      <c r="J548" s="115">
        <v>0.00247685185185185</v>
      </c>
      <c r="K548" s="114">
        <v>31.9</v>
      </c>
      <c r="L548" s="114">
        <v>23</v>
      </c>
      <c r="M548" s="114">
        <v>7197600</v>
      </c>
      <c r="N548" s="114">
        <v>8.62</v>
      </c>
      <c r="O548" s="114">
        <v>523208</v>
      </c>
      <c r="P548" s="114">
        <v>376992</v>
      </c>
      <c r="Q548" s="114">
        <v>146216</v>
      </c>
      <c r="R548" s="114">
        <v>146216</v>
      </c>
      <c r="S548" s="114">
        <v>0</v>
      </c>
      <c r="T548" s="114">
        <v>3411</v>
      </c>
      <c r="U548" s="114">
        <v>2222</v>
      </c>
      <c r="V548" s="114">
        <v>3537</v>
      </c>
      <c r="W548" s="114">
        <v>39</v>
      </c>
      <c r="X548" s="114">
        <v>568</v>
      </c>
      <c r="Y548" s="114">
        <v>895</v>
      </c>
      <c r="Z548" s="114">
        <v>2887787.474</v>
      </c>
      <c r="AA548" s="114">
        <v>0</v>
      </c>
      <c r="AB548" s="114">
        <v>0</v>
      </c>
      <c r="AC548" s="114">
        <v>54130.989</v>
      </c>
      <c r="AD548" s="114">
        <v>2832598.595</v>
      </c>
      <c r="AE548" s="114">
        <v>5150179.783</v>
      </c>
      <c r="AF548" s="114">
        <v>557855</v>
      </c>
      <c r="AG548" s="114">
        <v>9232.112</v>
      </c>
      <c r="AH548" s="114">
        <v>485216</v>
      </c>
      <c r="AI548" s="114">
        <v>3837.224</v>
      </c>
      <c r="AJ548" s="114">
        <v>0</v>
      </c>
      <c r="AK548" s="114">
        <v>0</v>
      </c>
      <c r="AL548" s="114">
        <v>0</v>
      </c>
      <c r="AM548" s="114">
        <v>0</v>
      </c>
      <c r="AN548" s="114">
        <v>8062</v>
      </c>
      <c r="AO548" s="114">
        <v>519.076</v>
      </c>
      <c r="AP548" s="114"/>
      <c r="AQ548" s="114">
        <v>0</v>
      </c>
      <c r="AR548" s="114"/>
      <c r="AS548" s="114"/>
      <c r="AT548" s="114"/>
      <c r="AU548" s="114">
        <v>9545</v>
      </c>
      <c r="AV548" s="114">
        <v>2</v>
      </c>
      <c r="AW548" s="114">
        <v>0.0222</v>
      </c>
      <c r="AX548" s="114">
        <v>0</v>
      </c>
      <c r="AY548" s="114">
        <v>40</v>
      </c>
      <c r="AZ548" s="114">
        <v>15166</v>
      </c>
      <c r="BA548" s="114">
        <v>257578</v>
      </c>
      <c r="BB548" s="116"/>
      <c r="BC548" s="116"/>
      <c r="BD548" s="116"/>
      <c r="BE548" s="116"/>
      <c r="BF548" s="116"/>
      <c r="BG548" s="116"/>
      <c r="BH548" s="116"/>
      <c r="BI548" s="116"/>
      <c r="BJ548" s="117">
        <v>2080765</v>
      </c>
      <c r="BK548" s="117">
        <v>1189</v>
      </c>
      <c r="BL548" s="119"/>
      <c r="BM548" s="118">
        <v>0</v>
      </c>
      <c r="BN548" s="131"/>
      <c r="BO548" s="119"/>
      <c r="BP548" s="119"/>
      <c r="BQ548" s="119"/>
      <c r="BR548" s="119"/>
      <c r="BS548" s="119"/>
      <c r="BT548" s="119"/>
      <c r="BU548" s="119"/>
      <c r="BV548" s="119"/>
      <c r="BW548" s="119"/>
      <c r="BX548" s="119"/>
    </row>
    <row r="549" s="96" customFormat="1" ht="15.75" customHeight="1" spans="1:76">
      <c r="A549" s="111">
        <v>548</v>
      </c>
      <c r="B549" s="112" t="s">
        <v>53</v>
      </c>
      <c r="C549" s="112" t="s">
        <v>141</v>
      </c>
      <c r="D549" s="111">
        <v>2024</v>
      </c>
      <c r="E549" s="113" t="s">
        <v>39</v>
      </c>
      <c r="F549" s="114">
        <v>346598</v>
      </c>
      <c r="G549" s="114">
        <v>346598</v>
      </c>
      <c r="H549" s="114">
        <v>18938.54</v>
      </c>
      <c r="I549" s="114">
        <v>-468</v>
      </c>
      <c r="J549" s="115">
        <v>0.00226851851851852</v>
      </c>
      <c r="K549" s="114">
        <v>36.22</v>
      </c>
      <c r="L549" s="114">
        <v>22</v>
      </c>
      <c r="M549" s="114">
        <v>3352383</v>
      </c>
      <c r="N549" s="114">
        <v>8.23</v>
      </c>
      <c r="O549" s="114">
        <v>226554</v>
      </c>
      <c r="P549" s="114">
        <v>154838</v>
      </c>
      <c r="Q549" s="114">
        <v>71716</v>
      </c>
      <c r="R549" s="114">
        <v>71716</v>
      </c>
      <c r="S549" s="114">
        <v>0</v>
      </c>
      <c r="T549" s="114">
        <v>1673</v>
      </c>
      <c r="U549" s="114">
        <v>2141</v>
      </c>
      <c r="V549" s="114">
        <v>369</v>
      </c>
      <c r="W549" s="114">
        <v>-54</v>
      </c>
      <c r="X549" s="114">
        <v>233</v>
      </c>
      <c r="Y549" s="114">
        <v>204</v>
      </c>
      <c r="Z549" s="114">
        <v>1395925.642</v>
      </c>
      <c r="AA549" s="114">
        <v>0</v>
      </c>
      <c r="AB549" s="114">
        <v>0</v>
      </c>
      <c r="AC549" s="114">
        <v>21574.062</v>
      </c>
      <c r="AD549" s="114">
        <v>1373312.619</v>
      </c>
      <c r="AE549" s="114">
        <v>2496931.211</v>
      </c>
      <c r="AF549" s="114">
        <v>276402</v>
      </c>
      <c r="AG549" s="114">
        <v>9033.694</v>
      </c>
      <c r="AH549" s="114">
        <v>243933</v>
      </c>
      <c r="AI549" s="114">
        <v>4027.507</v>
      </c>
      <c r="AJ549" s="114">
        <v>0</v>
      </c>
      <c r="AK549" s="114">
        <v>0</v>
      </c>
      <c r="AL549" s="114">
        <v>0</v>
      </c>
      <c r="AM549" s="114">
        <v>0</v>
      </c>
      <c r="AN549" s="114">
        <v>4026</v>
      </c>
      <c r="AO549" s="114">
        <v>214.1685</v>
      </c>
      <c r="AP549" s="114"/>
      <c r="AQ549" s="114">
        <v>0</v>
      </c>
      <c r="AR549" s="114"/>
      <c r="AS549" s="114"/>
      <c r="AT549" s="114"/>
      <c r="AU549" s="114">
        <v>71</v>
      </c>
      <c r="AV549" s="114">
        <v>0</v>
      </c>
      <c r="AW549" s="114">
        <v>0</v>
      </c>
      <c r="AX549" s="114">
        <v>8</v>
      </c>
      <c r="AY549" s="114">
        <v>266</v>
      </c>
      <c r="AZ549" s="114">
        <v>8671</v>
      </c>
      <c r="BA549" s="114">
        <v>119428</v>
      </c>
      <c r="BB549" s="116"/>
      <c r="BC549" s="116"/>
      <c r="BD549" s="116"/>
      <c r="BE549" s="116"/>
      <c r="BF549" s="116"/>
      <c r="BG549" s="116"/>
      <c r="BH549" s="116"/>
      <c r="BI549" s="116"/>
      <c r="BJ549" s="117">
        <v>2080297</v>
      </c>
      <c r="BK549" s="133">
        <v>-468</v>
      </c>
      <c r="BL549" s="119"/>
      <c r="BM549" s="118">
        <v>0</v>
      </c>
      <c r="BN549" s="131"/>
      <c r="BO549" s="119"/>
      <c r="BP549" s="119"/>
      <c r="BQ549" s="119"/>
      <c r="BR549" s="119"/>
      <c r="BS549" s="119"/>
      <c r="BT549" s="119"/>
      <c r="BU549" s="119"/>
      <c r="BV549" s="119"/>
      <c r="BW549" s="119"/>
      <c r="BX549" s="119"/>
    </row>
    <row r="550" s="96" customFormat="1" ht="15.75" customHeight="1" spans="1:76">
      <c r="A550" s="111">
        <v>549</v>
      </c>
      <c r="B550" s="112" t="s">
        <v>53</v>
      </c>
      <c r="C550" s="112" t="s">
        <v>141</v>
      </c>
      <c r="D550" s="111">
        <v>2024</v>
      </c>
      <c r="E550" s="113" t="s">
        <v>40</v>
      </c>
      <c r="F550" s="114">
        <v>747838</v>
      </c>
      <c r="G550" s="114">
        <v>747838</v>
      </c>
      <c r="H550" s="114">
        <v>36255.9844</v>
      </c>
      <c r="I550" s="114">
        <v>1201</v>
      </c>
      <c r="J550" s="115">
        <v>0.00201388888888889</v>
      </c>
      <c r="K550" s="114">
        <v>13.72</v>
      </c>
      <c r="L550" s="114">
        <v>83</v>
      </c>
      <c r="M550" s="114">
        <v>7598946</v>
      </c>
      <c r="N550" s="114">
        <v>8.31</v>
      </c>
      <c r="O550" s="114">
        <v>542302</v>
      </c>
      <c r="P550" s="114">
        <v>389125</v>
      </c>
      <c r="Q550" s="114">
        <v>153177</v>
      </c>
      <c r="R550" s="114">
        <v>153177</v>
      </c>
      <c r="S550" s="114">
        <v>0</v>
      </c>
      <c r="T550" s="114">
        <v>3333</v>
      </c>
      <c r="U550" s="114">
        <v>2132</v>
      </c>
      <c r="V550" s="114">
        <v>26325</v>
      </c>
      <c r="W550" s="114">
        <v>281</v>
      </c>
      <c r="X550" s="114">
        <v>1012</v>
      </c>
      <c r="Y550" s="114">
        <v>934</v>
      </c>
      <c r="Z550" s="114">
        <v>9676841.677</v>
      </c>
      <c r="AA550" s="114">
        <v>0</v>
      </c>
      <c r="AB550" s="114">
        <v>0</v>
      </c>
      <c r="AC550" s="114">
        <v>156779.395</v>
      </c>
      <c r="AD550" s="114">
        <v>9519095.571</v>
      </c>
      <c r="AE550" s="114">
        <v>17307445.95</v>
      </c>
      <c r="AF550" s="114">
        <v>745648</v>
      </c>
      <c r="AG550" s="114">
        <v>23211.282</v>
      </c>
      <c r="AH550" s="114">
        <v>531512</v>
      </c>
      <c r="AI550" s="114">
        <v>12939.756</v>
      </c>
      <c r="AJ550" s="114">
        <v>0</v>
      </c>
      <c r="AK550" s="114">
        <v>0</v>
      </c>
      <c r="AL550" s="114">
        <v>0</v>
      </c>
      <c r="AM550" s="114">
        <v>0</v>
      </c>
      <c r="AN550" s="114">
        <v>18228</v>
      </c>
      <c r="AO550" s="114">
        <v>861.4946</v>
      </c>
      <c r="AP550" s="114">
        <v>6.4281</v>
      </c>
      <c r="AQ550" s="114">
        <v>0</v>
      </c>
      <c r="AR550" s="114">
        <v>0</v>
      </c>
      <c r="AS550" s="114">
        <v>6036</v>
      </c>
      <c r="AT550" s="114"/>
      <c r="AU550" s="114">
        <v>125</v>
      </c>
      <c r="AV550" s="114">
        <v>14</v>
      </c>
      <c r="AW550" s="114">
        <v>0.4264</v>
      </c>
      <c r="AX550" s="114">
        <v>1</v>
      </c>
      <c r="AY550" s="114">
        <v>59</v>
      </c>
      <c r="AZ550" s="114">
        <v>6803</v>
      </c>
      <c r="BA550" s="114">
        <v>119254</v>
      </c>
      <c r="BB550" s="116"/>
      <c r="BC550" s="116"/>
      <c r="BD550" s="116"/>
      <c r="BE550" s="116"/>
      <c r="BF550" s="116"/>
      <c r="BG550" s="116"/>
      <c r="BH550" s="116"/>
      <c r="BI550" s="116"/>
      <c r="BJ550" s="117">
        <v>2081498</v>
      </c>
      <c r="BK550" s="117">
        <v>1201</v>
      </c>
      <c r="BL550" s="119"/>
      <c r="BM550" s="118">
        <v>0</v>
      </c>
      <c r="BN550" s="131"/>
      <c r="BO550" s="119"/>
      <c r="BP550" s="119"/>
      <c r="BQ550" s="119"/>
      <c r="BR550" s="119"/>
      <c r="BS550" s="119"/>
      <c r="BT550" s="119"/>
      <c r="BU550" s="119"/>
      <c r="BV550" s="119"/>
      <c r="BW550" s="119"/>
      <c r="BX550" s="119"/>
    </row>
    <row r="551" s="96" customFormat="1" ht="15.75" customHeight="1" spans="1:76">
      <c r="A551" s="111">
        <v>550</v>
      </c>
      <c r="B551" s="112" t="s">
        <v>53</v>
      </c>
      <c r="C551" s="112" t="s">
        <v>141</v>
      </c>
      <c r="D551" s="111">
        <v>2024</v>
      </c>
      <c r="E551" s="113" t="s">
        <v>41</v>
      </c>
      <c r="F551" s="114">
        <v>11443</v>
      </c>
      <c r="G551" s="114">
        <v>11443</v>
      </c>
      <c r="H551" s="114">
        <v>565.7626</v>
      </c>
      <c r="I551" s="114">
        <v>-1440</v>
      </c>
      <c r="J551" s="115">
        <v>0.00204861111111111</v>
      </c>
      <c r="K551" s="114">
        <v>32.54</v>
      </c>
      <c r="L551" s="114">
        <v>13</v>
      </c>
      <c r="M551" s="114">
        <v>133715</v>
      </c>
      <c r="N551" s="114">
        <v>6.16</v>
      </c>
      <c r="O551" s="114">
        <v>8974</v>
      </c>
      <c r="P551" s="114">
        <v>5662</v>
      </c>
      <c r="Q551" s="114">
        <v>3312</v>
      </c>
      <c r="R551" s="114">
        <v>3312</v>
      </c>
      <c r="S551" s="114">
        <v>0</v>
      </c>
      <c r="T551" s="114">
        <v>388</v>
      </c>
      <c r="U551" s="114">
        <v>1828</v>
      </c>
      <c r="V551" s="114">
        <v>12031</v>
      </c>
      <c r="W551" s="114">
        <v>-168</v>
      </c>
      <c r="X551" s="114">
        <v>18</v>
      </c>
      <c r="Y551" s="114">
        <v>6</v>
      </c>
      <c r="Z551" s="114">
        <v>46131.741</v>
      </c>
      <c r="AA551" s="114">
        <v>0</v>
      </c>
      <c r="AB551" s="114">
        <v>0</v>
      </c>
      <c r="AC551" s="114">
        <v>1027.137</v>
      </c>
      <c r="AD551" s="114">
        <v>45101.621</v>
      </c>
      <c r="AE551" s="114">
        <v>82003.031</v>
      </c>
      <c r="AF551" s="114">
        <v>6920</v>
      </c>
      <c r="AG551" s="114">
        <v>11850.149</v>
      </c>
      <c r="AH551" s="114">
        <v>6075</v>
      </c>
      <c r="AI551" s="114">
        <v>4031.449</v>
      </c>
      <c r="AJ551" s="114">
        <v>0</v>
      </c>
      <c r="AK551" s="114">
        <v>0</v>
      </c>
      <c r="AL551" s="114">
        <v>0</v>
      </c>
      <c r="AM551" s="114">
        <v>0</v>
      </c>
      <c r="AN551" s="114">
        <v>170</v>
      </c>
      <c r="AO551" s="114">
        <v>7.995</v>
      </c>
      <c r="AP551" s="114">
        <v>4.8264</v>
      </c>
      <c r="AQ551" s="114">
        <v>2</v>
      </c>
      <c r="AR551" s="114">
        <v>0</v>
      </c>
      <c r="AS551" s="114">
        <v>0</v>
      </c>
      <c r="AT551" s="114"/>
      <c r="AU551" s="114">
        <v>208</v>
      </c>
      <c r="AV551" s="114">
        <v>0</v>
      </c>
      <c r="AW551" s="114">
        <v>0</v>
      </c>
      <c r="AX551" s="114">
        <v>0</v>
      </c>
      <c r="AY551" s="114">
        <v>0</v>
      </c>
      <c r="AZ551" s="114">
        <v>249</v>
      </c>
      <c r="BA551" s="114">
        <v>2475</v>
      </c>
      <c r="BB551" s="116"/>
      <c r="BC551" s="116"/>
      <c r="BD551" s="116"/>
      <c r="BE551" s="116"/>
      <c r="BF551" s="116"/>
      <c r="BG551" s="116"/>
      <c r="BH551" s="116"/>
      <c r="BI551" s="116"/>
      <c r="BJ551" s="117">
        <v>2080058</v>
      </c>
      <c r="BK551" s="117">
        <v>-1440</v>
      </c>
      <c r="BL551" s="119"/>
      <c r="BM551" s="118">
        <v>0</v>
      </c>
      <c r="BN551" s="131"/>
      <c r="BO551" s="119"/>
      <c r="BP551" s="119"/>
      <c r="BQ551" s="119"/>
      <c r="BR551" s="119"/>
      <c r="BS551" s="119"/>
      <c r="BT551" s="119"/>
      <c r="BU551" s="119"/>
      <c r="BV551" s="119"/>
      <c r="BW551" s="119"/>
      <c r="BX551" s="119"/>
    </row>
    <row r="552" s="96" customFormat="1" ht="15.75" customHeight="1" spans="1:76">
      <c r="A552" s="111">
        <v>551</v>
      </c>
      <c r="B552" s="112" t="s">
        <v>53</v>
      </c>
      <c r="C552" s="112" t="s">
        <v>141</v>
      </c>
      <c r="D552" s="111">
        <v>2024</v>
      </c>
      <c r="E552" s="113" t="s">
        <v>42</v>
      </c>
      <c r="F552" s="114">
        <v>1213638</v>
      </c>
      <c r="G552" s="114">
        <v>1213638</v>
      </c>
      <c r="H552" s="114">
        <v>66813.7047</v>
      </c>
      <c r="I552" s="114">
        <v>3557</v>
      </c>
      <c r="J552" s="115">
        <v>0.00229166666666667</v>
      </c>
      <c r="K552" s="114">
        <v>29.24</v>
      </c>
      <c r="L552" s="114">
        <v>230</v>
      </c>
      <c r="M552" s="114">
        <v>12419106</v>
      </c>
      <c r="N552" s="114">
        <v>8.24</v>
      </c>
      <c r="O552" s="114">
        <v>871853</v>
      </c>
      <c r="P552" s="114">
        <v>618222</v>
      </c>
      <c r="Q552" s="114">
        <v>253631</v>
      </c>
      <c r="R552" s="114">
        <v>253631</v>
      </c>
      <c r="S552" s="114">
        <v>0</v>
      </c>
      <c r="T552" s="114">
        <v>5660</v>
      </c>
      <c r="U552" s="114">
        <v>2103</v>
      </c>
      <c r="V552" s="114">
        <v>6517</v>
      </c>
      <c r="W552" s="114">
        <v>251</v>
      </c>
      <c r="X552" s="114">
        <v>595</v>
      </c>
      <c r="Y552" s="114">
        <v>1910</v>
      </c>
      <c r="Z552" s="114">
        <v>5922790.853</v>
      </c>
      <c r="AA552" s="114">
        <v>0</v>
      </c>
      <c r="AB552" s="114">
        <v>0</v>
      </c>
      <c r="AC552" s="114">
        <v>110035.336</v>
      </c>
      <c r="AD552" s="114">
        <v>5806228.135</v>
      </c>
      <c r="AE552" s="114">
        <v>10565167.86</v>
      </c>
      <c r="AF552" s="114">
        <v>1024961</v>
      </c>
      <c r="AG552" s="114">
        <v>10307.873</v>
      </c>
      <c r="AH552" s="114">
        <v>880161</v>
      </c>
      <c r="AI552" s="114">
        <v>4880.196</v>
      </c>
      <c r="AJ552" s="114">
        <v>0</v>
      </c>
      <c r="AK552" s="114">
        <v>0</v>
      </c>
      <c r="AL552" s="114">
        <v>0</v>
      </c>
      <c r="AM552" s="114">
        <v>0</v>
      </c>
      <c r="AN552" s="114">
        <v>12436</v>
      </c>
      <c r="AO552" s="114">
        <v>756.7073</v>
      </c>
      <c r="AP552" s="114">
        <v>0.1912</v>
      </c>
      <c r="AQ552" s="114">
        <v>12</v>
      </c>
      <c r="AR552" s="114">
        <v>0</v>
      </c>
      <c r="AS552" s="114">
        <v>0</v>
      </c>
      <c r="AT552" s="114">
        <v>1</v>
      </c>
      <c r="AU552" s="114">
        <v>329</v>
      </c>
      <c r="AV552" s="114">
        <v>5</v>
      </c>
      <c r="AW552" s="114">
        <v>0.1025</v>
      </c>
      <c r="AX552" s="114">
        <v>0</v>
      </c>
      <c r="AY552" s="114">
        <v>3</v>
      </c>
      <c r="AZ552" s="114">
        <v>4702</v>
      </c>
      <c r="BA552" s="114">
        <v>57084</v>
      </c>
      <c r="BB552" s="116"/>
      <c r="BC552" s="116"/>
      <c r="BD552" s="116"/>
      <c r="BE552" s="116"/>
      <c r="BF552" s="116"/>
      <c r="BG552" s="116"/>
      <c r="BH552" s="116"/>
      <c r="BI552" s="116"/>
      <c r="BJ552" s="117">
        <v>2083615</v>
      </c>
      <c r="BK552" s="117">
        <v>3557</v>
      </c>
      <c r="BL552" s="119"/>
      <c r="BM552" s="118">
        <v>0</v>
      </c>
      <c r="BN552" s="131"/>
      <c r="BO552" s="119"/>
      <c r="BP552" s="119"/>
      <c r="BQ552" s="119"/>
      <c r="BR552" s="119"/>
      <c r="BS552" s="119"/>
      <c r="BT552" s="119"/>
      <c r="BU552" s="119"/>
      <c r="BV552" s="119"/>
      <c r="BW552" s="119"/>
      <c r="BX552" s="119"/>
    </row>
    <row r="553" s="96" customFormat="1" ht="15.75" customHeight="1" spans="1:76">
      <c r="A553" s="111">
        <v>552</v>
      </c>
      <c r="B553" s="112" t="s">
        <v>53</v>
      </c>
      <c r="C553" s="112" t="s">
        <v>141</v>
      </c>
      <c r="D553" s="111">
        <v>2024</v>
      </c>
      <c r="E553" s="113" t="s">
        <v>43</v>
      </c>
      <c r="F553" s="114">
        <v>738355</v>
      </c>
      <c r="G553" s="114">
        <v>738355</v>
      </c>
      <c r="H553" s="114">
        <v>39105.1675</v>
      </c>
      <c r="I553" s="114">
        <v>774</v>
      </c>
      <c r="J553" s="115">
        <v>0.00219907407407407</v>
      </c>
      <c r="K553" s="114">
        <v>25.31</v>
      </c>
      <c r="L553" s="114">
        <v>151</v>
      </c>
      <c r="M553" s="114">
        <v>7774278</v>
      </c>
      <c r="N553" s="114">
        <v>7.85</v>
      </c>
      <c r="O553" s="114">
        <v>562965</v>
      </c>
      <c r="P553" s="114">
        <v>383497</v>
      </c>
      <c r="Q553" s="114">
        <v>179468</v>
      </c>
      <c r="R553" s="114">
        <v>179468</v>
      </c>
      <c r="S553" s="114">
        <v>0</v>
      </c>
      <c r="T553" s="114">
        <v>2880</v>
      </c>
      <c r="U553" s="114">
        <v>2106</v>
      </c>
      <c r="V553" s="114">
        <v>3308</v>
      </c>
      <c r="W553" s="114">
        <v>107</v>
      </c>
      <c r="X553" s="114">
        <v>477</v>
      </c>
      <c r="Y553" s="114">
        <v>786</v>
      </c>
      <c r="Z553" s="114">
        <v>3624186.015</v>
      </c>
      <c r="AA553" s="114">
        <v>0</v>
      </c>
      <c r="AB553" s="114">
        <v>0</v>
      </c>
      <c r="AC553" s="114">
        <v>93060.274</v>
      </c>
      <c r="AD553" s="114">
        <v>3530492.405</v>
      </c>
      <c r="AE553" s="114">
        <v>6419328.365</v>
      </c>
      <c r="AF553" s="114">
        <v>584402</v>
      </c>
      <c r="AG553" s="114">
        <v>10984.439</v>
      </c>
      <c r="AH553" s="114">
        <v>496288</v>
      </c>
      <c r="AI553" s="114">
        <v>4908.464</v>
      </c>
      <c r="AJ553" s="114">
        <v>0</v>
      </c>
      <c r="AK553" s="114">
        <v>0</v>
      </c>
      <c r="AL553" s="114">
        <v>0</v>
      </c>
      <c r="AM553" s="114">
        <v>0</v>
      </c>
      <c r="AN553" s="114">
        <v>12152</v>
      </c>
      <c r="AO553" s="114">
        <v>796.164</v>
      </c>
      <c r="AP553" s="114"/>
      <c r="AQ553" s="114">
        <v>-5</v>
      </c>
      <c r="AR553" s="114"/>
      <c r="AS553" s="114"/>
      <c r="AT553" s="114"/>
      <c r="AU553" s="114">
        <v>533</v>
      </c>
      <c r="AV553" s="114">
        <v>0</v>
      </c>
      <c r="AW553" s="114">
        <v>0</v>
      </c>
      <c r="AX553" s="114">
        <v>3</v>
      </c>
      <c r="AY553" s="114">
        <v>128</v>
      </c>
      <c r="AZ553" s="114">
        <v>4157</v>
      </c>
      <c r="BA553" s="114">
        <v>50161</v>
      </c>
      <c r="BB553" s="116"/>
      <c r="BC553" s="116"/>
      <c r="BD553" s="116"/>
      <c r="BE553" s="116"/>
      <c r="BF553" s="116"/>
      <c r="BG553" s="116"/>
      <c r="BH553" s="116"/>
      <c r="BI553" s="116"/>
      <c r="BJ553" s="117">
        <v>2084389</v>
      </c>
      <c r="BK553" s="133">
        <v>774</v>
      </c>
      <c r="BL553" s="119"/>
      <c r="BM553" s="118">
        <v>0</v>
      </c>
      <c r="BN553" s="131"/>
      <c r="BO553" s="119"/>
      <c r="BP553" s="119"/>
      <c r="BQ553" s="119"/>
      <c r="BR553" s="119"/>
      <c r="BS553" s="119"/>
      <c r="BT553" s="119"/>
      <c r="BU553" s="119"/>
      <c r="BV553" s="119"/>
      <c r="BW553" s="119"/>
      <c r="BX553" s="119"/>
    </row>
    <row r="554" s="96" customFormat="1" ht="15.75" customHeight="1" spans="1:76">
      <c r="A554" s="111">
        <v>553</v>
      </c>
      <c r="B554" s="112" t="s">
        <v>53</v>
      </c>
      <c r="C554" s="112" t="s">
        <v>141</v>
      </c>
      <c r="D554" s="111">
        <v>2025</v>
      </c>
      <c r="E554" s="113" t="s">
        <v>31</v>
      </c>
      <c r="F554" s="114">
        <v>527791</v>
      </c>
      <c r="G554" s="114">
        <v>527791</v>
      </c>
      <c r="H554" s="114">
        <v>23683.4187</v>
      </c>
      <c r="I554" s="114">
        <v>148</v>
      </c>
      <c r="J554" s="115">
        <v>0.00186342592592593</v>
      </c>
      <c r="K554" s="114">
        <v>25.6</v>
      </c>
      <c r="L554" s="114">
        <v>157</v>
      </c>
      <c r="M554" s="114">
        <v>6302020</v>
      </c>
      <c r="N554" s="114">
        <v>7.05</v>
      </c>
      <c r="O554" s="114">
        <v>360649</v>
      </c>
      <c r="P554" s="114">
        <v>217263</v>
      </c>
      <c r="Q554" s="114">
        <v>143386</v>
      </c>
      <c r="R554" s="114">
        <v>143386</v>
      </c>
      <c r="S554" s="114">
        <v>0</v>
      </c>
      <c r="T554" s="114">
        <v>2181</v>
      </c>
      <c r="U554" s="114">
        <v>2033</v>
      </c>
      <c r="V554" s="114">
        <v>2591</v>
      </c>
      <c r="W554" s="114">
        <v>20</v>
      </c>
      <c r="X554" s="114">
        <v>309</v>
      </c>
      <c r="Y554" s="114">
        <v>1464</v>
      </c>
      <c r="Z554" s="114">
        <v>1824445.691</v>
      </c>
      <c r="AA554" s="114">
        <v>0</v>
      </c>
      <c r="AB554" s="114">
        <v>0</v>
      </c>
      <c r="AC554" s="114">
        <v>44662.643</v>
      </c>
      <c r="AD554" s="114">
        <v>1779445.255</v>
      </c>
      <c r="AE554" s="114">
        <v>3235354.694</v>
      </c>
      <c r="AF554" s="114">
        <v>305847</v>
      </c>
      <c r="AG554" s="114">
        <v>10578.344</v>
      </c>
      <c r="AH554" s="114">
        <v>271977</v>
      </c>
      <c r="AI554" s="114">
        <v>3456.756</v>
      </c>
      <c r="AJ554" s="114">
        <v>0</v>
      </c>
      <c r="AK554" s="114">
        <v>0</v>
      </c>
      <c r="AL554" s="114">
        <v>0</v>
      </c>
      <c r="AM554" s="114">
        <v>0</v>
      </c>
      <c r="AN554" s="114">
        <v>6275</v>
      </c>
      <c r="AO554" s="114">
        <v>347.3368</v>
      </c>
      <c r="AP554" s="114"/>
      <c r="AQ554" s="114">
        <v>0</v>
      </c>
      <c r="AR554" s="114"/>
      <c r="AS554" s="114"/>
      <c r="AT554" s="114"/>
      <c r="AU554" s="114">
        <v>360</v>
      </c>
      <c r="AV554" s="114">
        <v>0</v>
      </c>
      <c r="AW554" s="114">
        <v>0</v>
      </c>
      <c r="AX554" s="114">
        <v>0</v>
      </c>
      <c r="AY554" s="114">
        <v>43</v>
      </c>
      <c r="AZ554" s="114">
        <v>4866</v>
      </c>
      <c r="BA554" s="114">
        <v>58661</v>
      </c>
      <c r="BB554" s="116"/>
      <c r="BC554" s="116"/>
      <c r="BD554" s="116"/>
      <c r="BE554" s="116"/>
      <c r="BF554" s="116"/>
      <c r="BG554" s="116"/>
      <c r="BH554" s="116"/>
      <c r="BI554" s="116"/>
      <c r="BJ554" s="117">
        <v>2084537</v>
      </c>
      <c r="BK554" s="133">
        <v>148</v>
      </c>
      <c r="BL554" s="117">
        <v>297096</v>
      </c>
      <c r="BM554" s="118">
        <v>1013540</v>
      </c>
      <c r="BN554" s="118">
        <v>59.62</v>
      </c>
      <c r="BO554" s="119"/>
      <c r="BP554" s="119"/>
      <c r="BQ554" s="119"/>
      <c r="BR554" s="119"/>
      <c r="BS554" s="119"/>
      <c r="BT554" s="119"/>
      <c r="BU554" s="119"/>
      <c r="BV554" s="119"/>
      <c r="BW554" s="119"/>
      <c r="BX554" s="119"/>
    </row>
    <row r="555" s="96" customFormat="1" ht="15.75" customHeight="1" spans="1:76">
      <c r="A555" s="111">
        <v>554</v>
      </c>
      <c r="B555" s="112" t="s">
        <v>53</v>
      </c>
      <c r="C555" s="112" t="s">
        <v>141</v>
      </c>
      <c r="D555" s="111">
        <v>2025</v>
      </c>
      <c r="E555" s="113" t="s">
        <v>33</v>
      </c>
      <c r="F555" s="114">
        <v>415906</v>
      </c>
      <c r="G555" s="114">
        <v>415906</v>
      </c>
      <c r="H555" s="114">
        <v>18576.2021</v>
      </c>
      <c r="I555" s="114">
        <v>416</v>
      </c>
      <c r="J555" s="115">
        <v>0.00185185185185185</v>
      </c>
      <c r="K555" s="114">
        <v>29.3</v>
      </c>
      <c r="L555" s="114">
        <v>85</v>
      </c>
      <c r="M555" s="114">
        <v>4441143</v>
      </c>
      <c r="N555" s="114">
        <v>7.69</v>
      </c>
      <c r="O555" s="114">
        <v>289985</v>
      </c>
      <c r="P555" s="114">
        <v>169759</v>
      </c>
      <c r="Q555" s="114">
        <v>120226</v>
      </c>
      <c r="R555" s="114">
        <v>120226</v>
      </c>
      <c r="S555" s="114">
        <v>0</v>
      </c>
      <c r="T555" s="114">
        <v>1528</v>
      </c>
      <c r="U555" s="114">
        <v>1112</v>
      </c>
      <c r="V555" s="114">
        <v>1239</v>
      </c>
      <c r="W555" s="114">
        <v>-7</v>
      </c>
      <c r="X555" s="114">
        <v>277</v>
      </c>
      <c r="Y555" s="114">
        <v>589</v>
      </c>
      <c r="Z555" s="114">
        <v>1580052.525</v>
      </c>
      <c r="AA555" s="114">
        <v>0</v>
      </c>
      <c r="AB555" s="114">
        <v>0</v>
      </c>
      <c r="AC555" s="114">
        <v>48508.795</v>
      </c>
      <c r="AD555" s="114">
        <v>1531451.94</v>
      </c>
      <c r="AE555" s="114">
        <v>2784459.652</v>
      </c>
      <c r="AF555" s="114">
        <v>266977</v>
      </c>
      <c r="AG555" s="114">
        <v>10429.586</v>
      </c>
      <c r="AH555" s="114">
        <v>233140</v>
      </c>
      <c r="AI555" s="114">
        <v>3799.064</v>
      </c>
      <c r="AJ555" s="114">
        <v>0</v>
      </c>
      <c r="AK555" s="114">
        <v>0</v>
      </c>
      <c r="AL555" s="114">
        <v>0</v>
      </c>
      <c r="AM555" s="114">
        <v>0</v>
      </c>
      <c r="AN555" s="114">
        <v>5865</v>
      </c>
      <c r="AO555" s="114">
        <v>306.7876</v>
      </c>
      <c r="AP555" s="114"/>
      <c r="AQ555" s="114">
        <v>0</v>
      </c>
      <c r="AR555" s="114"/>
      <c r="AS555" s="114"/>
      <c r="AT555" s="114"/>
      <c r="AU555" s="114">
        <v>920</v>
      </c>
      <c r="AV555" s="114">
        <v>0</v>
      </c>
      <c r="AW555" s="114">
        <v>0</v>
      </c>
      <c r="AX555" s="114">
        <v>2</v>
      </c>
      <c r="AY555" s="114">
        <v>38</v>
      </c>
      <c r="AZ555" s="114">
        <v>5734</v>
      </c>
      <c r="BA555" s="114">
        <v>60326</v>
      </c>
      <c r="BB555" s="116"/>
      <c r="BC555" s="116"/>
      <c r="BD555" s="116"/>
      <c r="BE555" s="116"/>
      <c r="BF555" s="116"/>
      <c r="BG555" s="116"/>
      <c r="BH555" s="116"/>
      <c r="BI555" s="116"/>
      <c r="BJ555" s="117">
        <v>2084953</v>
      </c>
      <c r="BK555" s="133">
        <v>416</v>
      </c>
      <c r="BL555" s="117">
        <v>172918</v>
      </c>
      <c r="BM555" s="118">
        <v>831980</v>
      </c>
      <c r="BN555" s="118">
        <v>48.94</v>
      </c>
      <c r="BO555" s="119"/>
      <c r="BP555" s="119"/>
      <c r="BQ555" s="119"/>
      <c r="BR555" s="119"/>
      <c r="BS555" s="119"/>
      <c r="BT555" s="119"/>
      <c r="BU555" s="119"/>
      <c r="BV555" s="119"/>
      <c r="BW555" s="119"/>
      <c r="BX555" s="119"/>
    </row>
    <row r="556" s="96" customFormat="1" ht="15.75" customHeight="1" spans="1:76">
      <c r="A556" s="111">
        <v>555</v>
      </c>
      <c r="B556" s="112" t="s">
        <v>53</v>
      </c>
      <c r="C556" s="112" t="s">
        <v>141</v>
      </c>
      <c r="D556" s="111">
        <v>2025</v>
      </c>
      <c r="E556" s="113" t="s">
        <v>34</v>
      </c>
      <c r="F556" s="114">
        <v>297739</v>
      </c>
      <c r="G556" s="114">
        <v>297731</v>
      </c>
      <c r="H556" s="114">
        <v>13204.7225</v>
      </c>
      <c r="I556" s="114">
        <v>-880</v>
      </c>
      <c r="J556" s="115">
        <v>0.00184027777777778</v>
      </c>
      <c r="K556" s="114">
        <v>33.69</v>
      </c>
      <c r="L556" s="114">
        <v>21</v>
      </c>
      <c r="M556" s="114">
        <v>2716522</v>
      </c>
      <c r="N556" s="114">
        <v>8.98</v>
      </c>
      <c r="O556" s="114">
        <v>227031</v>
      </c>
      <c r="P556" s="114">
        <v>145268</v>
      </c>
      <c r="Q556" s="114">
        <v>81810</v>
      </c>
      <c r="R556" s="114">
        <v>80684</v>
      </c>
      <c r="S556" s="114">
        <v>1126</v>
      </c>
      <c r="T556" s="114">
        <v>1477</v>
      </c>
      <c r="U556" s="114">
        <v>2357</v>
      </c>
      <c r="V556" s="114">
        <v>-289</v>
      </c>
      <c r="W556" s="114">
        <v>-70</v>
      </c>
      <c r="X556" s="114">
        <v>229</v>
      </c>
      <c r="Y556" s="114">
        <v>251</v>
      </c>
      <c r="Z556" s="114">
        <v>1257887.116</v>
      </c>
      <c r="AA556" s="114">
        <v>0</v>
      </c>
      <c r="AB556" s="114">
        <v>0</v>
      </c>
      <c r="AC556" s="114">
        <v>27178.08</v>
      </c>
      <c r="AD556" s="114">
        <v>1230312.154</v>
      </c>
      <c r="AE556" s="114">
        <v>2236929.288</v>
      </c>
      <c r="AF556" s="114">
        <v>228217</v>
      </c>
      <c r="AG556" s="114">
        <v>9801.764</v>
      </c>
      <c r="AH556" s="114">
        <v>202346</v>
      </c>
      <c r="AI556" s="114">
        <v>4224.908</v>
      </c>
      <c r="AJ556" s="114">
        <v>0</v>
      </c>
      <c r="AK556" s="114">
        <v>0</v>
      </c>
      <c r="AL556" s="114">
        <v>0</v>
      </c>
      <c r="AM556" s="114">
        <v>0</v>
      </c>
      <c r="AN556" s="114">
        <v>4283</v>
      </c>
      <c r="AO556" s="114">
        <v>200.7563</v>
      </c>
      <c r="AP556" s="114"/>
      <c r="AQ556" s="114">
        <v>0</v>
      </c>
      <c r="AR556" s="114"/>
      <c r="AS556" s="114"/>
      <c r="AT556" s="114"/>
      <c r="AU556" s="114">
        <v>3945</v>
      </c>
      <c r="AV556" s="114">
        <v>0</v>
      </c>
      <c r="AW556" s="114">
        <v>0</v>
      </c>
      <c r="AX556" s="114">
        <v>2</v>
      </c>
      <c r="AY556" s="114">
        <v>66</v>
      </c>
      <c r="AZ556" s="114">
        <v>3466</v>
      </c>
      <c r="BA556" s="114">
        <v>33325</v>
      </c>
      <c r="BB556" s="116"/>
      <c r="BC556" s="116"/>
      <c r="BD556" s="116"/>
      <c r="BE556" s="116"/>
      <c r="BF556" s="116"/>
      <c r="BG556" s="116"/>
      <c r="BH556" s="116"/>
      <c r="BI556" s="116"/>
      <c r="BJ556" s="117">
        <v>2084073</v>
      </c>
      <c r="BK556" s="133">
        <v>-880</v>
      </c>
      <c r="BL556" s="117">
        <v>156792</v>
      </c>
      <c r="BM556" s="118">
        <v>737800</v>
      </c>
      <c r="BN556" s="118">
        <v>43.4</v>
      </c>
      <c r="BO556" s="119"/>
      <c r="BP556" s="119"/>
      <c r="BQ556" s="119"/>
      <c r="BR556" s="119"/>
      <c r="BS556" s="119"/>
      <c r="BT556" s="119"/>
      <c r="BU556" s="119"/>
      <c r="BV556" s="119"/>
      <c r="BW556" s="119"/>
      <c r="BX556" s="119"/>
    </row>
    <row r="557" s="96" customFormat="1" ht="15.75" customHeight="1" spans="1:76">
      <c r="A557" s="111">
        <v>556</v>
      </c>
      <c r="B557" s="112" t="s">
        <v>53</v>
      </c>
      <c r="C557" s="112" t="s">
        <v>141</v>
      </c>
      <c r="D557" s="111">
        <v>2025</v>
      </c>
      <c r="E557" s="113" t="s">
        <v>35</v>
      </c>
      <c r="F557" s="114">
        <v>136262</v>
      </c>
      <c r="G557" s="114">
        <v>135961</v>
      </c>
      <c r="H557" s="114">
        <v>7135.9209</v>
      </c>
      <c r="I557" s="114">
        <v>-966</v>
      </c>
      <c r="J557" s="115">
        <v>0.00217592592592593</v>
      </c>
      <c r="K557" s="114">
        <v>33.55</v>
      </c>
      <c r="L557" s="114">
        <v>2</v>
      </c>
      <c r="M557" s="114">
        <v>1343683</v>
      </c>
      <c r="N557" s="114">
        <v>7.76</v>
      </c>
      <c r="O557" s="114">
        <v>87313</v>
      </c>
      <c r="P557" s="114">
        <v>56753</v>
      </c>
      <c r="Q557" s="114">
        <v>30693</v>
      </c>
      <c r="R557" s="114">
        <v>28736</v>
      </c>
      <c r="S557" s="114">
        <v>1957</v>
      </c>
      <c r="T557" s="114">
        <v>923</v>
      </c>
      <c r="U557" s="114">
        <v>1889</v>
      </c>
      <c r="V557" s="114">
        <v>-1665</v>
      </c>
      <c r="W557" s="114">
        <v>-127</v>
      </c>
      <c r="X557" s="114">
        <v>146</v>
      </c>
      <c r="Y557" s="114">
        <v>76</v>
      </c>
      <c r="Z557" s="114">
        <v>446437.235</v>
      </c>
      <c r="AA557" s="114">
        <v>0</v>
      </c>
      <c r="AB557" s="114">
        <v>0</v>
      </c>
      <c r="AC557" s="114">
        <v>15401.517</v>
      </c>
      <c r="AD557" s="114">
        <v>430897.953</v>
      </c>
      <c r="AE557" s="114">
        <v>783448.932</v>
      </c>
      <c r="AF557" s="114">
        <v>84675</v>
      </c>
      <c r="AG557" s="114">
        <v>9252.423</v>
      </c>
      <c r="AH557" s="114">
        <v>76987</v>
      </c>
      <c r="AI557" s="114">
        <v>3283.562</v>
      </c>
      <c r="AJ557" s="114">
        <v>0</v>
      </c>
      <c r="AK557" s="114">
        <v>0</v>
      </c>
      <c r="AL557" s="114">
        <v>0</v>
      </c>
      <c r="AM557" s="114">
        <v>0</v>
      </c>
      <c r="AN557" s="114">
        <v>2036</v>
      </c>
      <c r="AO557" s="114">
        <v>116.5178</v>
      </c>
      <c r="AP557" s="114"/>
      <c r="AQ557" s="114">
        <v>0</v>
      </c>
      <c r="AR557" s="114"/>
      <c r="AS557" s="114"/>
      <c r="AT557" s="114"/>
      <c r="AU557" s="114">
        <v>5789</v>
      </c>
      <c r="AV557" s="114">
        <v>0</v>
      </c>
      <c r="AW557" s="114">
        <v>0</v>
      </c>
      <c r="AX557" s="114">
        <v>4</v>
      </c>
      <c r="AY557" s="114">
        <v>53</v>
      </c>
      <c r="AZ557" s="114">
        <v>3796</v>
      </c>
      <c r="BA557" s="114">
        <v>35547</v>
      </c>
      <c r="BB557" s="116"/>
      <c r="BC557" s="116"/>
      <c r="BD557" s="116"/>
      <c r="BE557" s="116"/>
      <c r="BF557" s="116"/>
      <c r="BG557" s="116"/>
      <c r="BH557" s="116"/>
      <c r="BI557" s="116"/>
      <c r="BJ557" s="117">
        <v>2083107</v>
      </c>
      <c r="BK557" s="133">
        <v>-966</v>
      </c>
      <c r="BL557" s="133">
        <v>991</v>
      </c>
      <c r="BM557" s="118">
        <v>10880</v>
      </c>
      <c r="BN557" s="118">
        <v>0.64</v>
      </c>
      <c r="BO557" s="119"/>
      <c r="BP557" s="119"/>
      <c r="BQ557" s="119"/>
      <c r="BR557" s="119"/>
      <c r="BS557" s="119"/>
      <c r="BT557" s="119"/>
      <c r="BU557" s="119"/>
      <c r="BV557" s="119"/>
      <c r="BW557" s="119"/>
      <c r="BX557" s="119"/>
    </row>
    <row r="558" s="96" customFormat="1" ht="15.75" customHeight="1" spans="1:76">
      <c r="A558" s="111">
        <v>557</v>
      </c>
      <c r="B558" s="112" t="s">
        <v>53</v>
      </c>
      <c r="C558" s="112" t="s">
        <v>141</v>
      </c>
      <c r="D558" s="111">
        <v>2025</v>
      </c>
      <c r="E558" s="113" t="s">
        <v>36</v>
      </c>
      <c r="F558" s="114">
        <v>193968</v>
      </c>
      <c r="G558" s="114">
        <v>193754</v>
      </c>
      <c r="H558" s="114">
        <v>10729.0139</v>
      </c>
      <c r="I558" s="114">
        <v>-896</v>
      </c>
      <c r="J558" s="115">
        <v>0.00230324074074074</v>
      </c>
      <c r="K558" s="114">
        <v>37.11</v>
      </c>
      <c r="L558" s="114"/>
      <c r="M558" s="114">
        <v>1850304</v>
      </c>
      <c r="N558" s="114">
        <v>8.24</v>
      </c>
      <c r="O558" s="114">
        <v>119634</v>
      </c>
      <c r="P558" s="114">
        <v>76745</v>
      </c>
      <c r="Q558" s="114">
        <v>42889</v>
      </c>
      <c r="R558" s="114">
        <v>40704</v>
      </c>
      <c r="S558" s="114">
        <v>2185</v>
      </c>
      <c r="T558" s="114">
        <v>898</v>
      </c>
      <c r="U558" s="114">
        <v>1794</v>
      </c>
      <c r="V558" s="114">
        <v>-906</v>
      </c>
      <c r="W558" s="114">
        <v>-101</v>
      </c>
      <c r="X558" s="114">
        <v>147</v>
      </c>
      <c r="Y558" s="114">
        <v>117</v>
      </c>
      <c r="Z558" s="114">
        <v>681950.519</v>
      </c>
      <c r="AA558" s="114">
        <v>0</v>
      </c>
      <c r="AB558" s="114">
        <v>0</v>
      </c>
      <c r="AC558" s="114">
        <v>28565.763</v>
      </c>
      <c r="AD558" s="114">
        <v>653320.758</v>
      </c>
      <c r="AE558" s="114">
        <v>1187856.683</v>
      </c>
      <c r="AF558" s="114">
        <v>118317</v>
      </c>
      <c r="AG558" s="114">
        <v>10039.611</v>
      </c>
      <c r="AH558" s="114">
        <v>106111</v>
      </c>
      <c r="AI558" s="114">
        <v>3519.672</v>
      </c>
      <c r="AJ558" s="114">
        <v>0</v>
      </c>
      <c r="AK558" s="114">
        <v>0</v>
      </c>
      <c r="AL558" s="114">
        <v>0</v>
      </c>
      <c r="AM558" s="114">
        <v>0</v>
      </c>
      <c r="AN558" s="114">
        <v>3242</v>
      </c>
      <c r="AO558" s="114">
        <v>216.0968</v>
      </c>
      <c r="AP558" s="114"/>
      <c r="AQ558" s="114">
        <v>0</v>
      </c>
      <c r="AR558" s="114"/>
      <c r="AS558" s="114"/>
      <c r="AT558" s="114"/>
      <c r="AU558" s="114">
        <v>4047</v>
      </c>
      <c r="AV558" s="114">
        <v>0</v>
      </c>
      <c r="AW558" s="114">
        <v>0</v>
      </c>
      <c r="AX558" s="114">
        <v>1</v>
      </c>
      <c r="AY558" s="114">
        <v>99</v>
      </c>
      <c r="AZ558" s="114">
        <v>7154</v>
      </c>
      <c r="BA558" s="114">
        <v>64151</v>
      </c>
      <c r="BB558" s="116"/>
      <c r="BC558" s="116"/>
      <c r="BD558" s="116"/>
      <c r="BE558" s="116"/>
      <c r="BF558" s="116"/>
      <c r="BG558" s="116"/>
      <c r="BH558" s="116"/>
      <c r="BI558" s="116"/>
      <c r="BJ558" s="117">
        <v>2082211</v>
      </c>
      <c r="BK558" s="133">
        <v>-896</v>
      </c>
      <c r="BL558" s="133">
        <v>0</v>
      </c>
      <c r="BM558" s="118">
        <v>0</v>
      </c>
      <c r="BN558" s="118">
        <v>0</v>
      </c>
      <c r="BO558" s="119"/>
      <c r="BP558" s="119"/>
      <c r="BQ558" s="119"/>
      <c r="BR558" s="119"/>
      <c r="BS558" s="119"/>
      <c r="BT558" s="119"/>
      <c r="BU558" s="119"/>
      <c r="BV558" s="119"/>
      <c r="BW558" s="119"/>
      <c r="BX558" s="119"/>
    </row>
    <row r="559" s="96" customFormat="1" ht="15.75" customHeight="1" spans="1:76">
      <c r="A559" s="111">
        <v>558</v>
      </c>
      <c r="B559" s="112" t="s">
        <v>53</v>
      </c>
      <c r="C559" s="112" t="s">
        <v>141</v>
      </c>
      <c r="D559" s="111">
        <v>2025</v>
      </c>
      <c r="E559" s="113" t="s">
        <v>37</v>
      </c>
      <c r="F559" s="114">
        <v>175995</v>
      </c>
      <c r="G559" s="114">
        <v>175922</v>
      </c>
      <c r="H559" s="114">
        <v>11139.4862</v>
      </c>
      <c r="I559" s="114">
        <v>-659</v>
      </c>
      <c r="J559" s="115">
        <v>0.00262731481481481</v>
      </c>
      <c r="K559" s="114">
        <v>35.75</v>
      </c>
      <c r="L559" s="114"/>
      <c r="M559" s="114">
        <v>1822491</v>
      </c>
      <c r="N559" s="114">
        <v>7.67</v>
      </c>
      <c r="O559" s="114">
        <v>108067</v>
      </c>
      <c r="P559" s="114">
        <v>73302</v>
      </c>
      <c r="Q559" s="114">
        <v>34765</v>
      </c>
      <c r="R559" s="114">
        <v>33130</v>
      </c>
      <c r="S559" s="114">
        <v>1635</v>
      </c>
      <c r="T559" s="114">
        <v>840</v>
      </c>
      <c r="U559" s="114">
        <v>1499</v>
      </c>
      <c r="V559" s="114">
        <v>-495</v>
      </c>
      <c r="W559" s="114">
        <v>-57</v>
      </c>
      <c r="X559" s="114">
        <v>138</v>
      </c>
      <c r="Y559" s="114">
        <v>139</v>
      </c>
      <c r="Z559" s="114">
        <v>733185.811</v>
      </c>
      <c r="AA559" s="114">
        <v>0</v>
      </c>
      <c r="AB559" s="114">
        <v>0</v>
      </c>
      <c r="AC559" s="114">
        <v>43120.823</v>
      </c>
      <c r="AD559" s="114">
        <v>690039.349</v>
      </c>
      <c r="AE559" s="114">
        <v>1254618.046</v>
      </c>
      <c r="AF559" s="114">
        <v>115370</v>
      </c>
      <c r="AG559" s="114">
        <v>10874.734</v>
      </c>
      <c r="AH559" s="114">
        <v>101755</v>
      </c>
      <c r="AI559" s="114">
        <v>4167.676</v>
      </c>
      <c r="AJ559" s="114">
        <v>0</v>
      </c>
      <c r="AK559" s="114">
        <v>0</v>
      </c>
      <c r="AL559" s="114">
        <v>0</v>
      </c>
      <c r="AM559" s="114">
        <v>0</v>
      </c>
      <c r="AN559" s="114">
        <v>3398</v>
      </c>
      <c r="AO559" s="114">
        <v>283.622</v>
      </c>
      <c r="AP559" s="114"/>
      <c r="AQ559" s="114">
        <v>0</v>
      </c>
      <c r="AR559" s="114"/>
      <c r="AS559" s="114"/>
      <c r="AT559" s="114"/>
      <c r="AU559" s="114">
        <v>4049</v>
      </c>
      <c r="AV559" s="114">
        <v>0</v>
      </c>
      <c r="AW559" s="114">
        <v>0</v>
      </c>
      <c r="AX559" s="114">
        <v>0</v>
      </c>
      <c r="AY559" s="114">
        <v>30</v>
      </c>
      <c r="AZ559" s="114">
        <v>4882</v>
      </c>
      <c r="BA559" s="114">
        <v>42350</v>
      </c>
      <c r="BB559" s="116"/>
      <c r="BC559" s="116"/>
      <c r="BD559" s="116"/>
      <c r="BE559" s="116"/>
      <c r="BF559" s="116"/>
      <c r="BG559" s="116"/>
      <c r="BH559" s="116"/>
      <c r="BI559" s="116"/>
      <c r="BJ559" s="117">
        <v>2081552</v>
      </c>
      <c r="BK559" s="133">
        <v>-659</v>
      </c>
      <c r="BL559" s="133">
        <v>0</v>
      </c>
      <c r="BM559" s="118">
        <v>0</v>
      </c>
      <c r="BN559" s="118">
        <v>0</v>
      </c>
      <c r="BO559" s="119"/>
      <c r="BP559" s="119"/>
      <c r="BQ559" s="119"/>
      <c r="BR559" s="119"/>
      <c r="BS559" s="119"/>
      <c r="BT559" s="119"/>
      <c r="BU559" s="119"/>
      <c r="BV559" s="119"/>
      <c r="BW559" s="119"/>
      <c r="BX559" s="119"/>
    </row>
    <row r="560" s="96" customFormat="1" ht="15.75" customHeight="1" spans="1:76">
      <c r="A560" s="111">
        <v>559</v>
      </c>
      <c r="B560" s="112" t="s">
        <v>53</v>
      </c>
      <c r="C560" s="112" t="s">
        <v>141</v>
      </c>
      <c r="D560" s="111">
        <v>2025</v>
      </c>
      <c r="E560" s="113" t="s">
        <v>38</v>
      </c>
      <c r="F560" s="114">
        <v>224163</v>
      </c>
      <c r="G560" s="114">
        <v>223842</v>
      </c>
      <c r="H560" s="114">
        <v>11427.6559</v>
      </c>
      <c r="I560" s="114">
        <v>-1094</v>
      </c>
      <c r="J560" s="115">
        <v>0.00211805555555556</v>
      </c>
      <c r="K560" s="114">
        <v>13.4</v>
      </c>
      <c r="L560" s="114">
        <v>58</v>
      </c>
      <c r="M560" s="114">
        <v>2061629</v>
      </c>
      <c r="N560" s="114">
        <v>8.73</v>
      </c>
      <c r="O560" s="114">
        <v>152892</v>
      </c>
      <c r="P560" s="114">
        <v>101666</v>
      </c>
      <c r="Q560" s="114">
        <v>51226</v>
      </c>
      <c r="R560" s="114">
        <v>48996</v>
      </c>
      <c r="S560" s="114">
        <v>2230</v>
      </c>
      <c r="T560" s="114">
        <v>1096</v>
      </c>
      <c r="U560" s="114">
        <v>2190</v>
      </c>
      <c r="V560" s="114">
        <v>-390</v>
      </c>
      <c r="W560" s="114">
        <v>-114</v>
      </c>
      <c r="X560" s="114">
        <v>203</v>
      </c>
      <c r="Y560" s="114">
        <v>285</v>
      </c>
      <c r="Z560" s="114">
        <v>756495.986</v>
      </c>
      <c r="AA560" s="114">
        <v>0</v>
      </c>
      <c r="AB560" s="114">
        <v>0</v>
      </c>
      <c r="AC560" s="114">
        <v>34984.512</v>
      </c>
      <c r="AD560" s="114">
        <v>721392.329</v>
      </c>
      <c r="AE560" s="114">
        <v>1311622.92</v>
      </c>
      <c r="AF560" s="114">
        <v>126325</v>
      </c>
      <c r="AG560" s="114">
        <v>10382.924</v>
      </c>
      <c r="AH560" s="114">
        <v>111408</v>
      </c>
      <c r="AI560" s="114">
        <v>3379.597</v>
      </c>
      <c r="AJ560" s="114">
        <v>0</v>
      </c>
      <c r="AK560" s="114">
        <v>0</v>
      </c>
      <c r="AL560" s="114">
        <v>0</v>
      </c>
      <c r="AM560" s="114">
        <v>0</v>
      </c>
      <c r="AN560" s="114">
        <v>4010</v>
      </c>
      <c r="AO560" s="114">
        <v>239.7781</v>
      </c>
      <c r="AP560" s="114">
        <v>3.6525</v>
      </c>
      <c r="AQ560" s="114">
        <v>34</v>
      </c>
      <c r="AR560" s="114">
        <v>42</v>
      </c>
      <c r="AS560" s="114">
        <v>60</v>
      </c>
      <c r="AT560" s="114"/>
      <c r="AU560" s="114">
        <v>2997</v>
      </c>
      <c r="AV560" s="114">
        <v>1</v>
      </c>
      <c r="AW560" s="114">
        <v>0.0044</v>
      </c>
      <c r="AX560" s="114">
        <v>2</v>
      </c>
      <c r="AY560" s="114">
        <v>40</v>
      </c>
      <c r="AZ560" s="114">
        <v>3713</v>
      </c>
      <c r="BA560" s="114">
        <v>38014</v>
      </c>
      <c r="BB560" s="116"/>
      <c r="BC560" s="116"/>
      <c r="BD560" s="116"/>
      <c r="BE560" s="116"/>
      <c r="BF560" s="116"/>
      <c r="BG560" s="116"/>
      <c r="BH560" s="116"/>
      <c r="BI560" s="116"/>
      <c r="BJ560" s="117">
        <v>2080458</v>
      </c>
      <c r="BK560" s="117">
        <v>-1094</v>
      </c>
      <c r="BL560" s="117">
        <v>83512</v>
      </c>
      <c r="BM560" s="118">
        <v>339660</v>
      </c>
      <c r="BN560" s="118">
        <v>19.98</v>
      </c>
      <c r="BO560" s="120">
        <v>0.498</v>
      </c>
      <c r="BP560" s="120">
        <v>0.501</v>
      </c>
      <c r="BQ560" s="119"/>
      <c r="BR560" s="120">
        <v>0.013</v>
      </c>
      <c r="BS560" s="120">
        <v>0.097</v>
      </c>
      <c r="BT560" s="120">
        <v>0.333</v>
      </c>
      <c r="BU560" s="120">
        <v>0.218</v>
      </c>
      <c r="BV560" s="120">
        <v>0.152</v>
      </c>
      <c r="BW560" s="120">
        <v>0.122</v>
      </c>
      <c r="BX560" s="120">
        <v>0.065</v>
      </c>
    </row>
    <row r="561" s="96" customFormat="1" ht="15.75" customHeight="1" spans="1:76">
      <c r="A561" s="111">
        <v>560</v>
      </c>
      <c r="B561" s="112" t="s">
        <v>53</v>
      </c>
      <c r="C561" s="112" t="s">
        <v>141</v>
      </c>
      <c r="D561" s="111">
        <v>2025</v>
      </c>
      <c r="E561" s="113" t="s">
        <v>39</v>
      </c>
      <c r="F561" s="114">
        <v>677095</v>
      </c>
      <c r="G561" s="114">
        <v>672412</v>
      </c>
      <c r="H561" s="114">
        <v>54395.8105</v>
      </c>
      <c r="I561" s="114">
        <v>622</v>
      </c>
      <c r="J561" s="115">
        <v>0.00336805555555556</v>
      </c>
      <c r="K561" s="114">
        <v>7.49</v>
      </c>
      <c r="L561" s="114">
        <v>153</v>
      </c>
      <c r="M561" s="114">
        <v>5477453</v>
      </c>
      <c r="N561" s="114">
        <v>10.14</v>
      </c>
      <c r="O561" s="114">
        <v>418100</v>
      </c>
      <c r="P561" s="114">
        <v>296712</v>
      </c>
      <c r="Q561" s="114">
        <v>121388</v>
      </c>
      <c r="R561" s="114">
        <v>117699</v>
      </c>
      <c r="S561" s="114">
        <v>3689</v>
      </c>
      <c r="T561" s="114">
        <v>2406</v>
      </c>
      <c r="U561" s="114">
        <v>1784</v>
      </c>
      <c r="V561" s="114">
        <v>2978</v>
      </c>
      <c r="W561" s="114">
        <v>49</v>
      </c>
      <c r="X561" s="114">
        <v>526</v>
      </c>
      <c r="Y561" s="114">
        <v>710</v>
      </c>
      <c r="Z561" s="114">
        <v>4821736.038</v>
      </c>
      <c r="AA561" s="114">
        <v>42850.953</v>
      </c>
      <c r="AB561" s="114">
        <v>1</v>
      </c>
      <c r="AC561" s="114">
        <v>199345.932</v>
      </c>
      <c r="AD561" s="114">
        <v>4579082.42</v>
      </c>
      <c r="AE561" s="114">
        <v>8325570.15</v>
      </c>
      <c r="AF561" s="114">
        <v>624008</v>
      </c>
      <c r="AG561" s="114">
        <v>13342.089</v>
      </c>
      <c r="AH561" s="114">
        <v>460954</v>
      </c>
      <c r="AI561" s="114">
        <v>7170.807</v>
      </c>
      <c r="AJ561" s="114">
        <v>0</v>
      </c>
      <c r="AK561" s="114">
        <v>110</v>
      </c>
      <c r="AL561" s="114">
        <v>0</v>
      </c>
      <c r="AM561" s="114">
        <v>0</v>
      </c>
      <c r="AN561" s="114">
        <v>12043</v>
      </c>
      <c r="AO561" s="114">
        <v>1395.8252</v>
      </c>
      <c r="AP561" s="114">
        <v>40.3937</v>
      </c>
      <c r="AQ561" s="114">
        <v>115</v>
      </c>
      <c r="AR561" s="114">
        <v>20412</v>
      </c>
      <c r="AS561" s="114">
        <v>17591</v>
      </c>
      <c r="AT561" s="114"/>
      <c r="AU561" s="114">
        <v>2587</v>
      </c>
      <c r="AV561" s="114">
        <v>0</v>
      </c>
      <c r="AW561" s="114">
        <v>0</v>
      </c>
      <c r="AX561" s="114">
        <v>1</v>
      </c>
      <c r="AY561" s="114">
        <v>26</v>
      </c>
      <c r="AZ561" s="114">
        <v>3512</v>
      </c>
      <c r="BA561" s="114">
        <v>75734</v>
      </c>
      <c r="BB561" s="116"/>
      <c r="BC561" s="116"/>
      <c r="BD561" s="116"/>
      <c r="BE561" s="116"/>
      <c r="BF561" s="116"/>
      <c r="BG561" s="116"/>
      <c r="BH561" s="116"/>
      <c r="BI561" s="116"/>
      <c r="BJ561" s="117">
        <v>2081233</v>
      </c>
      <c r="BK561" s="133">
        <v>622</v>
      </c>
      <c r="BL561" s="117">
        <v>521325</v>
      </c>
      <c r="BM561" s="118">
        <v>4521320</v>
      </c>
      <c r="BN561" s="118">
        <v>265.96</v>
      </c>
      <c r="BO561" s="120">
        <v>0.386</v>
      </c>
      <c r="BP561" s="120">
        <v>0.613</v>
      </c>
      <c r="BQ561" s="134">
        <v>0</v>
      </c>
      <c r="BR561" s="120">
        <v>0.012</v>
      </c>
      <c r="BS561" s="120">
        <v>0.1</v>
      </c>
      <c r="BT561" s="120">
        <v>0.37</v>
      </c>
      <c r="BU561" s="120">
        <v>0.25</v>
      </c>
      <c r="BV561" s="120">
        <v>0.145</v>
      </c>
      <c r="BW561" s="120">
        <v>0.088</v>
      </c>
      <c r="BX561" s="120">
        <v>0.035</v>
      </c>
    </row>
    <row r="562" s="96" customFormat="1" ht="15.75" customHeight="1" spans="1:76">
      <c r="A562" s="111">
        <v>561</v>
      </c>
      <c r="B562" s="112" t="s">
        <v>53</v>
      </c>
      <c r="C562" s="112" t="s">
        <v>141</v>
      </c>
      <c r="D562" s="111">
        <v>2025</v>
      </c>
      <c r="E562" s="113" t="s">
        <v>40</v>
      </c>
      <c r="F562" s="114">
        <v>620605</v>
      </c>
      <c r="G562" s="114">
        <v>617768</v>
      </c>
      <c r="H562" s="114">
        <v>37595.0098</v>
      </c>
      <c r="I562" s="114">
        <v>1514</v>
      </c>
      <c r="J562" s="115">
        <v>0.00253472222222222</v>
      </c>
      <c r="K562" s="114">
        <v>14.72</v>
      </c>
      <c r="L562" s="114">
        <v>220</v>
      </c>
      <c r="M562" s="114">
        <v>5430738</v>
      </c>
      <c r="N562" s="114">
        <v>9.09</v>
      </c>
      <c r="O562" s="114">
        <v>416092</v>
      </c>
      <c r="P562" s="114">
        <v>269411</v>
      </c>
      <c r="Q562" s="114">
        <v>146681</v>
      </c>
      <c r="R562" s="114">
        <v>141147</v>
      </c>
      <c r="S562" s="114">
        <v>5534</v>
      </c>
      <c r="T562" s="114">
        <v>3340</v>
      </c>
      <c r="U562" s="114">
        <v>1826</v>
      </c>
      <c r="V562" s="114">
        <v>2820</v>
      </c>
      <c r="W562" s="114">
        <v>74</v>
      </c>
      <c r="X562" s="114">
        <v>784</v>
      </c>
      <c r="Y562" s="114">
        <v>1637</v>
      </c>
      <c r="Z562" s="114">
        <v>3202183.374</v>
      </c>
      <c r="AA562" s="114">
        <v>0</v>
      </c>
      <c r="AB562" s="114">
        <v>0</v>
      </c>
      <c r="AC562" s="114">
        <v>117311.762</v>
      </c>
      <c r="AD562" s="114">
        <v>3084437.126</v>
      </c>
      <c r="AE562" s="114">
        <v>5623031.8</v>
      </c>
      <c r="AF562" s="114">
        <v>488636</v>
      </c>
      <c r="AG562" s="114">
        <v>11507.609</v>
      </c>
      <c r="AH562" s="114">
        <v>380082</v>
      </c>
      <c r="AI562" s="114">
        <v>5183.473</v>
      </c>
      <c r="AJ562" s="114">
        <v>83</v>
      </c>
      <c r="AK562" s="114">
        <v>4301</v>
      </c>
      <c r="AL562" s="114">
        <v>0</v>
      </c>
      <c r="AM562" s="114">
        <v>0</v>
      </c>
      <c r="AN562" s="114">
        <v>8709</v>
      </c>
      <c r="AO562" s="114">
        <v>798.8722</v>
      </c>
      <c r="AP562" s="114">
        <v>82.1888</v>
      </c>
      <c r="AQ562" s="114">
        <v>104</v>
      </c>
      <c r="AR562" s="114">
        <v>3494</v>
      </c>
      <c r="AS562" s="114">
        <v>11540</v>
      </c>
      <c r="AT562" s="114"/>
      <c r="AU562" s="114">
        <v>2328</v>
      </c>
      <c r="AV562" s="114">
        <v>0</v>
      </c>
      <c r="AW562" s="114">
        <v>0</v>
      </c>
      <c r="AX562" s="114">
        <v>10</v>
      </c>
      <c r="AY562" s="114">
        <v>4089</v>
      </c>
      <c r="AZ562" s="114">
        <v>4247</v>
      </c>
      <c r="BA562" s="114">
        <v>129137</v>
      </c>
      <c r="BB562" s="116"/>
      <c r="BC562" s="116"/>
      <c r="BD562" s="116"/>
      <c r="BE562" s="116"/>
      <c r="BF562" s="116"/>
      <c r="BG562" s="116"/>
      <c r="BH562" s="116"/>
      <c r="BI562" s="116"/>
      <c r="BJ562" s="117">
        <v>2082647</v>
      </c>
      <c r="BK562" s="117">
        <v>1514</v>
      </c>
      <c r="BL562" s="117">
        <v>397147</v>
      </c>
      <c r="BM562" s="118">
        <v>2503930</v>
      </c>
      <c r="BN562" s="118">
        <v>147.29</v>
      </c>
      <c r="BO562" s="120">
        <v>0.483</v>
      </c>
      <c r="BP562" s="120">
        <v>0.517</v>
      </c>
      <c r="BQ562" s="134">
        <v>0</v>
      </c>
      <c r="BR562" s="120">
        <v>0.015</v>
      </c>
      <c r="BS562" s="120">
        <v>0.087</v>
      </c>
      <c r="BT562" s="120">
        <v>0.338</v>
      </c>
      <c r="BU562" s="120">
        <v>0.243</v>
      </c>
      <c r="BV562" s="120">
        <v>0.162</v>
      </c>
      <c r="BW562" s="120">
        <v>0.109</v>
      </c>
      <c r="BX562" s="120">
        <v>0.047</v>
      </c>
    </row>
    <row r="563" s="96" customFormat="1" ht="15.75" customHeight="1" spans="1:76">
      <c r="A563" s="111">
        <v>562</v>
      </c>
      <c r="B563" s="112" t="s">
        <v>53</v>
      </c>
      <c r="C563" s="112" t="s">
        <v>141</v>
      </c>
      <c r="D563" s="111">
        <v>2025</v>
      </c>
      <c r="E563" s="113" t="s">
        <v>41</v>
      </c>
      <c r="F563" s="114">
        <v>642711</v>
      </c>
      <c r="G563" s="114">
        <v>609106</v>
      </c>
      <c r="H563" s="114">
        <v>37540.3116</v>
      </c>
      <c r="I563" s="114">
        <v>966</v>
      </c>
      <c r="J563" s="115">
        <v>0.00255787037037037</v>
      </c>
      <c r="K563" s="114">
        <v>9.56</v>
      </c>
      <c r="L563" s="114">
        <v>239</v>
      </c>
      <c r="M563" s="114">
        <v>5503322</v>
      </c>
      <c r="N563" s="114">
        <v>8.79</v>
      </c>
      <c r="O563" s="114">
        <v>413794</v>
      </c>
      <c r="P563" s="114">
        <v>252542</v>
      </c>
      <c r="Q563" s="114">
        <v>161252</v>
      </c>
      <c r="R563" s="114">
        <v>155063</v>
      </c>
      <c r="S563" s="114">
        <v>6189</v>
      </c>
      <c r="T563" s="114">
        <v>2822</v>
      </c>
      <c r="U563" s="114">
        <v>1856</v>
      </c>
      <c r="V563" s="114">
        <v>3228</v>
      </c>
      <c r="W563" s="114">
        <v>-6</v>
      </c>
      <c r="X563" s="114">
        <v>868</v>
      </c>
      <c r="Y563" s="114">
        <v>1190</v>
      </c>
      <c r="Z563" s="114">
        <v>3433428.139</v>
      </c>
      <c r="AA563" s="114">
        <v>0</v>
      </c>
      <c r="AB563" s="114">
        <v>4</v>
      </c>
      <c r="AC563" s="114">
        <v>143737.162</v>
      </c>
      <c r="AD563" s="114">
        <v>3280982.571</v>
      </c>
      <c r="AE563" s="114">
        <v>6059968.541</v>
      </c>
      <c r="AF563" s="114">
        <v>514179</v>
      </c>
      <c r="AG563" s="114">
        <v>11785.718</v>
      </c>
      <c r="AH563" s="114">
        <v>387338</v>
      </c>
      <c r="AI563" s="114">
        <v>5636.833</v>
      </c>
      <c r="AJ563" s="114">
        <v>101</v>
      </c>
      <c r="AK563" s="114">
        <v>5262</v>
      </c>
      <c r="AL563" s="114">
        <v>159405.157</v>
      </c>
      <c r="AM563" s="114">
        <v>2</v>
      </c>
      <c r="AN563" s="114">
        <v>13159</v>
      </c>
      <c r="AO563" s="114">
        <v>1016.5611</v>
      </c>
      <c r="AP563" s="114">
        <v>100.3198</v>
      </c>
      <c r="AQ563" s="114">
        <v>189</v>
      </c>
      <c r="AR563" s="114">
        <v>4308</v>
      </c>
      <c r="AS563" s="114">
        <v>8497</v>
      </c>
      <c r="AT563" s="114"/>
      <c r="AU563" s="114">
        <v>2385</v>
      </c>
      <c r="AV563" s="114">
        <v>0</v>
      </c>
      <c r="AW563" s="114">
        <v>0</v>
      </c>
      <c r="AX563" s="114">
        <v>45</v>
      </c>
      <c r="AY563" s="114">
        <v>5970</v>
      </c>
      <c r="AZ563" s="114">
        <v>4035</v>
      </c>
      <c r="BA563" s="114">
        <v>148040</v>
      </c>
      <c r="BB563" s="116"/>
      <c r="BC563" s="116"/>
      <c r="BD563" s="116"/>
      <c r="BE563" s="116"/>
      <c r="BF563" s="116"/>
      <c r="BG563" s="116"/>
      <c r="BH563" s="116"/>
      <c r="BI563" s="116"/>
      <c r="BJ563" s="117">
        <v>2083613</v>
      </c>
      <c r="BK563" s="133">
        <v>966</v>
      </c>
      <c r="BL563" s="117">
        <v>264285</v>
      </c>
      <c r="BM563" s="118">
        <v>1745730</v>
      </c>
      <c r="BN563" s="118">
        <v>102.69</v>
      </c>
      <c r="BO563" s="120">
        <v>0.419</v>
      </c>
      <c r="BP563" s="120">
        <v>0.581</v>
      </c>
      <c r="BQ563" s="134">
        <v>0</v>
      </c>
      <c r="BR563" s="120">
        <v>0.012</v>
      </c>
      <c r="BS563" s="120">
        <v>0.077</v>
      </c>
      <c r="BT563" s="120">
        <v>0.306</v>
      </c>
      <c r="BU563" s="120">
        <v>0.229</v>
      </c>
      <c r="BV563" s="120">
        <v>0.18</v>
      </c>
      <c r="BW563" s="120">
        <v>0.133</v>
      </c>
      <c r="BX563" s="120">
        <v>0.063</v>
      </c>
    </row>
    <row r="564" s="96" customFormat="1" ht="15.75" customHeight="1" spans="1:76">
      <c r="A564" s="111">
        <v>563</v>
      </c>
      <c r="B564" s="112" t="s">
        <v>53</v>
      </c>
      <c r="C564" s="112" t="s">
        <v>141</v>
      </c>
      <c r="D564" s="111">
        <v>2025</v>
      </c>
      <c r="E564" s="113" t="s">
        <v>42</v>
      </c>
      <c r="F564" s="114">
        <v>742505</v>
      </c>
      <c r="G564" s="114">
        <v>632079</v>
      </c>
      <c r="H564" s="114">
        <v>27625.2087</v>
      </c>
      <c r="I564" s="114">
        <v>136</v>
      </c>
      <c r="J564" s="115">
        <v>0.00180555555555556</v>
      </c>
      <c r="K564" s="114">
        <v>20.75</v>
      </c>
      <c r="L564" s="114">
        <v>289</v>
      </c>
      <c r="M564" s="114">
        <v>4855150</v>
      </c>
      <c r="N564" s="114">
        <v>9.58</v>
      </c>
      <c r="O564" s="114">
        <v>449631</v>
      </c>
      <c r="P564" s="114">
        <v>276431</v>
      </c>
      <c r="Q564" s="114">
        <v>173506</v>
      </c>
      <c r="R564" s="114">
        <v>165812</v>
      </c>
      <c r="S564" s="114">
        <v>7694</v>
      </c>
      <c r="T564" s="114">
        <v>1940</v>
      </c>
      <c r="U564" s="114">
        <v>1804</v>
      </c>
      <c r="V564" s="114">
        <v>4404</v>
      </c>
      <c r="W564" s="114">
        <v>147</v>
      </c>
      <c r="X564" s="114">
        <v>645</v>
      </c>
      <c r="Y564" s="114">
        <v>1497</v>
      </c>
      <c r="Z564" s="114">
        <v>2424995.703</v>
      </c>
      <c r="AA564" s="114">
        <v>0</v>
      </c>
      <c r="AB564" s="114">
        <v>7</v>
      </c>
      <c r="AC564" s="114">
        <v>74494.392</v>
      </c>
      <c r="AD564" s="114">
        <v>2307911.861</v>
      </c>
      <c r="AE564" s="114">
        <v>4196242.082</v>
      </c>
      <c r="AF564" s="114">
        <v>422159</v>
      </c>
      <c r="AG564" s="114">
        <v>9939.956</v>
      </c>
      <c r="AH564" s="114">
        <v>350248</v>
      </c>
      <c r="AI564" s="114">
        <v>3836.538</v>
      </c>
      <c r="AJ564" s="114">
        <v>91</v>
      </c>
      <c r="AK564" s="114">
        <v>5926</v>
      </c>
      <c r="AL564" s="114">
        <v>391861.714</v>
      </c>
      <c r="AM564" s="114">
        <v>6</v>
      </c>
      <c r="AN564" s="114">
        <v>10476</v>
      </c>
      <c r="AO564" s="114">
        <v>492.0055</v>
      </c>
      <c r="AP564" s="114">
        <v>77.8208</v>
      </c>
      <c r="AQ564" s="114">
        <v>50</v>
      </c>
      <c r="AR564" s="114">
        <v>1272</v>
      </c>
      <c r="AS564" s="114">
        <v>3406</v>
      </c>
      <c r="AT564" s="114"/>
      <c r="AU564" s="114">
        <v>2248</v>
      </c>
      <c r="AV564" s="114">
        <v>2</v>
      </c>
      <c r="AW564" s="114">
        <v>0.0352</v>
      </c>
      <c r="AX564" s="114">
        <v>17</v>
      </c>
      <c r="AY564" s="114">
        <v>2398</v>
      </c>
      <c r="AZ564" s="114">
        <v>4753</v>
      </c>
      <c r="BA564" s="114">
        <v>130428</v>
      </c>
      <c r="BB564" s="116"/>
      <c r="BC564" s="116"/>
      <c r="BD564" s="116"/>
      <c r="BE564" s="116"/>
      <c r="BF564" s="116"/>
      <c r="BG564" s="116"/>
      <c r="BH564" s="116"/>
      <c r="BI564" s="116"/>
      <c r="BJ564" s="117">
        <v>2083749</v>
      </c>
      <c r="BK564" s="133">
        <v>136</v>
      </c>
      <c r="BL564" s="117">
        <v>565662</v>
      </c>
      <c r="BM564" s="118">
        <v>1857250</v>
      </c>
      <c r="BN564" s="118">
        <v>109.25</v>
      </c>
      <c r="BO564" s="120">
        <v>0.443</v>
      </c>
      <c r="BP564" s="120">
        <v>0.557</v>
      </c>
      <c r="BQ564" s="120">
        <v>0</v>
      </c>
      <c r="BR564" s="120">
        <v>0.011</v>
      </c>
      <c r="BS564" s="120">
        <v>0.064</v>
      </c>
      <c r="BT564" s="120">
        <v>0.294</v>
      </c>
      <c r="BU564" s="120">
        <v>0.219</v>
      </c>
      <c r="BV564" s="120">
        <v>0.183</v>
      </c>
      <c r="BW564" s="120">
        <v>0.154</v>
      </c>
      <c r="BX564" s="120">
        <v>0.074</v>
      </c>
    </row>
    <row r="565" s="96" customFormat="1" ht="15.75" customHeight="1" spans="1:76">
      <c r="A565" s="111">
        <v>564</v>
      </c>
      <c r="B565" s="112" t="s">
        <v>53</v>
      </c>
      <c r="C565" s="112" t="s">
        <v>141</v>
      </c>
      <c r="D565" s="111">
        <v>2025</v>
      </c>
      <c r="E565" s="113" t="s">
        <v>43</v>
      </c>
      <c r="F565" s="114">
        <v>991861</v>
      </c>
      <c r="G565" s="114">
        <v>917348</v>
      </c>
      <c r="H565" s="114">
        <v>97325.1654</v>
      </c>
      <c r="I565" s="114">
        <v>651</v>
      </c>
      <c r="J565" s="115">
        <v>0.00440972222222222</v>
      </c>
      <c r="K565" s="114">
        <v>15.81</v>
      </c>
      <c r="L565" s="114">
        <v>291</v>
      </c>
      <c r="M565" s="114">
        <v>9327715</v>
      </c>
      <c r="N565" s="114">
        <v>7.05</v>
      </c>
      <c r="O565" s="114">
        <v>601655</v>
      </c>
      <c r="P565" s="114">
        <v>443279</v>
      </c>
      <c r="Q565" s="114">
        <v>158181</v>
      </c>
      <c r="R565" s="114">
        <v>151499</v>
      </c>
      <c r="S565" s="114">
        <v>6682</v>
      </c>
      <c r="T565" s="114">
        <v>2499</v>
      </c>
      <c r="U565" s="114">
        <v>1848</v>
      </c>
      <c r="V565" s="114">
        <v>4872</v>
      </c>
      <c r="W565" s="114">
        <v>372</v>
      </c>
      <c r="X565" s="114">
        <v>1202</v>
      </c>
      <c r="Y565" s="114">
        <v>1029</v>
      </c>
      <c r="Z565" s="114">
        <v>5050009.361</v>
      </c>
      <c r="AA565" s="114">
        <v>42937.743</v>
      </c>
      <c r="AB565" s="114">
        <v>4</v>
      </c>
      <c r="AC565" s="114">
        <v>187424.582</v>
      </c>
      <c r="AD565" s="114">
        <v>4791210.491</v>
      </c>
      <c r="AE565" s="114">
        <v>8715020.798</v>
      </c>
      <c r="AF565" s="114">
        <v>941424</v>
      </c>
      <c r="AG565" s="114">
        <v>9257.275</v>
      </c>
      <c r="AH565" s="114">
        <v>644412</v>
      </c>
      <c r="AI565" s="114">
        <v>5505.007</v>
      </c>
      <c r="AJ565" s="114">
        <v>283</v>
      </c>
      <c r="AK565" s="114">
        <v>21730</v>
      </c>
      <c r="AL565" s="114">
        <v>98451.691</v>
      </c>
      <c r="AM565" s="114">
        <v>3</v>
      </c>
      <c r="AN565" s="114">
        <v>21290</v>
      </c>
      <c r="AO565" s="114">
        <v>2126.8654</v>
      </c>
      <c r="AP565" s="114">
        <v>67.7437</v>
      </c>
      <c r="AQ565" s="114">
        <v>112</v>
      </c>
      <c r="AR565" s="114">
        <v>3704</v>
      </c>
      <c r="AS565" s="114">
        <v>6075</v>
      </c>
      <c r="AT565" s="114"/>
      <c r="AU565" s="114">
        <v>2022</v>
      </c>
      <c r="AV565" s="114">
        <v>2</v>
      </c>
      <c r="AW565" s="114">
        <v>0.0227</v>
      </c>
      <c r="AX565" s="114">
        <v>1</v>
      </c>
      <c r="AY565" s="114">
        <v>653</v>
      </c>
      <c r="AZ565" s="114">
        <v>5156</v>
      </c>
      <c r="BA565" s="114">
        <v>132779</v>
      </c>
      <c r="BB565" s="116"/>
      <c r="BC565" s="116"/>
      <c r="BD565" s="116"/>
      <c r="BE565" s="116"/>
      <c r="BF565" s="116"/>
      <c r="BG565" s="116"/>
      <c r="BH565" s="116"/>
      <c r="BI565" s="116"/>
      <c r="BJ565" s="117">
        <v>2084397</v>
      </c>
      <c r="BK565" s="133">
        <v>648</v>
      </c>
      <c r="BL565" s="117">
        <v>756028</v>
      </c>
      <c r="BM565" s="118">
        <v>4411500</v>
      </c>
      <c r="BN565" s="118">
        <v>259.5</v>
      </c>
      <c r="BO565" s="120">
        <v>0.555</v>
      </c>
      <c r="BP565" s="120">
        <v>0.445</v>
      </c>
      <c r="BQ565" s="134">
        <v>0</v>
      </c>
      <c r="BR565" s="120">
        <v>0.014</v>
      </c>
      <c r="BS565" s="120">
        <v>0.073</v>
      </c>
      <c r="BT565" s="120">
        <v>0.308</v>
      </c>
      <c r="BU565" s="120">
        <v>0.21</v>
      </c>
      <c r="BV565" s="120">
        <v>0.177</v>
      </c>
      <c r="BW565" s="120">
        <v>0.149</v>
      </c>
      <c r="BX565" s="120">
        <v>0.069</v>
      </c>
    </row>
    <row r="566" s="96" customFormat="1" ht="15.75" customHeight="1" spans="1:76">
      <c r="A566" s="111">
        <v>565</v>
      </c>
      <c r="B566" s="112" t="s">
        <v>53</v>
      </c>
      <c r="C566" s="112" t="s">
        <v>141</v>
      </c>
      <c r="D566" s="111">
        <v>2026</v>
      </c>
      <c r="E566" s="112" t="s">
        <v>31</v>
      </c>
      <c r="F566" s="121">
        <v>808724</v>
      </c>
      <c r="G566" s="114">
        <v>726331</v>
      </c>
      <c r="H566" s="114">
        <v>51647.0295</v>
      </c>
      <c r="I566" s="114">
        <v>334</v>
      </c>
      <c r="J566" s="115">
        <v>0.00295138888888889</v>
      </c>
      <c r="K566" s="114">
        <v>26.4</v>
      </c>
      <c r="L566" s="114">
        <v>312</v>
      </c>
      <c r="M566" s="114">
        <v>5552603</v>
      </c>
      <c r="N566" s="114">
        <v>9.41</v>
      </c>
      <c r="O566" s="114">
        <v>450895</v>
      </c>
      <c r="P566" s="114">
        <v>276919</v>
      </c>
      <c r="Q566" s="114">
        <v>174109</v>
      </c>
      <c r="R566" s="114">
        <v>166108</v>
      </c>
      <c r="S566" s="114">
        <v>8001</v>
      </c>
      <c r="T566" s="114">
        <v>2164</v>
      </c>
      <c r="U566" s="114">
        <v>1830</v>
      </c>
      <c r="V566" s="114">
        <v>6843</v>
      </c>
      <c r="W566" s="114">
        <v>154</v>
      </c>
      <c r="X566" s="114">
        <v>1046</v>
      </c>
      <c r="Y566" s="114">
        <v>1612</v>
      </c>
      <c r="Z566" s="121">
        <v>3309757</v>
      </c>
      <c r="AA566" s="114">
        <v>0</v>
      </c>
      <c r="AB566" s="114">
        <v>1</v>
      </c>
      <c r="AC566" s="114">
        <v>100153.5</v>
      </c>
      <c r="AD566" s="114">
        <v>3080015.183</v>
      </c>
      <c r="AE566" s="114">
        <v>5603304.14</v>
      </c>
      <c r="AF566" s="114">
        <v>572337</v>
      </c>
      <c r="AG566" s="114">
        <v>9790.218</v>
      </c>
      <c r="AH566" s="114">
        <v>444591</v>
      </c>
      <c r="AI566" s="114">
        <v>4414.098</v>
      </c>
      <c r="AJ566" s="114">
        <v>122</v>
      </c>
      <c r="AK566" s="114">
        <v>17595</v>
      </c>
      <c r="AL566" s="114">
        <v>25485.5</v>
      </c>
      <c r="AM566" s="114">
        <v>1</v>
      </c>
      <c r="AN566" s="114">
        <v>9834</v>
      </c>
      <c r="AO566" s="114">
        <v>723.4672</v>
      </c>
      <c r="AP566" s="114">
        <v>54.6864</v>
      </c>
      <c r="AQ566" s="114">
        <v>124</v>
      </c>
      <c r="AR566" s="114">
        <v>22</v>
      </c>
      <c r="AS566" s="114">
        <v>1327</v>
      </c>
      <c r="AT566" s="114">
        <v>1</v>
      </c>
      <c r="AU566" s="114">
        <v>3693</v>
      </c>
      <c r="AV566" s="114">
        <v>2</v>
      </c>
      <c r="AW566" s="114">
        <v>0.0141</v>
      </c>
      <c r="AX566" s="114">
        <v>2</v>
      </c>
      <c r="AY566" s="114">
        <v>248</v>
      </c>
      <c r="AZ566" s="114">
        <v>3893</v>
      </c>
      <c r="BA566" s="114">
        <v>114162</v>
      </c>
      <c r="BB566" s="116"/>
      <c r="BC566" s="116"/>
      <c r="BD566" s="116"/>
      <c r="BE566" s="116"/>
      <c r="BF566" s="116"/>
      <c r="BG566" s="116"/>
      <c r="BH566" s="116"/>
      <c r="BI566" s="116"/>
      <c r="BJ566" s="117">
        <v>2084733</v>
      </c>
      <c r="BK566" s="133">
        <v>333</v>
      </c>
      <c r="BL566" s="117">
        <v>558833</v>
      </c>
      <c r="BM566" s="118">
        <v>2142918</v>
      </c>
      <c r="BN566" s="118"/>
      <c r="BO566" s="120">
        <v>0.409</v>
      </c>
      <c r="BP566" s="120">
        <v>0.592</v>
      </c>
      <c r="BQ566" s="134">
        <v>0</v>
      </c>
      <c r="BR566" s="120">
        <v>0.012</v>
      </c>
      <c r="BS566" s="120">
        <v>0.064</v>
      </c>
      <c r="BT566" s="120">
        <v>0.292</v>
      </c>
      <c r="BU566" s="120">
        <v>0.201</v>
      </c>
      <c r="BV566" s="120">
        <v>0.171</v>
      </c>
      <c r="BW566" s="120">
        <v>0.16</v>
      </c>
      <c r="BX566" s="120">
        <v>0.101</v>
      </c>
    </row>
    <row r="567" s="96" customFormat="1" ht="15.75" customHeight="1" spans="1:76">
      <c r="A567" s="111">
        <v>566</v>
      </c>
      <c r="B567" s="112" t="s">
        <v>53</v>
      </c>
      <c r="C567" s="112" t="s">
        <v>141</v>
      </c>
      <c r="D567" s="111">
        <v>2026</v>
      </c>
      <c r="E567" s="112" t="s">
        <v>33</v>
      </c>
      <c r="F567" s="114">
        <v>819342</v>
      </c>
      <c r="G567" s="114">
        <v>774674</v>
      </c>
      <c r="H567" s="114">
        <v>50639.4096</v>
      </c>
      <c r="I567" s="114">
        <v>772</v>
      </c>
      <c r="J567" s="115">
        <v>0.00271990740740741</v>
      </c>
      <c r="K567" s="114">
        <v>23.22</v>
      </c>
      <c r="L567" s="114">
        <v>429</v>
      </c>
      <c r="M567" s="114">
        <v>7269869</v>
      </c>
      <c r="N567" s="114">
        <v>8.01</v>
      </c>
      <c r="O567" s="114">
        <v>518370</v>
      </c>
      <c r="P567" s="114">
        <v>330878</v>
      </c>
      <c r="Q567" s="114">
        <v>186597</v>
      </c>
      <c r="R567" s="114">
        <v>177538</v>
      </c>
      <c r="S567" s="114">
        <v>9059</v>
      </c>
      <c r="T567" s="114">
        <v>2564</v>
      </c>
      <c r="U567" s="114">
        <v>1792</v>
      </c>
      <c r="V567" s="114">
        <v>6317</v>
      </c>
      <c r="W567" s="114">
        <v>185</v>
      </c>
      <c r="X567" s="114">
        <v>1903</v>
      </c>
      <c r="Y567" s="114">
        <v>1119</v>
      </c>
      <c r="Z567" s="114">
        <v>4506881.892</v>
      </c>
      <c r="AA567" s="114">
        <v>0</v>
      </c>
      <c r="AB567" s="114">
        <v>3</v>
      </c>
      <c r="AC567" s="114">
        <v>165056.134</v>
      </c>
      <c r="AD567" s="114">
        <v>4323693.108</v>
      </c>
      <c r="AE567" s="114">
        <v>7859770.891</v>
      </c>
      <c r="AF567" s="114">
        <v>727705</v>
      </c>
      <c r="AG567" s="114">
        <v>10800.765</v>
      </c>
      <c r="AH567" s="114">
        <v>566671</v>
      </c>
      <c r="AI567" s="114">
        <v>5816.691</v>
      </c>
      <c r="AJ567" s="114">
        <v>122</v>
      </c>
      <c r="AK567" s="114">
        <v>27904</v>
      </c>
      <c r="AL567" s="114">
        <v>53144.677</v>
      </c>
      <c r="AM567" s="114">
        <v>3</v>
      </c>
      <c r="AN567" s="114">
        <v>17366</v>
      </c>
      <c r="AO567" s="114">
        <v>1144.165</v>
      </c>
      <c r="AP567" s="114">
        <v>121.3334</v>
      </c>
      <c r="AQ567" s="114">
        <v>124</v>
      </c>
      <c r="AR567" s="114">
        <v>341</v>
      </c>
      <c r="AS567" s="114">
        <v>1796</v>
      </c>
      <c r="AT567" s="114">
        <v>2</v>
      </c>
      <c r="AU567" s="114">
        <v>15754</v>
      </c>
      <c r="AV567" s="114">
        <v>30</v>
      </c>
      <c r="AW567" s="114">
        <v>1.8875</v>
      </c>
      <c r="AX567" s="114">
        <v>0</v>
      </c>
      <c r="AY567" s="114">
        <v>97</v>
      </c>
      <c r="AZ567" s="114">
        <v>6213</v>
      </c>
      <c r="BA567" s="114">
        <v>230542</v>
      </c>
      <c r="BB567" s="116"/>
      <c r="BC567" s="116"/>
      <c r="BD567" s="116"/>
      <c r="BE567" s="116"/>
      <c r="BF567" s="116"/>
      <c r="BG567" s="116"/>
      <c r="BH567" s="116"/>
      <c r="BI567" s="116"/>
      <c r="BJ567" s="117">
        <v>2085506</v>
      </c>
      <c r="BK567" s="133">
        <v>772</v>
      </c>
      <c r="BL567" s="117">
        <v>503495</v>
      </c>
      <c r="BM567" s="118">
        <v>3021356</v>
      </c>
      <c r="BN567" s="118"/>
      <c r="BO567" s="120">
        <v>0.485</v>
      </c>
      <c r="BP567" s="120">
        <v>0.515</v>
      </c>
      <c r="BQ567" s="120">
        <v>0</v>
      </c>
      <c r="BR567" s="120">
        <v>0.011</v>
      </c>
      <c r="BS567" s="120">
        <v>0.059</v>
      </c>
      <c r="BT567" s="120">
        <v>0.282</v>
      </c>
      <c r="BU567" s="120">
        <v>0.2185</v>
      </c>
      <c r="BV567" s="120">
        <v>0.181</v>
      </c>
      <c r="BW567" s="120">
        <v>0.154</v>
      </c>
      <c r="BX567" s="120">
        <v>0.096</v>
      </c>
    </row>
    <row r="568" s="96" customFormat="1" ht="15.75" customHeight="1" spans="1:76">
      <c r="A568" s="111">
        <v>567</v>
      </c>
      <c r="B568" s="112" t="s">
        <v>53</v>
      </c>
      <c r="C568" s="112" t="s">
        <v>141</v>
      </c>
      <c r="D568" s="111">
        <v>2026</v>
      </c>
      <c r="E568" s="113" t="s">
        <v>34</v>
      </c>
      <c r="F568" s="114">
        <v>843818</v>
      </c>
      <c r="G568" s="114">
        <v>809598</v>
      </c>
      <c r="H568" s="114">
        <v>53819.8277</v>
      </c>
      <c r="I568" s="114">
        <v>185</v>
      </c>
      <c r="J568" s="115">
        <v>0.0027662037037037</v>
      </c>
      <c r="K568" s="114">
        <v>5.1</v>
      </c>
      <c r="L568" s="114">
        <v>399</v>
      </c>
      <c r="M568" s="114">
        <v>7474283</v>
      </c>
      <c r="N568" s="114">
        <v>8.62</v>
      </c>
      <c r="O568" s="114">
        <v>601186</v>
      </c>
      <c r="P568" s="114">
        <v>408662</v>
      </c>
      <c r="Q568" s="114">
        <v>168425</v>
      </c>
      <c r="R568" s="114">
        <v>159766</v>
      </c>
      <c r="S568" s="114">
        <v>8659</v>
      </c>
      <c r="T568" s="114">
        <v>1997</v>
      </c>
      <c r="U568" s="114">
        <v>1812</v>
      </c>
      <c r="V568" s="114">
        <v>4788</v>
      </c>
      <c r="W568" s="114">
        <v>140</v>
      </c>
      <c r="X568" s="114">
        <v>855</v>
      </c>
      <c r="Y568" s="114">
        <v>669</v>
      </c>
      <c r="Z568" s="114">
        <v>4300156.087</v>
      </c>
      <c r="AA568" s="114">
        <v>0</v>
      </c>
      <c r="AB568" s="114">
        <v>4</v>
      </c>
      <c r="AC568" s="114">
        <v>96073.093</v>
      </c>
      <c r="AD568" s="114">
        <v>4161890.061</v>
      </c>
      <c r="AE568" s="114">
        <v>7565773.391</v>
      </c>
      <c r="AF568" s="114">
        <v>784543</v>
      </c>
      <c r="AG568" s="114">
        <v>9643.542</v>
      </c>
      <c r="AH568" s="114">
        <v>565083</v>
      </c>
      <c r="AI568" s="114">
        <v>5305.142</v>
      </c>
      <c r="AJ568" s="114">
        <v>851</v>
      </c>
      <c r="AK568" s="114">
        <v>27572</v>
      </c>
      <c r="AL568" s="114">
        <v>175369.981</v>
      </c>
      <c r="AM568" s="114">
        <v>3</v>
      </c>
      <c r="AN568" s="114">
        <v>10878</v>
      </c>
      <c r="AO568" s="114">
        <v>751.6981</v>
      </c>
      <c r="AP568" s="114">
        <v>201.1035</v>
      </c>
      <c r="AQ568" s="114">
        <v>153</v>
      </c>
      <c r="AR568" s="114">
        <v>18351</v>
      </c>
      <c r="AS568" s="114">
        <v>21291</v>
      </c>
      <c r="AT568" s="114"/>
      <c r="AU568" s="114">
        <v>4767</v>
      </c>
      <c r="AV568" s="114">
        <v>0</v>
      </c>
      <c r="AW568" s="114">
        <v>0</v>
      </c>
      <c r="AX568" s="114">
        <v>2</v>
      </c>
      <c r="AY568" s="114">
        <v>91</v>
      </c>
      <c r="AZ568" s="114">
        <v>2806</v>
      </c>
      <c r="BA568" s="114">
        <v>99553</v>
      </c>
      <c r="BB568" s="116"/>
      <c r="BC568" s="116"/>
      <c r="BD568" s="116"/>
      <c r="BE568" s="116"/>
      <c r="BF568" s="116"/>
      <c r="BG568" s="116"/>
      <c r="BH568" s="116"/>
      <c r="BI568" s="116"/>
      <c r="BJ568" s="117">
        <v>2085690</v>
      </c>
      <c r="BK568" s="133">
        <v>185</v>
      </c>
      <c r="BL568" s="117">
        <v>577100</v>
      </c>
      <c r="BM568" s="118">
        <v>2853114</v>
      </c>
      <c r="BN568" s="118"/>
      <c r="BO568" s="120">
        <v>0.587</v>
      </c>
      <c r="BP568" s="120">
        <v>0.413</v>
      </c>
      <c r="BQ568" s="120">
        <v>0</v>
      </c>
      <c r="BR568" s="120">
        <v>0.014</v>
      </c>
      <c r="BS568" s="120">
        <v>0.072</v>
      </c>
      <c r="BT568" s="120">
        <v>0.337</v>
      </c>
      <c r="BU568" s="120">
        <v>0.243</v>
      </c>
      <c r="BV568" s="120">
        <v>0.164</v>
      </c>
      <c r="BW568" s="120">
        <v>0.114</v>
      </c>
      <c r="BX568" s="120">
        <v>0.056</v>
      </c>
    </row>
    <row r="569" s="96" customFormat="1" ht="15.75" customHeight="1" spans="1:76">
      <c r="A569" s="111">
        <v>568</v>
      </c>
      <c r="B569" s="112" t="s">
        <v>53</v>
      </c>
      <c r="C569" s="112" t="s">
        <v>141</v>
      </c>
      <c r="D569" s="111">
        <v>2026</v>
      </c>
      <c r="E569" s="113" t="s">
        <v>35</v>
      </c>
      <c r="F569" s="114">
        <v>1659365</v>
      </c>
      <c r="G569" s="114">
        <v>1318396</v>
      </c>
      <c r="H569" s="114">
        <v>48640.7045</v>
      </c>
      <c r="I569" s="114">
        <v>372</v>
      </c>
      <c r="J569" s="115">
        <v>0.00152777777777778</v>
      </c>
      <c r="K569" s="114">
        <v>2.32</v>
      </c>
      <c r="L569" s="114">
        <v>228</v>
      </c>
      <c r="M569" s="114">
        <v>9214621</v>
      </c>
      <c r="N569" s="114">
        <v>10.39</v>
      </c>
      <c r="O569" s="114">
        <v>919445</v>
      </c>
      <c r="P569" s="114">
        <v>669454</v>
      </c>
      <c r="Q569" s="114">
        <v>222966</v>
      </c>
      <c r="R569" s="114">
        <v>210905</v>
      </c>
      <c r="S569" s="114">
        <v>12061</v>
      </c>
      <c r="T569" s="114">
        <v>2527</v>
      </c>
      <c r="U569" s="114">
        <v>2155</v>
      </c>
      <c r="V569" s="114">
        <v>4841</v>
      </c>
      <c r="W569" s="114">
        <v>202</v>
      </c>
      <c r="X569" s="114">
        <v>880</v>
      </c>
      <c r="Y569" s="114">
        <v>629</v>
      </c>
      <c r="Z569" s="114">
        <v>6074731.56</v>
      </c>
      <c r="AA569" s="114">
        <v>0</v>
      </c>
      <c r="AB569" s="114">
        <v>2</v>
      </c>
      <c r="AC569" s="114">
        <v>95342.85</v>
      </c>
      <c r="AD569" s="114">
        <v>5962671.323</v>
      </c>
      <c r="AE569" s="114">
        <v>10740507.5</v>
      </c>
      <c r="AF569" s="114">
        <v>1155337</v>
      </c>
      <c r="AG569" s="114">
        <v>9296.428</v>
      </c>
      <c r="AH569" s="114">
        <v>864908</v>
      </c>
      <c r="AI569" s="114">
        <v>4675.564</v>
      </c>
      <c r="AJ569" s="114">
        <v>283</v>
      </c>
      <c r="AK569" s="114">
        <v>27020</v>
      </c>
      <c r="AL569" s="114">
        <v>48789.527</v>
      </c>
      <c r="AM569" s="114">
        <v>2</v>
      </c>
      <c r="AN569" s="114">
        <v>22356</v>
      </c>
      <c r="AO569" s="114">
        <v>759.2574</v>
      </c>
      <c r="AP569" s="114">
        <v>263.768</v>
      </c>
      <c r="AQ569" s="114">
        <v>414</v>
      </c>
      <c r="AR569" s="114">
        <v>1330</v>
      </c>
      <c r="AS569" s="114">
        <v>12046</v>
      </c>
      <c r="AT569" s="114"/>
      <c r="AU569" s="114">
        <v>5899</v>
      </c>
      <c r="AV569" s="114">
        <v>1</v>
      </c>
      <c r="AW569" s="114">
        <v>0.008</v>
      </c>
      <c r="AX569" s="114">
        <v>4</v>
      </c>
      <c r="AY569" s="114">
        <v>92</v>
      </c>
      <c r="AZ569" s="114">
        <v>2624</v>
      </c>
      <c r="BA569" s="114">
        <v>88905</v>
      </c>
      <c r="BB569" s="116"/>
      <c r="BC569" s="116"/>
      <c r="BD569" s="116"/>
      <c r="BE569" s="116"/>
      <c r="BF569" s="116"/>
      <c r="BG569" s="116"/>
      <c r="BH569" s="116"/>
      <c r="BI569" s="116"/>
      <c r="BJ569" s="117">
        <v>2086063</v>
      </c>
      <c r="BK569" s="133">
        <v>372</v>
      </c>
      <c r="BL569" s="117">
        <v>1213713</v>
      </c>
      <c r="BM569" s="118">
        <v>5147585</v>
      </c>
      <c r="BN569" s="118"/>
      <c r="BO569" s="120">
        <v>0.383</v>
      </c>
      <c r="BP569" s="120">
        <v>0.617</v>
      </c>
      <c r="BQ569" s="134">
        <v>0</v>
      </c>
      <c r="BR569" s="120">
        <v>0.01</v>
      </c>
      <c r="BS569" s="120">
        <v>0.088</v>
      </c>
      <c r="BT569" s="120">
        <v>0.364</v>
      </c>
      <c r="BU569" s="120">
        <v>0.24</v>
      </c>
      <c r="BV569" s="120">
        <v>0.15</v>
      </c>
      <c r="BW569" s="120">
        <v>0.101</v>
      </c>
      <c r="BX569" s="120">
        <v>0.047</v>
      </c>
    </row>
    <row r="570" s="96" customFormat="1" ht="15.75" customHeight="1" spans="1:76">
      <c r="A570" s="111">
        <v>569</v>
      </c>
      <c r="B570" s="112" t="s">
        <v>53</v>
      </c>
      <c r="C570" s="112" t="s">
        <v>141</v>
      </c>
      <c r="D570" s="111">
        <v>2026</v>
      </c>
      <c r="E570" s="113" t="s">
        <v>36</v>
      </c>
      <c r="F570" s="114">
        <v>2656284</v>
      </c>
      <c r="G570" s="114">
        <v>2160618</v>
      </c>
      <c r="H570" s="114">
        <v>115216.5546</v>
      </c>
      <c r="I570" s="114">
        <v>1935</v>
      </c>
      <c r="J570" s="115">
        <v>0.00221064814814815</v>
      </c>
      <c r="K570" s="114">
        <v>25.16</v>
      </c>
      <c r="L570" s="114">
        <v>422</v>
      </c>
      <c r="M570" s="114">
        <v>14551727</v>
      </c>
      <c r="N570" s="114">
        <v>7.55</v>
      </c>
      <c r="O570" s="114">
        <v>1258184</v>
      </c>
      <c r="P570" s="114">
        <v>800594</v>
      </c>
      <c r="Q570" s="114">
        <v>379926</v>
      </c>
      <c r="R570" s="114">
        <v>359130</v>
      </c>
      <c r="S570" s="114">
        <v>20796</v>
      </c>
      <c r="T570" s="114">
        <v>3716</v>
      </c>
      <c r="U570" s="114">
        <v>1781</v>
      </c>
      <c r="V570" s="114">
        <v>22678</v>
      </c>
      <c r="W570" s="114">
        <v>937</v>
      </c>
      <c r="X570" s="114">
        <v>1610</v>
      </c>
      <c r="Y570" s="114">
        <v>3544</v>
      </c>
      <c r="Z570" s="114">
        <v>9367949.45</v>
      </c>
      <c r="AA570" s="114">
        <v>0</v>
      </c>
      <c r="AB570" s="114">
        <v>2</v>
      </c>
      <c r="AC570" s="114">
        <v>340362.734</v>
      </c>
      <c r="AD570" s="114">
        <v>8815429.235</v>
      </c>
      <c r="AE570" s="114">
        <v>16003317.58</v>
      </c>
      <c r="AF570" s="114">
        <v>1236866</v>
      </c>
      <c r="AG570" s="114">
        <v>12938.603</v>
      </c>
      <c r="AH570" s="114">
        <v>867533</v>
      </c>
      <c r="AI570" s="114">
        <v>4273.259</v>
      </c>
      <c r="AJ570" s="114">
        <v>99</v>
      </c>
      <c r="AK570" s="114">
        <v>13172</v>
      </c>
      <c r="AL570" s="114">
        <v>25137.434</v>
      </c>
      <c r="AM570" s="114">
        <v>2</v>
      </c>
      <c r="AN570" s="114">
        <v>35757</v>
      </c>
      <c r="AO570" s="114">
        <v>2634.1003</v>
      </c>
      <c r="AP570" s="114">
        <v>246.7952</v>
      </c>
      <c r="AQ570" s="114">
        <v>178</v>
      </c>
      <c r="AR570" s="114">
        <v>1851</v>
      </c>
      <c r="AS570" s="114">
        <v>26682</v>
      </c>
      <c r="AT570" s="114">
        <v>2</v>
      </c>
      <c r="AU570" s="114">
        <v>9447</v>
      </c>
      <c r="AV570" s="114">
        <v>1</v>
      </c>
      <c r="AW570" s="114">
        <v>0.0298</v>
      </c>
      <c r="AX570" s="114">
        <v>0</v>
      </c>
      <c r="AY570" s="114">
        <v>154</v>
      </c>
      <c r="AZ570" s="114">
        <v>4589</v>
      </c>
      <c r="BA570" s="114">
        <v>237420</v>
      </c>
      <c r="BB570" s="116"/>
      <c r="BC570" s="116"/>
      <c r="BD570" s="116"/>
      <c r="BE570" s="116"/>
      <c r="BF570" s="116"/>
      <c r="BG570" s="116"/>
      <c r="BH570" s="116"/>
      <c r="BI570" s="116"/>
      <c r="BJ570" s="117">
        <v>2087998</v>
      </c>
      <c r="BK570" s="117">
        <v>1935</v>
      </c>
      <c r="BL570" s="117">
        <v>2422116</v>
      </c>
      <c r="BM570" s="118">
        <v>8341044</v>
      </c>
      <c r="BN570" s="118"/>
      <c r="BO570" s="120">
        <v>0.371</v>
      </c>
      <c r="BP570" s="120">
        <v>0.629</v>
      </c>
      <c r="BQ570" s="120">
        <v>0</v>
      </c>
      <c r="BR570" s="120">
        <v>0.012</v>
      </c>
      <c r="BS570" s="120">
        <v>0.056</v>
      </c>
      <c r="BT570" s="120">
        <v>0.276</v>
      </c>
      <c r="BU570" s="120">
        <v>0.236</v>
      </c>
      <c r="BV570" s="120">
        <v>0.197</v>
      </c>
      <c r="BW570" s="120">
        <v>0.151</v>
      </c>
      <c r="BX570" s="120">
        <v>0.072</v>
      </c>
    </row>
    <row r="571" s="96" customFormat="1" ht="15.75" customHeight="1" spans="1:76">
      <c r="A571" s="111">
        <v>570</v>
      </c>
      <c r="B571" s="96" t="s">
        <v>53</v>
      </c>
      <c r="C571" s="96" t="s">
        <v>141</v>
      </c>
      <c r="D571" s="122">
        <v>2026</v>
      </c>
      <c r="E571" s="96" t="s">
        <v>37</v>
      </c>
      <c r="F571" s="123">
        <v>5080732</v>
      </c>
      <c r="G571" s="123">
        <v>3692728</v>
      </c>
      <c r="H571" s="123">
        <v>267088</v>
      </c>
      <c r="I571" s="123">
        <v>3969</v>
      </c>
      <c r="J571" s="124">
        <v>0.00300925925925926</v>
      </c>
      <c r="K571" s="125">
        <v>28</v>
      </c>
      <c r="L571" s="125">
        <v>367</v>
      </c>
      <c r="M571" s="123">
        <v>19850395</v>
      </c>
      <c r="N571" s="125">
        <v>8</v>
      </c>
      <c r="O571" s="123">
        <v>2003129</v>
      </c>
      <c r="P571" s="123">
        <v>1129619</v>
      </c>
      <c r="Q571" s="123">
        <v>760785</v>
      </c>
      <c r="R571" s="123">
        <v>720302</v>
      </c>
      <c r="S571" s="123">
        <v>40483</v>
      </c>
      <c r="T571" s="123">
        <v>6127</v>
      </c>
      <c r="U571" s="123">
        <v>2158</v>
      </c>
      <c r="V571" s="123">
        <v>54683</v>
      </c>
      <c r="W571" s="123">
        <v>2462</v>
      </c>
      <c r="X571" s="123">
        <v>2463</v>
      </c>
      <c r="Y571" s="123">
        <v>7781</v>
      </c>
      <c r="Z571" s="123">
        <v>24597069</v>
      </c>
      <c r="AA571" s="123">
        <v>15956</v>
      </c>
      <c r="AB571" s="125">
        <v>2</v>
      </c>
      <c r="AC571" s="123">
        <v>1378629</v>
      </c>
      <c r="AD571" s="123">
        <v>22512133</v>
      </c>
      <c r="AE571" s="123">
        <v>40910117</v>
      </c>
      <c r="AF571" s="123">
        <v>2536541</v>
      </c>
      <c r="AG571" s="123">
        <v>16128</v>
      </c>
      <c r="AH571" s="123">
        <v>1661955</v>
      </c>
      <c r="AI571" s="123">
        <v>6843</v>
      </c>
      <c r="AJ571" s="125">
        <v>123</v>
      </c>
      <c r="AK571" s="123">
        <v>19324</v>
      </c>
      <c r="AL571" s="123">
        <v>85736</v>
      </c>
      <c r="AM571" s="125">
        <v>1</v>
      </c>
      <c r="AN571" s="123">
        <v>90587</v>
      </c>
      <c r="AO571" s="123">
        <v>9654</v>
      </c>
      <c r="AP571" s="125">
        <v>143</v>
      </c>
      <c r="AQ571" s="125">
        <v>130</v>
      </c>
      <c r="AR571" s="125">
        <v>176</v>
      </c>
      <c r="AS571" s="123">
        <v>1721</v>
      </c>
      <c r="AT571" s="125">
        <v>1</v>
      </c>
      <c r="AU571" s="123">
        <v>6203</v>
      </c>
      <c r="AV571" s="125">
        <v>0</v>
      </c>
      <c r="AW571" s="125">
        <v>0</v>
      </c>
      <c r="AX571" s="125">
        <v>7</v>
      </c>
      <c r="AY571" s="125">
        <v>358</v>
      </c>
      <c r="AZ571" s="123">
        <v>4599</v>
      </c>
      <c r="BA571" s="123">
        <v>262047</v>
      </c>
      <c r="BB571" s="125"/>
      <c r="BC571" s="125"/>
      <c r="BD571" s="125"/>
      <c r="BE571" s="125"/>
      <c r="BF571" s="125"/>
      <c r="BG571" s="125"/>
      <c r="BH571" s="125"/>
      <c r="BI571" s="125"/>
      <c r="BJ571" s="117">
        <v>2091968</v>
      </c>
      <c r="BK571" s="117">
        <v>3969</v>
      </c>
      <c r="BL571" s="117">
        <v>4036887</v>
      </c>
      <c r="BM571" s="118">
        <v>21664029</v>
      </c>
      <c r="BN571" s="118"/>
      <c r="BO571" s="120">
        <v>0.29</v>
      </c>
      <c r="BP571" s="120">
        <v>0.71</v>
      </c>
      <c r="BQ571" s="120">
        <v>0</v>
      </c>
      <c r="BR571" s="120">
        <v>0.011</v>
      </c>
      <c r="BS571" s="120">
        <v>0.055</v>
      </c>
      <c r="BT571" s="120">
        <v>0.265</v>
      </c>
      <c r="BU571" s="120">
        <v>0.226</v>
      </c>
      <c r="BV571" s="120">
        <v>0.21</v>
      </c>
      <c r="BW571" s="120">
        <v>0.158</v>
      </c>
      <c r="BX571" s="120">
        <v>0.075</v>
      </c>
    </row>
    <row r="572" s="96" customFormat="1" ht="15.75" customHeight="1" spans="1:76">
      <c r="A572" s="111">
        <v>571</v>
      </c>
      <c r="B572" s="96" t="s">
        <v>53</v>
      </c>
      <c r="C572" s="96" t="s">
        <v>141</v>
      </c>
      <c r="D572" s="122">
        <v>2026</v>
      </c>
      <c r="E572" s="96" t="s">
        <v>38</v>
      </c>
      <c r="F572" s="126">
        <v>6078369</v>
      </c>
      <c r="G572" s="126">
        <v>4306840</v>
      </c>
      <c r="H572" s="126">
        <v>209260</v>
      </c>
      <c r="I572" s="126">
        <v>3934</v>
      </c>
      <c r="J572" s="127">
        <v>0.00201388888888889</v>
      </c>
      <c r="K572" s="128">
        <v>24</v>
      </c>
      <c r="L572" s="128">
        <v>342</v>
      </c>
      <c r="M572" s="126">
        <v>17266449</v>
      </c>
      <c r="N572" s="128">
        <v>9</v>
      </c>
      <c r="O572" s="126">
        <v>2156020</v>
      </c>
      <c r="P572" s="126">
        <v>955130</v>
      </c>
      <c r="Q572" s="126">
        <v>1026636</v>
      </c>
      <c r="R572" s="126">
        <v>955613</v>
      </c>
      <c r="S572" s="126">
        <v>71023</v>
      </c>
      <c r="T572" s="126">
        <v>5990</v>
      </c>
      <c r="U572" s="126">
        <v>2056</v>
      </c>
      <c r="V572" s="126">
        <v>54648</v>
      </c>
      <c r="W572" s="128">
        <v>582</v>
      </c>
      <c r="X572" s="126">
        <v>2753</v>
      </c>
      <c r="Y572" s="126">
        <v>8442</v>
      </c>
      <c r="Z572" s="126">
        <v>19510526</v>
      </c>
      <c r="AA572" s="128">
        <v>0</v>
      </c>
      <c r="AB572" s="128">
        <v>1</v>
      </c>
      <c r="AC572" s="126">
        <v>918202</v>
      </c>
      <c r="AD572" s="126">
        <v>17828138</v>
      </c>
      <c r="AE572" s="126">
        <v>32373879</v>
      </c>
      <c r="AF572" s="126">
        <v>2127831</v>
      </c>
      <c r="AG572" s="126">
        <v>15214</v>
      </c>
      <c r="AH572" s="126">
        <v>1496337</v>
      </c>
      <c r="AI572" s="126">
        <v>4553</v>
      </c>
      <c r="AJ572" s="128">
        <v>97</v>
      </c>
      <c r="AK572" s="126">
        <v>15656</v>
      </c>
      <c r="AL572" s="126">
        <v>62154</v>
      </c>
      <c r="AM572" s="128">
        <v>1</v>
      </c>
      <c r="AN572" s="126">
        <v>87998</v>
      </c>
      <c r="AO572" s="126">
        <v>6183</v>
      </c>
      <c r="AP572" s="128">
        <v>33</v>
      </c>
      <c r="AQ572" s="128">
        <v>43</v>
      </c>
      <c r="AR572" s="126">
        <v>6407</v>
      </c>
      <c r="AS572" s="126">
        <v>13043</v>
      </c>
      <c r="AT572" s="128">
        <v>1</v>
      </c>
      <c r="AU572" s="126">
        <v>6215</v>
      </c>
      <c r="AV572" s="128">
        <v>0</v>
      </c>
      <c r="AW572" s="128">
        <v>0</v>
      </c>
      <c r="AX572" s="128">
        <v>29</v>
      </c>
      <c r="AY572" s="126">
        <v>2052</v>
      </c>
      <c r="AZ572" s="126">
        <v>5960</v>
      </c>
      <c r="BA572" s="126">
        <v>392221</v>
      </c>
      <c r="BB572" s="129"/>
      <c r="BC572" s="129"/>
      <c r="BD572" s="129"/>
      <c r="BE572" s="129"/>
      <c r="BF572" s="129"/>
      <c r="BG572" s="129"/>
      <c r="BH572" s="129"/>
      <c r="BI572" s="129"/>
      <c r="BJ572" s="130">
        <v>2095903</v>
      </c>
      <c r="BK572" s="130">
        <v>3934</v>
      </c>
      <c r="BL572" s="130">
        <v>4219316</v>
      </c>
      <c r="BM572" s="131">
        <v>14545594.78</v>
      </c>
      <c r="BN572" s="131"/>
      <c r="BO572" s="132">
        <v>0.299</v>
      </c>
      <c r="BP572" s="132">
        <v>0.7</v>
      </c>
      <c r="BQ572" s="132">
        <v>0</v>
      </c>
      <c r="BR572" s="132">
        <v>0.012</v>
      </c>
      <c r="BS572" s="132">
        <v>0.055</v>
      </c>
      <c r="BT572" s="132">
        <v>0.259</v>
      </c>
      <c r="BU572" s="132">
        <v>0.228</v>
      </c>
      <c r="BV572" s="132">
        <v>0.216</v>
      </c>
      <c r="BW572" s="132">
        <v>0.159</v>
      </c>
      <c r="BX572" s="119"/>
    </row>
    <row r="573" s="96" customFormat="1" ht="15.75" customHeight="1" spans="1:76">
      <c r="A573" s="111">
        <v>572</v>
      </c>
      <c r="B573" s="96" t="s">
        <v>53</v>
      </c>
      <c r="C573" s="96" t="s">
        <v>141</v>
      </c>
      <c r="D573" s="122">
        <v>2026</v>
      </c>
      <c r="E573" s="96" t="s">
        <v>39</v>
      </c>
      <c r="F573" s="128"/>
      <c r="G573" s="128"/>
      <c r="H573" s="128"/>
      <c r="I573" s="128"/>
      <c r="J573" s="127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9"/>
      <c r="BC573" s="129"/>
      <c r="BD573" s="129"/>
      <c r="BE573" s="129"/>
      <c r="BF573" s="129"/>
      <c r="BG573" s="129"/>
      <c r="BH573" s="129"/>
      <c r="BI573" s="129"/>
      <c r="BJ573" s="119"/>
      <c r="BK573" s="119"/>
      <c r="BL573" s="119"/>
      <c r="BM573" s="131"/>
      <c r="BN573" s="131"/>
      <c r="BO573" s="119"/>
      <c r="BP573" s="119"/>
      <c r="BQ573" s="119"/>
      <c r="BR573" s="119"/>
      <c r="BS573" s="119"/>
      <c r="BT573" s="119"/>
      <c r="BU573" s="119"/>
      <c r="BV573" s="119"/>
      <c r="BW573" s="119"/>
      <c r="BX573" s="119"/>
    </row>
    <row r="574" s="96" customFormat="1" ht="15.75" customHeight="1" spans="1:76">
      <c r="A574" s="111">
        <v>573</v>
      </c>
      <c r="B574" s="96" t="s">
        <v>53</v>
      </c>
      <c r="C574" s="96" t="s">
        <v>141</v>
      </c>
      <c r="D574" s="122">
        <v>2026</v>
      </c>
      <c r="E574" s="96" t="s">
        <v>40</v>
      </c>
      <c r="F574" s="128"/>
      <c r="G574" s="128"/>
      <c r="H574" s="128"/>
      <c r="I574" s="128"/>
      <c r="J574" s="127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9"/>
      <c r="BC574" s="129"/>
      <c r="BD574" s="129"/>
      <c r="BE574" s="129"/>
      <c r="BF574" s="129"/>
      <c r="BG574" s="129"/>
      <c r="BH574" s="129"/>
      <c r="BI574" s="129"/>
      <c r="BJ574" s="119"/>
      <c r="BK574" s="119"/>
      <c r="BL574" s="119"/>
      <c r="BM574" s="131"/>
      <c r="BN574" s="131"/>
      <c r="BO574" s="119"/>
      <c r="BP574" s="119"/>
      <c r="BQ574" s="119"/>
      <c r="BR574" s="119"/>
      <c r="BS574" s="119"/>
      <c r="BT574" s="119"/>
      <c r="BU574" s="119"/>
      <c r="BV574" s="119"/>
      <c r="BW574" s="119"/>
      <c r="BX574" s="119"/>
    </row>
    <row r="575" s="96" customFormat="1" ht="15.75" customHeight="1" spans="1:76">
      <c r="A575" s="111">
        <v>574</v>
      </c>
      <c r="B575" s="96" t="s">
        <v>53</v>
      </c>
      <c r="C575" s="96" t="s">
        <v>141</v>
      </c>
      <c r="D575" s="122">
        <v>2026</v>
      </c>
      <c r="E575" s="96" t="s">
        <v>41</v>
      </c>
      <c r="F575" s="128"/>
      <c r="G575" s="128"/>
      <c r="H575" s="128"/>
      <c r="I575" s="128"/>
      <c r="J575" s="127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9"/>
      <c r="BC575" s="129"/>
      <c r="BD575" s="129"/>
      <c r="BE575" s="129"/>
      <c r="BF575" s="129"/>
      <c r="BG575" s="129"/>
      <c r="BH575" s="129"/>
      <c r="BI575" s="129"/>
      <c r="BJ575" s="119"/>
      <c r="BK575" s="119"/>
      <c r="BL575" s="119"/>
      <c r="BM575" s="131"/>
      <c r="BN575" s="131"/>
      <c r="BO575" s="119"/>
      <c r="BP575" s="119"/>
      <c r="BQ575" s="119"/>
      <c r="BR575" s="119"/>
      <c r="BS575" s="119"/>
      <c r="BT575" s="119"/>
      <c r="BU575" s="119"/>
      <c r="BV575" s="119"/>
      <c r="BW575" s="119"/>
      <c r="BX575" s="119"/>
    </row>
    <row r="576" s="96" customFormat="1" ht="15.75" customHeight="1" spans="1:76">
      <c r="A576" s="111">
        <v>575</v>
      </c>
      <c r="B576" s="96" t="s">
        <v>53</v>
      </c>
      <c r="C576" s="96" t="s">
        <v>141</v>
      </c>
      <c r="D576" s="122">
        <v>2026</v>
      </c>
      <c r="E576" s="96" t="s">
        <v>42</v>
      </c>
      <c r="F576" s="128"/>
      <c r="G576" s="128"/>
      <c r="H576" s="128"/>
      <c r="I576" s="128"/>
      <c r="J576" s="127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9"/>
      <c r="BC576" s="129"/>
      <c r="BD576" s="129"/>
      <c r="BE576" s="129"/>
      <c r="BF576" s="129"/>
      <c r="BG576" s="129"/>
      <c r="BH576" s="129"/>
      <c r="BI576" s="129"/>
      <c r="BJ576" s="119"/>
      <c r="BK576" s="119"/>
      <c r="BL576" s="119"/>
      <c r="BM576" s="131"/>
      <c r="BN576" s="131"/>
      <c r="BO576" s="119"/>
      <c r="BP576" s="119"/>
      <c r="BQ576" s="119"/>
      <c r="BR576" s="119"/>
      <c r="BS576" s="119"/>
      <c r="BT576" s="119"/>
      <c r="BU576" s="119"/>
      <c r="BV576" s="119"/>
      <c r="BW576" s="119"/>
      <c r="BX576" s="119"/>
    </row>
    <row r="577" s="96" customFormat="1" ht="15.75" customHeight="1" spans="1:76">
      <c r="A577" s="111">
        <v>576</v>
      </c>
      <c r="B577" s="96" t="s">
        <v>53</v>
      </c>
      <c r="C577" s="96" t="s">
        <v>141</v>
      </c>
      <c r="D577" s="122">
        <v>2026</v>
      </c>
      <c r="E577" s="96" t="s">
        <v>43</v>
      </c>
      <c r="F577" s="128"/>
      <c r="G577" s="128"/>
      <c r="H577" s="128"/>
      <c r="I577" s="128"/>
      <c r="J577" s="127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9"/>
      <c r="BC577" s="129"/>
      <c r="BD577" s="129"/>
      <c r="BE577" s="129"/>
      <c r="BF577" s="129"/>
      <c r="BG577" s="129"/>
      <c r="BH577" s="129"/>
      <c r="BI577" s="129"/>
      <c r="BJ577" s="119"/>
      <c r="BK577" s="119"/>
      <c r="BL577" s="119"/>
      <c r="BM577" s="131"/>
      <c r="BN577" s="131"/>
      <c r="BO577" s="119"/>
      <c r="BP577" s="119"/>
      <c r="BQ577" s="119"/>
      <c r="BR577" s="119"/>
      <c r="BS577" s="119"/>
      <c r="BT577" s="119"/>
      <c r="BU577" s="119"/>
      <c r="BV577" s="119"/>
      <c r="BW577" s="119"/>
      <c r="BX577" s="119"/>
    </row>
    <row r="578" s="96" customFormat="1" ht="15.75" customHeight="1" spans="1:76">
      <c r="A578" s="111">
        <v>577</v>
      </c>
      <c r="B578" s="112" t="s">
        <v>53</v>
      </c>
      <c r="C578" s="112" t="s">
        <v>142</v>
      </c>
      <c r="D578" s="111">
        <v>2024</v>
      </c>
      <c r="E578" s="113" t="s">
        <v>31</v>
      </c>
      <c r="F578" s="114">
        <v>241370</v>
      </c>
      <c r="G578" s="114">
        <v>241370</v>
      </c>
      <c r="H578" s="114">
        <v>3299.9742</v>
      </c>
      <c r="I578" s="114">
        <v>219</v>
      </c>
      <c r="J578" s="115">
        <v>0.00056712962962963</v>
      </c>
      <c r="K578" s="114">
        <v>46.23</v>
      </c>
      <c r="L578" s="114"/>
      <c r="M578" s="114">
        <v>4389792</v>
      </c>
      <c r="N578" s="114">
        <v>4.77</v>
      </c>
      <c r="O578" s="114">
        <v>200560</v>
      </c>
      <c r="P578" s="114">
        <v>165662</v>
      </c>
      <c r="Q578" s="114">
        <v>34898</v>
      </c>
      <c r="R578" s="114">
        <v>34898</v>
      </c>
      <c r="S578" s="114">
        <v>0</v>
      </c>
      <c r="T578" s="114">
        <v>440</v>
      </c>
      <c r="U578" s="114">
        <v>221</v>
      </c>
      <c r="V578" s="114">
        <v>572</v>
      </c>
      <c r="W578" s="114">
        <v>18</v>
      </c>
      <c r="X578" s="114">
        <v>281</v>
      </c>
      <c r="Y578" s="114">
        <v>75</v>
      </c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>
        <v>0</v>
      </c>
      <c r="AK578" s="114">
        <v>0</v>
      </c>
      <c r="AL578" s="114"/>
      <c r="AM578" s="114"/>
      <c r="AN578" s="114">
        <v>1886</v>
      </c>
      <c r="AO578" s="114">
        <v>31.1241</v>
      </c>
      <c r="AP578" s="114"/>
      <c r="AQ578" s="114">
        <v>0</v>
      </c>
      <c r="AR578" s="114"/>
      <c r="AS578" s="114"/>
      <c r="AT578" s="114"/>
      <c r="AU578" s="114">
        <v>7</v>
      </c>
      <c r="AV578" s="114">
        <v>0</v>
      </c>
      <c r="AW578" s="114">
        <v>0</v>
      </c>
      <c r="AX578" s="114">
        <v>0</v>
      </c>
      <c r="AY578" s="114">
        <v>0</v>
      </c>
      <c r="AZ578" s="114">
        <v>69</v>
      </c>
      <c r="BA578" s="114">
        <v>17226</v>
      </c>
      <c r="BB578" s="116"/>
      <c r="BC578" s="116"/>
      <c r="BD578" s="116"/>
      <c r="BE578" s="116"/>
      <c r="BF578" s="116"/>
      <c r="BG578" s="116"/>
      <c r="BH578" s="116"/>
      <c r="BI578" s="116"/>
      <c r="BJ578" s="117">
        <v>234245</v>
      </c>
      <c r="BK578" s="133">
        <v>219</v>
      </c>
      <c r="BL578" s="119"/>
      <c r="BM578" s="118">
        <v>0</v>
      </c>
      <c r="BN578" s="131"/>
      <c r="BO578" s="119"/>
      <c r="BP578" s="119"/>
      <c r="BQ578" s="119"/>
      <c r="BR578" s="119"/>
      <c r="BS578" s="119"/>
      <c r="BT578" s="119"/>
      <c r="BU578" s="119"/>
      <c r="BV578" s="119"/>
      <c r="BW578" s="119"/>
      <c r="BX578" s="119"/>
    </row>
    <row r="579" s="96" customFormat="1" ht="15.75" customHeight="1" spans="1:76">
      <c r="A579" s="111">
        <v>578</v>
      </c>
      <c r="B579" s="112" t="s">
        <v>53</v>
      </c>
      <c r="C579" s="112" t="s">
        <v>142</v>
      </c>
      <c r="D579" s="111">
        <v>2024</v>
      </c>
      <c r="E579" s="113" t="s">
        <v>33</v>
      </c>
      <c r="F579" s="114">
        <v>523958</v>
      </c>
      <c r="G579" s="114">
        <v>523958</v>
      </c>
      <c r="H579" s="114">
        <v>7754.4369</v>
      </c>
      <c r="I579" s="114">
        <v>589</v>
      </c>
      <c r="J579" s="115">
        <v>0.000613425925925926</v>
      </c>
      <c r="K579" s="114">
        <v>48.95</v>
      </c>
      <c r="L579" s="114">
        <v>1</v>
      </c>
      <c r="M579" s="114">
        <v>6663222</v>
      </c>
      <c r="N579" s="114">
        <v>7.07</v>
      </c>
      <c r="O579" s="114">
        <v>439061</v>
      </c>
      <c r="P579" s="114">
        <v>382617</v>
      </c>
      <c r="Q579" s="114">
        <v>56312</v>
      </c>
      <c r="R579" s="114">
        <v>56312</v>
      </c>
      <c r="S579" s="114">
        <v>0</v>
      </c>
      <c r="T579" s="114">
        <v>831</v>
      </c>
      <c r="U579" s="114">
        <v>242</v>
      </c>
      <c r="V579" s="114">
        <v>777</v>
      </c>
      <c r="W579" s="114">
        <v>45</v>
      </c>
      <c r="X579" s="114">
        <v>519</v>
      </c>
      <c r="Y579" s="114">
        <v>131</v>
      </c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>
        <v>0</v>
      </c>
      <c r="AK579" s="114">
        <v>0</v>
      </c>
      <c r="AL579" s="114"/>
      <c r="AM579" s="114"/>
      <c r="AN579" s="114">
        <v>4034</v>
      </c>
      <c r="AO579" s="114">
        <v>72.6835</v>
      </c>
      <c r="AP579" s="114"/>
      <c r="AQ579" s="114">
        <v>0</v>
      </c>
      <c r="AR579" s="114"/>
      <c r="AS579" s="114"/>
      <c r="AT579" s="114"/>
      <c r="AU579" s="114">
        <v>454</v>
      </c>
      <c r="AV579" s="114">
        <v>0</v>
      </c>
      <c r="AW579" s="114">
        <v>0</v>
      </c>
      <c r="AX579" s="114">
        <v>0</v>
      </c>
      <c r="AY579" s="114">
        <v>0</v>
      </c>
      <c r="AZ579" s="114">
        <v>40</v>
      </c>
      <c r="BA579" s="114">
        <v>11611</v>
      </c>
      <c r="BB579" s="116"/>
      <c r="BC579" s="116"/>
      <c r="BD579" s="116"/>
      <c r="BE579" s="116"/>
      <c r="BF579" s="116"/>
      <c r="BG579" s="116"/>
      <c r="BH579" s="116"/>
      <c r="BI579" s="116"/>
      <c r="BJ579" s="117">
        <v>234834</v>
      </c>
      <c r="BK579" s="133">
        <v>589</v>
      </c>
      <c r="BL579" s="119"/>
      <c r="BM579" s="118">
        <v>0</v>
      </c>
      <c r="BN579" s="131"/>
      <c r="BO579" s="119"/>
      <c r="BP579" s="119"/>
      <c r="BQ579" s="119"/>
      <c r="BR579" s="119"/>
      <c r="BS579" s="119"/>
      <c r="BT579" s="119"/>
      <c r="BU579" s="119"/>
      <c r="BV579" s="119"/>
      <c r="BW579" s="119"/>
      <c r="BX579" s="119"/>
    </row>
    <row r="580" s="96" customFormat="1" ht="15.75" customHeight="1" spans="1:76">
      <c r="A580" s="111">
        <v>579</v>
      </c>
      <c r="B580" s="112" t="s">
        <v>53</v>
      </c>
      <c r="C580" s="112" t="s">
        <v>142</v>
      </c>
      <c r="D580" s="111">
        <v>2024</v>
      </c>
      <c r="E580" s="113" t="s">
        <v>34</v>
      </c>
      <c r="F580" s="114">
        <v>330601</v>
      </c>
      <c r="G580" s="114">
        <v>330601</v>
      </c>
      <c r="H580" s="114">
        <v>4968.3422</v>
      </c>
      <c r="I580" s="114">
        <v>499</v>
      </c>
      <c r="J580" s="115">
        <v>0.000625</v>
      </c>
      <c r="K580" s="114">
        <v>45.59</v>
      </c>
      <c r="L580" s="114">
        <v>1</v>
      </c>
      <c r="M580" s="114">
        <v>6339090</v>
      </c>
      <c r="N580" s="114">
        <v>4.5</v>
      </c>
      <c r="O580" s="114">
        <v>283873</v>
      </c>
      <c r="P580" s="114">
        <v>239539</v>
      </c>
      <c r="Q580" s="114">
        <v>44334</v>
      </c>
      <c r="R580" s="114">
        <v>44334</v>
      </c>
      <c r="S580" s="114">
        <v>0</v>
      </c>
      <c r="T580" s="114">
        <v>726</v>
      </c>
      <c r="U580" s="114">
        <v>227</v>
      </c>
      <c r="V580" s="114">
        <v>869</v>
      </c>
      <c r="W580" s="114">
        <v>35</v>
      </c>
      <c r="X580" s="114">
        <v>457</v>
      </c>
      <c r="Y580" s="114">
        <v>145</v>
      </c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>
        <v>0</v>
      </c>
      <c r="AK580" s="114">
        <v>0</v>
      </c>
      <c r="AL580" s="114"/>
      <c r="AM580" s="114"/>
      <c r="AN580" s="114">
        <v>2558</v>
      </c>
      <c r="AO580" s="114">
        <v>41.3172</v>
      </c>
      <c r="AP580" s="114">
        <v>2.8268</v>
      </c>
      <c r="AQ580" s="114">
        <v>0</v>
      </c>
      <c r="AR580" s="114">
        <v>0</v>
      </c>
      <c r="AS580" s="114">
        <v>0</v>
      </c>
      <c r="AT580" s="114">
        <v>1</v>
      </c>
      <c r="AU580" s="114">
        <v>30</v>
      </c>
      <c r="AV580" s="114">
        <v>0</v>
      </c>
      <c r="AW580" s="114">
        <v>0</v>
      </c>
      <c r="AX580" s="114">
        <v>0</v>
      </c>
      <c r="AY580" s="114">
        <v>0</v>
      </c>
      <c r="AZ580" s="114">
        <v>71</v>
      </c>
      <c r="BA580" s="114">
        <v>18993</v>
      </c>
      <c r="BB580" s="116"/>
      <c r="BC580" s="116"/>
      <c r="BD580" s="116"/>
      <c r="BE580" s="116"/>
      <c r="BF580" s="116"/>
      <c r="BG580" s="116"/>
      <c r="BH580" s="116"/>
      <c r="BI580" s="116"/>
      <c r="BJ580" s="117">
        <v>235333</v>
      </c>
      <c r="BK580" s="133">
        <v>499</v>
      </c>
      <c r="BL580" s="119"/>
      <c r="BM580" s="118">
        <v>0</v>
      </c>
      <c r="BN580" s="131"/>
      <c r="BO580" s="119"/>
      <c r="BP580" s="119"/>
      <c r="BQ580" s="119"/>
      <c r="BR580" s="119"/>
      <c r="BS580" s="119"/>
      <c r="BT580" s="119"/>
      <c r="BU580" s="119"/>
      <c r="BV580" s="119"/>
      <c r="BW580" s="119"/>
      <c r="BX580" s="119"/>
    </row>
    <row r="581" s="96" customFormat="1" ht="15.75" customHeight="1" spans="1:76">
      <c r="A581" s="111">
        <v>580</v>
      </c>
      <c r="B581" s="112" t="s">
        <v>53</v>
      </c>
      <c r="C581" s="112" t="s">
        <v>142</v>
      </c>
      <c r="D581" s="111">
        <v>2024</v>
      </c>
      <c r="E581" s="113" t="s">
        <v>35</v>
      </c>
      <c r="F581" s="114">
        <v>326207</v>
      </c>
      <c r="G581" s="114">
        <v>326207</v>
      </c>
      <c r="H581" s="114">
        <v>4538.2724</v>
      </c>
      <c r="I581" s="114">
        <v>473</v>
      </c>
      <c r="J581" s="115">
        <v>0.000578703703703704</v>
      </c>
      <c r="K581" s="114">
        <v>43.26</v>
      </c>
      <c r="L581" s="114">
        <v>1</v>
      </c>
      <c r="M581" s="114">
        <v>6346969</v>
      </c>
      <c r="N581" s="114">
        <v>4.53</v>
      </c>
      <c r="O581" s="114">
        <v>279452</v>
      </c>
      <c r="P581" s="114">
        <v>235623</v>
      </c>
      <c r="Q581" s="114">
        <v>43829</v>
      </c>
      <c r="R581" s="114">
        <v>43829</v>
      </c>
      <c r="S581" s="114">
        <v>0</v>
      </c>
      <c r="T581" s="114">
        <v>656</v>
      </c>
      <c r="U581" s="114">
        <v>183</v>
      </c>
      <c r="V581" s="114">
        <v>710</v>
      </c>
      <c r="W581" s="114">
        <v>47</v>
      </c>
      <c r="X581" s="114">
        <v>542</v>
      </c>
      <c r="Y581" s="114">
        <v>110</v>
      </c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>
        <v>0</v>
      </c>
      <c r="AK581" s="114">
        <v>0</v>
      </c>
      <c r="AL581" s="114"/>
      <c r="AM581" s="114"/>
      <c r="AN581" s="114">
        <v>2665</v>
      </c>
      <c r="AO581" s="114">
        <v>37.7953</v>
      </c>
      <c r="AP581" s="114">
        <v>5.3778</v>
      </c>
      <c r="AQ581" s="114">
        <v>0</v>
      </c>
      <c r="AR581" s="114">
        <v>0</v>
      </c>
      <c r="AS581" s="114">
        <v>0</v>
      </c>
      <c r="AT581" s="114"/>
      <c r="AU581" s="114">
        <v>4</v>
      </c>
      <c r="AV581" s="114">
        <v>0</v>
      </c>
      <c r="AW581" s="114">
        <v>0</v>
      </c>
      <c r="AX581" s="114">
        <v>0</v>
      </c>
      <c r="AY581" s="114">
        <v>0</v>
      </c>
      <c r="AZ581" s="114">
        <v>60</v>
      </c>
      <c r="BA581" s="114">
        <v>23341</v>
      </c>
      <c r="BB581" s="116"/>
      <c r="BC581" s="116"/>
      <c r="BD581" s="116"/>
      <c r="BE581" s="116"/>
      <c r="BF581" s="116"/>
      <c r="BG581" s="116"/>
      <c r="BH581" s="116"/>
      <c r="BI581" s="116"/>
      <c r="BJ581" s="117">
        <v>235806</v>
      </c>
      <c r="BK581" s="133">
        <v>473</v>
      </c>
      <c r="BL581" s="119"/>
      <c r="BM581" s="118">
        <v>0</v>
      </c>
      <c r="BN581" s="131"/>
      <c r="BO581" s="119"/>
      <c r="BP581" s="119"/>
      <c r="BQ581" s="119"/>
      <c r="BR581" s="119"/>
      <c r="BS581" s="119"/>
      <c r="BT581" s="119"/>
      <c r="BU581" s="119"/>
      <c r="BV581" s="119"/>
      <c r="BW581" s="119"/>
      <c r="BX581" s="119"/>
    </row>
    <row r="582" s="96" customFormat="1" customHeight="1" spans="1:76">
      <c r="A582" s="111">
        <v>581</v>
      </c>
      <c r="B582" s="112" t="s">
        <v>53</v>
      </c>
      <c r="C582" s="112" t="s">
        <v>142</v>
      </c>
      <c r="D582" s="111">
        <v>2024</v>
      </c>
      <c r="E582" s="113" t="s">
        <v>36</v>
      </c>
      <c r="F582" s="114">
        <v>403074</v>
      </c>
      <c r="G582" s="114">
        <v>403074</v>
      </c>
      <c r="H582" s="114">
        <v>5624.2443</v>
      </c>
      <c r="I582" s="114">
        <v>579</v>
      </c>
      <c r="J582" s="115">
        <v>0.000578703703703704</v>
      </c>
      <c r="K582" s="114">
        <v>42.63</v>
      </c>
      <c r="L582" s="114"/>
      <c r="M582" s="114">
        <v>6996087</v>
      </c>
      <c r="N582" s="114">
        <v>5.13</v>
      </c>
      <c r="O582" s="114">
        <v>338640</v>
      </c>
      <c r="P582" s="114">
        <v>283290</v>
      </c>
      <c r="Q582" s="114">
        <v>55350</v>
      </c>
      <c r="R582" s="114">
        <v>55350</v>
      </c>
      <c r="S582" s="114">
        <v>0</v>
      </c>
      <c r="T582" s="114">
        <v>823</v>
      </c>
      <c r="U582" s="114">
        <v>244</v>
      </c>
      <c r="V582" s="114">
        <v>788</v>
      </c>
      <c r="W582" s="114">
        <v>36</v>
      </c>
      <c r="X582" s="114">
        <v>560</v>
      </c>
      <c r="Y582" s="114">
        <v>124</v>
      </c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>
        <v>0</v>
      </c>
      <c r="AK582" s="114">
        <v>0</v>
      </c>
      <c r="AL582" s="114"/>
      <c r="AM582" s="114"/>
      <c r="AN582" s="114">
        <v>3046</v>
      </c>
      <c r="AO582" s="114">
        <v>48.038</v>
      </c>
      <c r="AP582" s="114"/>
      <c r="AQ582" s="114">
        <v>0</v>
      </c>
      <c r="AR582" s="114"/>
      <c r="AS582" s="114"/>
      <c r="AT582" s="114"/>
      <c r="AU582" s="114">
        <v>3</v>
      </c>
      <c r="AV582" s="114">
        <v>0</v>
      </c>
      <c r="AW582" s="114">
        <v>0</v>
      </c>
      <c r="AX582" s="114">
        <v>0</v>
      </c>
      <c r="AY582" s="114">
        <v>0</v>
      </c>
      <c r="AZ582" s="114">
        <v>122</v>
      </c>
      <c r="BA582" s="114">
        <v>35856</v>
      </c>
      <c r="BB582" s="116"/>
      <c r="BC582" s="116"/>
      <c r="BD582" s="116"/>
      <c r="BE582" s="116"/>
      <c r="BF582" s="116"/>
      <c r="BG582" s="116"/>
      <c r="BH582" s="116"/>
      <c r="BI582" s="116"/>
      <c r="BJ582" s="117">
        <v>236385</v>
      </c>
      <c r="BK582" s="133">
        <v>579</v>
      </c>
      <c r="BL582" s="119"/>
      <c r="BM582" s="118">
        <v>0</v>
      </c>
      <c r="BN582" s="131"/>
      <c r="BO582" s="119"/>
      <c r="BP582" s="119"/>
      <c r="BQ582" s="119"/>
      <c r="BR582" s="119"/>
      <c r="BS582" s="119"/>
      <c r="BT582" s="119"/>
      <c r="BU582" s="119"/>
      <c r="BV582" s="119"/>
      <c r="BW582" s="119"/>
      <c r="BX582" s="132">
        <v>0.084</v>
      </c>
    </row>
    <row r="583" s="96" customFormat="1" customHeight="1" spans="1:76">
      <c r="A583" s="111">
        <v>582</v>
      </c>
      <c r="B583" s="112" t="s">
        <v>53</v>
      </c>
      <c r="C583" s="112" t="s">
        <v>142</v>
      </c>
      <c r="D583" s="111">
        <v>2024</v>
      </c>
      <c r="E583" s="113" t="s">
        <v>37</v>
      </c>
      <c r="F583" s="114">
        <v>445412</v>
      </c>
      <c r="G583" s="114">
        <v>445412</v>
      </c>
      <c r="H583" s="114">
        <v>5910.8238</v>
      </c>
      <c r="I583" s="114">
        <v>658</v>
      </c>
      <c r="J583" s="115">
        <v>0.000543981481481481</v>
      </c>
      <c r="K583" s="114">
        <v>42.85</v>
      </c>
      <c r="L583" s="114">
        <v>0</v>
      </c>
      <c r="M583" s="114">
        <v>7766562</v>
      </c>
      <c r="N583" s="114">
        <v>5.15</v>
      </c>
      <c r="O583" s="114">
        <v>372879</v>
      </c>
      <c r="P583" s="114">
        <v>315529</v>
      </c>
      <c r="Q583" s="114">
        <v>57350</v>
      </c>
      <c r="R583" s="114">
        <v>57350</v>
      </c>
      <c r="S583" s="114">
        <v>0</v>
      </c>
      <c r="T583" s="114">
        <v>895</v>
      </c>
      <c r="U583" s="114">
        <v>237</v>
      </c>
      <c r="V583" s="114">
        <v>986</v>
      </c>
      <c r="W583" s="114">
        <v>43</v>
      </c>
      <c r="X583" s="114">
        <v>523</v>
      </c>
      <c r="Y583" s="114">
        <v>142</v>
      </c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>
        <v>0</v>
      </c>
      <c r="AK583" s="114">
        <v>0</v>
      </c>
      <c r="AL583" s="114"/>
      <c r="AM583" s="114"/>
      <c r="AN583" s="114">
        <v>3231</v>
      </c>
      <c r="AO583" s="114">
        <v>46.4088</v>
      </c>
      <c r="AP583" s="114"/>
      <c r="AQ583" s="114">
        <v>0</v>
      </c>
      <c r="AR583" s="114"/>
      <c r="AS583" s="114"/>
      <c r="AT583" s="114"/>
      <c r="AU583" s="114">
        <v>54</v>
      </c>
      <c r="AV583" s="114">
        <v>0</v>
      </c>
      <c r="AW583" s="114">
        <v>0</v>
      </c>
      <c r="AX583" s="114">
        <v>0</v>
      </c>
      <c r="AY583" s="114">
        <v>0</v>
      </c>
      <c r="AZ583" s="114">
        <v>82</v>
      </c>
      <c r="BA583" s="114">
        <v>25710</v>
      </c>
      <c r="BB583" s="116"/>
      <c r="BC583" s="116"/>
      <c r="BD583" s="116"/>
      <c r="BE583" s="116"/>
      <c r="BF583" s="116"/>
      <c r="BG583" s="116"/>
      <c r="BH583" s="116"/>
      <c r="BI583" s="116"/>
      <c r="BJ583" s="117">
        <v>237043</v>
      </c>
      <c r="BK583" s="133">
        <v>658</v>
      </c>
      <c r="BL583" s="119"/>
      <c r="BM583" s="118">
        <v>0</v>
      </c>
      <c r="BN583" s="131"/>
      <c r="BO583" s="119"/>
      <c r="BP583" s="119"/>
      <c r="BQ583" s="119"/>
      <c r="BR583" s="119"/>
      <c r="BS583" s="119"/>
      <c r="BT583" s="119"/>
      <c r="BU583" s="119"/>
      <c r="BV583" s="119"/>
      <c r="BW583" s="119"/>
      <c r="BX583" s="132">
        <v>0.039</v>
      </c>
    </row>
    <row r="584" s="96" customFormat="1" customHeight="1" spans="1:76">
      <c r="A584" s="111">
        <v>583</v>
      </c>
      <c r="B584" s="112" t="s">
        <v>53</v>
      </c>
      <c r="C584" s="112" t="s">
        <v>142</v>
      </c>
      <c r="D584" s="111">
        <v>2024</v>
      </c>
      <c r="E584" s="113" t="s">
        <v>38</v>
      </c>
      <c r="F584" s="114">
        <v>333450</v>
      </c>
      <c r="G584" s="114">
        <v>333450</v>
      </c>
      <c r="H584" s="114">
        <v>4506.5834</v>
      </c>
      <c r="I584" s="114">
        <v>368</v>
      </c>
      <c r="J584" s="115">
        <v>0.000555555555555556</v>
      </c>
      <c r="K584" s="114">
        <v>44.48</v>
      </c>
      <c r="L584" s="114"/>
      <c r="M584" s="114">
        <v>5770948</v>
      </c>
      <c r="N584" s="114">
        <v>5.16</v>
      </c>
      <c r="O584" s="114">
        <v>275698</v>
      </c>
      <c r="P584" s="114">
        <v>227733</v>
      </c>
      <c r="Q584" s="114">
        <v>47965</v>
      </c>
      <c r="R584" s="114">
        <v>47965</v>
      </c>
      <c r="S584" s="114">
        <v>0</v>
      </c>
      <c r="T584" s="114">
        <v>628</v>
      </c>
      <c r="U584" s="114">
        <v>260</v>
      </c>
      <c r="V584" s="114">
        <v>706</v>
      </c>
      <c r="W584" s="114">
        <v>28</v>
      </c>
      <c r="X584" s="114">
        <v>478</v>
      </c>
      <c r="Y584" s="114">
        <v>138</v>
      </c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>
        <v>0</v>
      </c>
      <c r="AK584" s="114">
        <v>0</v>
      </c>
      <c r="AL584" s="114"/>
      <c r="AM584" s="114"/>
      <c r="AN584" s="114">
        <v>2928</v>
      </c>
      <c r="AO584" s="114">
        <v>40.3142</v>
      </c>
      <c r="AP584" s="114"/>
      <c r="AQ584" s="114">
        <v>0</v>
      </c>
      <c r="AR584" s="114"/>
      <c r="AS584" s="114"/>
      <c r="AT584" s="114"/>
      <c r="AU584" s="114"/>
      <c r="AV584" s="114">
        <v>0</v>
      </c>
      <c r="AW584" s="114">
        <v>0</v>
      </c>
      <c r="AX584" s="114">
        <v>0</v>
      </c>
      <c r="AY584" s="114">
        <v>0</v>
      </c>
      <c r="AZ584" s="114">
        <v>58</v>
      </c>
      <c r="BA584" s="114">
        <v>15293</v>
      </c>
      <c r="BB584" s="116"/>
      <c r="BC584" s="116"/>
      <c r="BD584" s="116"/>
      <c r="BE584" s="116"/>
      <c r="BF584" s="116"/>
      <c r="BG584" s="116"/>
      <c r="BH584" s="116"/>
      <c r="BI584" s="116"/>
      <c r="BJ584" s="117">
        <v>237411</v>
      </c>
      <c r="BK584" s="133">
        <v>368</v>
      </c>
      <c r="BL584" s="119"/>
      <c r="BM584" s="118">
        <v>0</v>
      </c>
      <c r="BN584" s="131"/>
      <c r="BO584" s="119"/>
      <c r="BP584" s="119"/>
      <c r="BQ584" s="119"/>
      <c r="BR584" s="119"/>
      <c r="BS584" s="119"/>
      <c r="BT584" s="119"/>
      <c r="BU584" s="119"/>
      <c r="BV584" s="119"/>
      <c r="BW584" s="119"/>
      <c r="BX584" s="132">
        <v>0.08</v>
      </c>
    </row>
    <row r="585" s="96" customFormat="1" customHeight="1" spans="1:76">
      <c r="A585" s="111">
        <v>584</v>
      </c>
      <c r="B585" s="112" t="s">
        <v>53</v>
      </c>
      <c r="C585" s="112" t="s">
        <v>142</v>
      </c>
      <c r="D585" s="111">
        <v>2024</v>
      </c>
      <c r="E585" s="113" t="s">
        <v>39</v>
      </c>
      <c r="F585" s="114">
        <v>275606</v>
      </c>
      <c r="G585" s="114">
        <v>275606</v>
      </c>
      <c r="H585" s="114">
        <v>4352.1381</v>
      </c>
      <c r="I585" s="114">
        <v>306</v>
      </c>
      <c r="J585" s="115">
        <v>0.000648148148148148</v>
      </c>
      <c r="K585" s="114">
        <v>46.01</v>
      </c>
      <c r="L585" s="114"/>
      <c r="M585" s="114">
        <v>4660224</v>
      </c>
      <c r="N585" s="114">
        <v>5.2</v>
      </c>
      <c r="O585" s="114">
        <v>232829</v>
      </c>
      <c r="P585" s="114">
        <v>191811</v>
      </c>
      <c r="Q585" s="114">
        <v>41018</v>
      </c>
      <c r="R585" s="114">
        <v>41018</v>
      </c>
      <c r="S585" s="114">
        <v>0</v>
      </c>
      <c r="T585" s="114">
        <v>532</v>
      </c>
      <c r="U585" s="114">
        <v>226</v>
      </c>
      <c r="V585" s="114">
        <v>586</v>
      </c>
      <c r="W585" s="114">
        <v>36</v>
      </c>
      <c r="X585" s="114">
        <v>438</v>
      </c>
      <c r="Y585" s="114">
        <v>144</v>
      </c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>
        <v>0</v>
      </c>
      <c r="AK585" s="114">
        <v>0</v>
      </c>
      <c r="AL585" s="114"/>
      <c r="AM585" s="114"/>
      <c r="AN585" s="114">
        <v>3698</v>
      </c>
      <c r="AO585" s="114">
        <v>52.1072</v>
      </c>
      <c r="AP585" s="114"/>
      <c r="AQ585" s="114">
        <v>0</v>
      </c>
      <c r="AR585" s="114"/>
      <c r="AS585" s="114"/>
      <c r="AT585" s="114"/>
      <c r="AU585" s="114">
        <v>1</v>
      </c>
      <c r="AV585" s="114">
        <v>0</v>
      </c>
      <c r="AW585" s="114">
        <v>0</v>
      </c>
      <c r="AX585" s="114">
        <v>0</v>
      </c>
      <c r="AY585" s="114">
        <v>0</v>
      </c>
      <c r="AZ585" s="114">
        <v>66</v>
      </c>
      <c r="BA585" s="114">
        <v>28328</v>
      </c>
      <c r="BB585" s="116"/>
      <c r="BC585" s="116"/>
      <c r="BD585" s="116"/>
      <c r="BE585" s="116"/>
      <c r="BF585" s="116"/>
      <c r="BG585" s="116"/>
      <c r="BH585" s="116"/>
      <c r="BI585" s="116"/>
      <c r="BJ585" s="117">
        <v>237717</v>
      </c>
      <c r="BK585" s="133">
        <v>306</v>
      </c>
      <c r="BL585" s="119"/>
      <c r="BM585" s="118">
        <v>0</v>
      </c>
      <c r="BN585" s="131"/>
      <c r="BO585" s="119"/>
      <c r="BP585" s="119"/>
      <c r="BQ585" s="119"/>
      <c r="BR585" s="119"/>
      <c r="BS585" s="119"/>
      <c r="BT585" s="119"/>
      <c r="BU585" s="119"/>
      <c r="BV585" s="119"/>
      <c r="BW585" s="119"/>
      <c r="BX585" s="132">
        <v>0.156</v>
      </c>
    </row>
    <row r="586" s="96" customFormat="1" customHeight="1" spans="1:76">
      <c r="A586" s="111">
        <v>585</v>
      </c>
      <c r="B586" s="112" t="s">
        <v>53</v>
      </c>
      <c r="C586" s="112" t="s">
        <v>142</v>
      </c>
      <c r="D586" s="111">
        <v>2024</v>
      </c>
      <c r="E586" s="113" t="s">
        <v>40</v>
      </c>
      <c r="F586" s="114">
        <v>251336</v>
      </c>
      <c r="G586" s="114">
        <v>251336</v>
      </c>
      <c r="H586" s="114">
        <v>3713.5481</v>
      </c>
      <c r="I586" s="114">
        <v>210</v>
      </c>
      <c r="J586" s="115">
        <v>0.000613425925925926</v>
      </c>
      <c r="K586" s="114">
        <v>42.33</v>
      </c>
      <c r="L586" s="114">
        <v>22</v>
      </c>
      <c r="M586" s="114">
        <v>3922143</v>
      </c>
      <c r="N586" s="114">
        <v>5.37</v>
      </c>
      <c r="O586" s="114">
        <v>205244</v>
      </c>
      <c r="P586" s="114">
        <v>168482</v>
      </c>
      <c r="Q586" s="114">
        <v>36762</v>
      </c>
      <c r="R586" s="114">
        <v>36762</v>
      </c>
      <c r="S586" s="114">
        <v>0</v>
      </c>
      <c r="T586" s="114">
        <v>469</v>
      </c>
      <c r="U586" s="114">
        <v>259</v>
      </c>
      <c r="V586" s="114">
        <v>586</v>
      </c>
      <c r="W586" s="114">
        <v>27</v>
      </c>
      <c r="X586" s="114">
        <v>372</v>
      </c>
      <c r="Y586" s="114">
        <v>89</v>
      </c>
      <c r="Z586" s="114">
        <v>1562.771</v>
      </c>
      <c r="AA586" s="114">
        <v>0</v>
      </c>
      <c r="AB586" s="114">
        <v>0</v>
      </c>
      <c r="AC586" s="114">
        <v>96.593</v>
      </c>
      <c r="AD586" s="114">
        <v>0</v>
      </c>
      <c r="AE586" s="114"/>
      <c r="AF586" s="114"/>
      <c r="AG586" s="114"/>
      <c r="AH586" s="114"/>
      <c r="AI586" s="114">
        <v>6.218</v>
      </c>
      <c r="AJ586" s="114">
        <v>0</v>
      </c>
      <c r="AK586" s="114">
        <v>0</v>
      </c>
      <c r="AL586" s="114">
        <v>0</v>
      </c>
      <c r="AM586" s="114">
        <v>0</v>
      </c>
      <c r="AN586" s="114">
        <v>2324</v>
      </c>
      <c r="AO586" s="114">
        <v>37.9395</v>
      </c>
      <c r="AP586" s="114"/>
      <c r="AQ586" s="114">
        <v>0</v>
      </c>
      <c r="AR586" s="114"/>
      <c r="AS586" s="114"/>
      <c r="AT586" s="114"/>
      <c r="AU586" s="114"/>
      <c r="AV586" s="114">
        <v>0</v>
      </c>
      <c r="AW586" s="114">
        <v>0</v>
      </c>
      <c r="AX586" s="114">
        <v>0</v>
      </c>
      <c r="AY586" s="114">
        <v>0</v>
      </c>
      <c r="AZ586" s="114">
        <v>78</v>
      </c>
      <c r="BA586" s="114">
        <v>25603</v>
      </c>
      <c r="BB586" s="116"/>
      <c r="BC586" s="116"/>
      <c r="BD586" s="116"/>
      <c r="BE586" s="116"/>
      <c r="BF586" s="116"/>
      <c r="BG586" s="116"/>
      <c r="BH586" s="116"/>
      <c r="BI586" s="116"/>
      <c r="BJ586" s="117">
        <v>237927</v>
      </c>
      <c r="BK586" s="133">
        <v>210</v>
      </c>
      <c r="BL586" s="119"/>
      <c r="BM586" s="118">
        <v>0</v>
      </c>
      <c r="BN586" s="131"/>
      <c r="BO586" s="119"/>
      <c r="BP586" s="119"/>
      <c r="BQ586" s="119"/>
      <c r="BR586" s="119"/>
      <c r="BS586" s="119"/>
      <c r="BT586" s="119"/>
      <c r="BU586" s="119"/>
      <c r="BV586" s="119"/>
      <c r="BW586" s="119"/>
      <c r="BX586" s="132">
        <v>0.115</v>
      </c>
    </row>
    <row r="587" s="96" customFormat="1" customHeight="1" spans="1:76">
      <c r="A587" s="111">
        <v>586</v>
      </c>
      <c r="B587" s="112" t="s">
        <v>53</v>
      </c>
      <c r="C587" s="112" t="s">
        <v>142</v>
      </c>
      <c r="D587" s="111">
        <v>2024</v>
      </c>
      <c r="E587" s="113" t="s">
        <v>41</v>
      </c>
      <c r="F587" s="114">
        <v>380924</v>
      </c>
      <c r="G587" s="114">
        <v>380924</v>
      </c>
      <c r="H587" s="114">
        <v>10343.7649</v>
      </c>
      <c r="I587" s="114">
        <v>630</v>
      </c>
      <c r="J587" s="115">
        <v>0.00112268518518519</v>
      </c>
      <c r="K587" s="114">
        <v>48.76</v>
      </c>
      <c r="L587" s="114"/>
      <c r="M587" s="114">
        <v>4603108</v>
      </c>
      <c r="N587" s="114">
        <v>7.16</v>
      </c>
      <c r="O587" s="114">
        <v>317045</v>
      </c>
      <c r="P587" s="114">
        <v>268138</v>
      </c>
      <c r="Q587" s="114">
        <v>48907</v>
      </c>
      <c r="R587" s="114">
        <v>48907</v>
      </c>
      <c r="S587" s="114">
        <v>0</v>
      </c>
      <c r="T587" s="114">
        <v>843</v>
      </c>
      <c r="U587" s="114">
        <v>213</v>
      </c>
      <c r="V587" s="114">
        <v>1157</v>
      </c>
      <c r="W587" s="114">
        <v>34</v>
      </c>
      <c r="X587" s="114">
        <v>560</v>
      </c>
      <c r="Y587" s="114">
        <v>352</v>
      </c>
      <c r="Z587" s="114">
        <v>169.551</v>
      </c>
      <c r="AA587" s="114">
        <v>0</v>
      </c>
      <c r="AB587" s="114">
        <v>0</v>
      </c>
      <c r="AC587" s="114">
        <v>7.603</v>
      </c>
      <c r="AD587" s="114">
        <v>0</v>
      </c>
      <c r="AE587" s="114"/>
      <c r="AF587" s="114"/>
      <c r="AG587" s="114"/>
      <c r="AH587" s="114"/>
      <c r="AI587" s="114">
        <v>0.445</v>
      </c>
      <c r="AJ587" s="114">
        <v>0</v>
      </c>
      <c r="AK587" s="114">
        <v>0</v>
      </c>
      <c r="AL587" s="114">
        <v>0</v>
      </c>
      <c r="AM587" s="114">
        <v>0</v>
      </c>
      <c r="AN587" s="114">
        <v>3619</v>
      </c>
      <c r="AO587" s="114">
        <v>113.2283</v>
      </c>
      <c r="AP587" s="114"/>
      <c r="AQ587" s="114">
        <v>0</v>
      </c>
      <c r="AR587" s="114"/>
      <c r="AS587" s="114"/>
      <c r="AT587" s="114">
        <v>1</v>
      </c>
      <c r="AU587" s="114">
        <v>520</v>
      </c>
      <c r="AV587" s="114">
        <v>0</v>
      </c>
      <c r="AW587" s="114">
        <v>0</v>
      </c>
      <c r="AX587" s="114">
        <v>0</v>
      </c>
      <c r="AY587" s="114">
        <v>0</v>
      </c>
      <c r="AZ587" s="114">
        <v>112</v>
      </c>
      <c r="BA587" s="114">
        <v>35997</v>
      </c>
      <c r="BB587" s="116"/>
      <c r="BC587" s="116"/>
      <c r="BD587" s="116"/>
      <c r="BE587" s="116"/>
      <c r="BF587" s="116"/>
      <c r="BG587" s="116"/>
      <c r="BH587" s="116"/>
      <c r="BI587" s="116"/>
      <c r="BJ587" s="117">
        <v>238557</v>
      </c>
      <c r="BK587" s="133">
        <v>630</v>
      </c>
      <c r="BL587" s="119"/>
      <c r="BM587" s="118">
        <v>0</v>
      </c>
      <c r="BN587" s="131"/>
      <c r="BO587" s="119"/>
      <c r="BP587" s="119"/>
      <c r="BQ587" s="119"/>
      <c r="BR587" s="119"/>
      <c r="BS587" s="119"/>
      <c r="BT587" s="119"/>
      <c r="BU587" s="119"/>
      <c r="BV587" s="119"/>
      <c r="BW587" s="119"/>
      <c r="BX587" s="132">
        <v>0.1</v>
      </c>
    </row>
    <row r="588" s="96" customFormat="1" customHeight="1" spans="1:76">
      <c r="A588" s="111">
        <v>587</v>
      </c>
      <c r="B588" s="112" t="s">
        <v>53</v>
      </c>
      <c r="C588" s="112" t="s">
        <v>142</v>
      </c>
      <c r="D588" s="111">
        <v>2024</v>
      </c>
      <c r="E588" s="113" t="s">
        <v>42</v>
      </c>
      <c r="F588" s="114">
        <v>211854</v>
      </c>
      <c r="G588" s="114">
        <v>211854</v>
      </c>
      <c r="H588" s="114">
        <v>4155.0554</v>
      </c>
      <c r="I588" s="114">
        <v>376</v>
      </c>
      <c r="J588" s="115">
        <v>0.000810185185185185</v>
      </c>
      <c r="K588" s="114">
        <v>38.71</v>
      </c>
      <c r="L588" s="114"/>
      <c r="M588" s="114">
        <v>3148051</v>
      </c>
      <c r="N588" s="114">
        <v>5.87</v>
      </c>
      <c r="O588" s="114">
        <v>176650</v>
      </c>
      <c r="P588" s="114">
        <v>141600</v>
      </c>
      <c r="Q588" s="114">
        <v>35050</v>
      </c>
      <c r="R588" s="114">
        <v>35050</v>
      </c>
      <c r="S588" s="114">
        <v>0</v>
      </c>
      <c r="T588" s="114">
        <v>534</v>
      </c>
      <c r="U588" s="114">
        <v>158</v>
      </c>
      <c r="V588" s="114">
        <v>748</v>
      </c>
      <c r="W588" s="114">
        <v>7</v>
      </c>
      <c r="X588" s="114">
        <v>299</v>
      </c>
      <c r="Y588" s="114">
        <v>127</v>
      </c>
      <c r="Z588" s="114">
        <v>151.067</v>
      </c>
      <c r="AA588" s="114">
        <v>0</v>
      </c>
      <c r="AB588" s="114">
        <v>0</v>
      </c>
      <c r="AC588" s="114">
        <v>8.739</v>
      </c>
      <c r="AD588" s="114">
        <v>0</v>
      </c>
      <c r="AE588" s="114"/>
      <c r="AF588" s="114"/>
      <c r="AG588" s="114"/>
      <c r="AH588" s="114"/>
      <c r="AI588" s="114">
        <v>0.713</v>
      </c>
      <c r="AJ588" s="114">
        <v>0</v>
      </c>
      <c r="AK588" s="114">
        <v>0</v>
      </c>
      <c r="AL588" s="114">
        <v>0</v>
      </c>
      <c r="AM588" s="114">
        <v>0</v>
      </c>
      <c r="AN588" s="114">
        <v>1737</v>
      </c>
      <c r="AO588" s="114">
        <v>35.3319</v>
      </c>
      <c r="AP588" s="114"/>
      <c r="AQ588" s="114">
        <v>0</v>
      </c>
      <c r="AR588" s="114"/>
      <c r="AS588" s="114"/>
      <c r="AT588" s="114">
        <v>1</v>
      </c>
      <c r="AU588" s="114">
        <v>17</v>
      </c>
      <c r="AV588" s="114">
        <v>0</v>
      </c>
      <c r="AW588" s="114">
        <v>0</v>
      </c>
      <c r="AX588" s="114">
        <v>0</v>
      </c>
      <c r="AY588" s="114">
        <v>0</v>
      </c>
      <c r="AZ588" s="114">
        <v>210</v>
      </c>
      <c r="BA588" s="114">
        <v>52356</v>
      </c>
      <c r="BB588" s="116"/>
      <c r="BC588" s="116"/>
      <c r="BD588" s="116"/>
      <c r="BE588" s="116"/>
      <c r="BF588" s="116"/>
      <c r="BG588" s="116"/>
      <c r="BH588" s="116"/>
      <c r="BI588" s="116"/>
      <c r="BJ588" s="117">
        <v>238933</v>
      </c>
      <c r="BK588" s="133">
        <v>376</v>
      </c>
      <c r="BL588" s="119"/>
      <c r="BM588" s="118">
        <v>0</v>
      </c>
      <c r="BN588" s="131"/>
      <c r="BO588" s="119"/>
      <c r="BP588" s="119"/>
      <c r="BQ588" s="119"/>
      <c r="BR588" s="119"/>
      <c r="BS588" s="119"/>
      <c r="BT588" s="119"/>
      <c r="BU588" s="119"/>
      <c r="BV588" s="119"/>
      <c r="BW588" s="119"/>
      <c r="BX588" s="132">
        <v>0.13</v>
      </c>
    </row>
    <row r="589" s="96" customFormat="1" customHeight="1" spans="1:76">
      <c r="A589" s="111">
        <v>588</v>
      </c>
      <c r="B589" s="112" t="s">
        <v>53</v>
      </c>
      <c r="C589" s="112" t="s">
        <v>142</v>
      </c>
      <c r="D589" s="111">
        <v>2024</v>
      </c>
      <c r="E589" s="113" t="s">
        <v>43</v>
      </c>
      <c r="F589" s="114">
        <v>173136</v>
      </c>
      <c r="G589" s="114">
        <v>173136</v>
      </c>
      <c r="H589" s="114">
        <v>2974.629</v>
      </c>
      <c r="I589" s="114">
        <v>222</v>
      </c>
      <c r="J589" s="115">
        <v>0.000706018518518518</v>
      </c>
      <c r="K589" s="114">
        <v>38.45</v>
      </c>
      <c r="L589" s="114"/>
      <c r="M589" s="114">
        <v>2830739</v>
      </c>
      <c r="N589" s="114">
        <v>5.3</v>
      </c>
      <c r="O589" s="114">
        <v>146281</v>
      </c>
      <c r="P589" s="114">
        <v>118856</v>
      </c>
      <c r="Q589" s="114">
        <v>27425</v>
      </c>
      <c r="R589" s="114">
        <v>27425</v>
      </c>
      <c r="S589" s="114">
        <v>0</v>
      </c>
      <c r="T589" s="114">
        <v>441</v>
      </c>
      <c r="U589" s="114">
        <v>219</v>
      </c>
      <c r="V589" s="114">
        <v>482</v>
      </c>
      <c r="W589" s="114">
        <v>10</v>
      </c>
      <c r="X589" s="114">
        <v>256</v>
      </c>
      <c r="Y589" s="114">
        <v>86</v>
      </c>
      <c r="Z589" s="114">
        <v>113.122</v>
      </c>
      <c r="AA589" s="114">
        <v>0</v>
      </c>
      <c r="AB589" s="114">
        <v>0</v>
      </c>
      <c r="AC589" s="114">
        <v>4.044</v>
      </c>
      <c r="AD589" s="114">
        <v>0</v>
      </c>
      <c r="AE589" s="114"/>
      <c r="AF589" s="114"/>
      <c r="AG589" s="114"/>
      <c r="AH589" s="114"/>
      <c r="AI589" s="114">
        <v>0.653</v>
      </c>
      <c r="AJ589" s="114">
        <v>0</v>
      </c>
      <c r="AK589" s="114">
        <v>0</v>
      </c>
      <c r="AL589" s="114">
        <v>0</v>
      </c>
      <c r="AM589" s="114">
        <v>0</v>
      </c>
      <c r="AN589" s="114">
        <v>1473</v>
      </c>
      <c r="AO589" s="114">
        <v>28.4982</v>
      </c>
      <c r="AP589" s="114"/>
      <c r="AQ589" s="114">
        <v>0</v>
      </c>
      <c r="AR589" s="114"/>
      <c r="AS589" s="114"/>
      <c r="AT589" s="114">
        <v>1</v>
      </c>
      <c r="AU589" s="114">
        <v>410</v>
      </c>
      <c r="AV589" s="114">
        <v>0</v>
      </c>
      <c r="AW589" s="114">
        <v>0</v>
      </c>
      <c r="AX589" s="114">
        <v>0</v>
      </c>
      <c r="AY589" s="114">
        <v>0</v>
      </c>
      <c r="AZ589" s="114">
        <v>131</v>
      </c>
      <c r="BA589" s="114">
        <v>31757</v>
      </c>
      <c r="BB589" s="116"/>
      <c r="BC589" s="116"/>
      <c r="BD589" s="116"/>
      <c r="BE589" s="116"/>
      <c r="BF589" s="116"/>
      <c r="BG589" s="116"/>
      <c r="BH589" s="116"/>
      <c r="BI589" s="116"/>
      <c r="BJ589" s="117">
        <v>239155</v>
      </c>
      <c r="BK589" s="133">
        <v>222</v>
      </c>
      <c r="BL589" s="119"/>
      <c r="BM589" s="118">
        <v>0</v>
      </c>
      <c r="BN589" s="131"/>
      <c r="BO589" s="119"/>
      <c r="BP589" s="119"/>
      <c r="BQ589" s="119"/>
      <c r="BR589" s="119"/>
      <c r="BS589" s="119"/>
      <c r="BT589" s="119"/>
      <c r="BU589" s="119"/>
      <c r="BV589" s="119"/>
      <c r="BW589" s="119"/>
      <c r="BX589" s="132">
        <v>0.031</v>
      </c>
    </row>
    <row r="590" s="96" customFormat="1" customHeight="1" spans="1:76">
      <c r="A590" s="111">
        <v>589</v>
      </c>
      <c r="B590" s="112" t="s">
        <v>53</v>
      </c>
      <c r="C590" s="112" t="s">
        <v>142</v>
      </c>
      <c r="D590" s="111">
        <v>2025</v>
      </c>
      <c r="E590" s="113" t="s">
        <v>31</v>
      </c>
      <c r="F590" s="114">
        <v>151770</v>
      </c>
      <c r="G590" s="114">
        <v>151770</v>
      </c>
      <c r="H590" s="114">
        <v>2289.1331</v>
      </c>
      <c r="I590" s="114">
        <v>139</v>
      </c>
      <c r="J590" s="115">
        <v>0.000625</v>
      </c>
      <c r="K590" s="114">
        <v>40.16</v>
      </c>
      <c r="L590" s="114">
        <v>2</v>
      </c>
      <c r="M590" s="114">
        <v>2712675</v>
      </c>
      <c r="N590" s="114">
        <v>4.79</v>
      </c>
      <c r="O590" s="114">
        <v>122389</v>
      </c>
      <c r="P590" s="114">
        <v>100518</v>
      </c>
      <c r="Q590" s="114">
        <v>21871</v>
      </c>
      <c r="R590" s="114">
        <v>21871</v>
      </c>
      <c r="S590" s="114">
        <v>0</v>
      </c>
      <c r="T590" s="114">
        <v>334</v>
      </c>
      <c r="U590" s="114">
        <v>195</v>
      </c>
      <c r="V590" s="114">
        <v>390</v>
      </c>
      <c r="W590" s="114">
        <v>14</v>
      </c>
      <c r="X590" s="114">
        <v>244</v>
      </c>
      <c r="Y590" s="114">
        <v>64</v>
      </c>
      <c r="Z590" s="114">
        <v>65.396</v>
      </c>
      <c r="AA590" s="114">
        <v>0</v>
      </c>
      <c r="AB590" s="114">
        <v>0</v>
      </c>
      <c r="AC590" s="114">
        <v>6.274</v>
      </c>
      <c r="AD590" s="114">
        <v>0</v>
      </c>
      <c r="AE590" s="114"/>
      <c r="AF590" s="114"/>
      <c r="AG590" s="114"/>
      <c r="AH590" s="114"/>
      <c r="AI590" s="114">
        <v>0.431</v>
      </c>
      <c r="AJ590" s="114">
        <v>0</v>
      </c>
      <c r="AK590" s="114">
        <v>0</v>
      </c>
      <c r="AL590" s="114">
        <v>0</v>
      </c>
      <c r="AM590" s="114">
        <v>0</v>
      </c>
      <c r="AN590" s="114">
        <v>1381</v>
      </c>
      <c r="AO590" s="114">
        <v>22.6374</v>
      </c>
      <c r="AP590" s="114"/>
      <c r="AQ590" s="114">
        <v>0</v>
      </c>
      <c r="AR590" s="114"/>
      <c r="AS590" s="114"/>
      <c r="AT590" s="114">
        <v>1</v>
      </c>
      <c r="AU590" s="114">
        <v>438</v>
      </c>
      <c r="AV590" s="114">
        <v>0</v>
      </c>
      <c r="AW590" s="114">
        <v>0</v>
      </c>
      <c r="AX590" s="114">
        <v>0</v>
      </c>
      <c r="AY590" s="114">
        <v>0</v>
      </c>
      <c r="AZ590" s="114">
        <v>42</v>
      </c>
      <c r="BA590" s="114">
        <v>12755</v>
      </c>
      <c r="BB590" s="116"/>
      <c r="BC590" s="116"/>
      <c r="BD590" s="116"/>
      <c r="BE590" s="116"/>
      <c r="BF590" s="116"/>
      <c r="BG590" s="116"/>
      <c r="BH590" s="116"/>
      <c r="BI590" s="116"/>
      <c r="BJ590" s="117">
        <v>239294</v>
      </c>
      <c r="BK590" s="133">
        <v>139</v>
      </c>
      <c r="BL590" s="117">
        <v>1248</v>
      </c>
      <c r="BM590" s="118">
        <v>0</v>
      </c>
      <c r="BN590" s="131"/>
      <c r="BO590" s="119"/>
      <c r="BP590" s="119"/>
      <c r="BQ590" s="119"/>
      <c r="BR590" s="119"/>
      <c r="BS590" s="119"/>
      <c r="BT590" s="119"/>
      <c r="BU590" s="119"/>
      <c r="BV590" s="119"/>
      <c r="BW590" s="119"/>
      <c r="BX590" s="132">
        <v>0.092</v>
      </c>
    </row>
    <row r="591" s="96" customFormat="1" customHeight="1" spans="1:76">
      <c r="A591" s="111">
        <v>590</v>
      </c>
      <c r="B591" s="112" t="s">
        <v>53</v>
      </c>
      <c r="C591" s="112" t="s">
        <v>142</v>
      </c>
      <c r="D591" s="111">
        <v>2025</v>
      </c>
      <c r="E591" s="113" t="s">
        <v>33</v>
      </c>
      <c r="F591" s="114">
        <v>114645</v>
      </c>
      <c r="G591" s="114">
        <v>114645</v>
      </c>
      <c r="H591" s="114">
        <v>1719.8552</v>
      </c>
      <c r="I591" s="114">
        <v>172</v>
      </c>
      <c r="J591" s="115">
        <v>0.000625</v>
      </c>
      <c r="K591" s="114">
        <v>41.29</v>
      </c>
      <c r="L591" s="114"/>
      <c r="M591" s="114">
        <v>1696753</v>
      </c>
      <c r="N591" s="114">
        <v>5.59</v>
      </c>
      <c r="O591" s="114">
        <v>93006</v>
      </c>
      <c r="P591" s="114">
        <v>76649</v>
      </c>
      <c r="Q591" s="114">
        <v>16357</v>
      </c>
      <c r="R591" s="114">
        <v>16357</v>
      </c>
      <c r="S591" s="114">
        <v>0</v>
      </c>
      <c r="T591" s="114">
        <v>259</v>
      </c>
      <c r="U591" s="114">
        <v>87</v>
      </c>
      <c r="V591" s="114">
        <v>236</v>
      </c>
      <c r="W591" s="114">
        <v>-10</v>
      </c>
      <c r="X591" s="114">
        <v>217</v>
      </c>
      <c r="Y591" s="114">
        <v>54</v>
      </c>
      <c r="Z591" s="114">
        <v>115.219</v>
      </c>
      <c r="AA591" s="114">
        <v>0</v>
      </c>
      <c r="AB591" s="114">
        <v>0</v>
      </c>
      <c r="AC591" s="114">
        <v>8.724</v>
      </c>
      <c r="AD591" s="114">
        <v>0</v>
      </c>
      <c r="AE591" s="114"/>
      <c r="AF591" s="114"/>
      <c r="AG591" s="114"/>
      <c r="AH591" s="114"/>
      <c r="AI591" s="114">
        <v>1.004</v>
      </c>
      <c r="AJ591" s="114">
        <v>0</v>
      </c>
      <c r="AK591" s="114">
        <v>0</v>
      </c>
      <c r="AL591" s="114">
        <v>0</v>
      </c>
      <c r="AM591" s="114">
        <v>0</v>
      </c>
      <c r="AN591" s="114">
        <v>1209</v>
      </c>
      <c r="AO591" s="114">
        <v>17.2825</v>
      </c>
      <c r="AP591" s="114"/>
      <c r="AQ591" s="114">
        <v>0</v>
      </c>
      <c r="AR591" s="114"/>
      <c r="AS591" s="114"/>
      <c r="AT591" s="114"/>
      <c r="AU591" s="114">
        <v>8</v>
      </c>
      <c r="AV591" s="114">
        <v>0</v>
      </c>
      <c r="AW591" s="114">
        <v>0</v>
      </c>
      <c r="AX591" s="114">
        <v>0</v>
      </c>
      <c r="AY591" s="114">
        <v>0</v>
      </c>
      <c r="AZ591" s="114">
        <v>23</v>
      </c>
      <c r="BA591" s="114">
        <v>6581</v>
      </c>
      <c r="BB591" s="116"/>
      <c r="BC591" s="116"/>
      <c r="BD591" s="116"/>
      <c r="BE591" s="116"/>
      <c r="BF591" s="116"/>
      <c r="BG591" s="116"/>
      <c r="BH591" s="116"/>
      <c r="BI591" s="116"/>
      <c r="BJ591" s="117">
        <v>239466</v>
      </c>
      <c r="BK591" s="133">
        <v>172</v>
      </c>
      <c r="BL591" s="119"/>
      <c r="BM591" s="118">
        <v>0</v>
      </c>
      <c r="BN591" s="131"/>
      <c r="BO591" s="119"/>
      <c r="BP591" s="119"/>
      <c r="BQ591" s="119"/>
      <c r="BR591" s="119"/>
      <c r="BS591" s="119"/>
      <c r="BT591" s="119"/>
      <c r="BU591" s="119"/>
      <c r="BV591" s="119"/>
      <c r="BW591" s="119"/>
      <c r="BX591" s="132">
        <v>0.082</v>
      </c>
    </row>
    <row r="592" s="96" customFormat="1" customHeight="1" spans="1:76">
      <c r="A592" s="111">
        <v>591</v>
      </c>
      <c r="B592" s="112" t="s">
        <v>53</v>
      </c>
      <c r="C592" s="112" t="s">
        <v>142</v>
      </c>
      <c r="D592" s="111">
        <v>2025</v>
      </c>
      <c r="E592" s="113" t="s">
        <v>34</v>
      </c>
      <c r="F592" s="114">
        <v>112618</v>
      </c>
      <c r="G592" s="114">
        <v>112542</v>
      </c>
      <c r="H592" s="114">
        <v>1550.3872</v>
      </c>
      <c r="I592" s="114">
        <v>62</v>
      </c>
      <c r="J592" s="115">
        <v>0.00056712962962963</v>
      </c>
      <c r="K592" s="114">
        <v>35.66</v>
      </c>
      <c r="L592" s="114"/>
      <c r="M592" s="114">
        <v>1775561</v>
      </c>
      <c r="N592" s="114">
        <v>5.01</v>
      </c>
      <c r="O592" s="114">
        <v>87768</v>
      </c>
      <c r="P592" s="114">
        <v>73691</v>
      </c>
      <c r="Q592" s="114">
        <v>14131</v>
      </c>
      <c r="R592" s="114">
        <v>13842</v>
      </c>
      <c r="S592" s="114">
        <v>289</v>
      </c>
      <c r="T592" s="114">
        <v>328</v>
      </c>
      <c r="U592" s="114">
        <v>266</v>
      </c>
      <c r="V592" s="114">
        <v>209</v>
      </c>
      <c r="W592" s="114">
        <v>4</v>
      </c>
      <c r="X592" s="114">
        <v>243</v>
      </c>
      <c r="Y592" s="114">
        <v>44</v>
      </c>
      <c r="Z592" s="114">
        <v>118.111</v>
      </c>
      <c r="AA592" s="114">
        <v>0</v>
      </c>
      <c r="AB592" s="114">
        <v>0</v>
      </c>
      <c r="AC592" s="114">
        <v>7.113</v>
      </c>
      <c r="AD592" s="114">
        <v>0</v>
      </c>
      <c r="AE592" s="114"/>
      <c r="AF592" s="114"/>
      <c r="AG592" s="114"/>
      <c r="AH592" s="114"/>
      <c r="AI592" s="114">
        <v>1.049</v>
      </c>
      <c r="AJ592" s="114">
        <v>0</v>
      </c>
      <c r="AK592" s="114">
        <v>0</v>
      </c>
      <c r="AL592" s="114">
        <v>0</v>
      </c>
      <c r="AM592" s="114">
        <v>0</v>
      </c>
      <c r="AN592" s="114">
        <v>1172</v>
      </c>
      <c r="AO592" s="114">
        <v>18.6781</v>
      </c>
      <c r="AP592" s="114"/>
      <c r="AQ592" s="114">
        <v>0</v>
      </c>
      <c r="AR592" s="114"/>
      <c r="AS592" s="114"/>
      <c r="AT592" s="114"/>
      <c r="AU592" s="114">
        <v>3</v>
      </c>
      <c r="AV592" s="114">
        <v>0</v>
      </c>
      <c r="AW592" s="114">
        <v>0</v>
      </c>
      <c r="AX592" s="114">
        <v>0</v>
      </c>
      <c r="AY592" s="114">
        <v>1</v>
      </c>
      <c r="AZ592" s="114">
        <v>29</v>
      </c>
      <c r="BA592" s="114">
        <v>7726</v>
      </c>
      <c r="BB592" s="116"/>
      <c r="BC592" s="116"/>
      <c r="BD592" s="116"/>
      <c r="BE592" s="116"/>
      <c r="BF592" s="116"/>
      <c r="BG592" s="116"/>
      <c r="BH592" s="116"/>
      <c r="BI592" s="116"/>
      <c r="BJ592" s="117">
        <v>239528</v>
      </c>
      <c r="BK592" s="133">
        <v>62</v>
      </c>
      <c r="BL592" s="119"/>
      <c r="BM592" s="118">
        <v>0</v>
      </c>
      <c r="BN592" s="131"/>
      <c r="BO592" s="119"/>
      <c r="BP592" s="119"/>
      <c r="BQ592" s="119"/>
      <c r="BR592" s="119"/>
      <c r="BS592" s="119"/>
      <c r="BT592" s="119"/>
      <c r="BU592" s="119"/>
      <c r="BV592" s="119"/>
      <c r="BW592" s="119"/>
      <c r="BX592" s="132">
        <v>0.093</v>
      </c>
    </row>
    <row r="593" s="96" customFormat="1" customHeight="1" spans="1:76">
      <c r="A593" s="111">
        <v>592</v>
      </c>
      <c r="B593" s="112" t="s">
        <v>53</v>
      </c>
      <c r="C593" s="112" t="s">
        <v>142</v>
      </c>
      <c r="D593" s="111">
        <v>2025</v>
      </c>
      <c r="E593" s="113" t="s">
        <v>35</v>
      </c>
      <c r="F593" s="114">
        <v>204938</v>
      </c>
      <c r="G593" s="114">
        <v>201544</v>
      </c>
      <c r="H593" s="114">
        <v>2762.9738</v>
      </c>
      <c r="I593" s="114">
        <v>309</v>
      </c>
      <c r="J593" s="115">
        <v>0.00056712962962963</v>
      </c>
      <c r="K593" s="114">
        <v>39.55</v>
      </c>
      <c r="L593" s="114">
        <v>0</v>
      </c>
      <c r="M593" s="114">
        <v>2427777</v>
      </c>
      <c r="N593" s="114">
        <v>6.86</v>
      </c>
      <c r="O593" s="114">
        <v>160202</v>
      </c>
      <c r="P593" s="114">
        <v>136852</v>
      </c>
      <c r="Q593" s="114">
        <v>23520</v>
      </c>
      <c r="R593" s="114">
        <v>23018</v>
      </c>
      <c r="S593" s="114">
        <v>502</v>
      </c>
      <c r="T593" s="114">
        <v>511</v>
      </c>
      <c r="U593" s="114">
        <v>202</v>
      </c>
      <c r="V593" s="114">
        <v>296</v>
      </c>
      <c r="W593" s="114">
        <v>-13</v>
      </c>
      <c r="X593" s="114">
        <v>310</v>
      </c>
      <c r="Y593" s="114">
        <v>58</v>
      </c>
      <c r="Z593" s="114">
        <v>211.259</v>
      </c>
      <c r="AA593" s="114">
        <v>0</v>
      </c>
      <c r="AB593" s="114">
        <v>0</v>
      </c>
      <c r="AC593" s="114">
        <v>13.886</v>
      </c>
      <c r="AD593" s="114">
        <v>0</v>
      </c>
      <c r="AE593" s="114"/>
      <c r="AF593" s="114"/>
      <c r="AG593" s="114"/>
      <c r="AH593" s="114"/>
      <c r="AI593" s="114">
        <v>1.048</v>
      </c>
      <c r="AJ593" s="114">
        <v>0</v>
      </c>
      <c r="AK593" s="114">
        <v>0</v>
      </c>
      <c r="AL593" s="114">
        <v>0</v>
      </c>
      <c r="AM593" s="114">
        <v>0</v>
      </c>
      <c r="AN593" s="114">
        <v>1517</v>
      </c>
      <c r="AO593" s="114">
        <v>24.015</v>
      </c>
      <c r="AP593" s="114"/>
      <c r="AQ593" s="114">
        <v>0</v>
      </c>
      <c r="AR593" s="114"/>
      <c r="AS593" s="114"/>
      <c r="AT593" s="114"/>
      <c r="AU593" s="114">
        <v>3</v>
      </c>
      <c r="AV593" s="114">
        <v>0</v>
      </c>
      <c r="AW593" s="114">
        <v>0</v>
      </c>
      <c r="AX593" s="114">
        <v>0</v>
      </c>
      <c r="AY593" s="114">
        <v>0</v>
      </c>
      <c r="AZ593" s="114">
        <v>26</v>
      </c>
      <c r="BA593" s="114">
        <v>5799</v>
      </c>
      <c r="BB593" s="116"/>
      <c r="BC593" s="116"/>
      <c r="BD593" s="116"/>
      <c r="BE593" s="116"/>
      <c r="BF593" s="116"/>
      <c r="BG593" s="116"/>
      <c r="BH593" s="116"/>
      <c r="BI593" s="116"/>
      <c r="BJ593" s="117">
        <v>239837</v>
      </c>
      <c r="BK593" s="133">
        <v>309</v>
      </c>
      <c r="BL593" s="119"/>
      <c r="BM593" s="118">
        <v>0</v>
      </c>
      <c r="BN593" s="131"/>
      <c r="BO593" s="119"/>
      <c r="BP593" s="119"/>
      <c r="BQ593" s="119"/>
      <c r="BR593" s="119"/>
      <c r="BS593" s="119"/>
      <c r="BT593" s="119"/>
      <c r="BU593" s="119"/>
      <c r="BV593" s="119"/>
      <c r="BW593" s="119"/>
      <c r="BX593" s="132">
        <v>0.08</v>
      </c>
    </row>
    <row r="594" s="96" customFormat="1" customHeight="1" spans="1:76">
      <c r="A594" s="111">
        <v>593</v>
      </c>
      <c r="B594" s="112" t="s">
        <v>53</v>
      </c>
      <c r="C594" s="112" t="s">
        <v>142</v>
      </c>
      <c r="D594" s="111">
        <v>2025</v>
      </c>
      <c r="E594" s="113" t="s">
        <v>36</v>
      </c>
      <c r="F594" s="114">
        <v>275458</v>
      </c>
      <c r="G594" s="114">
        <v>271208</v>
      </c>
      <c r="H594" s="114">
        <v>3867.9324</v>
      </c>
      <c r="I594" s="114">
        <v>287</v>
      </c>
      <c r="J594" s="115">
        <v>0.000590277777777778</v>
      </c>
      <c r="K594" s="114">
        <v>45.64</v>
      </c>
      <c r="L594" s="114"/>
      <c r="M594" s="114">
        <v>3151744</v>
      </c>
      <c r="N594" s="114">
        <v>7.29</v>
      </c>
      <c r="O594" s="114">
        <v>214005</v>
      </c>
      <c r="P594" s="114">
        <v>186307</v>
      </c>
      <c r="Q594" s="114">
        <v>27698</v>
      </c>
      <c r="R594" s="114">
        <v>27219</v>
      </c>
      <c r="S594" s="114">
        <v>479</v>
      </c>
      <c r="T594" s="114">
        <v>519</v>
      </c>
      <c r="U594" s="114">
        <v>232</v>
      </c>
      <c r="V594" s="114">
        <v>541</v>
      </c>
      <c r="W594" s="114">
        <v>13</v>
      </c>
      <c r="X594" s="114">
        <v>395</v>
      </c>
      <c r="Y594" s="114">
        <v>298</v>
      </c>
      <c r="Z594" s="114">
        <v>288.145</v>
      </c>
      <c r="AA594" s="114">
        <v>0</v>
      </c>
      <c r="AB594" s="114">
        <v>0</v>
      </c>
      <c r="AC594" s="114">
        <v>15.293</v>
      </c>
      <c r="AD594" s="114">
        <v>0</v>
      </c>
      <c r="AE594" s="114"/>
      <c r="AF594" s="114"/>
      <c r="AG594" s="114"/>
      <c r="AH594" s="114"/>
      <c r="AI594" s="114">
        <v>1.063</v>
      </c>
      <c r="AJ594" s="114">
        <v>0</v>
      </c>
      <c r="AK594" s="114">
        <v>0</v>
      </c>
      <c r="AL594" s="114">
        <v>0</v>
      </c>
      <c r="AM594" s="114">
        <v>0</v>
      </c>
      <c r="AN594" s="114">
        <v>2856</v>
      </c>
      <c r="AO594" s="114">
        <v>46.4439</v>
      </c>
      <c r="AP594" s="114"/>
      <c r="AQ594" s="114">
        <v>0</v>
      </c>
      <c r="AR594" s="114"/>
      <c r="AS594" s="114"/>
      <c r="AT594" s="114"/>
      <c r="AU594" s="114">
        <v>14</v>
      </c>
      <c r="AV594" s="114">
        <v>0</v>
      </c>
      <c r="AW594" s="114">
        <v>0</v>
      </c>
      <c r="AX594" s="114">
        <v>0</v>
      </c>
      <c r="AY594" s="114">
        <v>1</v>
      </c>
      <c r="AZ594" s="114">
        <v>29</v>
      </c>
      <c r="BA594" s="114">
        <v>11790</v>
      </c>
      <c r="BB594" s="116"/>
      <c r="BC594" s="116"/>
      <c r="BD594" s="116"/>
      <c r="BE594" s="116"/>
      <c r="BF594" s="116"/>
      <c r="BG594" s="116"/>
      <c r="BH594" s="116"/>
      <c r="BI594" s="116"/>
      <c r="BJ594" s="117">
        <v>240124</v>
      </c>
      <c r="BK594" s="133">
        <v>287</v>
      </c>
      <c r="BL594" s="119"/>
      <c r="BM594" s="118">
        <v>0</v>
      </c>
      <c r="BN594" s="131"/>
      <c r="BO594" s="119"/>
      <c r="BP594" s="119"/>
      <c r="BQ594" s="119"/>
      <c r="BR594" s="119"/>
      <c r="BS594" s="119"/>
      <c r="BT594" s="119"/>
      <c r="BU594" s="119"/>
      <c r="BV594" s="119"/>
      <c r="BW594" s="119"/>
      <c r="BX594" s="132">
        <v>0.09</v>
      </c>
    </row>
    <row r="595" s="96" customFormat="1" customHeight="1" spans="1:76">
      <c r="A595" s="111">
        <v>594</v>
      </c>
      <c r="B595" s="112" t="s">
        <v>53</v>
      </c>
      <c r="C595" s="112" t="s">
        <v>142</v>
      </c>
      <c r="D595" s="111">
        <v>2025</v>
      </c>
      <c r="E595" s="113" t="s">
        <v>37</v>
      </c>
      <c r="F595" s="114">
        <v>275699</v>
      </c>
      <c r="G595" s="114">
        <v>272315</v>
      </c>
      <c r="H595" s="114">
        <v>5958.8494</v>
      </c>
      <c r="I595" s="114">
        <v>425</v>
      </c>
      <c r="J595" s="115">
        <v>0.000902777777777778</v>
      </c>
      <c r="K595" s="114">
        <v>41.32</v>
      </c>
      <c r="L595" s="114">
        <v>1</v>
      </c>
      <c r="M595" s="114">
        <v>3251927</v>
      </c>
      <c r="N595" s="114">
        <v>7.01</v>
      </c>
      <c r="O595" s="114">
        <v>211878</v>
      </c>
      <c r="P595" s="114">
        <v>179696</v>
      </c>
      <c r="Q595" s="114">
        <v>32182</v>
      </c>
      <c r="R595" s="114">
        <v>31689</v>
      </c>
      <c r="S595" s="114">
        <v>493</v>
      </c>
      <c r="T595" s="114">
        <v>604</v>
      </c>
      <c r="U595" s="114">
        <v>179</v>
      </c>
      <c r="V595" s="114">
        <v>638</v>
      </c>
      <c r="W595" s="114">
        <v>35</v>
      </c>
      <c r="X595" s="114">
        <v>255</v>
      </c>
      <c r="Y595" s="114">
        <v>265</v>
      </c>
      <c r="Z595" s="114">
        <v>207.25</v>
      </c>
      <c r="AA595" s="114">
        <v>0</v>
      </c>
      <c r="AB595" s="114">
        <v>0</v>
      </c>
      <c r="AC595" s="114">
        <v>8.259</v>
      </c>
      <c r="AD595" s="114">
        <v>0</v>
      </c>
      <c r="AE595" s="114"/>
      <c r="AF595" s="114"/>
      <c r="AG595" s="114"/>
      <c r="AH595" s="114"/>
      <c r="AI595" s="114">
        <v>0.761</v>
      </c>
      <c r="AJ595" s="114">
        <v>0</v>
      </c>
      <c r="AK595" s="114">
        <v>0</v>
      </c>
      <c r="AL595" s="114">
        <v>0</v>
      </c>
      <c r="AM595" s="114">
        <v>0</v>
      </c>
      <c r="AN595" s="114">
        <v>2291</v>
      </c>
      <c r="AO595" s="114">
        <v>57.6268</v>
      </c>
      <c r="AP595" s="114"/>
      <c r="AQ595" s="114">
        <v>0</v>
      </c>
      <c r="AR595" s="114"/>
      <c r="AS595" s="114"/>
      <c r="AT595" s="114">
        <v>1</v>
      </c>
      <c r="AU595" s="114">
        <v>1156</v>
      </c>
      <c r="AV595" s="114">
        <v>0</v>
      </c>
      <c r="AW595" s="114">
        <v>0</v>
      </c>
      <c r="AX595" s="114">
        <v>0</v>
      </c>
      <c r="AY595" s="114">
        <v>0</v>
      </c>
      <c r="AZ595" s="114">
        <v>73</v>
      </c>
      <c r="BA595" s="114">
        <v>39314</v>
      </c>
      <c r="BB595" s="116"/>
      <c r="BC595" s="116"/>
      <c r="BD595" s="116"/>
      <c r="BE595" s="116"/>
      <c r="BF595" s="116"/>
      <c r="BG595" s="116"/>
      <c r="BH595" s="116"/>
      <c r="BI595" s="116"/>
      <c r="BJ595" s="117">
        <v>240549</v>
      </c>
      <c r="BK595" s="133">
        <v>425</v>
      </c>
      <c r="BL595" s="119"/>
      <c r="BM595" s="118">
        <v>0</v>
      </c>
      <c r="BN595" s="131"/>
      <c r="BO595" s="119"/>
      <c r="BP595" s="119"/>
      <c r="BQ595" s="119"/>
      <c r="BR595" s="119"/>
      <c r="BS595" s="119"/>
      <c r="BT595" s="119"/>
      <c r="BU595" s="119"/>
      <c r="BV595" s="119"/>
      <c r="BW595" s="119"/>
      <c r="BX595" s="132">
        <v>0.115</v>
      </c>
    </row>
    <row r="596" s="96" customFormat="1" customHeight="1" spans="1:76">
      <c r="A596" s="111">
        <v>595</v>
      </c>
      <c r="B596" s="112" t="s">
        <v>53</v>
      </c>
      <c r="C596" s="112" t="s">
        <v>142</v>
      </c>
      <c r="D596" s="111">
        <v>2025</v>
      </c>
      <c r="E596" s="113" t="s">
        <v>38</v>
      </c>
      <c r="F596" s="114">
        <v>226562</v>
      </c>
      <c r="G596" s="114">
        <v>223099</v>
      </c>
      <c r="H596" s="114">
        <v>5095.3342</v>
      </c>
      <c r="I596" s="114">
        <v>202</v>
      </c>
      <c r="J596" s="115">
        <v>0.000949074074074074</v>
      </c>
      <c r="K596" s="114">
        <v>41.12</v>
      </c>
      <c r="L596" s="114"/>
      <c r="M596" s="114">
        <v>2616731</v>
      </c>
      <c r="N596" s="114">
        <v>7.22</v>
      </c>
      <c r="O596" s="114">
        <v>176630</v>
      </c>
      <c r="P596" s="114">
        <v>143863</v>
      </c>
      <c r="Q596" s="114">
        <v>32767</v>
      </c>
      <c r="R596" s="114">
        <v>32255</v>
      </c>
      <c r="S596" s="114">
        <v>512</v>
      </c>
      <c r="T596" s="114">
        <v>467</v>
      </c>
      <c r="U596" s="114">
        <v>265</v>
      </c>
      <c r="V596" s="114">
        <v>389</v>
      </c>
      <c r="W596" s="114">
        <v>19</v>
      </c>
      <c r="X596" s="114">
        <v>258</v>
      </c>
      <c r="Y596" s="114">
        <v>352</v>
      </c>
      <c r="Z596" s="114">
        <v>249.503</v>
      </c>
      <c r="AA596" s="114">
        <v>0</v>
      </c>
      <c r="AB596" s="114">
        <v>0</v>
      </c>
      <c r="AC596" s="114">
        <v>7.065</v>
      </c>
      <c r="AD596" s="114">
        <v>0</v>
      </c>
      <c r="AE596" s="114"/>
      <c r="AF596" s="114"/>
      <c r="AG596" s="114"/>
      <c r="AH596" s="114"/>
      <c r="AI596" s="114">
        <v>1.119</v>
      </c>
      <c r="AJ596" s="114">
        <v>0</v>
      </c>
      <c r="AK596" s="114">
        <v>0</v>
      </c>
      <c r="AL596" s="114">
        <v>0</v>
      </c>
      <c r="AM596" s="114">
        <v>0</v>
      </c>
      <c r="AN596" s="114">
        <v>2032</v>
      </c>
      <c r="AO596" s="114">
        <v>60.8363</v>
      </c>
      <c r="AP596" s="114"/>
      <c r="AQ596" s="114">
        <v>0</v>
      </c>
      <c r="AR596" s="114"/>
      <c r="AS596" s="114"/>
      <c r="AT596" s="114">
        <v>1</v>
      </c>
      <c r="AU596" s="114">
        <v>1511</v>
      </c>
      <c r="AV596" s="114">
        <v>0</v>
      </c>
      <c r="AW596" s="114">
        <v>0</v>
      </c>
      <c r="AX596" s="114">
        <v>0</v>
      </c>
      <c r="AY596" s="114">
        <v>0</v>
      </c>
      <c r="AZ596" s="114">
        <v>41</v>
      </c>
      <c r="BA596" s="114">
        <v>11497</v>
      </c>
      <c r="BB596" s="116"/>
      <c r="BC596" s="116"/>
      <c r="BD596" s="116"/>
      <c r="BE596" s="116"/>
      <c r="BF596" s="116"/>
      <c r="BG596" s="116"/>
      <c r="BH596" s="116"/>
      <c r="BI596" s="116"/>
      <c r="BJ596" s="117">
        <v>240751</v>
      </c>
      <c r="BK596" s="133">
        <v>202</v>
      </c>
      <c r="BL596" s="119"/>
      <c r="BM596" s="118">
        <v>0</v>
      </c>
      <c r="BN596" s="131"/>
      <c r="BO596" s="120">
        <v>0.593</v>
      </c>
      <c r="BP596" s="120">
        <v>0.408</v>
      </c>
      <c r="BQ596" s="119"/>
      <c r="BR596" s="120">
        <v>0.025</v>
      </c>
      <c r="BS596" s="120">
        <v>0.104</v>
      </c>
      <c r="BT596" s="120">
        <v>0.324</v>
      </c>
      <c r="BU596" s="120">
        <v>0.239</v>
      </c>
      <c r="BV596" s="120">
        <v>0.165</v>
      </c>
      <c r="BW596" s="120">
        <v>0.103</v>
      </c>
      <c r="BX596" s="120">
        <v>0.048</v>
      </c>
    </row>
    <row r="597" s="96" customFormat="1" customHeight="1" spans="1:76">
      <c r="A597" s="111">
        <v>596</v>
      </c>
      <c r="B597" s="112" t="s">
        <v>53</v>
      </c>
      <c r="C597" s="112" t="s">
        <v>142</v>
      </c>
      <c r="D597" s="111">
        <v>2025</v>
      </c>
      <c r="E597" s="113" t="s">
        <v>39</v>
      </c>
      <c r="F597" s="114">
        <v>210654</v>
      </c>
      <c r="G597" s="114">
        <v>146826</v>
      </c>
      <c r="H597" s="114">
        <v>2021.2133</v>
      </c>
      <c r="I597" s="114">
        <v>398</v>
      </c>
      <c r="J597" s="115">
        <v>0.00056712962962963</v>
      </c>
      <c r="K597" s="114">
        <v>10.74</v>
      </c>
      <c r="L597" s="114">
        <v>113</v>
      </c>
      <c r="M597" s="114">
        <v>1528530</v>
      </c>
      <c r="N597" s="114">
        <v>5.6</v>
      </c>
      <c r="O597" s="114">
        <v>107129</v>
      </c>
      <c r="P597" s="114">
        <v>86797</v>
      </c>
      <c r="Q597" s="114">
        <v>20332</v>
      </c>
      <c r="R597" s="114">
        <v>20008</v>
      </c>
      <c r="S597" s="114">
        <v>324</v>
      </c>
      <c r="T597" s="114">
        <v>625</v>
      </c>
      <c r="U597" s="114">
        <v>227</v>
      </c>
      <c r="V597" s="114">
        <v>855</v>
      </c>
      <c r="W597" s="114">
        <v>39</v>
      </c>
      <c r="X597" s="114">
        <v>235</v>
      </c>
      <c r="Y597" s="114">
        <v>119</v>
      </c>
      <c r="Z597" s="114">
        <v>79820.121</v>
      </c>
      <c r="AA597" s="114">
        <v>0</v>
      </c>
      <c r="AB597" s="114">
        <v>0</v>
      </c>
      <c r="AC597" s="114">
        <v>1254.921</v>
      </c>
      <c r="AD597" s="114">
        <v>67413.831</v>
      </c>
      <c r="AE597" s="114">
        <v>122699.199</v>
      </c>
      <c r="AF597" s="114">
        <v>10647</v>
      </c>
      <c r="AG597" s="114">
        <v>11524.298</v>
      </c>
      <c r="AH597" s="114">
        <v>8686</v>
      </c>
      <c r="AI597" s="114">
        <v>543.633</v>
      </c>
      <c r="AJ597" s="114">
        <v>0</v>
      </c>
      <c r="AK597" s="114">
        <v>0</v>
      </c>
      <c r="AL597" s="114">
        <v>0</v>
      </c>
      <c r="AM597" s="114">
        <v>0</v>
      </c>
      <c r="AN597" s="114">
        <v>2324</v>
      </c>
      <c r="AO597" s="114">
        <v>30.1183</v>
      </c>
      <c r="AP597" s="114">
        <v>45.0306</v>
      </c>
      <c r="AQ597" s="114">
        <v>4</v>
      </c>
      <c r="AR597" s="114">
        <v>1576</v>
      </c>
      <c r="AS597" s="114">
        <v>10209</v>
      </c>
      <c r="AT597" s="114"/>
      <c r="AU597" s="114">
        <v>5</v>
      </c>
      <c r="AV597" s="114">
        <v>0</v>
      </c>
      <c r="AW597" s="114">
        <v>0</v>
      </c>
      <c r="AX597" s="114">
        <v>0</v>
      </c>
      <c r="AY597" s="114">
        <v>18</v>
      </c>
      <c r="AZ597" s="114">
        <v>4</v>
      </c>
      <c r="BA597" s="114">
        <v>2015</v>
      </c>
      <c r="BB597" s="116"/>
      <c r="BC597" s="116"/>
      <c r="BD597" s="116"/>
      <c r="BE597" s="116"/>
      <c r="BF597" s="116"/>
      <c r="BG597" s="116"/>
      <c r="BH597" s="116"/>
      <c r="BI597" s="116"/>
      <c r="BJ597" s="117">
        <v>241202</v>
      </c>
      <c r="BK597" s="133">
        <v>398</v>
      </c>
      <c r="BL597" s="117">
        <v>115427</v>
      </c>
      <c r="BM597" s="118">
        <v>81090</v>
      </c>
      <c r="BN597" s="118">
        <v>4.77</v>
      </c>
      <c r="BO597" s="120">
        <v>0.659</v>
      </c>
      <c r="BP597" s="120">
        <v>0.341</v>
      </c>
      <c r="BQ597" s="134">
        <v>0</v>
      </c>
      <c r="BR597" s="120">
        <v>0.023</v>
      </c>
      <c r="BS597" s="120">
        <v>0.096</v>
      </c>
      <c r="BT597" s="120">
        <v>0.344</v>
      </c>
      <c r="BU597" s="120">
        <v>0.252</v>
      </c>
      <c r="BV597" s="120">
        <v>0.155</v>
      </c>
      <c r="BW597" s="120">
        <v>0.093</v>
      </c>
      <c r="BX597" s="120">
        <v>0.072</v>
      </c>
    </row>
    <row r="598" s="96" customFormat="1" customHeight="1" spans="1:76">
      <c r="A598" s="111">
        <v>597</v>
      </c>
      <c r="B598" s="112" t="s">
        <v>53</v>
      </c>
      <c r="C598" s="112" t="s">
        <v>142</v>
      </c>
      <c r="D598" s="111">
        <v>2025</v>
      </c>
      <c r="E598" s="113" t="s">
        <v>40</v>
      </c>
      <c r="F598" s="114">
        <v>103439</v>
      </c>
      <c r="G598" s="114">
        <v>70430</v>
      </c>
      <c r="H598" s="114">
        <v>1960.3909</v>
      </c>
      <c r="I598" s="114">
        <v>449</v>
      </c>
      <c r="J598" s="115">
        <v>0.00114583333333333</v>
      </c>
      <c r="K598" s="114">
        <v>4.83</v>
      </c>
      <c r="L598" s="114">
        <v>146</v>
      </c>
      <c r="M598" s="114">
        <v>803306</v>
      </c>
      <c r="N598" s="114">
        <v>4.67</v>
      </c>
      <c r="O598" s="114">
        <v>40107</v>
      </c>
      <c r="P598" s="114">
        <v>33912</v>
      </c>
      <c r="Q598" s="114">
        <v>6195</v>
      </c>
      <c r="R598" s="114">
        <v>6169</v>
      </c>
      <c r="S598" s="114">
        <v>26</v>
      </c>
      <c r="T598" s="114">
        <v>681</v>
      </c>
      <c r="U598" s="114">
        <v>232</v>
      </c>
      <c r="V598" s="114">
        <v>1581</v>
      </c>
      <c r="W598" s="114">
        <v>17</v>
      </c>
      <c r="X598" s="114">
        <v>157</v>
      </c>
      <c r="Y598" s="114">
        <v>242</v>
      </c>
      <c r="Z598" s="114">
        <v>186040.495</v>
      </c>
      <c r="AA598" s="114">
        <v>0</v>
      </c>
      <c r="AB598" s="114">
        <v>0</v>
      </c>
      <c r="AC598" s="114">
        <v>2203.774</v>
      </c>
      <c r="AD598" s="114">
        <v>176960.216</v>
      </c>
      <c r="AE598" s="114">
        <v>322498.279</v>
      </c>
      <c r="AF598" s="114">
        <v>38094</v>
      </c>
      <c r="AG598" s="114">
        <v>8465.855</v>
      </c>
      <c r="AH598" s="114">
        <v>32368</v>
      </c>
      <c r="AI598" s="114">
        <v>2641.496</v>
      </c>
      <c r="AJ598" s="114">
        <v>0</v>
      </c>
      <c r="AK598" s="114">
        <v>0</v>
      </c>
      <c r="AL598" s="114">
        <v>0</v>
      </c>
      <c r="AM598" s="114">
        <v>0</v>
      </c>
      <c r="AN598" s="114">
        <v>808</v>
      </c>
      <c r="AO598" s="114">
        <v>20.1111</v>
      </c>
      <c r="AP598" s="114">
        <v>124.4191</v>
      </c>
      <c r="AQ598" s="114">
        <v>11</v>
      </c>
      <c r="AR598" s="114">
        <v>3153</v>
      </c>
      <c r="AS598" s="114">
        <v>16539</v>
      </c>
      <c r="AT598" s="114"/>
      <c r="AU598" s="114">
        <v>6</v>
      </c>
      <c r="AV598" s="114">
        <v>0</v>
      </c>
      <c r="AW598" s="114">
        <v>0</v>
      </c>
      <c r="AX598" s="114">
        <v>1</v>
      </c>
      <c r="AY598" s="114">
        <v>104</v>
      </c>
      <c r="AZ598" s="114">
        <v>16</v>
      </c>
      <c r="BA598" s="114">
        <v>2340</v>
      </c>
      <c r="BB598" s="116"/>
      <c r="BC598" s="116"/>
      <c r="BD598" s="116"/>
      <c r="BE598" s="116"/>
      <c r="BF598" s="116"/>
      <c r="BG598" s="116"/>
      <c r="BH598" s="116"/>
      <c r="BI598" s="116"/>
      <c r="BJ598" s="117">
        <v>241597</v>
      </c>
      <c r="BK598" s="133">
        <v>448</v>
      </c>
      <c r="BL598" s="117">
        <v>90253</v>
      </c>
      <c r="BM598" s="118">
        <v>176800</v>
      </c>
      <c r="BN598" s="118">
        <v>10.4</v>
      </c>
      <c r="BO598" s="120">
        <v>0.595</v>
      </c>
      <c r="BP598" s="120">
        <v>0.405</v>
      </c>
      <c r="BQ598" s="134">
        <v>0</v>
      </c>
      <c r="BR598" s="120">
        <v>0.007</v>
      </c>
      <c r="BS598" s="120">
        <v>0.071</v>
      </c>
      <c r="BT598" s="120">
        <v>0.33</v>
      </c>
      <c r="BU598" s="120">
        <v>0.238</v>
      </c>
      <c r="BV598" s="120">
        <v>0.257</v>
      </c>
      <c r="BW598" s="120">
        <v>0.069</v>
      </c>
      <c r="BX598" s="120">
        <v>0.063</v>
      </c>
    </row>
    <row r="599" s="96" customFormat="1" customHeight="1" spans="1:76">
      <c r="A599" s="111">
        <v>598</v>
      </c>
      <c r="B599" s="112" t="s">
        <v>53</v>
      </c>
      <c r="C599" s="112" t="s">
        <v>142</v>
      </c>
      <c r="D599" s="111">
        <v>2025</v>
      </c>
      <c r="E599" s="113" t="s">
        <v>41</v>
      </c>
      <c r="F599" s="114">
        <v>251870</v>
      </c>
      <c r="G599" s="114">
        <v>211554</v>
      </c>
      <c r="H599" s="114">
        <v>10563.9918</v>
      </c>
      <c r="I599" s="114">
        <v>1058</v>
      </c>
      <c r="J599" s="115">
        <v>0.00207175925925926</v>
      </c>
      <c r="K599" s="114">
        <v>12.99</v>
      </c>
      <c r="L599" s="114">
        <v>362</v>
      </c>
      <c r="M599" s="114">
        <v>2816846</v>
      </c>
      <c r="N599" s="114">
        <v>5.12</v>
      </c>
      <c r="O599" s="114">
        <v>130388</v>
      </c>
      <c r="P599" s="114">
        <v>113705</v>
      </c>
      <c r="Q599" s="114">
        <v>16683</v>
      </c>
      <c r="R599" s="114">
        <v>16642</v>
      </c>
      <c r="S599" s="114">
        <v>41</v>
      </c>
      <c r="T599" s="114">
        <v>1423</v>
      </c>
      <c r="U599" s="114">
        <v>365</v>
      </c>
      <c r="V599" s="114">
        <v>6001</v>
      </c>
      <c r="W599" s="114">
        <v>32</v>
      </c>
      <c r="X599" s="114">
        <v>558</v>
      </c>
      <c r="Y599" s="114">
        <v>589</v>
      </c>
      <c r="Z599" s="114">
        <v>760780.769</v>
      </c>
      <c r="AA599" s="114">
        <v>87051.743</v>
      </c>
      <c r="AB599" s="114">
        <v>7</v>
      </c>
      <c r="AC599" s="114">
        <v>11406.407</v>
      </c>
      <c r="AD599" s="114">
        <v>649234.56</v>
      </c>
      <c r="AE599" s="114">
        <v>1180812.801</v>
      </c>
      <c r="AF599" s="114">
        <v>137189</v>
      </c>
      <c r="AG599" s="114">
        <v>8607.197</v>
      </c>
      <c r="AH599" s="114">
        <v>104836</v>
      </c>
      <c r="AI599" s="114">
        <v>3596.154</v>
      </c>
      <c r="AJ599" s="114">
        <v>0</v>
      </c>
      <c r="AK599" s="114">
        <v>4</v>
      </c>
      <c r="AL599" s="114">
        <v>0</v>
      </c>
      <c r="AM599" s="114">
        <v>0</v>
      </c>
      <c r="AN599" s="114">
        <v>2318</v>
      </c>
      <c r="AO599" s="114">
        <v>113.241</v>
      </c>
      <c r="AP599" s="114">
        <v>122.533</v>
      </c>
      <c r="AQ599" s="114">
        <v>494</v>
      </c>
      <c r="AR599" s="114">
        <v>4046</v>
      </c>
      <c r="AS599" s="114">
        <v>67196</v>
      </c>
      <c r="AT599" s="114"/>
      <c r="AU599" s="114">
        <v>6</v>
      </c>
      <c r="AV599" s="114">
        <v>0</v>
      </c>
      <c r="AW599" s="114">
        <v>0</v>
      </c>
      <c r="AX599" s="114">
        <v>11</v>
      </c>
      <c r="AY599" s="114">
        <v>5964</v>
      </c>
      <c r="AZ599" s="114">
        <v>146</v>
      </c>
      <c r="BA599" s="114">
        <v>20751</v>
      </c>
      <c r="BB599" s="116"/>
      <c r="BC599" s="116"/>
      <c r="BD599" s="116"/>
      <c r="BE599" s="116"/>
      <c r="BF599" s="116"/>
      <c r="BG599" s="116"/>
      <c r="BH599" s="116"/>
      <c r="BI599" s="116"/>
      <c r="BJ599" s="117">
        <v>242656</v>
      </c>
      <c r="BK599" s="117">
        <v>1058</v>
      </c>
      <c r="BL599" s="117">
        <v>210284</v>
      </c>
      <c r="BM599" s="118">
        <v>742730</v>
      </c>
      <c r="BN599" s="118">
        <v>43.69</v>
      </c>
      <c r="BO599" s="120">
        <v>0.5</v>
      </c>
      <c r="BP599" s="120">
        <v>0.5</v>
      </c>
      <c r="BQ599" s="134">
        <v>0</v>
      </c>
      <c r="BR599" s="120">
        <v>0.026</v>
      </c>
      <c r="BS599" s="120">
        <v>0.104</v>
      </c>
      <c r="BT599" s="120">
        <v>0.305</v>
      </c>
      <c r="BU599" s="120">
        <v>0.197</v>
      </c>
      <c r="BV599" s="120">
        <v>0.228</v>
      </c>
      <c r="BW599" s="120">
        <v>0.099</v>
      </c>
      <c r="BX599" s="120">
        <v>0.024</v>
      </c>
    </row>
    <row r="600" s="96" customFormat="1" customHeight="1" spans="1:76">
      <c r="A600" s="111">
        <v>599</v>
      </c>
      <c r="B600" s="112" t="s">
        <v>53</v>
      </c>
      <c r="C600" s="112" t="s">
        <v>142</v>
      </c>
      <c r="D600" s="111">
        <v>2025</v>
      </c>
      <c r="E600" s="113" t="s">
        <v>42</v>
      </c>
      <c r="F600" s="114">
        <v>175984</v>
      </c>
      <c r="G600" s="114">
        <v>163797</v>
      </c>
      <c r="H600" s="114">
        <v>7296.1357</v>
      </c>
      <c r="I600" s="114">
        <v>756</v>
      </c>
      <c r="J600" s="115">
        <v>0.00185185185185185</v>
      </c>
      <c r="K600" s="114">
        <v>13.19</v>
      </c>
      <c r="L600" s="114">
        <v>353</v>
      </c>
      <c r="M600" s="114">
        <v>2415390</v>
      </c>
      <c r="N600" s="114">
        <v>5.32</v>
      </c>
      <c r="O600" s="114">
        <v>103271</v>
      </c>
      <c r="P600" s="114">
        <v>84142</v>
      </c>
      <c r="Q600" s="114">
        <v>19311</v>
      </c>
      <c r="R600" s="114">
        <v>19259</v>
      </c>
      <c r="S600" s="114">
        <v>52</v>
      </c>
      <c r="T600" s="114">
        <v>1085</v>
      </c>
      <c r="U600" s="114">
        <v>329</v>
      </c>
      <c r="V600" s="114">
        <v>3168</v>
      </c>
      <c r="W600" s="114">
        <v>26</v>
      </c>
      <c r="X600" s="114">
        <v>211</v>
      </c>
      <c r="Y600" s="114">
        <v>386</v>
      </c>
      <c r="Z600" s="114">
        <v>612660.839</v>
      </c>
      <c r="AA600" s="114">
        <v>0</v>
      </c>
      <c r="AB600" s="114">
        <v>0</v>
      </c>
      <c r="AC600" s="114">
        <v>9672.975</v>
      </c>
      <c r="AD600" s="114">
        <v>598421.537</v>
      </c>
      <c r="AE600" s="114">
        <v>1088040.127</v>
      </c>
      <c r="AF600" s="114">
        <v>112199</v>
      </c>
      <c r="AG600" s="114">
        <v>9697.414</v>
      </c>
      <c r="AH600" s="114">
        <v>86639</v>
      </c>
      <c r="AI600" s="114">
        <v>3740.375</v>
      </c>
      <c r="AJ600" s="114">
        <v>0</v>
      </c>
      <c r="AK600" s="114">
        <v>0</v>
      </c>
      <c r="AL600" s="114">
        <v>0</v>
      </c>
      <c r="AM600" s="114">
        <v>0</v>
      </c>
      <c r="AN600" s="114">
        <v>1334</v>
      </c>
      <c r="AO600" s="114">
        <v>77.2308</v>
      </c>
      <c r="AP600" s="114">
        <v>112.4389</v>
      </c>
      <c r="AQ600" s="114">
        <v>384</v>
      </c>
      <c r="AR600" s="114">
        <v>2855</v>
      </c>
      <c r="AS600" s="114">
        <v>10357</v>
      </c>
      <c r="AT600" s="114"/>
      <c r="AU600" s="114"/>
      <c r="AV600" s="114">
        <v>0</v>
      </c>
      <c r="AW600" s="114">
        <v>0</v>
      </c>
      <c r="AX600" s="114">
        <v>14</v>
      </c>
      <c r="AY600" s="114">
        <v>3553</v>
      </c>
      <c r="AZ600" s="114">
        <v>119</v>
      </c>
      <c r="BA600" s="114">
        <v>23359</v>
      </c>
      <c r="BB600" s="116"/>
      <c r="BC600" s="116"/>
      <c r="BD600" s="116"/>
      <c r="BE600" s="116"/>
      <c r="BF600" s="116"/>
      <c r="BG600" s="116"/>
      <c r="BH600" s="116"/>
      <c r="BI600" s="116"/>
      <c r="BJ600" s="117">
        <v>243412</v>
      </c>
      <c r="BK600" s="133">
        <v>756</v>
      </c>
      <c r="BL600" s="117">
        <v>129985</v>
      </c>
      <c r="BM600" s="118">
        <v>483140</v>
      </c>
      <c r="BN600" s="118">
        <v>28.42</v>
      </c>
      <c r="BO600" s="120">
        <v>0.468</v>
      </c>
      <c r="BP600" s="120">
        <v>0.532</v>
      </c>
      <c r="BQ600" s="134">
        <v>0</v>
      </c>
      <c r="BR600" s="120">
        <v>0.016</v>
      </c>
      <c r="BS600" s="120">
        <v>0.08</v>
      </c>
      <c r="BT600" s="120">
        <v>0.294</v>
      </c>
      <c r="BU600" s="120">
        <v>0.195</v>
      </c>
      <c r="BV600" s="120">
        <v>0.222</v>
      </c>
      <c r="BW600" s="120">
        <v>0.128</v>
      </c>
      <c r="BX600" s="120">
        <v>0.128</v>
      </c>
    </row>
    <row r="601" s="96" customFormat="1" customHeight="1" spans="1:76">
      <c r="A601" s="111">
        <v>600</v>
      </c>
      <c r="B601" s="112" t="s">
        <v>53</v>
      </c>
      <c r="C601" s="112" t="s">
        <v>142</v>
      </c>
      <c r="D601" s="111">
        <v>2025</v>
      </c>
      <c r="E601" s="113" t="s">
        <v>43</v>
      </c>
      <c r="F601" s="114">
        <v>105524</v>
      </c>
      <c r="G601" s="114">
        <v>98529</v>
      </c>
      <c r="H601" s="114">
        <v>3337.2011</v>
      </c>
      <c r="I601" s="114">
        <v>313</v>
      </c>
      <c r="J601" s="115">
        <v>0.00140046296296296</v>
      </c>
      <c r="K601" s="114">
        <v>9.34</v>
      </c>
      <c r="L601" s="114">
        <v>282</v>
      </c>
      <c r="M601" s="114">
        <v>1714928</v>
      </c>
      <c r="N601" s="114">
        <v>4.56</v>
      </c>
      <c r="O601" s="114">
        <v>69558</v>
      </c>
      <c r="P601" s="114">
        <v>55375</v>
      </c>
      <c r="Q601" s="114">
        <v>14327</v>
      </c>
      <c r="R601" s="114">
        <v>14289</v>
      </c>
      <c r="S601" s="114">
        <v>38</v>
      </c>
      <c r="T601" s="114">
        <v>534</v>
      </c>
      <c r="U601" s="114">
        <v>221</v>
      </c>
      <c r="V601" s="114">
        <v>1238</v>
      </c>
      <c r="W601" s="114">
        <v>-6</v>
      </c>
      <c r="X601" s="114">
        <v>191</v>
      </c>
      <c r="Y601" s="114">
        <v>179</v>
      </c>
      <c r="Z601" s="114">
        <v>413472.116</v>
      </c>
      <c r="AA601" s="114">
        <v>0</v>
      </c>
      <c r="AB601" s="114">
        <v>0</v>
      </c>
      <c r="AC601" s="114">
        <v>5550.288</v>
      </c>
      <c r="AD601" s="114">
        <v>405366.329</v>
      </c>
      <c r="AE601" s="114">
        <v>737115.725</v>
      </c>
      <c r="AF601" s="114">
        <v>64848</v>
      </c>
      <c r="AG601" s="114">
        <v>11366.823</v>
      </c>
      <c r="AH601" s="114">
        <v>52277</v>
      </c>
      <c r="AI601" s="114">
        <v>4196.446</v>
      </c>
      <c r="AJ601" s="114">
        <v>0</v>
      </c>
      <c r="AK601" s="114">
        <v>0</v>
      </c>
      <c r="AL601" s="114">
        <v>0</v>
      </c>
      <c r="AM601" s="114">
        <v>0</v>
      </c>
      <c r="AN601" s="114">
        <v>1162</v>
      </c>
      <c r="AO601" s="114">
        <v>44.7513</v>
      </c>
      <c r="AP601" s="114">
        <v>88.3672</v>
      </c>
      <c r="AQ601" s="114">
        <v>271</v>
      </c>
      <c r="AR601" s="114">
        <v>2330</v>
      </c>
      <c r="AS601" s="114">
        <v>10856</v>
      </c>
      <c r="AT601" s="114"/>
      <c r="AU601" s="114">
        <v>6</v>
      </c>
      <c r="AV601" s="114">
        <v>0</v>
      </c>
      <c r="AW601" s="114">
        <v>0</v>
      </c>
      <c r="AX601" s="114">
        <v>8</v>
      </c>
      <c r="AY601" s="114">
        <v>2323</v>
      </c>
      <c r="AZ601" s="114">
        <v>40</v>
      </c>
      <c r="BA601" s="114">
        <v>8975</v>
      </c>
      <c r="BB601" s="116"/>
      <c r="BC601" s="116"/>
      <c r="BD601" s="116"/>
      <c r="BE601" s="116"/>
      <c r="BF601" s="116"/>
      <c r="BG601" s="116"/>
      <c r="BH601" s="116"/>
      <c r="BI601" s="116"/>
      <c r="BJ601" s="117">
        <v>243725</v>
      </c>
      <c r="BK601" s="133">
        <v>313</v>
      </c>
      <c r="BL601" s="117">
        <v>75665</v>
      </c>
      <c r="BM601" s="118">
        <v>312460</v>
      </c>
      <c r="BN601" s="118">
        <v>18.38</v>
      </c>
      <c r="BO601" s="120">
        <v>0.542</v>
      </c>
      <c r="BP601" s="120">
        <v>0.458</v>
      </c>
      <c r="BQ601" s="134">
        <v>0</v>
      </c>
      <c r="BR601" s="120">
        <v>0.011</v>
      </c>
      <c r="BS601" s="120">
        <v>0.074</v>
      </c>
      <c r="BT601" s="120">
        <v>0.299</v>
      </c>
      <c r="BU601" s="120">
        <v>0.221</v>
      </c>
      <c r="BV601" s="120">
        <v>0.235</v>
      </c>
      <c r="BW601" s="120">
        <v>0.113</v>
      </c>
      <c r="BX601" s="120">
        <v>0.117</v>
      </c>
    </row>
    <row r="602" s="96" customFormat="1" customHeight="1" spans="1:76">
      <c r="A602" s="111">
        <v>601</v>
      </c>
      <c r="B602" s="112" t="s">
        <v>53</v>
      </c>
      <c r="C602" s="112" t="s">
        <v>142</v>
      </c>
      <c r="D602" s="111">
        <v>2026</v>
      </c>
      <c r="E602" s="112" t="s">
        <v>31</v>
      </c>
      <c r="F602" s="121">
        <v>96571</v>
      </c>
      <c r="G602" s="114">
        <v>89291</v>
      </c>
      <c r="H602" s="114">
        <v>2901.512</v>
      </c>
      <c r="I602" s="114">
        <v>300</v>
      </c>
      <c r="J602" s="115">
        <v>0.00134259259259259</v>
      </c>
      <c r="K602" s="114">
        <v>10.35</v>
      </c>
      <c r="L602" s="114">
        <v>218</v>
      </c>
      <c r="M602" s="114">
        <v>1593268</v>
      </c>
      <c r="N602" s="114">
        <v>4.25</v>
      </c>
      <c r="O602" s="114">
        <v>67206</v>
      </c>
      <c r="P602" s="114">
        <v>54370</v>
      </c>
      <c r="Q602" s="114">
        <v>12837</v>
      </c>
      <c r="R602" s="114">
        <v>12678</v>
      </c>
      <c r="S602" s="114">
        <v>159</v>
      </c>
      <c r="T602" s="114">
        <v>519</v>
      </c>
      <c r="U602" s="114">
        <v>219</v>
      </c>
      <c r="V602" s="114">
        <v>933</v>
      </c>
      <c r="W602" s="114">
        <v>-7</v>
      </c>
      <c r="X602" s="114">
        <v>138</v>
      </c>
      <c r="Y602" s="114">
        <v>161</v>
      </c>
      <c r="Z602" s="121">
        <v>300044</v>
      </c>
      <c r="AA602" s="114">
        <v>0</v>
      </c>
      <c r="AB602" s="114">
        <v>0</v>
      </c>
      <c r="AC602" s="114">
        <v>5902.805</v>
      </c>
      <c r="AD602" s="114">
        <v>282454.443</v>
      </c>
      <c r="AE602" s="114">
        <v>514065.93</v>
      </c>
      <c r="AF602" s="114">
        <v>50281</v>
      </c>
      <c r="AG602" s="114">
        <v>10223.861</v>
      </c>
      <c r="AH602" s="114">
        <v>41189</v>
      </c>
      <c r="AI602" s="114">
        <v>3255.07</v>
      </c>
      <c r="AJ602" s="114">
        <v>0</v>
      </c>
      <c r="AK602" s="114">
        <v>2</v>
      </c>
      <c r="AL602" s="114">
        <v>0</v>
      </c>
      <c r="AM602" s="114">
        <v>0</v>
      </c>
      <c r="AN602" s="114">
        <v>1348</v>
      </c>
      <c r="AO602" s="114">
        <v>47.1688</v>
      </c>
      <c r="AP602" s="114">
        <v>85.8182</v>
      </c>
      <c r="AQ602" s="114">
        <v>350</v>
      </c>
      <c r="AR602" s="114">
        <v>2033</v>
      </c>
      <c r="AS602" s="114">
        <v>7196</v>
      </c>
      <c r="AT602" s="114"/>
      <c r="AU602" s="114">
        <v>12</v>
      </c>
      <c r="AV602" s="114">
        <v>0</v>
      </c>
      <c r="AW602" s="114">
        <v>0</v>
      </c>
      <c r="AX602" s="114">
        <v>5</v>
      </c>
      <c r="AY602" s="114">
        <v>1087</v>
      </c>
      <c r="AZ602" s="114">
        <v>40</v>
      </c>
      <c r="BA602" s="114">
        <v>6236</v>
      </c>
      <c r="BB602" s="116"/>
      <c r="BC602" s="116"/>
      <c r="BD602" s="116"/>
      <c r="BE602" s="116"/>
      <c r="BF602" s="116"/>
      <c r="BG602" s="116"/>
      <c r="BH602" s="116"/>
      <c r="BI602" s="116"/>
      <c r="BJ602" s="117">
        <v>244025</v>
      </c>
      <c r="BK602" s="133">
        <v>300</v>
      </c>
      <c r="BL602" s="117">
        <v>57498</v>
      </c>
      <c r="BM602" s="118">
        <v>189443</v>
      </c>
      <c r="BN602" s="118"/>
      <c r="BO602" s="120">
        <v>0.433</v>
      </c>
      <c r="BP602" s="120">
        <v>0.567</v>
      </c>
      <c r="BQ602" s="134">
        <v>0</v>
      </c>
      <c r="BR602" s="120">
        <v>0.005</v>
      </c>
      <c r="BS602" s="120">
        <v>0.075</v>
      </c>
      <c r="BT602" s="120">
        <v>0.31</v>
      </c>
      <c r="BU602" s="120">
        <v>0.231</v>
      </c>
      <c r="BV602" s="120">
        <v>0.184</v>
      </c>
      <c r="BW602" s="120">
        <v>0.128</v>
      </c>
      <c r="BX602" s="120">
        <v>0.066</v>
      </c>
    </row>
    <row r="603" s="96" customFormat="1" customHeight="1" spans="1:76">
      <c r="A603" s="111">
        <v>602</v>
      </c>
      <c r="B603" s="112" t="s">
        <v>53</v>
      </c>
      <c r="C603" s="112" t="s">
        <v>142</v>
      </c>
      <c r="D603" s="111">
        <v>2026</v>
      </c>
      <c r="E603" s="112" t="s">
        <v>33</v>
      </c>
      <c r="F603" s="114">
        <v>88091</v>
      </c>
      <c r="G603" s="114">
        <v>72617</v>
      </c>
      <c r="H603" s="114">
        <v>2199.0698</v>
      </c>
      <c r="I603" s="114">
        <v>261</v>
      </c>
      <c r="J603" s="115">
        <v>0.00125</v>
      </c>
      <c r="K603" s="114">
        <v>8.87</v>
      </c>
      <c r="L603" s="114">
        <v>227</v>
      </c>
      <c r="M603" s="114">
        <v>1628983</v>
      </c>
      <c r="N603" s="114">
        <v>2.85</v>
      </c>
      <c r="O603" s="114">
        <v>50309</v>
      </c>
      <c r="P603" s="114">
        <v>40547</v>
      </c>
      <c r="Q603" s="114">
        <v>9788</v>
      </c>
      <c r="R603" s="114">
        <v>9558</v>
      </c>
      <c r="S603" s="114">
        <v>230</v>
      </c>
      <c r="T603" s="114">
        <v>487</v>
      </c>
      <c r="U603" s="114">
        <v>226</v>
      </c>
      <c r="V603" s="114">
        <v>1246</v>
      </c>
      <c r="W603" s="114">
        <v>6</v>
      </c>
      <c r="X603" s="114">
        <v>168</v>
      </c>
      <c r="Y603" s="114">
        <v>148</v>
      </c>
      <c r="Z603" s="114">
        <v>285709.055</v>
      </c>
      <c r="AA603" s="114">
        <v>15048.373</v>
      </c>
      <c r="AB603" s="114">
        <v>2</v>
      </c>
      <c r="AC603" s="114">
        <v>3952.65</v>
      </c>
      <c r="AD603" s="114">
        <v>262455.439</v>
      </c>
      <c r="AE603" s="114">
        <v>477318.609</v>
      </c>
      <c r="AF603" s="114">
        <v>47875</v>
      </c>
      <c r="AG603" s="114">
        <v>9970.101</v>
      </c>
      <c r="AH603" s="114">
        <v>38843</v>
      </c>
      <c r="AI603" s="114">
        <v>3934.037</v>
      </c>
      <c r="AJ603" s="114">
        <v>0</v>
      </c>
      <c r="AK603" s="114">
        <v>0</v>
      </c>
      <c r="AL603" s="114">
        <v>0</v>
      </c>
      <c r="AM603" s="114">
        <v>0</v>
      </c>
      <c r="AN603" s="114">
        <v>1231</v>
      </c>
      <c r="AO603" s="114">
        <v>30.2614</v>
      </c>
      <c r="AP603" s="114">
        <v>76.2412</v>
      </c>
      <c r="AQ603" s="114">
        <v>346</v>
      </c>
      <c r="AR603" s="114">
        <v>2046</v>
      </c>
      <c r="AS603" s="114">
        <v>12853</v>
      </c>
      <c r="AT603" s="114">
        <v>0</v>
      </c>
      <c r="AU603" s="114">
        <v>8</v>
      </c>
      <c r="AV603" s="114">
        <v>0</v>
      </c>
      <c r="AW603" s="114">
        <v>0</v>
      </c>
      <c r="AX603" s="114">
        <v>11</v>
      </c>
      <c r="AY603" s="114">
        <v>1190</v>
      </c>
      <c r="AZ603" s="114">
        <v>54</v>
      </c>
      <c r="BA603" s="114">
        <v>4067</v>
      </c>
      <c r="BB603" s="116"/>
      <c r="BC603" s="116"/>
      <c r="BD603" s="116"/>
      <c r="BE603" s="116"/>
      <c r="BF603" s="116"/>
      <c r="BG603" s="116"/>
      <c r="BH603" s="116"/>
      <c r="BI603" s="116"/>
      <c r="BJ603" s="117">
        <v>244286</v>
      </c>
      <c r="BK603" s="133">
        <v>261</v>
      </c>
      <c r="BL603" s="117">
        <v>61879</v>
      </c>
      <c r="BM603" s="118">
        <v>212038</v>
      </c>
      <c r="BN603" s="118"/>
      <c r="BO603" s="120">
        <v>0.518</v>
      </c>
      <c r="BP603" s="120">
        <v>0.482</v>
      </c>
      <c r="BQ603" s="120">
        <v>0</v>
      </c>
      <c r="BR603" s="120">
        <v>0.006</v>
      </c>
      <c r="BS603" s="120">
        <v>0.081</v>
      </c>
      <c r="BT603" s="120">
        <v>0.335</v>
      </c>
      <c r="BU603" s="120">
        <v>0.215</v>
      </c>
      <c r="BV603" s="120">
        <v>0.212</v>
      </c>
      <c r="BW603" s="120">
        <v>0.103</v>
      </c>
      <c r="BX603" s="120">
        <v>0.048</v>
      </c>
    </row>
    <row r="604" s="96" customFormat="1" customHeight="1" spans="1:76">
      <c r="A604" s="111">
        <v>603</v>
      </c>
      <c r="B604" s="112" t="s">
        <v>53</v>
      </c>
      <c r="C604" s="112" t="s">
        <v>142</v>
      </c>
      <c r="D604" s="111">
        <v>2026</v>
      </c>
      <c r="E604" s="113" t="s">
        <v>34</v>
      </c>
      <c r="F604" s="114">
        <v>182388</v>
      </c>
      <c r="G604" s="114">
        <v>144098</v>
      </c>
      <c r="H604" s="114">
        <v>7098.008</v>
      </c>
      <c r="I604" s="114">
        <v>602</v>
      </c>
      <c r="J604" s="115">
        <v>0.00203703703703704</v>
      </c>
      <c r="K604" s="114">
        <v>16.99</v>
      </c>
      <c r="L604" s="114">
        <v>205</v>
      </c>
      <c r="M604" s="114">
        <v>2015402</v>
      </c>
      <c r="N604" s="114">
        <v>3.86</v>
      </c>
      <c r="O604" s="114">
        <v>108063</v>
      </c>
      <c r="P604" s="114">
        <v>81634</v>
      </c>
      <c r="Q604" s="114">
        <v>15056</v>
      </c>
      <c r="R604" s="114">
        <v>14778</v>
      </c>
      <c r="S604" s="114">
        <v>278</v>
      </c>
      <c r="T604" s="114">
        <v>920</v>
      </c>
      <c r="U604" s="114">
        <v>318</v>
      </c>
      <c r="V604" s="114">
        <v>7778</v>
      </c>
      <c r="W604" s="114">
        <v>74</v>
      </c>
      <c r="X604" s="114">
        <v>215</v>
      </c>
      <c r="Y604" s="114">
        <v>644</v>
      </c>
      <c r="Z604" s="114">
        <v>677305.451</v>
      </c>
      <c r="AA604" s="114">
        <v>0</v>
      </c>
      <c r="AB604" s="114">
        <v>0</v>
      </c>
      <c r="AC604" s="114">
        <v>7200.915</v>
      </c>
      <c r="AD604" s="114">
        <v>656137.692</v>
      </c>
      <c r="AE604" s="114">
        <v>1193222.573</v>
      </c>
      <c r="AF604" s="114">
        <v>105424</v>
      </c>
      <c r="AG604" s="114">
        <v>11318.32</v>
      </c>
      <c r="AH604" s="114">
        <v>68552</v>
      </c>
      <c r="AI604" s="114">
        <v>4901.146</v>
      </c>
      <c r="AJ604" s="114">
        <v>0</v>
      </c>
      <c r="AK604" s="114">
        <v>0</v>
      </c>
      <c r="AL604" s="114">
        <v>0</v>
      </c>
      <c r="AM604" s="114">
        <v>0</v>
      </c>
      <c r="AN604" s="114">
        <v>1943</v>
      </c>
      <c r="AO604" s="114">
        <v>78.1087</v>
      </c>
      <c r="AP604" s="114">
        <v>54.6445</v>
      </c>
      <c r="AQ604" s="114">
        <v>213</v>
      </c>
      <c r="AR604" s="114">
        <v>1158</v>
      </c>
      <c r="AS604" s="114">
        <v>1858</v>
      </c>
      <c r="AT604" s="114"/>
      <c r="AU604" s="114">
        <v>3</v>
      </c>
      <c r="AV604" s="114">
        <v>0</v>
      </c>
      <c r="AW604" s="114">
        <v>0</v>
      </c>
      <c r="AX604" s="114">
        <v>10</v>
      </c>
      <c r="AY604" s="114">
        <v>1395</v>
      </c>
      <c r="AZ604" s="114">
        <v>99</v>
      </c>
      <c r="BA604" s="114">
        <v>9434</v>
      </c>
      <c r="BB604" s="116"/>
      <c r="BC604" s="116"/>
      <c r="BD604" s="116"/>
      <c r="BE604" s="116"/>
      <c r="BF604" s="116"/>
      <c r="BG604" s="116"/>
      <c r="BH604" s="116"/>
      <c r="BI604" s="116"/>
      <c r="BJ604" s="117">
        <v>244888</v>
      </c>
      <c r="BK604" s="133">
        <v>602</v>
      </c>
      <c r="BL604" s="117">
        <v>151792</v>
      </c>
      <c r="BM604" s="118">
        <v>546117</v>
      </c>
      <c r="BN604" s="118"/>
      <c r="BO604" s="120">
        <v>0.441</v>
      </c>
      <c r="BP604" s="120">
        <v>0.56</v>
      </c>
      <c r="BQ604" s="120">
        <v>0</v>
      </c>
      <c r="BR604" s="120">
        <v>0.033</v>
      </c>
      <c r="BS604" s="120">
        <v>0.116</v>
      </c>
      <c r="BT604" s="120">
        <v>0.364</v>
      </c>
      <c r="BU604" s="120">
        <v>0.227</v>
      </c>
      <c r="BV604" s="120">
        <v>0.157</v>
      </c>
      <c r="BW604" s="120">
        <v>0.073</v>
      </c>
      <c r="BX604" s="120">
        <v>0.031</v>
      </c>
    </row>
    <row r="605" s="96" customFormat="1" customHeight="1" spans="1:76">
      <c r="A605" s="111">
        <v>604</v>
      </c>
      <c r="B605" s="112" t="s">
        <v>53</v>
      </c>
      <c r="C605" s="112" t="s">
        <v>142</v>
      </c>
      <c r="D605" s="111">
        <v>2026</v>
      </c>
      <c r="E605" s="113" t="s">
        <v>35</v>
      </c>
      <c r="F605" s="114">
        <v>190856</v>
      </c>
      <c r="G605" s="114">
        <v>156885</v>
      </c>
      <c r="H605" s="114">
        <v>7763.9304</v>
      </c>
      <c r="I605" s="114">
        <v>404</v>
      </c>
      <c r="J605" s="115">
        <v>0.00204861111111111</v>
      </c>
      <c r="K605" s="114">
        <v>17.24</v>
      </c>
      <c r="L605" s="114">
        <v>85</v>
      </c>
      <c r="M605" s="114">
        <v>2016874</v>
      </c>
      <c r="N605" s="114">
        <v>4.71</v>
      </c>
      <c r="O605" s="114">
        <v>105684</v>
      </c>
      <c r="P605" s="114">
        <v>74377</v>
      </c>
      <c r="Q605" s="114">
        <v>21606</v>
      </c>
      <c r="R605" s="114">
        <v>21221</v>
      </c>
      <c r="S605" s="114">
        <v>385</v>
      </c>
      <c r="T605" s="114">
        <v>703</v>
      </c>
      <c r="U605" s="114">
        <v>299</v>
      </c>
      <c r="V605" s="114">
        <v>3599</v>
      </c>
      <c r="W605" s="114">
        <v>45</v>
      </c>
      <c r="X605" s="114">
        <v>168</v>
      </c>
      <c r="Y605" s="114">
        <v>307</v>
      </c>
      <c r="Z605" s="114">
        <v>613604.74</v>
      </c>
      <c r="AA605" s="114">
        <v>0</v>
      </c>
      <c r="AB605" s="114">
        <v>0</v>
      </c>
      <c r="AC605" s="114">
        <v>9346.994</v>
      </c>
      <c r="AD605" s="114">
        <v>591486.094</v>
      </c>
      <c r="AE605" s="114">
        <v>1068659.679</v>
      </c>
      <c r="AF605" s="114">
        <v>99226</v>
      </c>
      <c r="AG605" s="114">
        <v>10769.956</v>
      </c>
      <c r="AH605" s="114">
        <v>71482</v>
      </c>
      <c r="AI605" s="114">
        <v>3902.511</v>
      </c>
      <c r="AJ605" s="114">
        <v>0</v>
      </c>
      <c r="AK605" s="114">
        <v>0</v>
      </c>
      <c r="AL605" s="114">
        <v>0</v>
      </c>
      <c r="AM605" s="114">
        <v>0</v>
      </c>
      <c r="AN605" s="114">
        <v>1848</v>
      </c>
      <c r="AO605" s="114">
        <v>72.8357</v>
      </c>
      <c r="AP605" s="114">
        <v>53.965</v>
      </c>
      <c r="AQ605" s="114">
        <v>323</v>
      </c>
      <c r="AR605" s="114">
        <v>1322</v>
      </c>
      <c r="AS605" s="114">
        <v>5541</v>
      </c>
      <c r="AT605" s="114"/>
      <c r="AU605" s="114">
        <v>300</v>
      </c>
      <c r="AV605" s="114">
        <v>0</v>
      </c>
      <c r="AW605" s="114">
        <v>0</v>
      </c>
      <c r="AX605" s="114">
        <v>14</v>
      </c>
      <c r="AY605" s="114">
        <v>2236</v>
      </c>
      <c r="AZ605" s="114">
        <v>123</v>
      </c>
      <c r="BA605" s="114">
        <v>10942</v>
      </c>
      <c r="BB605" s="116"/>
      <c r="BC605" s="116"/>
      <c r="BD605" s="116"/>
      <c r="BE605" s="116"/>
      <c r="BF605" s="116"/>
      <c r="BG605" s="116"/>
      <c r="BH605" s="116"/>
      <c r="BI605" s="116"/>
      <c r="BJ605" s="117">
        <v>245292</v>
      </c>
      <c r="BK605" s="133">
        <v>404</v>
      </c>
      <c r="BL605" s="117">
        <v>146725</v>
      </c>
      <c r="BM605" s="118">
        <v>443814</v>
      </c>
      <c r="BN605" s="118"/>
      <c r="BO605" s="120">
        <v>0.397</v>
      </c>
      <c r="BP605" s="120">
        <v>0.602</v>
      </c>
      <c r="BQ605" s="120">
        <v>0</v>
      </c>
      <c r="BR605" s="120">
        <v>0.016</v>
      </c>
      <c r="BS605" s="120">
        <v>0.089</v>
      </c>
      <c r="BT605" s="120">
        <v>0.328</v>
      </c>
      <c r="BU605" s="120">
        <v>0.213</v>
      </c>
      <c r="BV605" s="120">
        <v>0.182</v>
      </c>
      <c r="BW605" s="120">
        <v>0.116</v>
      </c>
      <c r="BX605" s="120">
        <v>0.055</v>
      </c>
    </row>
    <row r="606" s="96" customFormat="1" customHeight="1" spans="1:76">
      <c r="A606" s="111">
        <v>605</v>
      </c>
      <c r="B606" s="112" t="s">
        <v>53</v>
      </c>
      <c r="C606" s="112" t="s">
        <v>142</v>
      </c>
      <c r="D606" s="111">
        <v>2026</v>
      </c>
      <c r="E606" s="113" t="s">
        <v>36</v>
      </c>
      <c r="F606" s="114">
        <v>190330</v>
      </c>
      <c r="G606" s="114">
        <v>171041</v>
      </c>
      <c r="H606" s="114">
        <v>6980.5688</v>
      </c>
      <c r="I606" s="114">
        <v>393</v>
      </c>
      <c r="J606" s="115">
        <v>0.00168981481481481</v>
      </c>
      <c r="K606" s="114">
        <v>15.99</v>
      </c>
      <c r="L606" s="114">
        <v>106</v>
      </c>
      <c r="M606" s="114">
        <v>2531811</v>
      </c>
      <c r="N606" s="114">
        <v>5.22</v>
      </c>
      <c r="O606" s="114">
        <v>120394</v>
      </c>
      <c r="P606" s="114">
        <v>88406</v>
      </c>
      <c r="Q606" s="114">
        <v>26631</v>
      </c>
      <c r="R606" s="114">
        <v>26110</v>
      </c>
      <c r="S606" s="114">
        <v>521</v>
      </c>
      <c r="T606" s="114">
        <v>620</v>
      </c>
      <c r="U606" s="114">
        <v>227</v>
      </c>
      <c r="V606" s="114">
        <v>2285</v>
      </c>
      <c r="W606" s="114">
        <v>34</v>
      </c>
      <c r="X606" s="114">
        <v>163</v>
      </c>
      <c r="Y606" s="114">
        <v>321</v>
      </c>
      <c r="Z606" s="114">
        <v>684890.396</v>
      </c>
      <c r="AA606" s="114">
        <v>0</v>
      </c>
      <c r="AB606" s="114">
        <v>0</v>
      </c>
      <c r="AC606" s="114">
        <v>10030.418</v>
      </c>
      <c r="AD606" s="114">
        <v>668823.875</v>
      </c>
      <c r="AE606" s="114">
        <v>1207384.459</v>
      </c>
      <c r="AF606" s="114">
        <v>117420</v>
      </c>
      <c r="AG606" s="114">
        <v>10282.613</v>
      </c>
      <c r="AH606" s="114">
        <v>93095</v>
      </c>
      <c r="AI606" s="114">
        <v>4034.56</v>
      </c>
      <c r="AJ606" s="114">
        <v>0</v>
      </c>
      <c r="AK606" s="114">
        <v>0</v>
      </c>
      <c r="AL606" s="114">
        <v>0</v>
      </c>
      <c r="AM606" s="114">
        <v>0</v>
      </c>
      <c r="AN606" s="114">
        <v>1836</v>
      </c>
      <c r="AO606" s="114">
        <v>72.1991</v>
      </c>
      <c r="AP606" s="114">
        <v>50.2524</v>
      </c>
      <c r="AQ606" s="114">
        <v>231</v>
      </c>
      <c r="AR606" s="114">
        <v>1092</v>
      </c>
      <c r="AS606" s="114">
        <v>17040</v>
      </c>
      <c r="AT606" s="114"/>
      <c r="AU606" s="114">
        <v>4</v>
      </c>
      <c r="AV606" s="114">
        <v>0</v>
      </c>
      <c r="AW606" s="114">
        <v>0</v>
      </c>
      <c r="AX606" s="114">
        <v>13</v>
      </c>
      <c r="AY606" s="114">
        <v>2563</v>
      </c>
      <c r="AZ606" s="114">
        <v>190</v>
      </c>
      <c r="BA606" s="114">
        <v>17791</v>
      </c>
      <c r="BB606" s="116"/>
      <c r="BC606" s="116"/>
      <c r="BD606" s="116"/>
      <c r="BE606" s="116"/>
      <c r="BF606" s="116"/>
      <c r="BG606" s="116"/>
      <c r="BH606" s="116"/>
      <c r="BI606" s="116"/>
      <c r="BJ606" s="117">
        <v>245685</v>
      </c>
      <c r="BK606" s="133">
        <v>393</v>
      </c>
      <c r="BL606" s="117">
        <v>132463</v>
      </c>
      <c r="BM606" s="118">
        <v>466611</v>
      </c>
      <c r="BN606" s="118"/>
      <c r="BO606" s="120">
        <v>0.428</v>
      </c>
      <c r="BP606" s="120">
        <v>0.572</v>
      </c>
      <c r="BQ606" s="120">
        <v>0</v>
      </c>
      <c r="BR606" s="120">
        <v>0.013</v>
      </c>
      <c r="BS606" s="120">
        <v>0.076</v>
      </c>
      <c r="BT606" s="120">
        <v>0.33</v>
      </c>
      <c r="BU606" s="120">
        <v>0.231</v>
      </c>
      <c r="BV606" s="120">
        <v>0.184</v>
      </c>
      <c r="BW606" s="120">
        <v>0.114</v>
      </c>
      <c r="BX606" s="120">
        <v>0.052</v>
      </c>
    </row>
    <row r="607" s="96" customFormat="1" customHeight="1" spans="1:76">
      <c r="A607" s="111">
        <v>606</v>
      </c>
      <c r="B607" s="96" t="s">
        <v>53</v>
      </c>
      <c r="C607" s="96" t="s">
        <v>143</v>
      </c>
      <c r="D607" s="122">
        <v>2026</v>
      </c>
      <c r="E607" s="96" t="s">
        <v>37</v>
      </c>
      <c r="F607" s="123">
        <v>136668</v>
      </c>
      <c r="G607" s="123">
        <v>126648</v>
      </c>
      <c r="H607" s="123">
        <v>4854</v>
      </c>
      <c r="I607" s="125">
        <v>209</v>
      </c>
      <c r="J607" s="124">
        <v>0.00158564814814815</v>
      </c>
      <c r="K607" s="125">
        <v>15</v>
      </c>
      <c r="L607" s="125">
        <v>68</v>
      </c>
      <c r="M607" s="123">
        <v>1866437</v>
      </c>
      <c r="N607" s="125">
        <v>5</v>
      </c>
      <c r="O607" s="123">
        <v>98567</v>
      </c>
      <c r="P607" s="123">
        <v>72557</v>
      </c>
      <c r="Q607" s="123">
        <v>21440</v>
      </c>
      <c r="R607" s="123">
        <v>20958</v>
      </c>
      <c r="S607" s="125">
        <v>482</v>
      </c>
      <c r="T607" s="125">
        <v>441</v>
      </c>
      <c r="U607" s="125">
        <v>232</v>
      </c>
      <c r="V607" s="123">
        <v>1110</v>
      </c>
      <c r="W607" s="125">
        <v>8</v>
      </c>
      <c r="X607" s="125">
        <v>184</v>
      </c>
      <c r="Y607" s="125">
        <v>149</v>
      </c>
      <c r="Z607" s="123">
        <v>547396</v>
      </c>
      <c r="AA607" s="125">
        <v>0</v>
      </c>
      <c r="AB607" s="125">
        <v>0</v>
      </c>
      <c r="AC607" s="123">
        <v>7084</v>
      </c>
      <c r="AD607" s="123">
        <v>536224</v>
      </c>
      <c r="AE607" s="123">
        <v>975301</v>
      </c>
      <c r="AF607" s="123">
        <v>85715</v>
      </c>
      <c r="AG607" s="123">
        <v>11378</v>
      </c>
      <c r="AH607" s="123">
        <v>70231</v>
      </c>
      <c r="AI607" s="123">
        <v>4335</v>
      </c>
      <c r="AJ607" s="125">
        <v>0</v>
      </c>
      <c r="AK607" s="125">
        <v>0</v>
      </c>
      <c r="AL607" s="125">
        <v>0</v>
      </c>
      <c r="AM607" s="125">
        <v>0</v>
      </c>
      <c r="AN607" s="123">
        <v>1645</v>
      </c>
      <c r="AO607" s="125">
        <v>56</v>
      </c>
      <c r="AP607" s="125">
        <v>23</v>
      </c>
      <c r="AQ607" s="125">
        <v>160</v>
      </c>
      <c r="AR607" s="125">
        <v>358</v>
      </c>
      <c r="AS607" s="125">
        <v>887</v>
      </c>
      <c r="AT607" s="125"/>
      <c r="AU607" s="125">
        <v>5</v>
      </c>
      <c r="AV607" s="125">
        <v>0</v>
      </c>
      <c r="AW607" s="125">
        <v>0</v>
      </c>
      <c r="AX607" s="125">
        <v>3</v>
      </c>
      <c r="AY607" s="125">
        <v>569</v>
      </c>
      <c r="AZ607" s="125">
        <v>105</v>
      </c>
      <c r="BA607" s="123">
        <v>10606</v>
      </c>
      <c r="BB607" s="125"/>
      <c r="BC607" s="125"/>
      <c r="BD607" s="125"/>
      <c r="BE607" s="125"/>
      <c r="BF607" s="125"/>
      <c r="BG607" s="125"/>
      <c r="BH607" s="125"/>
      <c r="BI607" s="125"/>
      <c r="BJ607" s="117">
        <v>245894</v>
      </c>
      <c r="BK607" s="133">
        <v>209</v>
      </c>
      <c r="BL607" s="117">
        <v>76411</v>
      </c>
      <c r="BM607" s="118">
        <v>324757</v>
      </c>
      <c r="BN607" s="118"/>
      <c r="BO607" s="120">
        <v>0.463</v>
      </c>
      <c r="BP607" s="120">
        <v>0.538</v>
      </c>
      <c r="BQ607" s="120">
        <v>0</v>
      </c>
      <c r="BR607" s="120">
        <v>0.011</v>
      </c>
      <c r="BS607" s="120">
        <v>0.072</v>
      </c>
      <c r="BT607" s="120">
        <v>0.305</v>
      </c>
      <c r="BU607" s="120">
        <v>0.222</v>
      </c>
      <c r="BV607" s="120">
        <v>0.202</v>
      </c>
      <c r="BW607" s="120">
        <v>0.124</v>
      </c>
      <c r="BX607" s="120">
        <v>0.063</v>
      </c>
    </row>
    <row r="608" s="96" customFormat="1" customHeight="1" spans="1:76">
      <c r="A608" s="111">
        <v>607</v>
      </c>
      <c r="B608" s="96" t="s">
        <v>53</v>
      </c>
      <c r="C608" s="96" t="s">
        <v>143</v>
      </c>
      <c r="D608" s="122">
        <v>2026</v>
      </c>
      <c r="E608" s="96" t="s">
        <v>38</v>
      </c>
      <c r="F608" s="126">
        <v>375499</v>
      </c>
      <c r="G608" s="126">
        <v>365152</v>
      </c>
      <c r="H608" s="126">
        <v>14456</v>
      </c>
      <c r="I608" s="128">
        <v>497</v>
      </c>
      <c r="J608" s="127">
        <v>0.00164351851851852</v>
      </c>
      <c r="K608" s="128">
        <v>17</v>
      </c>
      <c r="L608" s="128">
        <v>107</v>
      </c>
      <c r="M608" s="126">
        <v>4334024</v>
      </c>
      <c r="N608" s="128">
        <v>7</v>
      </c>
      <c r="O608" s="126">
        <v>296176</v>
      </c>
      <c r="P608" s="126">
        <v>211713</v>
      </c>
      <c r="Q608" s="126">
        <v>45315</v>
      </c>
      <c r="R608" s="126">
        <v>44674</v>
      </c>
      <c r="S608" s="128">
        <v>641</v>
      </c>
      <c r="T608" s="128">
        <v>762</v>
      </c>
      <c r="U608" s="128">
        <v>265</v>
      </c>
      <c r="V608" s="126">
        <v>1890</v>
      </c>
      <c r="W608" s="128">
        <v>49</v>
      </c>
      <c r="X608" s="128">
        <v>167</v>
      </c>
      <c r="Y608" s="128">
        <v>614</v>
      </c>
      <c r="Z608" s="126">
        <v>1540425</v>
      </c>
      <c r="AA608" s="128">
        <v>0</v>
      </c>
      <c r="AB608" s="128">
        <v>0</v>
      </c>
      <c r="AC608" s="126">
        <v>40785</v>
      </c>
      <c r="AD608" s="126">
        <v>1495079</v>
      </c>
      <c r="AE608" s="126">
        <v>2718809</v>
      </c>
      <c r="AF608" s="126">
        <v>250813</v>
      </c>
      <c r="AG608" s="126">
        <v>10840</v>
      </c>
      <c r="AH608" s="126">
        <v>205729</v>
      </c>
      <c r="AI608" s="126">
        <v>3893</v>
      </c>
      <c r="AJ608" s="128">
        <v>0</v>
      </c>
      <c r="AK608" s="128">
        <v>0</v>
      </c>
      <c r="AL608" s="128">
        <v>0</v>
      </c>
      <c r="AM608" s="128">
        <v>0</v>
      </c>
      <c r="AN608" s="126">
        <v>6573</v>
      </c>
      <c r="AO608" s="128">
        <v>283</v>
      </c>
      <c r="AP608" s="128">
        <v>2</v>
      </c>
      <c r="AQ608" s="128">
        <v>-42</v>
      </c>
      <c r="AR608" s="128">
        <v>1</v>
      </c>
      <c r="AS608" s="128">
        <v>0</v>
      </c>
      <c r="AT608" s="128"/>
      <c r="AU608" s="128">
        <v>3</v>
      </c>
      <c r="AV608" s="128">
        <v>0</v>
      </c>
      <c r="AW608" s="128">
        <v>0</v>
      </c>
      <c r="AX608" s="128">
        <v>1</v>
      </c>
      <c r="AY608" s="128">
        <v>459</v>
      </c>
      <c r="AZ608" s="128">
        <v>312</v>
      </c>
      <c r="BA608" s="126">
        <v>36100</v>
      </c>
      <c r="BB608" s="129"/>
      <c r="BC608" s="129"/>
      <c r="BD608" s="129"/>
      <c r="BE608" s="129"/>
      <c r="BF608" s="129"/>
      <c r="BG608" s="129"/>
      <c r="BH608" s="129"/>
      <c r="BI608" s="129"/>
      <c r="BJ608" s="130">
        <v>246391</v>
      </c>
      <c r="BK608" s="119">
        <v>497</v>
      </c>
      <c r="BL608" s="130">
        <v>282657</v>
      </c>
      <c r="BM608" s="131">
        <v>1198092.03</v>
      </c>
      <c r="BN608" s="131"/>
      <c r="BO608" s="132">
        <v>0.518</v>
      </c>
      <c r="BP608" s="132">
        <v>0.482</v>
      </c>
      <c r="BQ608" s="132">
        <v>0</v>
      </c>
      <c r="BR608" s="132">
        <v>0.011</v>
      </c>
      <c r="BS608" s="132">
        <v>0.053</v>
      </c>
      <c r="BT608" s="132">
        <v>0.292</v>
      </c>
      <c r="BU608" s="132">
        <v>0.246</v>
      </c>
      <c r="BV608" s="132">
        <v>0.2</v>
      </c>
      <c r="BW608" s="132">
        <v>0.135</v>
      </c>
      <c r="BX608" s="119"/>
    </row>
    <row r="609" s="96" customFormat="1" customHeight="1" spans="1:76">
      <c r="A609" s="111">
        <v>608</v>
      </c>
      <c r="B609" s="96" t="s">
        <v>53</v>
      </c>
      <c r="C609" s="96" t="s">
        <v>143</v>
      </c>
      <c r="D609" s="122">
        <v>2026</v>
      </c>
      <c r="E609" s="96" t="s">
        <v>39</v>
      </c>
      <c r="F609" s="128"/>
      <c r="G609" s="128"/>
      <c r="H609" s="128"/>
      <c r="I609" s="128"/>
      <c r="J609" s="127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9"/>
      <c r="BC609" s="129"/>
      <c r="BD609" s="129"/>
      <c r="BE609" s="129"/>
      <c r="BF609" s="129"/>
      <c r="BG609" s="129"/>
      <c r="BH609" s="129"/>
      <c r="BI609" s="129"/>
      <c r="BJ609" s="119"/>
      <c r="BK609" s="119"/>
      <c r="BL609" s="119"/>
      <c r="BM609" s="131"/>
      <c r="BN609" s="131"/>
      <c r="BO609" s="119"/>
      <c r="BP609" s="119"/>
      <c r="BQ609" s="119"/>
      <c r="BR609" s="119"/>
      <c r="BS609" s="119"/>
      <c r="BT609" s="119"/>
      <c r="BU609" s="119"/>
      <c r="BV609" s="119"/>
      <c r="BW609" s="119"/>
      <c r="BX609" s="119"/>
    </row>
    <row r="610" s="96" customFormat="1" customHeight="1" spans="1:76">
      <c r="A610" s="111">
        <v>609</v>
      </c>
      <c r="B610" s="96" t="s">
        <v>53</v>
      </c>
      <c r="C610" s="96" t="s">
        <v>143</v>
      </c>
      <c r="D610" s="122">
        <v>2026</v>
      </c>
      <c r="E610" s="96" t="s">
        <v>40</v>
      </c>
      <c r="F610" s="128"/>
      <c r="G610" s="128"/>
      <c r="H610" s="128"/>
      <c r="I610" s="128"/>
      <c r="J610" s="127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9"/>
      <c r="BC610" s="129"/>
      <c r="BD610" s="129"/>
      <c r="BE610" s="129"/>
      <c r="BF610" s="129"/>
      <c r="BG610" s="129"/>
      <c r="BH610" s="129"/>
      <c r="BI610" s="129"/>
      <c r="BJ610" s="119"/>
      <c r="BK610" s="119"/>
      <c r="BL610" s="119"/>
      <c r="BM610" s="131"/>
      <c r="BN610" s="131"/>
      <c r="BO610" s="119"/>
      <c r="BP610" s="119"/>
      <c r="BQ610" s="119"/>
      <c r="BR610" s="119"/>
      <c r="BS610" s="119"/>
      <c r="BT610" s="119"/>
      <c r="BU610" s="119"/>
      <c r="BV610" s="119"/>
      <c r="BW610" s="119"/>
      <c r="BX610" s="119"/>
    </row>
    <row r="611" s="96" customFormat="1" customHeight="1" spans="1:76">
      <c r="A611" s="111">
        <v>610</v>
      </c>
      <c r="B611" s="96" t="s">
        <v>53</v>
      </c>
      <c r="C611" s="96" t="s">
        <v>143</v>
      </c>
      <c r="D611" s="122">
        <v>2026</v>
      </c>
      <c r="E611" s="96" t="s">
        <v>41</v>
      </c>
      <c r="F611" s="128"/>
      <c r="G611" s="128"/>
      <c r="H611" s="128"/>
      <c r="I611" s="128"/>
      <c r="J611" s="127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9"/>
      <c r="BC611" s="129"/>
      <c r="BD611" s="129"/>
      <c r="BE611" s="129"/>
      <c r="BF611" s="129"/>
      <c r="BG611" s="129"/>
      <c r="BH611" s="129"/>
      <c r="BI611" s="129"/>
      <c r="BJ611" s="119"/>
      <c r="BK611" s="119"/>
      <c r="BL611" s="119"/>
      <c r="BM611" s="131"/>
      <c r="BN611" s="131"/>
      <c r="BO611" s="119"/>
      <c r="BP611" s="119"/>
      <c r="BQ611" s="119"/>
      <c r="BR611" s="119"/>
      <c r="BS611" s="119"/>
      <c r="BT611" s="119"/>
      <c r="BU611" s="119"/>
      <c r="BV611" s="119"/>
      <c r="BW611" s="119"/>
      <c r="BX611" s="119"/>
    </row>
    <row r="612" s="96" customFormat="1" customHeight="1" spans="1:76">
      <c r="A612" s="111">
        <v>611</v>
      </c>
      <c r="B612" s="96" t="s">
        <v>53</v>
      </c>
      <c r="C612" s="96" t="s">
        <v>143</v>
      </c>
      <c r="D612" s="122">
        <v>2026</v>
      </c>
      <c r="E612" s="96" t="s">
        <v>42</v>
      </c>
      <c r="F612" s="128"/>
      <c r="G612" s="128"/>
      <c r="H612" s="128"/>
      <c r="I612" s="128"/>
      <c r="J612" s="127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9"/>
      <c r="BC612" s="129"/>
      <c r="BD612" s="129"/>
      <c r="BE612" s="129"/>
      <c r="BF612" s="129"/>
      <c r="BG612" s="129"/>
      <c r="BH612" s="129"/>
      <c r="BI612" s="129"/>
      <c r="BJ612" s="119"/>
      <c r="BK612" s="119"/>
      <c r="BL612" s="119"/>
      <c r="BM612" s="131"/>
      <c r="BN612" s="131"/>
      <c r="BO612" s="119"/>
      <c r="BP612" s="119"/>
      <c r="BQ612" s="119"/>
      <c r="BR612" s="119"/>
      <c r="BS612" s="119"/>
      <c r="BT612" s="119"/>
      <c r="BU612" s="119"/>
      <c r="BV612" s="119"/>
      <c r="BW612" s="119"/>
      <c r="BX612" s="119"/>
    </row>
    <row r="613" s="96" customFormat="1" customHeight="1" spans="1:76">
      <c r="A613" s="111">
        <v>612</v>
      </c>
      <c r="B613" s="96" t="s">
        <v>53</v>
      </c>
      <c r="C613" s="96" t="s">
        <v>143</v>
      </c>
      <c r="D613" s="122">
        <v>2026</v>
      </c>
      <c r="E613" s="96" t="s">
        <v>43</v>
      </c>
      <c r="F613" s="128"/>
      <c r="G613" s="128"/>
      <c r="H613" s="128"/>
      <c r="I613" s="128"/>
      <c r="J613" s="127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9"/>
      <c r="BC613" s="129"/>
      <c r="BD613" s="129"/>
      <c r="BE613" s="129"/>
      <c r="BF613" s="129"/>
      <c r="BG613" s="129"/>
      <c r="BH613" s="129"/>
      <c r="BI613" s="129"/>
      <c r="BJ613" s="119"/>
      <c r="BK613" s="119"/>
      <c r="BL613" s="119"/>
      <c r="BM613" s="131"/>
      <c r="BN613" s="131"/>
      <c r="BO613" s="119"/>
      <c r="BP613" s="119"/>
      <c r="BQ613" s="119"/>
      <c r="BR613" s="119"/>
      <c r="BS613" s="119"/>
      <c r="BT613" s="119"/>
      <c r="BU613" s="119"/>
      <c r="BV613" s="119"/>
      <c r="BW613" s="119"/>
      <c r="BX613" s="119"/>
    </row>
    <row r="614" s="96" customFormat="1" customHeight="1" spans="1:76">
      <c r="A614" s="111">
        <v>613</v>
      </c>
      <c r="B614" s="112" t="s">
        <v>58</v>
      </c>
      <c r="C614" s="112" t="s">
        <v>144</v>
      </c>
      <c r="D614" s="111">
        <v>2024</v>
      </c>
      <c r="E614" s="113" t="s">
        <v>31</v>
      </c>
      <c r="F614" s="114">
        <v>167379</v>
      </c>
      <c r="G614" s="114">
        <v>167379</v>
      </c>
      <c r="H614" s="114">
        <v>1054.3908</v>
      </c>
      <c r="I614" s="114">
        <v>575</v>
      </c>
      <c r="J614" s="115">
        <v>0.00025462962962963</v>
      </c>
      <c r="K614" s="114">
        <v>47.47</v>
      </c>
      <c r="L614" s="114">
        <v>8</v>
      </c>
      <c r="M614" s="114">
        <v>888627</v>
      </c>
      <c r="N614" s="114">
        <v>7.96</v>
      </c>
      <c r="O614" s="114">
        <v>118558</v>
      </c>
      <c r="P614" s="114">
        <v>92609</v>
      </c>
      <c r="Q614" s="114">
        <v>25949</v>
      </c>
      <c r="R614" s="114">
        <v>25949</v>
      </c>
      <c r="S614" s="114">
        <v>0</v>
      </c>
      <c r="T614" s="114">
        <v>752</v>
      </c>
      <c r="U614" s="114">
        <v>177</v>
      </c>
      <c r="V614" s="114">
        <v>1757</v>
      </c>
      <c r="W614" s="114">
        <v>104</v>
      </c>
      <c r="X614" s="114">
        <v>219</v>
      </c>
      <c r="Y614" s="114">
        <v>29</v>
      </c>
      <c r="Z614" s="114">
        <v>50978.819</v>
      </c>
      <c r="AA614" s="114">
        <v>0</v>
      </c>
      <c r="AB614" s="114">
        <v>0</v>
      </c>
      <c r="AC614" s="114">
        <v>356.98</v>
      </c>
      <c r="AD614" s="114">
        <v>49954.329</v>
      </c>
      <c r="AE614" s="114">
        <v>90825.778</v>
      </c>
      <c r="AF614" s="114">
        <v>11638</v>
      </c>
      <c r="AG614" s="114">
        <v>7804.243</v>
      </c>
      <c r="AH614" s="114">
        <v>10944</v>
      </c>
      <c r="AI614" s="114">
        <v>304.571</v>
      </c>
      <c r="AJ614" s="114">
        <v>0</v>
      </c>
      <c r="AK614" s="114">
        <v>0</v>
      </c>
      <c r="AL614" s="114">
        <v>0</v>
      </c>
      <c r="AM614" s="114">
        <v>0</v>
      </c>
      <c r="AN614" s="114">
        <v>656</v>
      </c>
      <c r="AO614" s="114">
        <v>5.5249</v>
      </c>
      <c r="AP614" s="114">
        <v>2.9961</v>
      </c>
      <c r="AQ614" s="114">
        <v>0</v>
      </c>
      <c r="AR614" s="114">
        <v>0</v>
      </c>
      <c r="AS614" s="114">
        <v>0</v>
      </c>
      <c r="AT614" s="114">
        <v>3</v>
      </c>
      <c r="AU614" s="114">
        <v>260</v>
      </c>
      <c r="AV614" s="114">
        <v>0</v>
      </c>
      <c r="AW614" s="114">
        <v>0</v>
      </c>
      <c r="AX614" s="114">
        <v>0</v>
      </c>
      <c r="AY614" s="114">
        <v>0</v>
      </c>
      <c r="AZ614" s="114">
        <v>0</v>
      </c>
      <c r="BA614" s="114">
        <v>448</v>
      </c>
      <c r="BB614" s="116"/>
      <c r="BC614" s="116"/>
      <c r="BD614" s="116"/>
      <c r="BE614" s="116"/>
      <c r="BF614" s="116"/>
      <c r="BG614" s="116"/>
      <c r="BH614" s="116"/>
      <c r="BI614" s="116"/>
      <c r="BJ614" s="117">
        <v>80995</v>
      </c>
      <c r="BK614" s="133">
        <v>575</v>
      </c>
      <c r="BL614" s="119"/>
      <c r="BM614" s="118">
        <v>0</v>
      </c>
      <c r="BN614" s="131"/>
      <c r="BO614" s="119"/>
      <c r="BP614" s="119"/>
      <c r="BQ614" s="119"/>
      <c r="BR614" s="119"/>
      <c r="BS614" s="119"/>
      <c r="BT614" s="119"/>
      <c r="BU614" s="119"/>
      <c r="BV614" s="119"/>
      <c r="BW614" s="119"/>
      <c r="BX614" s="119"/>
    </row>
    <row r="615" s="96" customFormat="1" customHeight="1" spans="1:76">
      <c r="A615" s="111">
        <v>614</v>
      </c>
      <c r="B615" s="112" t="s">
        <v>58</v>
      </c>
      <c r="C615" s="112" t="s">
        <v>144</v>
      </c>
      <c r="D615" s="111">
        <v>2024</v>
      </c>
      <c r="E615" s="113" t="s">
        <v>33</v>
      </c>
      <c r="F615" s="114">
        <v>202384</v>
      </c>
      <c r="G615" s="114">
        <v>202384</v>
      </c>
      <c r="H615" s="114">
        <v>1086.689</v>
      </c>
      <c r="I615" s="114">
        <v>833</v>
      </c>
      <c r="J615" s="115">
        <v>0.000219907407407407</v>
      </c>
      <c r="K615" s="114">
        <v>54.18</v>
      </c>
      <c r="L615" s="114">
        <v>0</v>
      </c>
      <c r="M615" s="114">
        <v>1152144</v>
      </c>
      <c r="N615" s="114">
        <v>8.3</v>
      </c>
      <c r="O615" s="114">
        <v>141144</v>
      </c>
      <c r="P615" s="114">
        <v>108748</v>
      </c>
      <c r="Q615" s="114">
        <v>32269</v>
      </c>
      <c r="R615" s="114">
        <v>32269</v>
      </c>
      <c r="S615" s="114">
        <v>0</v>
      </c>
      <c r="T615" s="114">
        <v>1057</v>
      </c>
      <c r="U615" s="114">
        <v>224</v>
      </c>
      <c r="V615" s="114">
        <v>2428</v>
      </c>
      <c r="W615" s="114">
        <v>180</v>
      </c>
      <c r="X615" s="114">
        <v>207</v>
      </c>
      <c r="Y615" s="114">
        <v>32</v>
      </c>
      <c r="Z615" s="114">
        <v>42677.564</v>
      </c>
      <c r="AA615" s="114">
        <v>0</v>
      </c>
      <c r="AB615" s="114">
        <v>0</v>
      </c>
      <c r="AC615" s="114">
        <v>502.803</v>
      </c>
      <c r="AD615" s="114">
        <v>41626.96</v>
      </c>
      <c r="AE615" s="114">
        <v>75685.255</v>
      </c>
      <c r="AF615" s="114">
        <v>9429</v>
      </c>
      <c r="AG615" s="114">
        <v>8026.859</v>
      </c>
      <c r="AH615" s="114">
        <v>9059</v>
      </c>
      <c r="AI615" s="114">
        <v>210.874</v>
      </c>
      <c r="AJ615" s="114">
        <v>0</v>
      </c>
      <c r="AK615" s="114">
        <v>0</v>
      </c>
      <c r="AL615" s="114">
        <v>0</v>
      </c>
      <c r="AM615" s="114">
        <v>0</v>
      </c>
      <c r="AN615" s="114">
        <v>767</v>
      </c>
      <c r="AO615" s="114">
        <v>6.2333</v>
      </c>
      <c r="AP615" s="114">
        <v>2.8971</v>
      </c>
      <c r="AQ615" s="114">
        <v>0</v>
      </c>
      <c r="AR615" s="114">
        <v>0</v>
      </c>
      <c r="AS615" s="114">
        <v>0</v>
      </c>
      <c r="AT615" s="114">
        <v>4</v>
      </c>
      <c r="AU615" s="114">
        <v>3678</v>
      </c>
      <c r="AV615" s="114">
        <v>0</v>
      </c>
      <c r="AW615" s="114">
        <v>0</v>
      </c>
      <c r="AX615" s="114">
        <v>0</v>
      </c>
      <c r="AY615" s="114">
        <v>0</v>
      </c>
      <c r="AZ615" s="114">
        <v>0</v>
      </c>
      <c r="BA615" s="114">
        <v>186</v>
      </c>
      <c r="BB615" s="116"/>
      <c r="BC615" s="116"/>
      <c r="BD615" s="116"/>
      <c r="BE615" s="116"/>
      <c r="BF615" s="116"/>
      <c r="BG615" s="116"/>
      <c r="BH615" s="116"/>
      <c r="BI615" s="116"/>
      <c r="BJ615" s="117">
        <v>81828</v>
      </c>
      <c r="BK615" s="133">
        <v>833</v>
      </c>
      <c r="BL615" s="119"/>
      <c r="BM615" s="118">
        <v>0</v>
      </c>
      <c r="BN615" s="131"/>
      <c r="BO615" s="119"/>
      <c r="BP615" s="119"/>
      <c r="BQ615" s="119"/>
      <c r="BR615" s="119"/>
      <c r="BS615" s="119"/>
      <c r="BT615" s="119"/>
      <c r="BU615" s="119"/>
      <c r="BV615" s="119"/>
      <c r="BW615" s="119"/>
      <c r="BX615" s="119"/>
    </row>
    <row r="616" s="96" customFormat="1" customHeight="1" spans="1:76">
      <c r="A616" s="111">
        <v>615</v>
      </c>
      <c r="B616" s="112" t="s">
        <v>58</v>
      </c>
      <c r="C616" s="112" t="s">
        <v>144</v>
      </c>
      <c r="D616" s="111">
        <v>2024</v>
      </c>
      <c r="E616" s="113" t="s">
        <v>34</v>
      </c>
      <c r="F616" s="114">
        <v>1409424</v>
      </c>
      <c r="G616" s="114">
        <v>1409424</v>
      </c>
      <c r="H616" s="114">
        <v>6205.8567</v>
      </c>
      <c r="I616" s="114">
        <v>5337</v>
      </c>
      <c r="J616" s="115">
        <v>0.000173611111111111</v>
      </c>
      <c r="K616" s="114">
        <v>93.48</v>
      </c>
      <c r="L616" s="114">
        <v>31</v>
      </c>
      <c r="M616" s="114">
        <v>11522780</v>
      </c>
      <c r="N616" s="114">
        <v>4.81</v>
      </c>
      <c r="O616" s="114">
        <v>1088571</v>
      </c>
      <c r="P616" s="114">
        <v>1012870</v>
      </c>
      <c r="Q616" s="114">
        <v>75701</v>
      </c>
      <c r="R616" s="114">
        <v>75701</v>
      </c>
      <c r="S616" s="114">
        <v>0</v>
      </c>
      <c r="T616" s="114">
        <v>6287</v>
      </c>
      <c r="U616" s="114">
        <v>950</v>
      </c>
      <c r="V616" s="114">
        <v>25224</v>
      </c>
      <c r="W616" s="114">
        <v>1298</v>
      </c>
      <c r="X616" s="114">
        <v>1089</v>
      </c>
      <c r="Y616" s="114">
        <v>978</v>
      </c>
      <c r="Z616" s="114">
        <v>52210.531</v>
      </c>
      <c r="AA616" s="114">
        <v>0</v>
      </c>
      <c r="AB616" s="114">
        <v>0</v>
      </c>
      <c r="AC616" s="114">
        <v>1492.143</v>
      </c>
      <c r="AD616" s="114">
        <v>47420.624</v>
      </c>
      <c r="AE616" s="114">
        <v>86219.1</v>
      </c>
      <c r="AF616" s="114">
        <v>9160</v>
      </c>
      <c r="AG616" s="114">
        <v>9412.566</v>
      </c>
      <c r="AH616" s="114">
        <v>8521</v>
      </c>
      <c r="AI616" s="114">
        <v>37.044</v>
      </c>
      <c r="AJ616" s="114">
        <v>0</v>
      </c>
      <c r="AK616" s="114">
        <v>0</v>
      </c>
      <c r="AL616" s="114">
        <v>0</v>
      </c>
      <c r="AM616" s="114">
        <v>0</v>
      </c>
      <c r="AN616" s="114">
        <v>5496</v>
      </c>
      <c r="AO616" s="114">
        <v>29.7153</v>
      </c>
      <c r="AP616" s="114">
        <v>1.2321</v>
      </c>
      <c r="AQ616" s="114">
        <v>1</v>
      </c>
      <c r="AR616" s="114">
        <v>0</v>
      </c>
      <c r="AS616" s="114">
        <v>0</v>
      </c>
      <c r="AT616" s="114">
        <v>22</v>
      </c>
      <c r="AU616" s="114">
        <v>6959</v>
      </c>
      <c r="AV616" s="114">
        <v>0</v>
      </c>
      <c r="AW616" s="114">
        <v>0</v>
      </c>
      <c r="AX616" s="114">
        <v>0</v>
      </c>
      <c r="AY616" s="114">
        <v>0</v>
      </c>
      <c r="AZ616" s="114">
        <v>0</v>
      </c>
      <c r="BA616" s="114">
        <v>247</v>
      </c>
      <c r="BB616" s="116"/>
      <c r="BC616" s="116"/>
      <c r="BD616" s="116"/>
      <c r="BE616" s="116"/>
      <c r="BF616" s="116"/>
      <c r="BG616" s="116"/>
      <c r="BH616" s="116"/>
      <c r="BI616" s="116"/>
      <c r="BJ616" s="117">
        <v>87165</v>
      </c>
      <c r="BK616" s="117">
        <v>5337</v>
      </c>
      <c r="BL616" s="119"/>
      <c r="BM616" s="118">
        <v>0</v>
      </c>
      <c r="BN616" s="131"/>
      <c r="BO616" s="119"/>
      <c r="BP616" s="119"/>
      <c r="BQ616" s="119"/>
      <c r="BR616" s="119"/>
      <c r="BS616" s="119"/>
      <c r="BT616" s="119"/>
      <c r="BU616" s="119"/>
      <c r="BV616" s="119"/>
      <c r="BW616" s="119"/>
      <c r="BX616" s="119"/>
    </row>
    <row r="617" s="96" customFormat="1" customHeight="1" spans="1:76">
      <c r="A617" s="111">
        <v>616</v>
      </c>
      <c r="B617" s="112" t="s">
        <v>58</v>
      </c>
      <c r="C617" s="112" t="s">
        <v>144</v>
      </c>
      <c r="D617" s="111">
        <v>2024</v>
      </c>
      <c r="E617" s="113" t="s">
        <v>35</v>
      </c>
      <c r="F617" s="114">
        <v>266401</v>
      </c>
      <c r="G617" s="114">
        <v>266401</v>
      </c>
      <c r="H617" s="114">
        <v>1573.6731</v>
      </c>
      <c r="I617" s="114">
        <v>1251</v>
      </c>
      <c r="J617" s="115">
        <v>0.000243055555555556</v>
      </c>
      <c r="K617" s="114">
        <v>61.87</v>
      </c>
      <c r="L617" s="114">
        <v>0</v>
      </c>
      <c r="M617" s="114">
        <v>1631283</v>
      </c>
      <c r="N617" s="114">
        <v>7.55</v>
      </c>
      <c r="O617" s="114">
        <v>190105</v>
      </c>
      <c r="P617" s="114">
        <v>134567</v>
      </c>
      <c r="Q617" s="114">
        <v>55538</v>
      </c>
      <c r="R617" s="114">
        <v>55538</v>
      </c>
      <c r="S617" s="114">
        <v>0</v>
      </c>
      <c r="T617" s="114">
        <v>1538</v>
      </c>
      <c r="U617" s="114">
        <v>287</v>
      </c>
      <c r="V617" s="114">
        <v>3197</v>
      </c>
      <c r="W617" s="114">
        <v>177</v>
      </c>
      <c r="X617" s="114">
        <v>329</v>
      </c>
      <c r="Y617" s="114">
        <v>56</v>
      </c>
      <c r="Z617" s="114">
        <v>30864.887</v>
      </c>
      <c r="AA617" s="114">
        <v>0</v>
      </c>
      <c r="AB617" s="114">
        <v>0</v>
      </c>
      <c r="AC617" s="114">
        <v>693.293</v>
      </c>
      <c r="AD617" s="114">
        <v>29549.286</v>
      </c>
      <c r="AE617" s="114">
        <v>53726.57</v>
      </c>
      <c r="AF617" s="114">
        <v>6242</v>
      </c>
      <c r="AG617" s="114">
        <v>8607.269</v>
      </c>
      <c r="AH617" s="114">
        <v>5747</v>
      </c>
      <c r="AI617" s="114">
        <v>115.858</v>
      </c>
      <c r="AJ617" s="114">
        <v>0</v>
      </c>
      <c r="AK617" s="114">
        <v>0</v>
      </c>
      <c r="AL617" s="114">
        <v>0</v>
      </c>
      <c r="AM617" s="114">
        <v>0</v>
      </c>
      <c r="AN617" s="114">
        <v>881</v>
      </c>
      <c r="AO617" s="114">
        <v>8.003</v>
      </c>
      <c r="AP617" s="114"/>
      <c r="AQ617" s="114">
        <v>0</v>
      </c>
      <c r="AR617" s="114"/>
      <c r="AS617" s="114"/>
      <c r="AT617" s="114">
        <v>15</v>
      </c>
      <c r="AU617" s="114">
        <v>1831</v>
      </c>
      <c r="AV617" s="114">
        <v>0</v>
      </c>
      <c r="AW617" s="114">
        <v>0</v>
      </c>
      <c r="AX617" s="114">
        <v>0</v>
      </c>
      <c r="AY617" s="114">
        <v>0</v>
      </c>
      <c r="AZ617" s="114">
        <v>2</v>
      </c>
      <c r="BA617" s="114">
        <v>255</v>
      </c>
      <c r="BB617" s="116"/>
      <c r="BC617" s="116"/>
      <c r="BD617" s="116"/>
      <c r="BE617" s="116"/>
      <c r="BF617" s="116"/>
      <c r="BG617" s="116"/>
      <c r="BH617" s="116"/>
      <c r="BI617" s="116"/>
      <c r="BJ617" s="117">
        <v>88416</v>
      </c>
      <c r="BK617" s="117">
        <v>1251</v>
      </c>
      <c r="BL617" s="119"/>
      <c r="BM617" s="118">
        <v>0</v>
      </c>
      <c r="BN617" s="131"/>
      <c r="BO617" s="119"/>
      <c r="BP617" s="119"/>
      <c r="BQ617" s="119"/>
      <c r="BR617" s="119"/>
      <c r="BS617" s="119"/>
      <c r="BT617" s="119"/>
      <c r="BU617" s="119"/>
      <c r="BV617" s="119"/>
      <c r="BW617" s="119"/>
      <c r="BX617" s="119"/>
    </row>
    <row r="618" s="96" customFormat="1" customHeight="1" spans="1:76">
      <c r="A618" s="111">
        <v>617</v>
      </c>
      <c r="B618" s="112" t="s">
        <v>58</v>
      </c>
      <c r="C618" s="112" t="s">
        <v>144</v>
      </c>
      <c r="D618" s="111">
        <v>2024</v>
      </c>
      <c r="E618" s="113" t="s">
        <v>36</v>
      </c>
      <c r="F618" s="114">
        <v>293131</v>
      </c>
      <c r="G618" s="114">
        <v>293131</v>
      </c>
      <c r="H618" s="114">
        <v>1715.2334</v>
      </c>
      <c r="I618" s="114">
        <v>1327</v>
      </c>
      <c r="J618" s="115">
        <v>0.000243055555555556</v>
      </c>
      <c r="K618" s="114">
        <v>65.2</v>
      </c>
      <c r="L618" s="114"/>
      <c r="M618" s="114">
        <v>1875962</v>
      </c>
      <c r="N618" s="114">
        <v>8.52</v>
      </c>
      <c r="O618" s="114">
        <v>202231</v>
      </c>
      <c r="P618" s="114">
        <v>144452</v>
      </c>
      <c r="Q618" s="114">
        <v>57779</v>
      </c>
      <c r="R618" s="114">
        <v>57779</v>
      </c>
      <c r="S618" s="114">
        <v>0</v>
      </c>
      <c r="T618" s="114">
        <v>1667</v>
      </c>
      <c r="U618" s="114">
        <v>340</v>
      </c>
      <c r="V618" s="114">
        <v>3331</v>
      </c>
      <c r="W618" s="114">
        <v>227</v>
      </c>
      <c r="X618" s="114">
        <v>335</v>
      </c>
      <c r="Y618" s="114">
        <v>103</v>
      </c>
      <c r="Z618" s="114">
        <v>30610.435</v>
      </c>
      <c r="AA618" s="114">
        <v>0</v>
      </c>
      <c r="AB618" s="114">
        <v>0</v>
      </c>
      <c r="AC618" s="114">
        <v>548.501</v>
      </c>
      <c r="AD618" s="114">
        <v>29416.599</v>
      </c>
      <c r="AE618" s="114">
        <v>53484.836</v>
      </c>
      <c r="AF618" s="114">
        <v>5291</v>
      </c>
      <c r="AG618" s="114">
        <v>10108.644</v>
      </c>
      <c r="AH618" s="114">
        <v>5056</v>
      </c>
      <c r="AI618" s="114">
        <v>104.426</v>
      </c>
      <c r="AJ618" s="114">
        <v>0</v>
      </c>
      <c r="AK618" s="114">
        <v>0</v>
      </c>
      <c r="AL618" s="114">
        <v>0</v>
      </c>
      <c r="AM618" s="114">
        <v>0</v>
      </c>
      <c r="AN618" s="114">
        <v>1029</v>
      </c>
      <c r="AO618" s="114">
        <v>7.7929</v>
      </c>
      <c r="AP618" s="114"/>
      <c r="AQ618" s="114">
        <v>0</v>
      </c>
      <c r="AR618" s="114"/>
      <c r="AS618" s="114"/>
      <c r="AT618" s="114">
        <v>9</v>
      </c>
      <c r="AU618" s="114">
        <v>1940</v>
      </c>
      <c r="AV618" s="114">
        <v>0</v>
      </c>
      <c r="AW618" s="114">
        <v>0</v>
      </c>
      <c r="AX618" s="114">
        <v>0</v>
      </c>
      <c r="AY618" s="114">
        <v>0</v>
      </c>
      <c r="AZ618" s="114">
        <v>1</v>
      </c>
      <c r="BA618" s="114">
        <v>380</v>
      </c>
      <c r="BB618" s="116"/>
      <c r="BC618" s="116"/>
      <c r="BD618" s="116"/>
      <c r="BE618" s="116"/>
      <c r="BF618" s="116"/>
      <c r="BG618" s="116"/>
      <c r="BH618" s="116"/>
      <c r="BI618" s="116"/>
      <c r="BJ618" s="117">
        <v>89743</v>
      </c>
      <c r="BK618" s="117">
        <v>1327</v>
      </c>
      <c r="BL618" s="119"/>
      <c r="BM618" s="118">
        <v>0</v>
      </c>
      <c r="BN618" s="131"/>
      <c r="BO618" s="119"/>
      <c r="BP618" s="119"/>
      <c r="BQ618" s="119"/>
      <c r="BR618" s="119"/>
      <c r="BS618" s="119"/>
      <c r="BT618" s="119"/>
      <c r="BU618" s="119"/>
      <c r="BV618" s="119"/>
      <c r="BW618" s="119"/>
      <c r="BX618" s="119"/>
    </row>
    <row r="619" s="96" customFormat="1" customHeight="1" spans="1:76">
      <c r="A619" s="111">
        <v>618</v>
      </c>
      <c r="B619" s="112" t="s">
        <v>58</v>
      </c>
      <c r="C619" s="112" t="s">
        <v>144</v>
      </c>
      <c r="D619" s="111">
        <v>2024</v>
      </c>
      <c r="E619" s="113" t="s">
        <v>37</v>
      </c>
      <c r="F619" s="114">
        <v>330117</v>
      </c>
      <c r="G619" s="114">
        <v>330117</v>
      </c>
      <c r="H619" s="114">
        <v>2794.5911</v>
      </c>
      <c r="I619" s="114">
        <v>1442</v>
      </c>
      <c r="J619" s="115">
        <v>0.000347222222222222</v>
      </c>
      <c r="K619" s="114">
        <v>57.53</v>
      </c>
      <c r="L619" s="114"/>
      <c r="M619" s="114">
        <v>2258596</v>
      </c>
      <c r="N619" s="114">
        <v>8.43</v>
      </c>
      <c r="O619" s="114">
        <v>234288</v>
      </c>
      <c r="P619" s="114">
        <v>173467</v>
      </c>
      <c r="Q619" s="114">
        <v>60821</v>
      </c>
      <c r="R619" s="114">
        <v>60821</v>
      </c>
      <c r="S619" s="114">
        <v>0</v>
      </c>
      <c r="T619" s="114">
        <v>1811</v>
      </c>
      <c r="U619" s="114">
        <v>369</v>
      </c>
      <c r="V619" s="114">
        <v>3529</v>
      </c>
      <c r="W619" s="114">
        <v>280</v>
      </c>
      <c r="X619" s="114">
        <v>361</v>
      </c>
      <c r="Y619" s="114">
        <v>118</v>
      </c>
      <c r="Z619" s="114">
        <v>34714.748</v>
      </c>
      <c r="AA619" s="114">
        <v>0</v>
      </c>
      <c r="AB619" s="114">
        <v>0</v>
      </c>
      <c r="AC619" s="114">
        <v>471.722</v>
      </c>
      <c r="AD619" s="114">
        <v>33512.157</v>
      </c>
      <c r="AE619" s="114">
        <v>60931.324</v>
      </c>
      <c r="AF619" s="114">
        <v>6118</v>
      </c>
      <c r="AG619" s="114">
        <v>9959.353</v>
      </c>
      <c r="AH619" s="114">
        <v>5799</v>
      </c>
      <c r="AI619" s="114">
        <v>105.159</v>
      </c>
      <c r="AJ619" s="114">
        <v>0</v>
      </c>
      <c r="AK619" s="114">
        <v>0</v>
      </c>
      <c r="AL619" s="114">
        <v>0</v>
      </c>
      <c r="AM619" s="114">
        <v>0</v>
      </c>
      <c r="AN619" s="114">
        <v>1144</v>
      </c>
      <c r="AO619" s="114">
        <v>9.8702</v>
      </c>
      <c r="AP619" s="114"/>
      <c r="AQ619" s="114">
        <v>0</v>
      </c>
      <c r="AR619" s="114"/>
      <c r="AS619" s="114"/>
      <c r="AT619" s="114">
        <v>18</v>
      </c>
      <c r="AU619" s="114">
        <v>1127</v>
      </c>
      <c r="AV619" s="114">
        <v>0</v>
      </c>
      <c r="AW619" s="114">
        <v>0</v>
      </c>
      <c r="AX619" s="114">
        <v>0</v>
      </c>
      <c r="AY619" s="114">
        <v>0</v>
      </c>
      <c r="AZ619" s="114">
        <v>2</v>
      </c>
      <c r="BA619" s="114">
        <v>350</v>
      </c>
      <c r="BB619" s="116"/>
      <c r="BC619" s="116"/>
      <c r="BD619" s="116"/>
      <c r="BE619" s="116"/>
      <c r="BF619" s="116"/>
      <c r="BG619" s="116"/>
      <c r="BH619" s="116"/>
      <c r="BI619" s="116"/>
      <c r="BJ619" s="117">
        <v>91185</v>
      </c>
      <c r="BK619" s="117">
        <v>1442</v>
      </c>
      <c r="BL619" s="119"/>
      <c r="BM619" s="118">
        <v>0</v>
      </c>
      <c r="BN619" s="131"/>
      <c r="BO619" s="119"/>
      <c r="BP619" s="119"/>
      <c r="BQ619" s="119"/>
      <c r="BR619" s="119"/>
      <c r="BS619" s="119"/>
      <c r="BT619" s="119"/>
      <c r="BU619" s="119"/>
      <c r="BV619" s="119"/>
      <c r="BW619" s="119"/>
      <c r="BX619" s="119"/>
    </row>
    <row r="620" s="96" customFormat="1" customHeight="1" spans="1:76">
      <c r="A620" s="111">
        <v>619</v>
      </c>
      <c r="B620" s="112" t="s">
        <v>58</v>
      </c>
      <c r="C620" s="112" t="s">
        <v>144</v>
      </c>
      <c r="D620" s="111">
        <v>2024</v>
      </c>
      <c r="E620" s="113" t="s">
        <v>38</v>
      </c>
      <c r="F620" s="114">
        <v>377027</v>
      </c>
      <c r="G620" s="114">
        <v>377027</v>
      </c>
      <c r="H620" s="114">
        <v>4125.9541</v>
      </c>
      <c r="I620" s="114">
        <v>1417</v>
      </c>
      <c r="J620" s="115">
        <v>0.000451388888888889</v>
      </c>
      <c r="K620" s="114">
        <v>56.6</v>
      </c>
      <c r="L620" s="114">
        <v>2</v>
      </c>
      <c r="M620" s="114">
        <v>3033219</v>
      </c>
      <c r="N620" s="114">
        <v>7.32</v>
      </c>
      <c r="O620" s="114">
        <v>270124</v>
      </c>
      <c r="P620" s="114">
        <v>204537</v>
      </c>
      <c r="Q620" s="114">
        <v>65587</v>
      </c>
      <c r="R620" s="114">
        <v>65587</v>
      </c>
      <c r="S620" s="114">
        <v>0</v>
      </c>
      <c r="T620" s="114">
        <v>1813</v>
      </c>
      <c r="U620" s="114">
        <v>396</v>
      </c>
      <c r="V620" s="114">
        <v>3335</v>
      </c>
      <c r="W620" s="114">
        <v>276</v>
      </c>
      <c r="X620" s="114">
        <v>438</v>
      </c>
      <c r="Y620" s="114">
        <v>104</v>
      </c>
      <c r="Z620" s="114">
        <v>33203.894</v>
      </c>
      <c r="AA620" s="114">
        <v>0</v>
      </c>
      <c r="AB620" s="114">
        <v>0</v>
      </c>
      <c r="AC620" s="114">
        <v>520.841</v>
      </c>
      <c r="AD620" s="114">
        <v>31817.748</v>
      </c>
      <c r="AE620" s="114">
        <v>57850.318</v>
      </c>
      <c r="AF620" s="114">
        <v>5839</v>
      </c>
      <c r="AG620" s="114">
        <v>9907.573</v>
      </c>
      <c r="AH620" s="114">
        <v>5522</v>
      </c>
      <c r="AI620" s="114">
        <v>88.067</v>
      </c>
      <c r="AJ620" s="114">
        <v>0</v>
      </c>
      <c r="AK620" s="114">
        <v>0</v>
      </c>
      <c r="AL620" s="114">
        <v>0</v>
      </c>
      <c r="AM620" s="114">
        <v>0</v>
      </c>
      <c r="AN620" s="114">
        <v>1231</v>
      </c>
      <c r="AO620" s="114">
        <v>12.2358</v>
      </c>
      <c r="AP620" s="114"/>
      <c r="AQ620" s="114">
        <v>0</v>
      </c>
      <c r="AR620" s="114"/>
      <c r="AS620" s="114"/>
      <c r="AT620" s="114">
        <v>15</v>
      </c>
      <c r="AU620" s="114">
        <v>1208</v>
      </c>
      <c r="AV620" s="114">
        <v>0</v>
      </c>
      <c r="AW620" s="114">
        <v>0</v>
      </c>
      <c r="AX620" s="114">
        <v>0</v>
      </c>
      <c r="AY620" s="114">
        <v>0</v>
      </c>
      <c r="AZ620" s="114">
        <v>2</v>
      </c>
      <c r="BA620" s="114">
        <v>409</v>
      </c>
      <c r="BB620" s="116"/>
      <c r="BC620" s="116"/>
      <c r="BD620" s="116"/>
      <c r="BE620" s="116"/>
      <c r="BF620" s="116"/>
      <c r="BG620" s="116"/>
      <c r="BH620" s="116"/>
      <c r="BI620" s="116"/>
      <c r="BJ620" s="117">
        <v>92602</v>
      </c>
      <c r="BK620" s="117">
        <v>1417</v>
      </c>
      <c r="BL620" s="119"/>
      <c r="BM620" s="118">
        <v>0</v>
      </c>
      <c r="BN620" s="131"/>
      <c r="BO620" s="119"/>
      <c r="BP620" s="119"/>
      <c r="BQ620" s="119"/>
      <c r="BR620" s="119"/>
      <c r="BS620" s="119"/>
      <c r="BT620" s="119"/>
      <c r="BU620" s="119"/>
      <c r="BV620" s="119"/>
      <c r="BW620" s="119"/>
      <c r="BX620" s="119"/>
    </row>
    <row r="621" s="96" customFormat="1" customHeight="1" spans="1:76">
      <c r="A621" s="111">
        <v>620</v>
      </c>
      <c r="B621" s="112" t="s">
        <v>58</v>
      </c>
      <c r="C621" s="112" t="s">
        <v>144</v>
      </c>
      <c r="D621" s="111">
        <v>2024</v>
      </c>
      <c r="E621" s="113" t="s">
        <v>39</v>
      </c>
      <c r="F621" s="114">
        <v>335432</v>
      </c>
      <c r="G621" s="114">
        <v>335432</v>
      </c>
      <c r="H621" s="114">
        <v>2441.274</v>
      </c>
      <c r="I621" s="114">
        <v>1081</v>
      </c>
      <c r="J621" s="115">
        <v>0.000300925925925926</v>
      </c>
      <c r="K621" s="114">
        <v>59.06</v>
      </c>
      <c r="L621" s="114"/>
      <c r="M621" s="114">
        <v>2315042</v>
      </c>
      <c r="N621" s="114">
        <v>7.45</v>
      </c>
      <c r="O621" s="114">
        <v>233192</v>
      </c>
      <c r="P621" s="114">
        <v>163660</v>
      </c>
      <c r="Q621" s="114">
        <v>69532</v>
      </c>
      <c r="R621" s="114">
        <v>69532</v>
      </c>
      <c r="S621" s="114">
        <v>0</v>
      </c>
      <c r="T621" s="114">
        <v>1436</v>
      </c>
      <c r="U621" s="114">
        <v>355</v>
      </c>
      <c r="V621" s="114">
        <v>3133</v>
      </c>
      <c r="W621" s="114">
        <v>275</v>
      </c>
      <c r="X621" s="114">
        <v>428</v>
      </c>
      <c r="Y621" s="114">
        <v>96</v>
      </c>
      <c r="Z621" s="114">
        <v>29911.772</v>
      </c>
      <c r="AA621" s="114">
        <v>0</v>
      </c>
      <c r="AB621" s="114">
        <v>0</v>
      </c>
      <c r="AC621" s="114">
        <v>466.736</v>
      </c>
      <c r="AD621" s="114">
        <v>28923.677</v>
      </c>
      <c r="AE621" s="114">
        <v>52587.948</v>
      </c>
      <c r="AF621" s="114">
        <v>5387</v>
      </c>
      <c r="AG621" s="114">
        <v>9762.01</v>
      </c>
      <c r="AH621" s="114">
        <v>4990</v>
      </c>
      <c r="AI621" s="114">
        <v>89.173</v>
      </c>
      <c r="AJ621" s="114">
        <v>0</v>
      </c>
      <c r="AK621" s="114">
        <v>0</v>
      </c>
      <c r="AL621" s="114">
        <v>0</v>
      </c>
      <c r="AM621" s="114">
        <v>0</v>
      </c>
      <c r="AN621" s="114">
        <v>1264</v>
      </c>
      <c r="AO621" s="114">
        <v>8.3712</v>
      </c>
      <c r="AP621" s="114"/>
      <c r="AQ621" s="114">
        <v>0</v>
      </c>
      <c r="AR621" s="114"/>
      <c r="AS621" s="114"/>
      <c r="AT621" s="114">
        <v>12</v>
      </c>
      <c r="AU621" s="114">
        <v>3338</v>
      </c>
      <c r="AV621" s="114">
        <v>0</v>
      </c>
      <c r="AW621" s="114">
        <v>0</v>
      </c>
      <c r="AX621" s="114">
        <v>0</v>
      </c>
      <c r="AY621" s="114">
        <v>0</v>
      </c>
      <c r="AZ621" s="114">
        <v>4</v>
      </c>
      <c r="BA621" s="114">
        <v>446</v>
      </c>
      <c r="BB621" s="116"/>
      <c r="BC621" s="116"/>
      <c r="BD621" s="116"/>
      <c r="BE621" s="116"/>
      <c r="BF621" s="116"/>
      <c r="BG621" s="116"/>
      <c r="BH621" s="116"/>
      <c r="BI621" s="116"/>
      <c r="BJ621" s="117">
        <v>93683</v>
      </c>
      <c r="BK621" s="117">
        <v>1081</v>
      </c>
      <c r="BL621" s="119"/>
      <c r="BM621" s="118">
        <v>0</v>
      </c>
      <c r="BN621" s="131"/>
      <c r="BO621" s="119"/>
      <c r="BP621" s="119"/>
      <c r="BQ621" s="119"/>
      <c r="BR621" s="119"/>
      <c r="BS621" s="119"/>
      <c r="BT621" s="119"/>
      <c r="BU621" s="119"/>
      <c r="BV621" s="119"/>
      <c r="BW621" s="119"/>
      <c r="BX621" s="119"/>
    </row>
    <row r="622" s="96" customFormat="1" customHeight="1" spans="1:76">
      <c r="A622" s="111">
        <v>621</v>
      </c>
      <c r="B622" s="112" t="s">
        <v>58</v>
      </c>
      <c r="C622" s="112" t="s">
        <v>144</v>
      </c>
      <c r="D622" s="111">
        <v>2024</v>
      </c>
      <c r="E622" s="113" t="s">
        <v>40</v>
      </c>
      <c r="F622" s="114">
        <v>418149</v>
      </c>
      <c r="G622" s="114">
        <v>418149</v>
      </c>
      <c r="H622" s="114">
        <v>2465.089</v>
      </c>
      <c r="I622" s="114">
        <v>1278</v>
      </c>
      <c r="J622" s="115">
        <v>0.000243055555555556</v>
      </c>
      <c r="K622" s="114">
        <v>65.67</v>
      </c>
      <c r="L622" s="114">
        <v>1</v>
      </c>
      <c r="M622" s="114">
        <v>2681657</v>
      </c>
      <c r="N622" s="114">
        <v>7.84</v>
      </c>
      <c r="O622" s="114">
        <v>282046</v>
      </c>
      <c r="P622" s="114">
        <v>199318</v>
      </c>
      <c r="Q622" s="114">
        <v>82728</v>
      </c>
      <c r="R622" s="114">
        <v>82728</v>
      </c>
      <c r="S622" s="114">
        <v>0</v>
      </c>
      <c r="T622" s="114">
        <v>1647</v>
      </c>
      <c r="U622" s="114">
        <v>369</v>
      </c>
      <c r="V622" s="114">
        <v>4138</v>
      </c>
      <c r="W622" s="114">
        <v>374</v>
      </c>
      <c r="X622" s="114">
        <v>484</v>
      </c>
      <c r="Y622" s="114">
        <v>118</v>
      </c>
      <c r="Z622" s="114">
        <v>29866.378</v>
      </c>
      <c r="AA622" s="114">
        <v>0</v>
      </c>
      <c r="AB622" s="114">
        <v>0</v>
      </c>
      <c r="AC622" s="114">
        <v>593.13</v>
      </c>
      <c r="AD622" s="114">
        <v>28341.375</v>
      </c>
      <c r="AE622" s="114">
        <v>51530.03</v>
      </c>
      <c r="AF622" s="114">
        <v>6122</v>
      </c>
      <c r="AG622" s="114">
        <v>8417.189</v>
      </c>
      <c r="AH622" s="114">
        <v>5608</v>
      </c>
      <c r="AI622" s="114">
        <v>71.425</v>
      </c>
      <c r="AJ622" s="114">
        <v>0</v>
      </c>
      <c r="AK622" s="114">
        <v>0</v>
      </c>
      <c r="AL622" s="114">
        <v>0</v>
      </c>
      <c r="AM622" s="114">
        <v>0</v>
      </c>
      <c r="AN622" s="114">
        <v>1410</v>
      </c>
      <c r="AO622" s="114">
        <v>8.3319</v>
      </c>
      <c r="AP622" s="114"/>
      <c r="AQ622" s="114">
        <v>0</v>
      </c>
      <c r="AR622" s="114"/>
      <c r="AS622" s="114"/>
      <c r="AT622" s="114">
        <v>9</v>
      </c>
      <c r="AU622" s="114">
        <v>1226</v>
      </c>
      <c r="AV622" s="114">
        <v>0</v>
      </c>
      <c r="AW622" s="114">
        <v>0</v>
      </c>
      <c r="AX622" s="114">
        <v>0</v>
      </c>
      <c r="AY622" s="114">
        <v>0</v>
      </c>
      <c r="AZ622" s="114">
        <v>3</v>
      </c>
      <c r="BA622" s="114">
        <v>377</v>
      </c>
      <c r="BB622" s="116"/>
      <c r="BC622" s="116"/>
      <c r="BD622" s="116"/>
      <c r="BE622" s="116"/>
      <c r="BF622" s="116"/>
      <c r="BG622" s="116"/>
      <c r="BH622" s="116"/>
      <c r="BI622" s="116"/>
      <c r="BJ622" s="117">
        <v>94961</v>
      </c>
      <c r="BK622" s="117">
        <v>1278</v>
      </c>
      <c r="BL622" s="119"/>
      <c r="BM622" s="118">
        <v>0</v>
      </c>
      <c r="BN622" s="131"/>
      <c r="BO622" s="119"/>
      <c r="BP622" s="119"/>
      <c r="BQ622" s="119"/>
      <c r="BR622" s="119"/>
      <c r="BS622" s="119"/>
      <c r="BT622" s="119"/>
      <c r="BU622" s="119"/>
      <c r="BV622" s="119"/>
      <c r="BW622" s="119"/>
      <c r="BX622" s="119"/>
    </row>
    <row r="623" s="96" customFormat="1" customHeight="1" spans="1:76">
      <c r="A623" s="111">
        <v>622</v>
      </c>
      <c r="B623" s="112" t="s">
        <v>58</v>
      </c>
      <c r="C623" s="112" t="s">
        <v>144</v>
      </c>
      <c r="D623" s="111">
        <v>2024</v>
      </c>
      <c r="E623" s="113" t="s">
        <v>41</v>
      </c>
      <c r="F623" s="114">
        <v>619214</v>
      </c>
      <c r="G623" s="114">
        <v>619214</v>
      </c>
      <c r="H623" s="114">
        <v>3372.4103</v>
      </c>
      <c r="I623" s="114">
        <v>1644</v>
      </c>
      <c r="J623" s="115">
        <v>0.000219907407407407</v>
      </c>
      <c r="K623" s="114">
        <v>70.81</v>
      </c>
      <c r="L623" s="114">
        <v>7</v>
      </c>
      <c r="M623" s="114">
        <v>3827936</v>
      </c>
      <c r="N623" s="114">
        <v>7.87</v>
      </c>
      <c r="O623" s="114">
        <v>397405</v>
      </c>
      <c r="P623" s="114">
        <v>280928</v>
      </c>
      <c r="Q623" s="114">
        <v>116477</v>
      </c>
      <c r="R623" s="114">
        <v>116477</v>
      </c>
      <c r="S623" s="114">
        <v>0</v>
      </c>
      <c r="T623" s="114">
        <v>2120</v>
      </c>
      <c r="U623" s="114">
        <v>476</v>
      </c>
      <c r="V623" s="114">
        <v>6349</v>
      </c>
      <c r="W623" s="114">
        <v>597</v>
      </c>
      <c r="X623" s="114">
        <v>780</v>
      </c>
      <c r="Y623" s="114">
        <v>128</v>
      </c>
      <c r="Z623" s="114">
        <v>35942.93</v>
      </c>
      <c r="AA623" s="114">
        <v>0</v>
      </c>
      <c r="AB623" s="114">
        <v>0</v>
      </c>
      <c r="AC623" s="114">
        <v>794.512</v>
      </c>
      <c r="AD623" s="114">
        <v>32499.345</v>
      </c>
      <c r="AE623" s="114">
        <v>59089.695</v>
      </c>
      <c r="AF623" s="114">
        <v>6044</v>
      </c>
      <c r="AG623" s="114">
        <v>9776.588</v>
      </c>
      <c r="AH623" s="114">
        <v>5479</v>
      </c>
      <c r="AI623" s="114">
        <v>58.046</v>
      </c>
      <c r="AJ623" s="114">
        <v>0</v>
      </c>
      <c r="AK623" s="114">
        <v>0</v>
      </c>
      <c r="AL623" s="114">
        <v>0</v>
      </c>
      <c r="AM623" s="114">
        <v>0</v>
      </c>
      <c r="AN623" s="114">
        <v>1676</v>
      </c>
      <c r="AO623" s="114">
        <v>10.4519</v>
      </c>
      <c r="AP623" s="114"/>
      <c r="AQ623" s="114">
        <v>0</v>
      </c>
      <c r="AR623" s="114"/>
      <c r="AS623" s="114"/>
      <c r="AT623" s="114">
        <v>10</v>
      </c>
      <c r="AU623" s="114">
        <v>2425</v>
      </c>
      <c r="AV623" s="114">
        <v>0</v>
      </c>
      <c r="AW623" s="114">
        <v>0</v>
      </c>
      <c r="AX623" s="114">
        <v>0</v>
      </c>
      <c r="AY623" s="114">
        <v>4</v>
      </c>
      <c r="AZ623" s="114">
        <v>9</v>
      </c>
      <c r="BA623" s="114">
        <v>686</v>
      </c>
      <c r="BB623" s="116"/>
      <c r="BC623" s="116"/>
      <c r="BD623" s="116"/>
      <c r="BE623" s="116"/>
      <c r="BF623" s="116"/>
      <c r="BG623" s="116"/>
      <c r="BH623" s="116"/>
      <c r="BI623" s="116"/>
      <c r="BJ623" s="117">
        <v>96605</v>
      </c>
      <c r="BK623" s="117">
        <v>1644</v>
      </c>
      <c r="BL623" s="119"/>
      <c r="BM623" s="118">
        <v>0</v>
      </c>
      <c r="BN623" s="131"/>
      <c r="BO623" s="119"/>
      <c r="BP623" s="119"/>
      <c r="BQ623" s="119"/>
      <c r="BR623" s="119"/>
      <c r="BS623" s="119"/>
      <c r="BT623" s="119"/>
      <c r="BU623" s="119"/>
      <c r="BV623" s="119"/>
      <c r="BW623" s="119"/>
      <c r="BX623" s="119"/>
    </row>
    <row r="624" s="96" customFormat="1" customHeight="1" spans="1:76">
      <c r="A624" s="111">
        <v>623</v>
      </c>
      <c r="B624" s="112" t="s">
        <v>58</v>
      </c>
      <c r="C624" s="112" t="s">
        <v>144</v>
      </c>
      <c r="D624" s="111">
        <v>2024</v>
      </c>
      <c r="E624" s="113" t="s">
        <v>42</v>
      </c>
      <c r="F624" s="114">
        <v>649026</v>
      </c>
      <c r="G624" s="114">
        <v>649026</v>
      </c>
      <c r="H624" s="114">
        <v>5382.7509</v>
      </c>
      <c r="I624" s="114">
        <v>1880</v>
      </c>
      <c r="J624" s="115">
        <v>0.000335648148148148</v>
      </c>
      <c r="K624" s="114">
        <v>65.77</v>
      </c>
      <c r="L624" s="114"/>
      <c r="M624" s="114">
        <v>4696741</v>
      </c>
      <c r="N624" s="114">
        <v>7.41</v>
      </c>
      <c r="O624" s="114">
        <v>438503</v>
      </c>
      <c r="P624" s="114">
        <v>308256</v>
      </c>
      <c r="Q624" s="114">
        <v>130247</v>
      </c>
      <c r="R624" s="114">
        <v>130247</v>
      </c>
      <c r="S624" s="114">
        <v>0</v>
      </c>
      <c r="T624" s="114">
        <v>2323</v>
      </c>
      <c r="U624" s="114">
        <v>443</v>
      </c>
      <c r="V624" s="114">
        <v>6358</v>
      </c>
      <c r="W624" s="114">
        <v>735</v>
      </c>
      <c r="X624" s="114">
        <v>575</v>
      </c>
      <c r="Y624" s="114">
        <v>123</v>
      </c>
      <c r="Z624" s="114">
        <v>28572.245</v>
      </c>
      <c r="AA624" s="114">
        <v>0</v>
      </c>
      <c r="AB624" s="114">
        <v>0</v>
      </c>
      <c r="AC624" s="114">
        <v>944.482</v>
      </c>
      <c r="AD624" s="114">
        <v>26165.933</v>
      </c>
      <c r="AE624" s="114">
        <v>47575.422</v>
      </c>
      <c r="AF624" s="114">
        <v>4934</v>
      </c>
      <c r="AG624" s="114">
        <v>9642.364</v>
      </c>
      <c r="AH624" s="114">
        <v>4575</v>
      </c>
      <c r="AI624" s="114">
        <v>44.023</v>
      </c>
      <c r="AJ624" s="114">
        <v>0</v>
      </c>
      <c r="AK624" s="114">
        <v>0</v>
      </c>
      <c r="AL624" s="114">
        <v>0</v>
      </c>
      <c r="AM624" s="114">
        <v>0</v>
      </c>
      <c r="AN624" s="114">
        <v>1767</v>
      </c>
      <c r="AO624" s="114">
        <v>14.6433</v>
      </c>
      <c r="AP624" s="114"/>
      <c r="AQ624" s="114">
        <v>0</v>
      </c>
      <c r="AR624" s="114"/>
      <c r="AS624" s="114"/>
      <c r="AT624" s="114">
        <v>11</v>
      </c>
      <c r="AU624" s="114">
        <v>1745</v>
      </c>
      <c r="AV624" s="114">
        <v>0</v>
      </c>
      <c r="AW624" s="114">
        <v>0</v>
      </c>
      <c r="AX624" s="114">
        <v>0</v>
      </c>
      <c r="AY624" s="114">
        <v>2</v>
      </c>
      <c r="AZ624" s="114">
        <v>0</v>
      </c>
      <c r="BA624" s="114">
        <v>297</v>
      </c>
      <c r="BB624" s="116"/>
      <c r="BC624" s="116"/>
      <c r="BD624" s="116"/>
      <c r="BE624" s="116"/>
      <c r="BF624" s="116"/>
      <c r="BG624" s="116"/>
      <c r="BH624" s="116"/>
      <c r="BI624" s="116"/>
      <c r="BJ624" s="117">
        <v>98485</v>
      </c>
      <c r="BK624" s="117">
        <v>1880</v>
      </c>
      <c r="BL624" s="119"/>
      <c r="BM624" s="118">
        <v>0</v>
      </c>
      <c r="BN624" s="131"/>
      <c r="BO624" s="119"/>
      <c r="BP624" s="119"/>
      <c r="BQ624" s="119"/>
      <c r="BR624" s="119"/>
      <c r="BS624" s="119"/>
      <c r="BT624" s="119"/>
      <c r="BU624" s="119"/>
      <c r="BV624" s="119"/>
      <c r="BW624" s="119"/>
      <c r="BX624" s="119"/>
    </row>
    <row r="625" s="96" customFormat="1" customHeight="1" spans="1:76">
      <c r="A625" s="111">
        <v>624</v>
      </c>
      <c r="B625" s="112" t="s">
        <v>58</v>
      </c>
      <c r="C625" s="112" t="s">
        <v>144</v>
      </c>
      <c r="D625" s="111">
        <v>2024</v>
      </c>
      <c r="E625" s="113" t="s">
        <v>43</v>
      </c>
      <c r="F625" s="114">
        <v>585160</v>
      </c>
      <c r="G625" s="114">
        <v>585160</v>
      </c>
      <c r="H625" s="114">
        <v>4131.7709</v>
      </c>
      <c r="I625" s="114">
        <v>1643</v>
      </c>
      <c r="J625" s="115">
        <v>0.000289351851851852</v>
      </c>
      <c r="K625" s="114">
        <v>61.61</v>
      </c>
      <c r="L625" s="114">
        <v>1</v>
      </c>
      <c r="M625" s="114">
        <v>3997109</v>
      </c>
      <c r="N625" s="114">
        <v>7.05</v>
      </c>
      <c r="O625" s="114">
        <v>400508</v>
      </c>
      <c r="P625" s="114">
        <v>274460</v>
      </c>
      <c r="Q625" s="114">
        <v>126048</v>
      </c>
      <c r="R625" s="114">
        <v>126048</v>
      </c>
      <c r="S625" s="114">
        <v>0</v>
      </c>
      <c r="T625" s="114">
        <v>2096</v>
      </c>
      <c r="U625" s="114">
        <v>453</v>
      </c>
      <c r="V625" s="114">
        <v>5549</v>
      </c>
      <c r="W625" s="114">
        <v>568</v>
      </c>
      <c r="X625" s="114">
        <v>640</v>
      </c>
      <c r="Y625" s="114">
        <v>126</v>
      </c>
      <c r="Z625" s="114">
        <v>34137.869</v>
      </c>
      <c r="AA625" s="114">
        <v>0</v>
      </c>
      <c r="AB625" s="114">
        <v>0</v>
      </c>
      <c r="AC625" s="114">
        <v>791.7</v>
      </c>
      <c r="AD625" s="114">
        <v>29718.468</v>
      </c>
      <c r="AE625" s="114">
        <v>54033.882</v>
      </c>
      <c r="AF625" s="114">
        <v>5295</v>
      </c>
      <c r="AG625" s="114">
        <v>10204.699</v>
      </c>
      <c r="AH625" s="114">
        <v>5005</v>
      </c>
      <c r="AI625" s="114">
        <v>58.34</v>
      </c>
      <c r="AJ625" s="114">
        <v>0</v>
      </c>
      <c r="AK625" s="114">
        <v>0</v>
      </c>
      <c r="AL625" s="114">
        <v>0</v>
      </c>
      <c r="AM625" s="114">
        <v>0</v>
      </c>
      <c r="AN625" s="114">
        <v>1641</v>
      </c>
      <c r="AO625" s="114">
        <v>12.3619</v>
      </c>
      <c r="AP625" s="114"/>
      <c r="AQ625" s="114">
        <v>0</v>
      </c>
      <c r="AR625" s="114"/>
      <c r="AS625" s="114"/>
      <c r="AT625" s="114">
        <v>15</v>
      </c>
      <c r="AU625" s="114">
        <v>2353</v>
      </c>
      <c r="AV625" s="114">
        <v>0</v>
      </c>
      <c r="AW625" s="114">
        <v>0</v>
      </c>
      <c r="AX625" s="114">
        <v>0</v>
      </c>
      <c r="AY625" s="114">
        <v>2</v>
      </c>
      <c r="AZ625" s="114">
        <v>3</v>
      </c>
      <c r="BA625" s="114">
        <v>386</v>
      </c>
      <c r="BB625" s="116"/>
      <c r="BC625" s="116"/>
      <c r="BD625" s="116"/>
      <c r="BE625" s="116"/>
      <c r="BF625" s="116"/>
      <c r="BG625" s="116"/>
      <c r="BH625" s="116"/>
      <c r="BI625" s="116"/>
      <c r="BJ625" s="117">
        <v>100128</v>
      </c>
      <c r="BK625" s="117">
        <v>1643</v>
      </c>
      <c r="BL625" s="119"/>
      <c r="BM625" s="118">
        <v>0</v>
      </c>
      <c r="BN625" s="131"/>
      <c r="BO625" s="119"/>
      <c r="BP625" s="119"/>
      <c r="BQ625" s="119"/>
      <c r="BR625" s="119"/>
      <c r="BS625" s="119"/>
      <c r="BT625" s="119"/>
      <c r="BU625" s="119"/>
      <c r="BV625" s="119"/>
      <c r="BW625" s="119"/>
      <c r="BX625" s="119"/>
    </row>
    <row r="626" s="96" customFormat="1" customHeight="1" spans="1:76">
      <c r="A626" s="111">
        <v>625</v>
      </c>
      <c r="B626" s="112" t="s">
        <v>58</v>
      </c>
      <c r="C626" s="112" t="s">
        <v>144</v>
      </c>
      <c r="D626" s="111">
        <v>2025</v>
      </c>
      <c r="E626" s="113" t="s">
        <v>31</v>
      </c>
      <c r="F626" s="114">
        <v>487353</v>
      </c>
      <c r="G626" s="114">
        <v>487353</v>
      </c>
      <c r="H626" s="114">
        <v>3306.8125</v>
      </c>
      <c r="I626" s="114">
        <v>1419</v>
      </c>
      <c r="J626" s="115">
        <v>0.000277777777777778</v>
      </c>
      <c r="K626" s="114">
        <v>59.13</v>
      </c>
      <c r="L626" s="114"/>
      <c r="M626" s="114">
        <v>3246103</v>
      </c>
      <c r="N626" s="114">
        <v>7.24</v>
      </c>
      <c r="O626" s="114">
        <v>333393</v>
      </c>
      <c r="P626" s="114">
        <v>225988</v>
      </c>
      <c r="Q626" s="114">
        <v>107405</v>
      </c>
      <c r="R626" s="114">
        <v>107405</v>
      </c>
      <c r="S626" s="114">
        <v>0</v>
      </c>
      <c r="T626" s="114">
        <v>1784</v>
      </c>
      <c r="U626" s="114">
        <v>365</v>
      </c>
      <c r="V626" s="114">
        <v>4551</v>
      </c>
      <c r="W626" s="114">
        <v>498</v>
      </c>
      <c r="X626" s="114">
        <v>382</v>
      </c>
      <c r="Y626" s="114">
        <v>102</v>
      </c>
      <c r="Z626" s="114">
        <v>76266.841</v>
      </c>
      <c r="AA626" s="114">
        <v>0</v>
      </c>
      <c r="AB626" s="114">
        <v>0</v>
      </c>
      <c r="AC626" s="114">
        <v>725.572</v>
      </c>
      <c r="AD626" s="114">
        <v>74282.171</v>
      </c>
      <c r="AE626" s="114">
        <v>35372.669</v>
      </c>
      <c r="AF626" s="114">
        <v>3644</v>
      </c>
      <c r="AG626" s="114">
        <v>9707.099</v>
      </c>
      <c r="AH626" s="114">
        <v>3511</v>
      </c>
      <c r="AI626" s="114">
        <v>156.492</v>
      </c>
      <c r="AJ626" s="114">
        <v>0</v>
      </c>
      <c r="AK626" s="114">
        <v>0</v>
      </c>
      <c r="AL626" s="114">
        <v>0</v>
      </c>
      <c r="AM626" s="114">
        <v>0</v>
      </c>
      <c r="AN626" s="114">
        <v>1643</v>
      </c>
      <c r="AO626" s="114">
        <v>11.4663</v>
      </c>
      <c r="AP626" s="114"/>
      <c r="AQ626" s="114">
        <v>0</v>
      </c>
      <c r="AR626" s="114"/>
      <c r="AS626" s="114"/>
      <c r="AT626" s="114">
        <v>7</v>
      </c>
      <c r="AU626" s="114">
        <v>2320</v>
      </c>
      <c r="AV626" s="114">
        <v>0</v>
      </c>
      <c r="AW626" s="114">
        <v>0</v>
      </c>
      <c r="AX626" s="114">
        <v>0</v>
      </c>
      <c r="AY626" s="114">
        <v>0</v>
      </c>
      <c r="AZ626" s="114">
        <v>2</v>
      </c>
      <c r="BA626" s="114">
        <v>341</v>
      </c>
      <c r="BB626" s="116"/>
      <c r="BC626" s="116"/>
      <c r="BD626" s="116"/>
      <c r="BE626" s="116"/>
      <c r="BF626" s="116"/>
      <c r="BG626" s="116"/>
      <c r="BH626" s="116"/>
      <c r="BI626" s="116"/>
      <c r="BJ626" s="117">
        <v>101547</v>
      </c>
      <c r="BK626" s="117">
        <v>1419</v>
      </c>
      <c r="BL626" s="133">
        <v>0</v>
      </c>
      <c r="BM626" s="118">
        <v>0</v>
      </c>
      <c r="BN626" s="118">
        <v>0</v>
      </c>
      <c r="BO626" s="119"/>
      <c r="BP626" s="119"/>
      <c r="BQ626" s="119"/>
      <c r="BR626" s="119"/>
      <c r="BS626" s="119"/>
      <c r="BT626" s="119"/>
      <c r="BU626" s="119"/>
      <c r="BV626" s="119"/>
      <c r="BW626" s="119"/>
      <c r="BX626" s="119"/>
    </row>
    <row r="627" s="96" customFormat="1" customHeight="1" spans="1:76">
      <c r="A627" s="111">
        <v>626</v>
      </c>
      <c r="B627" s="112" t="s">
        <v>58</v>
      </c>
      <c r="C627" s="112" t="s">
        <v>144</v>
      </c>
      <c r="D627" s="111">
        <v>2025</v>
      </c>
      <c r="E627" s="113" t="s">
        <v>33</v>
      </c>
      <c r="F627" s="114">
        <v>385338</v>
      </c>
      <c r="G627" s="114">
        <v>385338</v>
      </c>
      <c r="H627" s="114">
        <v>2368.6023</v>
      </c>
      <c r="I627" s="114">
        <v>1250</v>
      </c>
      <c r="J627" s="115">
        <v>0.00025462962962963</v>
      </c>
      <c r="K627" s="114">
        <v>59.53</v>
      </c>
      <c r="L627" s="114">
        <v>0</v>
      </c>
      <c r="M627" s="114">
        <v>2515409</v>
      </c>
      <c r="N627" s="114">
        <v>7.3</v>
      </c>
      <c r="O627" s="114">
        <v>265776</v>
      </c>
      <c r="P627" s="114">
        <v>175086</v>
      </c>
      <c r="Q627" s="114">
        <v>90690</v>
      </c>
      <c r="R627" s="114">
        <v>90690</v>
      </c>
      <c r="S627" s="114">
        <v>0</v>
      </c>
      <c r="T627" s="114">
        <v>1506</v>
      </c>
      <c r="U627" s="114">
        <v>256</v>
      </c>
      <c r="V627" s="114">
        <v>3378</v>
      </c>
      <c r="W627" s="114">
        <v>393</v>
      </c>
      <c r="X627" s="114">
        <v>293</v>
      </c>
      <c r="Y627" s="114">
        <v>72</v>
      </c>
      <c r="Z627" s="114">
        <v>95015.272</v>
      </c>
      <c r="AA627" s="114">
        <v>0</v>
      </c>
      <c r="AB627" s="114">
        <v>0</v>
      </c>
      <c r="AC627" s="114">
        <v>906.458</v>
      </c>
      <c r="AD627" s="114">
        <v>93099.312</v>
      </c>
      <c r="AE627" s="114">
        <v>169271.759</v>
      </c>
      <c r="AF627" s="114">
        <v>33248</v>
      </c>
      <c r="AG627" s="114">
        <v>5091.186</v>
      </c>
      <c r="AH627" s="114">
        <v>31464</v>
      </c>
      <c r="AI627" s="114">
        <v>246.576</v>
      </c>
      <c r="AJ627" s="114">
        <v>0</v>
      </c>
      <c r="AK627" s="114">
        <v>0</v>
      </c>
      <c r="AL627" s="114">
        <v>0</v>
      </c>
      <c r="AM627" s="114">
        <v>0</v>
      </c>
      <c r="AN627" s="114">
        <v>1287</v>
      </c>
      <c r="AO627" s="114">
        <v>9.0881</v>
      </c>
      <c r="AP627" s="114"/>
      <c r="AQ627" s="114">
        <v>0</v>
      </c>
      <c r="AR627" s="114"/>
      <c r="AS627" s="114"/>
      <c r="AT627" s="114">
        <v>8</v>
      </c>
      <c r="AU627" s="114">
        <v>2341</v>
      </c>
      <c r="AV627" s="114">
        <v>0</v>
      </c>
      <c r="AW627" s="114">
        <v>0</v>
      </c>
      <c r="AX627" s="114">
        <v>0</v>
      </c>
      <c r="AY627" s="114">
        <v>0</v>
      </c>
      <c r="AZ627" s="114">
        <v>1</v>
      </c>
      <c r="BA627" s="114">
        <v>292</v>
      </c>
      <c r="BB627" s="116"/>
      <c r="BC627" s="116"/>
      <c r="BD627" s="116"/>
      <c r="BE627" s="116"/>
      <c r="BF627" s="116"/>
      <c r="BG627" s="116"/>
      <c r="BH627" s="116"/>
      <c r="BI627" s="116"/>
      <c r="BJ627" s="117">
        <v>102797</v>
      </c>
      <c r="BK627" s="117">
        <v>1250</v>
      </c>
      <c r="BL627" s="133">
        <v>0</v>
      </c>
      <c r="BM627" s="118">
        <v>0</v>
      </c>
      <c r="BN627" s="118">
        <v>0</v>
      </c>
      <c r="BO627" s="119"/>
      <c r="BP627" s="119"/>
      <c r="BQ627" s="119"/>
      <c r="BR627" s="119"/>
      <c r="BS627" s="119"/>
      <c r="BT627" s="119"/>
      <c r="BU627" s="119"/>
      <c r="BV627" s="119"/>
      <c r="BW627" s="119"/>
      <c r="BX627" s="119"/>
    </row>
    <row r="628" s="96" customFormat="1" customHeight="1" spans="1:76">
      <c r="A628" s="111">
        <v>627</v>
      </c>
      <c r="B628" s="112" t="s">
        <v>58</v>
      </c>
      <c r="C628" s="112" t="s">
        <v>144</v>
      </c>
      <c r="D628" s="111">
        <v>2025</v>
      </c>
      <c r="E628" s="113" t="s">
        <v>34</v>
      </c>
      <c r="F628" s="114">
        <v>614743</v>
      </c>
      <c r="G628" s="114">
        <v>596028</v>
      </c>
      <c r="H628" s="114">
        <v>3014.2512</v>
      </c>
      <c r="I628" s="114">
        <v>1487</v>
      </c>
      <c r="J628" s="115">
        <v>0.000208333333333333</v>
      </c>
      <c r="K628" s="114">
        <v>63.37</v>
      </c>
      <c r="L628" s="114"/>
      <c r="M628" s="114">
        <v>3473032</v>
      </c>
      <c r="N628" s="114">
        <v>7.64</v>
      </c>
      <c r="O628" s="114">
        <v>393194</v>
      </c>
      <c r="P628" s="114">
        <v>260994</v>
      </c>
      <c r="Q628" s="114">
        <v>131871</v>
      </c>
      <c r="R628" s="114">
        <v>129872</v>
      </c>
      <c r="S628" s="114">
        <v>1999</v>
      </c>
      <c r="T628" s="114">
        <v>2270</v>
      </c>
      <c r="U628" s="114">
        <v>783</v>
      </c>
      <c r="V628" s="114">
        <v>5411</v>
      </c>
      <c r="W628" s="114">
        <v>632</v>
      </c>
      <c r="X628" s="114">
        <v>441</v>
      </c>
      <c r="Y628" s="114">
        <v>125</v>
      </c>
      <c r="Z628" s="114">
        <v>119950.556</v>
      </c>
      <c r="AA628" s="114">
        <v>0</v>
      </c>
      <c r="AB628" s="114">
        <v>0</v>
      </c>
      <c r="AC628" s="114">
        <v>883.747</v>
      </c>
      <c r="AD628" s="114">
        <v>117680.376</v>
      </c>
      <c r="AE628" s="114">
        <v>213963.816</v>
      </c>
      <c r="AF628" s="114">
        <v>43561</v>
      </c>
      <c r="AG628" s="114">
        <v>4911.821</v>
      </c>
      <c r="AH628" s="114">
        <v>41372</v>
      </c>
      <c r="AI628" s="114">
        <v>201.249</v>
      </c>
      <c r="AJ628" s="114">
        <v>0</v>
      </c>
      <c r="AK628" s="114">
        <v>0</v>
      </c>
      <c r="AL628" s="114">
        <v>0</v>
      </c>
      <c r="AM628" s="114">
        <v>0</v>
      </c>
      <c r="AN628" s="114">
        <v>1729</v>
      </c>
      <c r="AO628" s="114">
        <v>10.5117</v>
      </c>
      <c r="AP628" s="114"/>
      <c r="AQ628" s="114">
        <v>0</v>
      </c>
      <c r="AR628" s="114"/>
      <c r="AS628" s="114"/>
      <c r="AT628" s="114">
        <v>34</v>
      </c>
      <c r="AU628" s="114">
        <v>3270</v>
      </c>
      <c r="AV628" s="114">
        <v>0</v>
      </c>
      <c r="AW628" s="114">
        <v>0</v>
      </c>
      <c r="AX628" s="114">
        <v>0</v>
      </c>
      <c r="AY628" s="114">
        <v>2</v>
      </c>
      <c r="AZ628" s="114">
        <v>2</v>
      </c>
      <c r="BA628" s="114">
        <v>252</v>
      </c>
      <c r="BB628" s="116"/>
      <c r="BC628" s="116"/>
      <c r="BD628" s="116"/>
      <c r="BE628" s="116"/>
      <c r="BF628" s="116"/>
      <c r="BG628" s="116"/>
      <c r="BH628" s="116"/>
      <c r="BI628" s="116"/>
      <c r="BJ628" s="117">
        <v>104284</v>
      </c>
      <c r="BK628" s="117">
        <v>1487</v>
      </c>
      <c r="BL628" s="133">
        <v>0</v>
      </c>
      <c r="BM628" s="118">
        <v>0</v>
      </c>
      <c r="BN628" s="118">
        <v>0</v>
      </c>
      <c r="BO628" s="119"/>
      <c r="BP628" s="119"/>
      <c r="BQ628" s="119"/>
      <c r="BR628" s="119"/>
      <c r="BS628" s="119"/>
      <c r="BT628" s="119"/>
      <c r="BU628" s="119"/>
      <c r="BV628" s="119"/>
      <c r="BW628" s="119"/>
      <c r="BX628" s="119"/>
    </row>
    <row r="629" s="96" customFormat="1" customHeight="1" spans="1:76">
      <c r="A629" s="111">
        <v>628</v>
      </c>
      <c r="B629" s="112" t="s">
        <v>58</v>
      </c>
      <c r="C629" s="112" t="s">
        <v>144</v>
      </c>
      <c r="D629" s="111">
        <v>2025</v>
      </c>
      <c r="E629" s="113" t="s">
        <v>35</v>
      </c>
      <c r="F629" s="114">
        <v>908606</v>
      </c>
      <c r="G629" s="114">
        <v>431078</v>
      </c>
      <c r="H629" s="114">
        <v>2196.7542</v>
      </c>
      <c r="I629" s="114">
        <v>1051</v>
      </c>
      <c r="J629" s="115">
        <v>0.000196759259259259</v>
      </c>
      <c r="K629" s="114">
        <v>67.26</v>
      </c>
      <c r="L629" s="114">
        <v>0</v>
      </c>
      <c r="M629" s="114">
        <v>2349211</v>
      </c>
      <c r="N629" s="114">
        <v>7.15</v>
      </c>
      <c r="O629" s="114">
        <v>282885</v>
      </c>
      <c r="P629" s="114">
        <v>186635</v>
      </c>
      <c r="Q629" s="114">
        <v>96404</v>
      </c>
      <c r="R629" s="114">
        <v>93635</v>
      </c>
      <c r="S629" s="114">
        <v>2769</v>
      </c>
      <c r="T629" s="114">
        <v>1569</v>
      </c>
      <c r="U629" s="114">
        <v>518</v>
      </c>
      <c r="V629" s="114">
        <v>3688</v>
      </c>
      <c r="W629" s="114">
        <v>429</v>
      </c>
      <c r="X629" s="114">
        <v>467</v>
      </c>
      <c r="Y629" s="114">
        <v>94</v>
      </c>
      <c r="Z629" s="114">
        <v>52407.267</v>
      </c>
      <c r="AA629" s="114">
        <v>0</v>
      </c>
      <c r="AB629" s="114">
        <v>0</v>
      </c>
      <c r="AC629" s="114">
        <v>832.937</v>
      </c>
      <c r="AD629" s="114">
        <v>50563.432</v>
      </c>
      <c r="AE629" s="114">
        <v>91933.617</v>
      </c>
      <c r="AF629" s="114">
        <v>19723</v>
      </c>
      <c r="AG629" s="114">
        <v>4661.239</v>
      </c>
      <c r="AH629" s="114">
        <v>18718</v>
      </c>
      <c r="AI629" s="114">
        <v>121.573</v>
      </c>
      <c r="AJ629" s="114">
        <v>0</v>
      </c>
      <c r="AK629" s="114">
        <v>0</v>
      </c>
      <c r="AL629" s="114">
        <v>0</v>
      </c>
      <c r="AM629" s="114">
        <v>0</v>
      </c>
      <c r="AN629" s="114">
        <v>2529</v>
      </c>
      <c r="AO629" s="114">
        <v>7.9272</v>
      </c>
      <c r="AP629" s="114"/>
      <c r="AQ629" s="114">
        <v>0</v>
      </c>
      <c r="AR629" s="114"/>
      <c r="AS629" s="114"/>
      <c r="AT629" s="114">
        <v>39</v>
      </c>
      <c r="AU629" s="114">
        <v>9850</v>
      </c>
      <c r="AV629" s="114">
        <v>0</v>
      </c>
      <c r="AW629" s="114">
        <v>0</v>
      </c>
      <c r="AX629" s="114">
        <v>0</v>
      </c>
      <c r="AY629" s="114">
        <v>1</v>
      </c>
      <c r="AZ629" s="114">
        <v>3</v>
      </c>
      <c r="BA629" s="114">
        <v>366</v>
      </c>
      <c r="BB629" s="116"/>
      <c r="BC629" s="116"/>
      <c r="BD629" s="116"/>
      <c r="BE629" s="116"/>
      <c r="BF629" s="116"/>
      <c r="BG629" s="116"/>
      <c r="BH629" s="116"/>
      <c r="BI629" s="116"/>
      <c r="BJ629" s="117">
        <v>105335</v>
      </c>
      <c r="BK629" s="117">
        <v>1051</v>
      </c>
      <c r="BL629" s="133">
        <v>0</v>
      </c>
      <c r="BM629" s="118">
        <v>0</v>
      </c>
      <c r="BN629" s="118">
        <v>0</v>
      </c>
      <c r="BO629" s="119"/>
      <c r="BP629" s="119"/>
      <c r="BQ629" s="119"/>
      <c r="BR629" s="119"/>
      <c r="BS629" s="119"/>
      <c r="BT629" s="119"/>
      <c r="BU629" s="119"/>
      <c r="BV629" s="119"/>
      <c r="BW629" s="119"/>
      <c r="BX629" s="119"/>
    </row>
    <row r="630" s="96" customFormat="1" customHeight="1" spans="1:76">
      <c r="A630" s="111">
        <v>629</v>
      </c>
      <c r="B630" s="112" t="s">
        <v>58</v>
      </c>
      <c r="C630" s="112" t="s">
        <v>144</v>
      </c>
      <c r="D630" s="111">
        <v>2025</v>
      </c>
      <c r="E630" s="113" t="s">
        <v>36</v>
      </c>
      <c r="F630" s="114">
        <v>1358405</v>
      </c>
      <c r="G630" s="114">
        <v>636808</v>
      </c>
      <c r="H630" s="114">
        <v>2826.6893</v>
      </c>
      <c r="I630" s="114">
        <v>1514</v>
      </c>
      <c r="J630" s="115">
        <v>0.000173611111111111</v>
      </c>
      <c r="K630" s="114">
        <v>81.99</v>
      </c>
      <c r="L630" s="114">
        <v>1</v>
      </c>
      <c r="M630" s="114">
        <v>3219880</v>
      </c>
      <c r="N630" s="114">
        <v>7.46</v>
      </c>
      <c r="O630" s="114">
        <v>399769</v>
      </c>
      <c r="P630" s="114">
        <v>267039</v>
      </c>
      <c r="Q630" s="114">
        <v>132730</v>
      </c>
      <c r="R630" s="114">
        <v>129492</v>
      </c>
      <c r="S630" s="114">
        <v>3238</v>
      </c>
      <c r="T630" s="114">
        <v>2049</v>
      </c>
      <c r="U630" s="114">
        <v>535</v>
      </c>
      <c r="V630" s="114">
        <v>5322</v>
      </c>
      <c r="W630" s="114">
        <v>636</v>
      </c>
      <c r="X630" s="114">
        <v>504</v>
      </c>
      <c r="Y630" s="114">
        <v>131</v>
      </c>
      <c r="Z630" s="114">
        <v>31465.947</v>
      </c>
      <c r="AA630" s="114">
        <v>0</v>
      </c>
      <c r="AB630" s="114">
        <v>0</v>
      </c>
      <c r="AC630" s="114">
        <v>1172.847</v>
      </c>
      <c r="AD630" s="114">
        <v>28841.915</v>
      </c>
      <c r="AE630" s="114">
        <v>52439.842</v>
      </c>
      <c r="AF630" s="114">
        <v>7358</v>
      </c>
      <c r="AG630" s="114">
        <v>7126.915</v>
      </c>
      <c r="AH630" s="114">
        <v>6836</v>
      </c>
      <c r="AI630" s="114">
        <v>49.412</v>
      </c>
      <c r="AJ630" s="114">
        <v>0</v>
      </c>
      <c r="AK630" s="114">
        <v>0</v>
      </c>
      <c r="AL630" s="114">
        <v>0</v>
      </c>
      <c r="AM630" s="114">
        <v>0</v>
      </c>
      <c r="AN630" s="114">
        <v>3811</v>
      </c>
      <c r="AO630" s="114">
        <v>10.4269</v>
      </c>
      <c r="AP630" s="114">
        <v>0.8891</v>
      </c>
      <c r="AQ630" s="114">
        <v>0</v>
      </c>
      <c r="AR630" s="114">
        <v>0</v>
      </c>
      <c r="AS630" s="114">
        <v>0</v>
      </c>
      <c r="AT630" s="114">
        <v>38</v>
      </c>
      <c r="AU630" s="114">
        <v>8521</v>
      </c>
      <c r="AV630" s="114">
        <v>0</v>
      </c>
      <c r="AW630" s="114">
        <v>0</v>
      </c>
      <c r="AX630" s="114">
        <v>0</v>
      </c>
      <c r="AY630" s="114">
        <v>1</v>
      </c>
      <c r="AZ630" s="114">
        <v>1</v>
      </c>
      <c r="BA630" s="114">
        <v>270</v>
      </c>
      <c r="BB630" s="116"/>
      <c r="BC630" s="116"/>
      <c r="BD630" s="116"/>
      <c r="BE630" s="116"/>
      <c r="BF630" s="116"/>
      <c r="BG630" s="116"/>
      <c r="BH630" s="116"/>
      <c r="BI630" s="116"/>
      <c r="BJ630" s="117">
        <v>106849</v>
      </c>
      <c r="BK630" s="117">
        <v>1514</v>
      </c>
      <c r="BL630" s="133">
        <v>233</v>
      </c>
      <c r="BM630" s="118" t="e">
        <v>#VALUE!</v>
      </c>
      <c r="BN630" s="118" t="s">
        <v>44</v>
      </c>
      <c r="BO630" s="119"/>
      <c r="BP630" s="119"/>
      <c r="BQ630" s="119"/>
      <c r="BR630" s="119"/>
      <c r="BS630" s="119"/>
      <c r="BT630" s="119"/>
      <c r="BU630" s="119"/>
      <c r="BV630" s="119"/>
      <c r="BW630" s="119"/>
      <c r="BX630" s="119"/>
    </row>
    <row r="631" s="96" customFormat="1" customHeight="1" spans="1:76">
      <c r="A631" s="111">
        <v>630</v>
      </c>
      <c r="B631" s="112" t="s">
        <v>58</v>
      </c>
      <c r="C631" s="112" t="s">
        <v>144</v>
      </c>
      <c r="D631" s="111">
        <v>2025</v>
      </c>
      <c r="E631" s="113" t="s">
        <v>37</v>
      </c>
      <c r="F631" s="114">
        <v>789011</v>
      </c>
      <c r="G631" s="114">
        <v>368788</v>
      </c>
      <c r="H631" s="114">
        <v>1778.741</v>
      </c>
      <c r="I631" s="114">
        <v>784</v>
      </c>
      <c r="J631" s="115">
        <v>0.000185185185185185</v>
      </c>
      <c r="K631" s="114">
        <v>57.82</v>
      </c>
      <c r="L631" s="114">
        <v>18</v>
      </c>
      <c r="M631" s="114">
        <v>1970186</v>
      </c>
      <c r="N631" s="114">
        <v>6.91</v>
      </c>
      <c r="O631" s="114">
        <v>252549</v>
      </c>
      <c r="P631" s="114">
        <v>161294</v>
      </c>
      <c r="Q631" s="114">
        <v>91255</v>
      </c>
      <c r="R631" s="114">
        <v>89080</v>
      </c>
      <c r="S631" s="114">
        <v>2175</v>
      </c>
      <c r="T631" s="114">
        <v>1200</v>
      </c>
      <c r="U631" s="114">
        <v>416</v>
      </c>
      <c r="V631" s="114">
        <v>2899</v>
      </c>
      <c r="W631" s="114">
        <v>362</v>
      </c>
      <c r="X631" s="114">
        <v>284</v>
      </c>
      <c r="Y631" s="114">
        <v>105</v>
      </c>
      <c r="Z631" s="114">
        <v>33965.964</v>
      </c>
      <c r="AA631" s="114">
        <v>0</v>
      </c>
      <c r="AB631" s="114">
        <v>0</v>
      </c>
      <c r="AC631" s="114">
        <v>845.919</v>
      </c>
      <c r="AD631" s="114">
        <v>32210.777</v>
      </c>
      <c r="AE631" s="114">
        <v>58565.26</v>
      </c>
      <c r="AF631" s="114">
        <v>9397</v>
      </c>
      <c r="AG631" s="114">
        <v>6232.336</v>
      </c>
      <c r="AH631" s="114">
        <v>8910</v>
      </c>
      <c r="AI631" s="114">
        <v>92.102</v>
      </c>
      <c r="AJ631" s="114">
        <v>0</v>
      </c>
      <c r="AK631" s="114">
        <v>0</v>
      </c>
      <c r="AL631" s="114">
        <v>0</v>
      </c>
      <c r="AM631" s="114">
        <v>0</v>
      </c>
      <c r="AN631" s="114">
        <v>2335</v>
      </c>
      <c r="AO631" s="114">
        <v>7.2566</v>
      </c>
      <c r="AP631" s="114">
        <v>2.4672</v>
      </c>
      <c r="AQ631" s="114">
        <v>7</v>
      </c>
      <c r="AR631" s="114">
        <v>0</v>
      </c>
      <c r="AS631" s="114">
        <v>0</v>
      </c>
      <c r="AT631" s="114">
        <v>31</v>
      </c>
      <c r="AU631" s="114">
        <v>4307</v>
      </c>
      <c r="AV631" s="114">
        <v>0</v>
      </c>
      <c r="AW631" s="114">
        <v>0</v>
      </c>
      <c r="AX631" s="114">
        <v>0</v>
      </c>
      <c r="AY631" s="114">
        <v>1</v>
      </c>
      <c r="AZ631" s="114">
        <v>1</v>
      </c>
      <c r="BA631" s="114">
        <v>244</v>
      </c>
      <c r="BB631" s="116"/>
      <c r="BC631" s="116"/>
      <c r="BD631" s="116"/>
      <c r="BE631" s="116"/>
      <c r="BF631" s="116"/>
      <c r="BG631" s="116"/>
      <c r="BH631" s="116"/>
      <c r="BI631" s="116"/>
      <c r="BJ631" s="117">
        <v>107633</v>
      </c>
      <c r="BK631" s="133">
        <v>784</v>
      </c>
      <c r="BL631" s="117">
        <v>3968</v>
      </c>
      <c r="BM631" s="118">
        <v>7820</v>
      </c>
      <c r="BN631" s="118">
        <v>0.46</v>
      </c>
      <c r="BO631" s="119"/>
      <c r="BP631" s="119"/>
      <c r="BQ631" s="119"/>
      <c r="BR631" s="119"/>
      <c r="BS631" s="119"/>
      <c r="BT631" s="119"/>
      <c r="BU631" s="119"/>
      <c r="BV631" s="119"/>
      <c r="BW631" s="119"/>
      <c r="BX631" s="119"/>
    </row>
    <row r="632" s="96" customFormat="1" customHeight="1" spans="1:76">
      <c r="A632" s="111">
        <v>631</v>
      </c>
      <c r="B632" s="112" t="s">
        <v>58</v>
      </c>
      <c r="C632" s="112" t="s">
        <v>144</v>
      </c>
      <c r="D632" s="111">
        <v>2025</v>
      </c>
      <c r="E632" s="113" t="s">
        <v>38</v>
      </c>
      <c r="F632" s="114">
        <v>399850</v>
      </c>
      <c r="G632" s="114">
        <v>193033</v>
      </c>
      <c r="H632" s="114">
        <v>1114.8089</v>
      </c>
      <c r="I632" s="114">
        <v>242</v>
      </c>
      <c r="J632" s="115">
        <v>0.000231481481481481</v>
      </c>
      <c r="K632" s="114">
        <v>47.19</v>
      </c>
      <c r="L632" s="114">
        <v>7</v>
      </c>
      <c r="M632" s="114">
        <v>1185379</v>
      </c>
      <c r="N632" s="114">
        <v>6.51</v>
      </c>
      <c r="O632" s="114">
        <v>139701</v>
      </c>
      <c r="P632" s="114">
        <v>91826</v>
      </c>
      <c r="Q632" s="114">
        <v>47875</v>
      </c>
      <c r="R632" s="114">
        <v>46635</v>
      </c>
      <c r="S632" s="114">
        <v>1240</v>
      </c>
      <c r="T632" s="114">
        <v>635</v>
      </c>
      <c r="U632" s="114">
        <v>393</v>
      </c>
      <c r="V632" s="114">
        <v>1182</v>
      </c>
      <c r="W632" s="114">
        <v>129</v>
      </c>
      <c r="X632" s="114">
        <v>233</v>
      </c>
      <c r="Y632" s="114">
        <v>58</v>
      </c>
      <c r="Z632" s="114">
        <v>33741.183</v>
      </c>
      <c r="AA632" s="114">
        <v>0</v>
      </c>
      <c r="AB632" s="114">
        <v>0</v>
      </c>
      <c r="AC632" s="114">
        <v>511.614</v>
      </c>
      <c r="AD632" s="114">
        <v>32716.267</v>
      </c>
      <c r="AE632" s="114">
        <v>59484.602</v>
      </c>
      <c r="AF632" s="114">
        <v>8703</v>
      </c>
      <c r="AG632" s="114">
        <v>6834.954</v>
      </c>
      <c r="AH632" s="114">
        <v>8358</v>
      </c>
      <c r="AI632" s="114">
        <v>174.797</v>
      </c>
      <c r="AJ632" s="114">
        <v>0</v>
      </c>
      <c r="AK632" s="114">
        <v>0</v>
      </c>
      <c r="AL632" s="114">
        <v>0</v>
      </c>
      <c r="AM632" s="114">
        <v>0</v>
      </c>
      <c r="AN632" s="114">
        <v>1268</v>
      </c>
      <c r="AO632" s="114">
        <v>4.9073</v>
      </c>
      <c r="AP632" s="114">
        <v>4.685</v>
      </c>
      <c r="AQ632" s="114">
        <v>10</v>
      </c>
      <c r="AR632" s="114">
        <v>0</v>
      </c>
      <c r="AS632" s="114">
        <v>20</v>
      </c>
      <c r="AT632" s="114">
        <v>14</v>
      </c>
      <c r="AU632" s="114">
        <v>4851</v>
      </c>
      <c r="AV632" s="114">
        <v>0</v>
      </c>
      <c r="AW632" s="114">
        <v>0</v>
      </c>
      <c r="AX632" s="114">
        <v>0</v>
      </c>
      <c r="AY632" s="114">
        <v>0</v>
      </c>
      <c r="AZ632" s="114">
        <v>0</v>
      </c>
      <c r="BA632" s="114">
        <v>221</v>
      </c>
      <c r="BB632" s="116"/>
      <c r="BC632" s="116"/>
      <c r="BD632" s="116"/>
      <c r="BE632" s="116"/>
      <c r="BF632" s="116"/>
      <c r="BG632" s="116"/>
      <c r="BH632" s="116"/>
      <c r="BI632" s="116"/>
      <c r="BJ632" s="117">
        <v>107875</v>
      </c>
      <c r="BK632" s="133">
        <v>242</v>
      </c>
      <c r="BL632" s="133">
        <v>845</v>
      </c>
      <c r="BM632" s="118">
        <v>6970</v>
      </c>
      <c r="BN632" s="118">
        <v>0.41</v>
      </c>
      <c r="BO632" s="120">
        <v>0.584</v>
      </c>
      <c r="BP632" s="120">
        <v>0.416</v>
      </c>
      <c r="BQ632" s="119"/>
      <c r="BR632" s="120">
        <v>0.036</v>
      </c>
      <c r="BS632" s="120">
        <v>0.136</v>
      </c>
      <c r="BT632" s="120">
        <v>0.456</v>
      </c>
      <c r="BU632" s="120">
        <v>0.271</v>
      </c>
      <c r="BV632" s="120">
        <v>0.071</v>
      </c>
      <c r="BW632" s="120">
        <v>0.021</v>
      </c>
      <c r="BX632" s="120">
        <v>0.01</v>
      </c>
    </row>
    <row r="633" s="96" customFormat="1" customHeight="1" spans="1:76">
      <c r="A633" s="111">
        <v>632</v>
      </c>
      <c r="B633" s="112" t="s">
        <v>58</v>
      </c>
      <c r="C633" s="112" t="s">
        <v>144</v>
      </c>
      <c r="D633" s="111">
        <v>2025</v>
      </c>
      <c r="E633" s="113" t="s">
        <v>39</v>
      </c>
      <c r="F633" s="114">
        <v>334499</v>
      </c>
      <c r="G633" s="114">
        <v>167582</v>
      </c>
      <c r="H633" s="114">
        <v>1291.026</v>
      </c>
      <c r="I633" s="114">
        <v>333</v>
      </c>
      <c r="J633" s="115">
        <v>0.0003125</v>
      </c>
      <c r="K633" s="114">
        <v>16.64</v>
      </c>
      <c r="L633" s="114">
        <v>19</v>
      </c>
      <c r="M633" s="114">
        <v>1178598</v>
      </c>
      <c r="N633" s="114">
        <v>6.02</v>
      </c>
      <c r="O633" s="114">
        <v>119743</v>
      </c>
      <c r="P633" s="114">
        <v>81675</v>
      </c>
      <c r="Q633" s="114">
        <v>38068</v>
      </c>
      <c r="R633" s="114">
        <v>36916</v>
      </c>
      <c r="S633" s="114">
        <v>1152</v>
      </c>
      <c r="T633" s="114">
        <v>621</v>
      </c>
      <c r="U633" s="114">
        <v>288</v>
      </c>
      <c r="V633" s="114">
        <v>1247</v>
      </c>
      <c r="W633" s="114">
        <v>132</v>
      </c>
      <c r="X633" s="114">
        <v>449</v>
      </c>
      <c r="Y633" s="114">
        <v>80</v>
      </c>
      <c r="Z633" s="114">
        <v>52769.635</v>
      </c>
      <c r="AA633" s="114">
        <v>0</v>
      </c>
      <c r="AB633" s="114">
        <v>0</v>
      </c>
      <c r="AC633" s="114">
        <v>672.618</v>
      </c>
      <c r="AD633" s="114">
        <v>51515.306</v>
      </c>
      <c r="AE633" s="114">
        <v>94079.558</v>
      </c>
      <c r="AF633" s="114">
        <v>14927</v>
      </c>
      <c r="AG633" s="114">
        <v>6302.643</v>
      </c>
      <c r="AH633" s="114">
        <v>13962</v>
      </c>
      <c r="AI633" s="114">
        <v>314.887</v>
      </c>
      <c r="AJ633" s="114">
        <v>0</v>
      </c>
      <c r="AK633" s="114">
        <v>0</v>
      </c>
      <c r="AL633" s="114">
        <v>0</v>
      </c>
      <c r="AM633" s="114">
        <v>0</v>
      </c>
      <c r="AN633" s="114">
        <v>1329</v>
      </c>
      <c r="AO633" s="114">
        <v>6.5947</v>
      </c>
      <c r="AP633" s="114">
        <v>31.9752</v>
      </c>
      <c r="AQ633" s="114">
        <v>3</v>
      </c>
      <c r="AR633" s="114">
        <v>1</v>
      </c>
      <c r="AS633" s="114">
        <v>5</v>
      </c>
      <c r="AT633" s="114">
        <v>6</v>
      </c>
      <c r="AU633" s="114">
        <v>1460</v>
      </c>
      <c r="AV633" s="114">
        <v>0</v>
      </c>
      <c r="AW633" s="114">
        <v>0</v>
      </c>
      <c r="AX633" s="114">
        <v>0</v>
      </c>
      <c r="AY633" s="114">
        <v>0</v>
      </c>
      <c r="AZ633" s="114">
        <v>3</v>
      </c>
      <c r="BA633" s="114">
        <v>284</v>
      </c>
      <c r="BB633" s="116"/>
      <c r="BC633" s="116"/>
      <c r="BD633" s="116"/>
      <c r="BE633" s="116"/>
      <c r="BF633" s="116"/>
      <c r="BG633" s="116"/>
      <c r="BH633" s="116"/>
      <c r="BI633" s="116"/>
      <c r="BJ633" s="117">
        <v>108209</v>
      </c>
      <c r="BK633" s="133">
        <v>333</v>
      </c>
      <c r="BL633" s="117">
        <v>3185</v>
      </c>
      <c r="BM633" s="118">
        <v>15810</v>
      </c>
      <c r="BN633" s="118">
        <v>0.93</v>
      </c>
      <c r="BO633" s="120">
        <v>0.601</v>
      </c>
      <c r="BP633" s="120">
        <v>0.399</v>
      </c>
      <c r="BQ633" s="134">
        <v>0</v>
      </c>
      <c r="BR633" s="120">
        <v>0.04</v>
      </c>
      <c r="BS633" s="120">
        <v>0.131</v>
      </c>
      <c r="BT633" s="120">
        <v>0.443</v>
      </c>
      <c r="BU633" s="120">
        <v>0.268</v>
      </c>
      <c r="BV633" s="120">
        <v>0.077</v>
      </c>
      <c r="BW633" s="120">
        <v>0.028</v>
      </c>
      <c r="BX633" s="120">
        <v>0.013</v>
      </c>
    </row>
    <row r="634" s="96" customFormat="1" customHeight="1" spans="1:76">
      <c r="A634" s="111">
        <v>633</v>
      </c>
      <c r="B634" s="112" t="s">
        <v>58</v>
      </c>
      <c r="C634" s="112" t="s">
        <v>144</v>
      </c>
      <c r="D634" s="111">
        <v>2025</v>
      </c>
      <c r="E634" s="113" t="s">
        <v>40</v>
      </c>
      <c r="F634" s="114">
        <v>267076</v>
      </c>
      <c r="G634" s="114">
        <v>138785</v>
      </c>
      <c r="H634" s="114">
        <v>1549.9068</v>
      </c>
      <c r="I634" s="114">
        <v>154</v>
      </c>
      <c r="J634" s="115">
        <v>0.000451388888888889</v>
      </c>
      <c r="K634" s="114">
        <v>11.36</v>
      </c>
      <c r="L634" s="114">
        <v>101</v>
      </c>
      <c r="M634" s="114">
        <v>1203741</v>
      </c>
      <c r="N634" s="114">
        <v>5.61</v>
      </c>
      <c r="O634" s="114">
        <v>102465</v>
      </c>
      <c r="P634" s="114">
        <v>73668</v>
      </c>
      <c r="Q634" s="114">
        <v>28797</v>
      </c>
      <c r="R634" s="114">
        <v>27892</v>
      </c>
      <c r="S634" s="114">
        <v>905</v>
      </c>
      <c r="T634" s="114">
        <v>491</v>
      </c>
      <c r="U634" s="114">
        <v>337</v>
      </c>
      <c r="V634" s="114">
        <v>762</v>
      </c>
      <c r="W634" s="114">
        <v>47</v>
      </c>
      <c r="X634" s="114">
        <v>455</v>
      </c>
      <c r="Y634" s="114">
        <v>45</v>
      </c>
      <c r="Z634" s="114">
        <v>90822.141</v>
      </c>
      <c r="AA634" s="114">
        <v>0</v>
      </c>
      <c r="AB634" s="114">
        <v>0</v>
      </c>
      <c r="AC634" s="114">
        <v>1078.666</v>
      </c>
      <c r="AD634" s="114">
        <v>88437.65</v>
      </c>
      <c r="AE634" s="114">
        <v>160885.797</v>
      </c>
      <c r="AF634" s="114">
        <v>21641</v>
      </c>
      <c r="AG634" s="114">
        <v>7434.305</v>
      </c>
      <c r="AH634" s="114">
        <v>18926</v>
      </c>
      <c r="AI634" s="114">
        <v>654.409</v>
      </c>
      <c r="AJ634" s="114">
        <v>0</v>
      </c>
      <c r="AK634" s="114">
        <v>0</v>
      </c>
      <c r="AL634" s="114">
        <v>0</v>
      </c>
      <c r="AM634" s="114">
        <v>0</v>
      </c>
      <c r="AN634" s="114">
        <v>1055</v>
      </c>
      <c r="AO634" s="114">
        <v>9.6201</v>
      </c>
      <c r="AP634" s="114">
        <v>176.8549</v>
      </c>
      <c r="AQ634" s="114">
        <v>26</v>
      </c>
      <c r="AR634" s="114">
        <v>4</v>
      </c>
      <c r="AS634" s="114">
        <v>66</v>
      </c>
      <c r="AT634" s="114">
        <v>4</v>
      </c>
      <c r="AU634" s="114">
        <v>2497</v>
      </c>
      <c r="AV634" s="114">
        <v>0</v>
      </c>
      <c r="AW634" s="114">
        <v>0</v>
      </c>
      <c r="AX634" s="114">
        <v>0</v>
      </c>
      <c r="AY634" s="114">
        <v>1</v>
      </c>
      <c r="AZ634" s="114">
        <v>2</v>
      </c>
      <c r="BA634" s="114">
        <v>406</v>
      </c>
      <c r="BB634" s="116"/>
      <c r="BC634" s="116"/>
      <c r="BD634" s="116"/>
      <c r="BE634" s="116"/>
      <c r="BF634" s="116"/>
      <c r="BG634" s="116"/>
      <c r="BH634" s="116"/>
      <c r="BI634" s="116"/>
      <c r="BJ634" s="117">
        <v>108356</v>
      </c>
      <c r="BK634" s="133">
        <v>154</v>
      </c>
      <c r="BL634" s="117">
        <v>22921</v>
      </c>
      <c r="BM634" s="118">
        <v>42160</v>
      </c>
      <c r="BN634" s="118">
        <v>2.48</v>
      </c>
      <c r="BO634" s="120">
        <v>0.622</v>
      </c>
      <c r="BP634" s="120">
        <v>0.378</v>
      </c>
      <c r="BQ634" s="134">
        <v>0</v>
      </c>
      <c r="BR634" s="120">
        <v>0.041</v>
      </c>
      <c r="BS634" s="120">
        <v>0.124</v>
      </c>
      <c r="BT634" s="120">
        <v>0.44</v>
      </c>
      <c r="BU634" s="120">
        <v>0.262</v>
      </c>
      <c r="BV634" s="120">
        <v>0.083</v>
      </c>
      <c r="BW634" s="120">
        <v>0.034</v>
      </c>
      <c r="BX634" s="120">
        <v>0.016</v>
      </c>
    </row>
    <row r="635" s="96" customFormat="1" customHeight="1" spans="1:76">
      <c r="A635" s="111">
        <v>634</v>
      </c>
      <c r="B635" s="112" t="s">
        <v>58</v>
      </c>
      <c r="C635" s="112" t="s">
        <v>144</v>
      </c>
      <c r="D635" s="111">
        <v>2025</v>
      </c>
      <c r="E635" s="113" t="s">
        <v>41</v>
      </c>
      <c r="F635" s="114">
        <v>320806</v>
      </c>
      <c r="G635" s="114">
        <v>169146</v>
      </c>
      <c r="H635" s="114">
        <v>1756.9094</v>
      </c>
      <c r="I635" s="114">
        <v>313</v>
      </c>
      <c r="J635" s="115">
        <v>0.000416666666666667</v>
      </c>
      <c r="K635" s="114">
        <v>6.71</v>
      </c>
      <c r="L635" s="114">
        <v>68</v>
      </c>
      <c r="M635" s="114">
        <v>1318578</v>
      </c>
      <c r="N635" s="114">
        <v>6.15</v>
      </c>
      <c r="O635" s="114">
        <v>122474</v>
      </c>
      <c r="P635" s="114">
        <v>87819</v>
      </c>
      <c r="Q635" s="114">
        <v>34655</v>
      </c>
      <c r="R635" s="114">
        <v>33574</v>
      </c>
      <c r="S635" s="114">
        <v>1081</v>
      </c>
      <c r="T635" s="114">
        <v>607</v>
      </c>
      <c r="U635" s="114">
        <v>294</v>
      </c>
      <c r="V635" s="114">
        <v>1215</v>
      </c>
      <c r="W635" s="114">
        <v>62</v>
      </c>
      <c r="X635" s="114">
        <v>543</v>
      </c>
      <c r="Y635" s="114">
        <v>68</v>
      </c>
      <c r="Z635" s="114">
        <v>100344.974</v>
      </c>
      <c r="AA635" s="114">
        <v>0</v>
      </c>
      <c r="AB635" s="114">
        <v>0</v>
      </c>
      <c r="AC635" s="114">
        <v>1313.427</v>
      </c>
      <c r="AD635" s="114">
        <v>97577.224</v>
      </c>
      <c r="AE635" s="114">
        <v>177413.267</v>
      </c>
      <c r="AF635" s="114">
        <v>26114</v>
      </c>
      <c r="AG635" s="114">
        <v>6793.799</v>
      </c>
      <c r="AH635" s="114">
        <v>23278</v>
      </c>
      <c r="AI635" s="114">
        <v>593.244</v>
      </c>
      <c r="AJ635" s="114">
        <v>0</v>
      </c>
      <c r="AK635" s="114">
        <v>0</v>
      </c>
      <c r="AL635" s="114">
        <v>0</v>
      </c>
      <c r="AM635" s="114">
        <v>0</v>
      </c>
      <c r="AN635" s="114">
        <v>1144</v>
      </c>
      <c r="AO635" s="114">
        <v>10.9512</v>
      </c>
      <c r="AP635" s="114">
        <v>106.1245</v>
      </c>
      <c r="AQ635" s="114">
        <v>35</v>
      </c>
      <c r="AR635" s="114">
        <v>4</v>
      </c>
      <c r="AS635" s="114">
        <v>51</v>
      </c>
      <c r="AT635" s="114">
        <v>5</v>
      </c>
      <c r="AU635" s="114">
        <v>2406</v>
      </c>
      <c r="AV635" s="114">
        <v>0</v>
      </c>
      <c r="AW635" s="114">
        <v>0</v>
      </c>
      <c r="AX635" s="114">
        <v>0</v>
      </c>
      <c r="AY635" s="114">
        <v>0</v>
      </c>
      <c r="AZ635" s="114">
        <v>4</v>
      </c>
      <c r="BA635" s="114">
        <v>436</v>
      </c>
      <c r="BB635" s="116"/>
      <c r="BC635" s="116"/>
      <c r="BD635" s="116"/>
      <c r="BE635" s="116"/>
      <c r="BF635" s="116"/>
      <c r="BG635" s="116"/>
      <c r="BH635" s="116"/>
      <c r="BI635" s="116"/>
      <c r="BJ635" s="117">
        <v>108669</v>
      </c>
      <c r="BK635" s="133">
        <v>313</v>
      </c>
      <c r="BL635" s="117">
        <v>16543</v>
      </c>
      <c r="BM635" s="118">
        <v>38760</v>
      </c>
      <c r="BN635" s="118">
        <v>2.28</v>
      </c>
      <c r="BO635" s="120">
        <v>0.611</v>
      </c>
      <c r="BP635" s="120">
        <v>0.389</v>
      </c>
      <c r="BQ635" s="120">
        <v>0</v>
      </c>
      <c r="BR635" s="120">
        <v>0.04</v>
      </c>
      <c r="BS635" s="120">
        <v>0.118</v>
      </c>
      <c r="BT635" s="120">
        <v>0.446</v>
      </c>
      <c r="BU635" s="120">
        <v>0.261</v>
      </c>
      <c r="BV635" s="120">
        <v>0.084</v>
      </c>
      <c r="BW635" s="120">
        <v>0.034</v>
      </c>
      <c r="BX635" s="120">
        <v>0.017</v>
      </c>
    </row>
    <row r="636" s="96" customFormat="1" customHeight="1" spans="1:76">
      <c r="A636" s="111">
        <v>635</v>
      </c>
      <c r="B636" s="112" t="s">
        <v>58</v>
      </c>
      <c r="C636" s="112" t="s">
        <v>144</v>
      </c>
      <c r="D636" s="111">
        <v>2025</v>
      </c>
      <c r="E636" s="113" t="s">
        <v>42</v>
      </c>
      <c r="F636" s="114">
        <v>356922</v>
      </c>
      <c r="G636" s="114">
        <v>192324</v>
      </c>
      <c r="H636" s="114">
        <v>2086.2869</v>
      </c>
      <c r="I636" s="114">
        <v>314</v>
      </c>
      <c r="J636" s="115">
        <v>0.000439814814814815</v>
      </c>
      <c r="K636" s="114">
        <v>29.92</v>
      </c>
      <c r="L636" s="114">
        <v>67</v>
      </c>
      <c r="M636" s="114">
        <v>1384373</v>
      </c>
      <c r="N636" s="114">
        <v>6.57</v>
      </c>
      <c r="O636" s="114">
        <v>143940</v>
      </c>
      <c r="P636" s="114">
        <v>103924</v>
      </c>
      <c r="Q636" s="114">
        <v>40056</v>
      </c>
      <c r="R636" s="114">
        <v>39001</v>
      </c>
      <c r="S636" s="114">
        <v>1055</v>
      </c>
      <c r="T636" s="114">
        <v>641</v>
      </c>
      <c r="U636" s="114">
        <v>327</v>
      </c>
      <c r="V636" s="114">
        <v>1265</v>
      </c>
      <c r="W636" s="114">
        <v>84</v>
      </c>
      <c r="X636" s="114">
        <v>463</v>
      </c>
      <c r="Y636" s="114">
        <v>84</v>
      </c>
      <c r="Z636" s="114">
        <v>110745.083</v>
      </c>
      <c r="AA636" s="114">
        <v>0</v>
      </c>
      <c r="AB636" s="114">
        <v>0</v>
      </c>
      <c r="AC636" s="114">
        <v>1134.536</v>
      </c>
      <c r="AD636" s="114">
        <v>108302.837</v>
      </c>
      <c r="AE636" s="114">
        <v>198731.379</v>
      </c>
      <c r="AF636" s="114">
        <v>31553</v>
      </c>
      <c r="AG636" s="114">
        <v>6298.335</v>
      </c>
      <c r="AH636" s="114">
        <v>28886</v>
      </c>
      <c r="AI636" s="114">
        <v>575.828</v>
      </c>
      <c r="AJ636" s="114">
        <v>0</v>
      </c>
      <c r="AK636" s="114">
        <v>10</v>
      </c>
      <c r="AL636" s="114">
        <v>0</v>
      </c>
      <c r="AM636" s="114">
        <v>0</v>
      </c>
      <c r="AN636" s="114">
        <v>1395</v>
      </c>
      <c r="AO636" s="114">
        <v>19.2305</v>
      </c>
      <c r="AP636" s="114">
        <v>7.7107</v>
      </c>
      <c r="AQ636" s="114">
        <v>44</v>
      </c>
      <c r="AR636" s="114">
        <v>0</v>
      </c>
      <c r="AS636" s="114">
        <v>1</v>
      </c>
      <c r="AT636" s="114">
        <v>9</v>
      </c>
      <c r="AU636" s="114">
        <v>1967</v>
      </c>
      <c r="AV636" s="114">
        <v>0</v>
      </c>
      <c r="AW636" s="114">
        <v>0</v>
      </c>
      <c r="AX636" s="114">
        <v>0</v>
      </c>
      <c r="AY636" s="114">
        <v>0</v>
      </c>
      <c r="AZ636" s="114">
        <v>4</v>
      </c>
      <c r="BA636" s="114">
        <v>302</v>
      </c>
      <c r="BB636" s="116"/>
      <c r="BC636" s="116"/>
      <c r="BD636" s="116"/>
      <c r="BE636" s="116"/>
      <c r="BF636" s="116"/>
      <c r="BG636" s="116"/>
      <c r="BH636" s="116"/>
      <c r="BI636" s="116"/>
      <c r="BJ636" s="117">
        <v>108983</v>
      </c>
      <c r="BK636" s="133">
        <v>314</v>
      </c>
      <c r="BL636" s="117">
        <v>11346</v>
      </c>
      <c r="BM636" s="118">
        <v>30600</v>
      </c>
      <c r="BN636" s="118">
        <v>1.8</v>
      </c>
      <c r="BO636" s="120">
        <v>0.616</v>
      </c>
      <c r="BP636" s="120">
        <v>0.384</v>
      </c>
      <c r="BQ636" s="134">
        <v>0</v>
      </c>
      <c r="BR636" s="120">
        <v>0.04</v>
      </c>
      <c r="BS636" s="120">
        <v>0.113</v>
      </c>
      <c r="BT636" s="120">
        <v>0.448</v>
      </c>
      <c r="BU636" s="120">
        <v>0.259</v>
      </c>
      <c r="BV636" s="120">
        <v>0.085</v>
      </c>
      <c r="BW636" s="120">
        <v>0.036</v>
      </c>
      <c r="BX636" s="120">
        <v>0.019</v>
      </c>
    </row>
    <row r="637" s="96" customFormat="1" customHeight="1" spans="1:76">
      <c r="A637" s="111">
        <v>636</v>
      </c>
      <c r="B637" s="112" t="s">
        <v>58</v>
      </c>
      <c r="C637" s="112" t="s">
        <v>144</v>
      </c>
      <c r="D637" s="111">
        <v>2025</v>
      </c>
      <c r="E637" s="113" t="s">
        <v>43</v>
      </c>
      <c r="F637" s="114">
        <v>475948</v>
      </c>
      <c r="G637" s="114">
        <v>277372</v>
      </c>
      <c r="H637" s="114">
        <v>6482.761</v>
      </c>
      <c r="I637" s="114">
        <v>643</v>
      </c>
      <c r="J637" s="115">
        <v>0.000960648148148148</v>
      </c>
      <c r="K637" s="114">
        <v>4.61</v>
      </c>
      <c r="L637" s="114">
        <v>77</v>
      </c>
      <c r="M637" s="114">
        <v>1944475</v>
      </c>
      <c r="N637" s="114">
        <v>7.73</v>
      </c>
      <c r="O637" s="114">
        <v>199397</v>
      </c>
      <c r="P637" s="114">
        <v>158513</v>
      </c>
      <c r="Q637" s="114">
        <v>40757</v>
      </c>
      <c r="R637" s="114">
        <v>39748</v>
      </c>
      <c r="S637" s="114">
        <v>1009</v>
      </c>
      <c r="T637" s="114">
        <v>1017</v>
      </c>
      <c r="U637" s="114">
        <v>374</v>
      </c>
      <c r="V637" s="114">
        <v>2113</v>
      </c>
      <c r="W637" s="114">
        <v>198</v>
      </c>
      <c r="X637" s="114">
        <v>670</v>
      </c>
      <c r="Y637" s="114">
        <v>543</v>
      </c>
      <c r="Z637" s="114">
        <v>242575.848</v>
      </c>
      <c r="AA637" s="114">
        <v>0</v>
      </c>
      <c r="AB637" s="114">
        <v>0</v>
      </c>
      <c r="AC637" s="114">
        <v>4806.127</v>
      </c>
      <c r="AD637" s="114">
        <v>236095.054</v>
      </c>
      <c r="AE637" s="114">
        <v>551610.354</v>
      </c>
      <c r="AF637" s="114">
        <v>79511</v>
      </c>
      <c r="AG637" s="114">
        <v>6937.535</v>
      </c>
      <c r="AH637" s="114">
        <v>68268</v>
      </c>
      <c r="AI637" s="114">
        <v>874.551</v>
      </c>
      <c r="AJ637" s="114">
        <v>0</v>
      </c>
      <c r="AK637" s="114">
        <v>6</v>
      </c>
      <c r="AL637" s="114">
        <v>0</v>
      </c>
      <c r="AM637" s="114">
        <v>0</v>
      </c>
      <c r="AN637" s="114">
        <v>2091</v>
      </c>
      <c r="AO637" s="114">
        <v>63.6647</v>
      </c>
      <c r="AP637" s="114">
        <v>24.6964</v>
      </c>
      <c r="AQ637" s="114">
        <v>57</v>
      </c>
      <c r="AR637" s="114">
        <v>55</v>
      </c>
      <c r="AS637" s="114">
        <v>4139</v>
      </c>
      <c r="AT637" s="114">
        <v>11</v>
      </c>
      <c r="AU637" s="114">
        <v>6361</v>
      </c>
      <c r="AV637" s="114">
        <v>0</v>
      </c>
      <c r="AW637" s="114">
        <v>0</v>
      </c>
      <c r="AX637" s="114">
        <v>0</v>
      </c>
      <c r="AY637" s="114">
        <v>0</v>
      </c>
      <c r="AZ637" s="114">
        <v>2</v>
      </c>
      <c r="BA637" s="114">
        <v>510</v>
      </c>
      <c r="BB637" s="116"/>
      <c r="BC637" s="116"/>
      <c r="BD637" s="116"/>
      <c r="BE637" s="116"/>
      <c r="BF637" s="116"/>
      <c r="BG637" s="116"/>
      <c r="BH637" s="116"/>
      <c r="BI637" s="116"/>
      <c r="BJ637" s="117">
        <v>109626</v>
      </c>
      <c r="BK637" s="133">
        <v>643</v>
      </c>
      <c r="BL637" s="117">
        <v>77802</v>
      </c>
      <c r="BM637" s="118">
        <v>160310</v>
      </c>
      <c r="BN637" s="118">
        <v>9.43</v>
      </c>
      <c r="BO637" s="120">
        <v>0.637</v>
      </c>
      <c r="BP637" s="120">
        <v>0.363</v>
      </c>
      <c r="BQ637" s="134">
        <v>0</v>
      </c>
      <c r="BR637" s="120">
        <v>0.038</v>
      </c>
      <c r="BS637" s="120">
        <v>0.103</v>
      </c>
      <c r="BT637" s="120">
        <v>0.427</v>
      </c>
      <c r="BU637" s="120">
        <v>0.258</v>
      </c>
      <c r="BV637" s="120">
        <v>0.102</v>
      </c>
      <c r="BW637" s="120">
        <v>0.049</v>
      </c>
      <c r="BX637" s="120">
        <v>0.024</v>
      </c>
    </row>
    <row r="638" s="96" customFormat="1" customHeight="1" spans="1:76">
      <c r="A638" s="111">
        <v>637</v>
      </c>
      <c r="B638" s="112" t="s">
        <v>58</v>
      </c>
      <c r="C638" s="112" t="s">
        <v>144</v>
      </c>
      <c r="D638" s="111">
        <v>2026</v>
      </c>
      <c r="E638" s="112" t="s">
        <v>31</v>
      </c>
      <c r="F638" s="121">
        <v>455070</v>
      </c>
      <c r="G638" s="114">
        <v>245301</v>
      </c>
      <c r="H638" s="114">
        <v>3018.4444</v>
      </c>
      <c r="I638" s="114">
        <v>455</v>
      </c>
      <c r="J638" s="115">
        <v>0.000497685185185185</v>
      </c>
      <c r="K638" s="114">
        <v>19.3</v>
      </c>
      <c r="L638" s="114">
        <v>133</v>
      </c>
      <c r="M638" s="114">
        <v>1763794</v>
      </c>
      <c r="N638" s="114">
        <v>6.15</v>
      </c>
      <c r="O638" s="114">
        <v>173862</v>
      </c>
      <c r="P638" s="114">
        <v>133886</v>
      </c>
      <c r="Q638" s="114">
        <v>39941</v>
      </c>
      <c r="R638" s="114">
        <v>39017</v>
      </c>
      <c r="S638" s="114">
        <v>924</v>
      </c>
      <c r="T638" s="114">
        <v>794</v>
      </c>
      <c r="U638" s="114">
        <v>339</v>
      </c>
      <c r="V638" s="114">
        <v>1723</v>
      </c>
      <c r="W638" s="114">
        <v>109</v>
      </c>
      <c r="X638" s="114">
        <v>599</v>
      </c>
      <c r="Y638" s="114">
        <v>88</v>
      </c>
      <c r="Z638" s="121">
        <v>217737</v>
      </c>
      <c r="AA638" s="114">
        <v>0</v>
      </c>
      <c r="AB638" s="114">
        <v>0</v>
      </c>
      <c r="AC638" s="114">
        <v>3414.85</v>
      </c>
      <c r="AD638" s="114">
        <v>197111.074</v>
      </c>
      <c r="AE638" s="114">
        <v>359554.57</v>
      </c>
      <c r="AF638" s="114">
        <v>46485</v>
      </c>
      <c r="AG638" s="114">
        <v>7734.851</v>
      </c>
      <c r="AH638" s="114">
        <v>40729</v>
      </c>
      <c r="AI638" s="114">
        <v>836.066</v>
      </c>
      <c r="AJ638" s="114">
        <v>0</v>
      </c>
      <c r="AK638" s="114">
        <v>1</v>
      </c>
      <c r="AL638" s="114">
        <v>0</v>
      </c>
      <c r="AM638" s="114">
        <v>0</v>
      </c>
      <c r="AN638" s="114">
        <v>2408</v>
      </c>
      <c r="AO638" s="114">
        <v>34.7501</v>
      </c>
      <c r="AP638" s="114">
        <v>19.9132</v>
      </c>
      <c r="AQ638" s="114">
        <v>59</v>
      </c>
      <c r="AR638" s="114">
        <v>12</v>
      </c>
      <c r="AS638" s="114">
        <v>141</v>
      </c>
      <c r="AT638" s="114">
        <v>13</v>
      </c>
      <c r="AU638" s="114">
        <v>2697</v>
      </c>
      <c r="AV638" s="114">
        <v>0</v>
      </c>
      <c r="AW638" s="114">
        <v>0</v>
      </c>
      <c r="AX638" s="114">
        <v>0</v>
      </c>
      <c r="AY638" s="114">
        <v>0</v>
      </c>
      <c r="AZ638" s="114">
        <v>3</v>
      </c>
      <c r="BA638" s="114">
        <v>409</v>
      </c>
      <c r="BB638" s="116"/>
      <c r="BC638" s="116"/>
      <c r="BD638" s="116"/>
      <c r="BE638" s="116"/>
      <c r="BF638" s="116"/>
      <c r="BG638" s="116"/>
      <c r="BH638" s="116"/>
      <c r="BI638" s="116"/>
      <c r="BJ638" s="117">
        <v>110080</v>
      </c>
      <c r="BK638" s="133">
        <v>454</v>
      </c>
      <c r="BL638" s="117">
        <v>55612</v>
      </c>
      <c r="BM638" s="118">
        <v>82499</v>
      </c>
      <c r="BN638" s="118"/>
      <c r="BO638" s="120">
        <v>0.596</v>
      </c>
      <c r="BP638" s="120">
        <v>0.404</v>
      </c>
      <c r="BQ638" s="134">
        <v>0</v>
      </c>
      <c r="BR638" s="120">
        <v>0.037</v>
      </c>
      <c r="BS638" s="120">
        <v>0.105</v>
      </c>
      <c r="BT638" s="120">
        <v>0.444</v>
      </c>
      <c r="BU638" s="120">
        <v>0.26</v>
      </c>
      <c r="BV638" s="120">
        <v>0.094</v>
      </c>
      <c r="BW638" s="120">
        <v>0.041</v>
      </c>
      <c r="BX638" s="120">
        <v>0.02</v>
      </c>
    </row>
    <row r="639" s="96" customFormat="1" customHeight="1" spans="1:76">
      <c r="A639" s="111">
        <v>638</v>
      </c>
      <c r="B639" s="112" t="s">
        <v>58</v>
      </c>
      <c r="C639" s="112" t="s">
        <v>144</v>
      </c>
      <c r="D639" s="111">
        <v>2026</v>
      </c>
      <c r="E639" s="112" t="s">
        <v>33</v>
      </c>
      <c r="F639" s="114">
        <v>543322</v>
      </c>
      <c r="G639" s="114">
        <v>329825</v>
      </c>
      <c r="H639" s="114">
        <v>9568.4854</v>
      </c>
      <c r="I639" s="114">
        <v>846</v>
      </c>
      <c r="J639" s="115">
        <v>0.0012037037037037</v>
      </c>
      <c r="K639" s="114">
        <v>8.81</v>
      </c>
      <c r="L639" s="114">
        <v>139</v>
      </c>
      <c r="M639" s="114">
        <v>2564962</v>
      </c>
      <c r="N639" s="114">
        <v>6.41</v>
      </c>
      <c r="O639" s="114">
        <v>233510</v>
      </c>
      <c r="P639" s="114">
        <v>188085</v>
      </c>
      <c r="Q639" s="114">
        <v>46102</v>
      </c>
      <c r="R639" s="114">
        <v>45204</v>
      </c>
      <c r="S639" s="114">
        <v>898</v>
      </c>
      <c r="T639" s="114">
        <v>1216</v>
      </c>
      <c r="U639" s="114">
        <v>370</v>
      </c>
      <c r="V639" s="114">
        <v>2466</v>
      </c>
      <c r="W639" s="114">
        <v>154</v>
      </c>
      <c r="X639" s="114">
        <v>701</v>
      </c>
      <c r="Y639" s="114">
        <v>150</v>
      </c>
      <c r="Z639" s="114">
        <v>601704.941</v>
      </c>
      <c r="AA639" s="114">
        <v>0</v>
      </c>
      <c r="AB639" s="114">
        <v>0</v>
      </c>
      <c r="AC639" s="114">
        <v>23246.032</v>
      </c>
      <c r="AD639" s="114">
        <v>574712.122</v>
      </c>
      <c r="AE639" s="114">
        <v>1044831.772</v>
      </c>
      <c r="AF639" s="114">
        <v>122180</v>
      </c>
      <c r="AG639" s="114">
        <v>8551.578</v>
      </c>
      <c r="AH639" s="114">
        <v>95537</v>
      </c>
      <c r="AI639" s="114">
        <v>1824</v>
      </c>
      <c r="AJ639" s="114">
        <v>0</v>
      </c>
      <c r="AK639" s="114">
        <v>0</v>
      </c>
      <c r="AL639" s="114">
        <v>0</v>
      </c>
      <c r="AM639" s="114">
        <v>0</v>
      </c>
      <c r="AN639" s="114">
        <v>3342</v>
      </c>
      <c r="AO639" s="114">
        <v>180.7334</v>
      </c>
      <c r="AP639" s="114">
        <v>39.5446</v>
      </c>
      <c r="AQ639" s="114">
        <v>215</v>
      </c>
      <c r="AR639" s="114">
        <v>195</v>
      </c>
      <c r="AS639" s="114">
        <v>275</v>
      </c>
      <c r="AT639" s="114">
        <v>26</v>
      </c>
      <c r="AU639" s="114">
        <v>8061</v>
      </c>
      <c r="AV639" s="114">
        <v>0</v>
      </c>
      <c r="AW639" s="114">
        <v>0</v>
      </c>
      <c r="AX639" s="114">
        <v>0</v>
      </c>
      <c r="AY639" s="114">
        <v>0</v>
      </c>
      <c r="AZ639" s="114">
        <v>6</v>
      </c>
      <c r="BA639" s="114">
        <v>878</v>
      </c>
      <c r="BB639" s="116"/>
      <c r="BC639" s="116"/>
      <c r="BD639" s="116"/>
      <c r="BE639" s="116"/>
      <c r="BF639" s="116"/>
      <c r="BG639" s="116"/>
      <c r="BH639" s="116"/>
      <c r="BI639" s="116"/>
      <c r="BJ639" s="117">
        <v>110927</v>
      </c>
      <c r="BK639" s="133">
        <v>846</v>
      </c>
      <c r="BL639" s="117">
        <v>108299</v>
      </c>
      <c r="BM639" s="118">
        <v>404576</v>
      </c>
      <c r="BN639" s="118"/>
      <c r="BO639" s="120">
        <v>0.617</v>
      </c>
      <c r="BP639" s="120">
        <v>0.383</v>
      </c>
      <c r="BQ639" s="120">
        <v>0</v>
      </c>
      <c r="BR639" s="120">
        <v>0.033</v>
      </c>
      <c r="BS639" s="120">
        <v>0.101</v>
      </c>
      <c r="BT639" s="120">
        <v>0.426</v>
      </c>
      <c r="BU639" s="120">
        <v>0.257</v>
      </c>
      <c r="BV639" s="120">
        <v>0.104</v>
      </c>
      <c r="BW639" s="120">
        <v>0.054</v>
      </c>
      <c r="BX639" s="120">
        <v>0.026</v>
      </c>
    </row>
    <row r="640" s="96" customFormat="1" customHeight="1" spans="1:76">
      <c r="A640" s="111">
        <v>639</v>
      </c>
      <c r="B640" s="112" t="s">
        <v>58</v>
      </c>
      <c r="C640" s="112" t="s">
        <v>144</v>
      </c>
      <c r="D640" s="111">
        <v>2026</v>
      </c>
      <c r="E640" s="113" t="s">
        <v>34</v>
      </c>
      <c r="F640" s="114">
        <v>589869</v>
      </c>
      <c r="G640" s="114">
        <v>312796</v>
      </c>
      <c r="H640" s="114">
        <v>4154.5754</v>
      </c>
      <c r="I640" s="114">
        <v>620</v>
      </c>
      <c r="J640" s="115">
        <v>0.000543981481481481</v>
      </c>
      <c r="K640" s="114">
        <v>5.3</v>
      </c>
      <c r="L640" s="114">
        <v>110</v>
      </c>
      <c r="M640" s="114">
        <v>1925369</v>
      </c>
      <c r="N640" s="114">
        <v>6.47</v>
      </c>
      <c r="O640" s="114">
        <v>221379</v>
      </c>
      <c r="P640" s="114">
        <v>157700</v>
      </c>
      <c r="Q640" s="114">
        <v>51943</v>
      </c>
      <c r="R640" s="114">
        <v>51074</v>
      </c>
      <c r="S640" s="114">
        <v>869</v>
      </c>
      <c r="T640" s="114">
        <v>1041</v>
      </c>
      <c r="U640" s="114">
        <v>421</v>
      </c>
      <c r="V640" s="114">
        <v>2110</v>
      </c>
      <c r="W640" s="114">
        <v>148</v>
      </c>
      <c r="X640" s="114">
        <v>570</v>
      </c>
      <c r="Y640" s="114">
        <v>99</v>
      </c>
      <c r="Z640" s="114">
        <v>335915.278</v>
      </c>
      <c r="AA640" s="114">
        <v>0</v>
      </c>
      <c r="AB640" s="114">
        <v>0</v>
      </c>
      <c r="AC640" s="114">
        <v>7407.763</v>
      </c>
      <c r="AD640" s="114">
        <v>326774.037</v>
      </c>
      <c r="AE640" s="114">
        <v>593935.126</v>
      </c>
      <c r="AF640" s="114">
        <v>66546</v>
      </c>
      <c r="AG640" s="114">
        <v>8925.181</v>
      </c>
      <c r="AH640" s="114">
        <v>54294</v>
      </c>
      <c r="AI640" s="114">
        <v>1062.49</v>
      </c>
      <c r="AJ640" s="114">
        <v>0</v>
      </c>
      <c r="AK640" s="114">
        <v>1</v>
      </c>
      <c r="AL640" s="114">
        <v>0</v>
      </c>
      <c r="AM640" s="114">
        <v>0</v>
      </c>
      <c r="AN640" s="114">
        <v>2524</v>
      </c>
      <c r="AO640" s="114">
        <v>65.141</v>
      </c>
      <c r="AP640" s="114">
        <v>42.5833</v>
      </c>
      <c r="AQ640" s="114">
        <v>206</v>
      </c>
      <c r="AR640" s="114">
        <v>514</v>
      </c>
      <c r="AS640" s="114">
        <v>520</v>
      </c>
      <c r="AT640" s="114">
        <v>35</v>
      </c>
      <c r="AU640" s="114">
        <v>7446</v>
      </c>
      <c r="AV640" s="114">
        <v>0</v>
      </c>
      <c r="AW640" s="114">
        <v>0</v>
      </c>
      <c r="AX640" s="114">
        <v>0</v>
      </c>
      <c r="AY640" s="114">
        <v>0</v>
      </c>
      <c r="AZ640" s="114">
        <v>5</v>
      </c>
      <c r="BA640" s="114">
        <v>625</v>
      </c>
      <c r="BB640" s="116"/>
      <c r="BC640" s="116"/>
      <c r="BD640" s="116"/>
      <c r="BE640" s="116"/>
      <c r="BF640" s="116"/>
      <c r="BG640" s="116"/>
      <c r="BH640" s="116"/>
      <c r="BI640" s="116"/>
      <c r="BJ640" s="117">
        <v>111547</v>
      </c>
      <c r="BK640" s="133">
        <v>620</v>
      </c>
      <c r="BL640" s="117">
        <v>28264</v>
      </c>
      <c r="BM640" s="118">
        <v>82351</v>
      </c>
      <c r="BN640" s="118"/>
      <c r="BO640" s="120">
        <v>0.599</v>
      </c>
      <c r="BP640" s="120">
        <v>0.401</v>
      </c>
      <c r="BQ640" s="120">
        <v>0</v>
      </c>
      <c r="BR640" s="120">
        <v>0.037</v>
      </c>
      <c r="BS640" s="120">
        <v>0.103</v>
      </c>
      <c r="BT640" s="120">
        <v>0.456</v>
      </c>
      <c r="BU640" s="120">
        <v>0.269</v>
      </c>
      <c r="BV640" s="120">
        <v>0.086</v>
      </c>
      <c r="BW640" s="120">
        <v>0.032</v>
      </c>
      <c r="BX640" s="120">
        <v>0.017</v>
      </c>
    </row>
    <row r="641" s="96" customFormat="1" customHeight="1" spans="1:76">
      <c r="A641" s="111">
        <v>640</v>
      </c>
      <c r="B641" s="112" t="s">
        <v>58</v>
      </c>
      <c r="C641" s="112" t="s">
        <v>144</v>
      </c>
      <c r="D641" s="111">
        <v>2026</v>
      </c>
      <c r="E641" s="113" t="s">
        <v>35</v>
      </c>
      <c r="F641" s="114">
        <v>576530</v>
      </c>
      <c r="G641" s="114">
        <v>304704</v>
      </c>
      <c r="H641" s="114">
        <v>3160.0534</v>
      </c>
      <c r="I641" s="114">
        <v>446</v>
      </c>
      <c r="J641" s="115">
        <v>0.000416666666666667</v>
      </c>
      <c r="K641" s="114">
        <v>29.62</v>
      </c>
      <c r="L641" s="114">
        <v>18</v>
      </c>
      <c r="M641" s="114">
        <v>1914008</v>
      </c>
      <c r="N641" s="114">
        <v>6.19</v>
      </c>
      <c r="O641" s="114">
        <v>216477</v>
      </c>
      <c r="P641" s="114">
        <v>155869</v>
      </c>
      <c r="Q641" s="114">
        <v>44660</v>
      </c>
      <c r="R641" s="114">
        <v>43887</v>
      </c>
      <c r="S641" s="114">
        <v>773</v>
      </c>
      <c r="T641" s="114">
        <v>892</v>
      </c>
      <c r="U641" s="114">
        <v>446</v>
      </c>
      <c r="V641" s="114">
        <v>1670</v>
      </c>
      <c r="W641" s="114">
        <v>175</v>
      </c>
      <c r="X641" s="114">
        <v>454</v>
      </c>
      <c r="Y641" s="114">
        <v>97</v>
      </c>
      <c r="Z641" s="114">
        <v>235144.113</v>
      </c>
      <c r="AA641" s="114">
        <v>0</v>
      </c>
      <c r="AB641" s="114">
        <v>0</v>
      </c>
      <c r="AC641" s="114">
        <v>2251.298</v>
      </c>
      <c r="AD641" s="114">
        <v>229000.42</v>
      </c>
      <c r="AE641" s="114">
        <v>412171.633</v>
      </c>
      <c r="AF641" s="114">
        <v>60025</v>
      </c>
      <c r="AG641" s="114">
        <v>6866.666</v>
      </c>
      <c r="AH641" s="114">
        <v>54316</v>
      </c>
      <c r="AI641" s="114">
        <v>772.016</v>
      </c>
      <c r="AJ641" s="114">
        <v>0</v>
      </c>
      <c r="AK641" s="114">
        <v>0</v>
      </c>
      <c r="AL641" s="114">
        <v>0</v>
      </c>
      <c r="AM641" s="114">
        <v>0</v>
      </c>
      <c r="AN641" s="114">
        <v>2369</v>
      </c>
      <c r="AO641" s="114">
        <v>22.9418</v>
      </c>
      <c r="AP641" s="114">
        <v>12.3362</v>
      </c>
      <c r="AQ641" s="114">
        <v>51</v>
      </c>
      <c r="AR641" s="114">
        <v>4</v>
      </c>
      <c r="AS641" s="114">
        <v>9</v>
      </c>
      <c r="AT641" s="114">
        <v>24</v>
      </c>
      <c r="AU641" s="114">
        <v>6200</v>
      </c>
      <c r="AV641" s="114">
        <v>0</v>
      </c>
      <c r="AW641" s="114">
        <v>0</v>
      </c>
      <c r="AX641" s="114">
        <v>0</v>
      </c>
      <c r="AY641" s="114">
        <v>0</v>
      </c>
      <c r="AZ641" s="114">
        <v>3</v>
      </c>
      <c r="BA641" s="114">
        <v>544</v>
      </c>
      <c r="BB641" s="116"/>
      <c r="BC641" s="116"/>
      <c r="BD641" s="116"/>
      <c r="BE641" s="116"/>
      <c r="BF641" s="116"/>
      <c r="BG641" s="116"/>
      <c r="BH641" s="116"/>
      <c r="BI641" s="116"/>
      <c r="BJ641" s="117">
        <v>111993</v>
      </c>
      <c r="BK641" s="133">
        <v>446</v>
      </c>
      <c r="BL641" s="117">
        <v>35492</v>
      </c>
      <c r="BM641" s="118">
        <v>38340</v>
      </c>
      <c r="BN641" s="118"/>
      <c r="BO641" s="120">
        <v>0.611</v>
      </c>
      <c r="BP641" s="120">
        <v>0.389</v>
      </c>
      <c r="BQ641" s="134">
        <v>0</v>
      </c>
      <c r="BR641" s="120">
        <v>0.036</v>
      </c>
      <c r="BS641" s="120">
        <v>0.104</v>
      </c>
      <c r="BT641" s="120">
        <v>0.457</v>
      </c>
      <c r="BU641" s="120">
        <v>0.257</v>
      </c>
      <c r="BV641" s="120">
        <v>0.085</v>
      </c>
      <c r="BW641" s="120">
        <v>0.039</v>
      </c>
      <c r="BX641" s="120">
        <v>0.023</v>
      </c>
    </row>
    <row r="642" s="96" customFormat="1" customHeight="1" spans="1:76">
      <c r="A642" s="111">
        <v>641</v>
      </c>
      <c r="B642" s="112" t="s">
        <v>58</v>
      </c>
      <c r="C642" s="112" t="s">
        <v>144</v>
      </c>
      <c r="D642" s="111">
        <v>2026</v>
      </c>
      <c r="E642" s="113" t="s">
        <v>36</v>
      </c>
      <c r="F642" s="114">
        <v>598833</v>
      </c>
      <c r="G642" s="114">
        <v>297265</v>
      </c>
      <c r="H642" s="114">
        <v>2981.0552</v>
      </c>
      <c r="I642" s="114">
        <v>549</v>
      </c>
      <c r="J642" s="115">
        <v>0.000405092592592593</v>
      </c>
      <c r="K642" s="114">
        <v>26.56</v>
      </c>
      <c r="L642" s="114">
        <v>63</v>
      </c>
      <c r="M642" s="114">
        <v>1575269</v>
      </c>
      <c r="N642" s="114">
        <v>5.8</v>
      </c>
      <c r="O642" s="114">
        <v>203443</v>
      </c>
      <c r="P642" s="114">
        <v>149243</v>
      </c>
      <c r="Q642" s="114">
        <v>45178</v>
      </c>
      <c r="R642" s="114">
        <v>44416</v>
      </c>
      <c r="S642" s="114">
        <v>762</v>
      </c>
      <c r="T642" s="114">
        <v>924</v>
      </c>
      <c r="U642" s="114">
        <v>375</v>
      </c>
      <c r="V642" s="114">
        <v>2123</v>
      </c>
      <c r="W642" s="114">
        <v>189</v>
      </c>
      <c r="X642" s="114">
        <v>387</v>
      </c>
      <c r="Y642" s="114">
        <v>77</v>
      </c>
      <c r="Z642" s="114">
        <v>239039.006</v>
      </c>
      <c r="AA642" s="114">
        <v>0</v>
      </c>
      <c r="AB642" s="114">
        <v>0</v>
      </c>
      <c r="AC642" s="114">
        <v>4165.215</v>
      </c>
      <c r="AD642" s="114">
        <v>231526.781</v>
      </c>
      <c r="AE642" s="114">
        <v>404848.443</v>
      </c>
      <c r="AF642" s="114">
        <v>37928</v>
      </c>
      <c r="AG642" s="114">
        <v>10674.131</v>
      </c>
      <c r="AH642" s="114">
        <v>31439</v>
      </c>
      <c r="AI642" s="114">
        <v>823.704</v>
      </c>
      <c r="AJ642" s="114">
        <v>0</v>
      </c>
      <c r="AK642" s="114">
        <v>0</v>
      </c>
      <c r="AL642" s="114">
        <v>0</v>
      </c>
      <c r="AM642" s="114">
        <v>0</v>
      </c>
      <c r="AN642" s="114">
        <v>2423</v>
      </c>
      <c r="AO642" s="114">
        <v>34.9476</v>
      </c>
      <c r="AP642" s="114">
        <v>9.5942</v>
      </c>
      <c r="AQ642" s="114">
        <v>122</v>
      </c>
      <c r="AR642" s="114">
        <v>0</v>
      </c>
      <c r="AS642" s="114">
        <v>65</v>
      </c>
      <c r="AT642" s="114">
        <v>21</v>
      </c>
      <c r="AU642" s="114">
        <v>5002</v>
      </c>
      <c r="AV642" s="114">
        <v>0</v>
      </c>
      <c r="AW642" s="114">
        <v>0</v>
      </c>
      <c r="AX642" s="114">
        <v>0</v>
      </c>
      <c r="AY642" s="114">
        <v>0</v>
      </c>
      <c r="AZ642" s="114">
        <v>16</v>
      </c>
      <c r="BA642" s="114">
        <v>2310</v>
      </c>
      <c r="BB642" s="116"/>
      <c r="BC642" s="116"/>
      <c r="BD642" s="116"/>
      <c r="BE642" s="116"/>
      <c r="BF642" s="116"/>
      <c r="BG642" s="116"/>
      <c r="BH642" s="116"/>
      <c r="BI642" s="116"/>
      <c r="BJ642" s="117">
        <v>112542</v>
      </c>
      <c r="BK642" s="133">
        <v>549</v>
      </c>
      <c r="BL642" s="117">
        <v>38146</v>
      </c>
      <c r="BM642" s="118">
        <v>134532</v>
      </c>
      <c r="BN642" s="118"/>
      <c r="BO642" s="120">
        <v>0.594</v>
      </c>
      <c r="BP642" s="120">
        <v>0.406</v>
      </c>
      <c r="BQ642" s="120">
        <v>0</v>
      </c>
      <c r="BR642" s="120">
        <v>0.037</v>
      </c>
      <c r="BS642" s="120">
        <v>0.104</v>
      </c>
      <c r="BT642" s="120">
        <v>0.464</v>
      </c>
      <c r="BU642" s="120">
        <v>0.263</v>
      </c>
      <c r="BV642" s="120">
        <v>0.083</v>
      </c>
      <c r="BW642" s="120">
        <v>0.032</v>
      </c>
      <c r="BX642" s="120">
        <v>0.017</v>
      </c>
    </row>
    <row r="643" s="96" customFormat="1" customHeight="1" spans="1:76">
      <c r="A643" s="111">
        <v>642</v>
      </c>
      <c r="B643" s="96" t="s">
        <v>58</v>
      </c>
      <c r="C643" s="96" t="s">
        <v>145</v>
      </c>
      <c r="D643" s="122">
        <v>2026</v>
      </c>
      <c r="E643" s="96" t="s">
        <v>37</v>
      </c>
      <c r="F643" s="123">
        <v>192175</v>
      </c>
      <c r="G643" s="123">
        <v>102316</v>
      </c>
      <c r="H643" s="123">
        <v>1273</v>
      </c>
      <c r="I643" s="125">
        <v>143</v>
      </c>
      <c r="J643" s="124">
        <v>0.000509259259259259</v>
      </c>
      <c r="K643" s="125">
        <v>9</v>
      </c>
      <c r="L643" s="125">
        <v>32</v>
      </c>
      <c r="M643" s="123">
        <v>697383</v>
      </c>
      <c r="N643" s="125">
        <v>6</v>
      </c>
      <c r="O643" s="123">
        <v>73320</v>
      </c>
      <c r="P643" s="123">
        <v>51075</v>
      </c>
      <c r="Q643" s="123">
        <v>16578</v>
      </c>
      <c r="R643" s="123">
        <v>16220</v>
      </c>
      <c r="S643" s="125">
        <v>358</v>
      </c>
      <c r="T643" s="125">
        <v>423</v>
      </c>
      <c r="U643" s="125">
        <v>280</v>
      </c>
      <c r="V643" s="125">
        <v>356</v>
      </c>
      <c r="W643" s="125">
        <v>-22</v>
      </c>
      <c r="X643" s="125">
        <v>392</v>
      </c>
      <c r="Y643" s="125">
        <v>56</v>
      </c>
      <c r="Z643" s="123">
        <v>123930</v>
      </c>
      <c r="AA643" s="125">
        <v>0</v>
      </c>
      <c r="AB643" s="125">
        <v>0</v>
      </c>
      <c r="AC643" s="123">
        <v>1490</v>
      </c>
      <c r="AD643" s="123">
        <v>120953</v>
      </c>
      <c r="AE643" s="123">
        <v>209577</v>
      </c>
      <c r="AF643" s="123">
        <v>15309</v>
      </c>
      <c r="AG643" s="123">
        <v>13690</v>
      </c>
      <c r="AH643" s="123">
        <v>12528</v>
      </c>
      <c r="AI643" s="123">
        <v>1278</v>
      </c>
      <c r="AJ643" s="125">
        <v>0</v>
      </c>
      <c r="AK643" s="125">
        <v>0</v>
      </c>
      <c r="AL643" s="125">
        <v>0</v>
      </c>
      <c r="AM643" s="125">
        <v>0</v>
      </c>
      <c r="AN643" s="123">
        <v>1020</v>
      </c>
      <c r="AO643" s="125">
        <v>17</v>
      </c>
      <c r="AP643" s="125">
        <v>27</v>
      </c>
      <c r="AQ643" s="125">
        <v>48</v>
      </c>
      <c r="AR643" s="125">
        <v>49</v>
      </c>
      <c r="AS643" s="125">
        <v>3</v>
      </c>
      <c r="AT643" s="125">
        <v>5</v>
      </c>
      <c r="AU643" s="123">
        <v>1600</v>
      </c>
      <c r="AV643" s="125">
        <v>0</v>
      </c>
      <c r="AW643" s="125">
        <v>0</v>
      </c>
      <c r="AX643" s="125">
        <v>0</v>
      </c>
      <c r="AY643" s="125">
        <v>0</v>
      </c>
      <c r="AZ643" s="125">
        <v>2</v>
      </c>
      <c r="BA643" s="125">
        <v>413</v>
      </c>
      <c r="BB643" s="125"/>
      <c r="BC643" s="125"/>
      <c r="BD643" s="125"/>
      <c r="BE643" s="125"/>
      <c r="BF643" s="125"/>
      <c r="BG643" s="125"/>
      <c r="BH643" s="125"/>
      <c r="BI643" s="125"/>
      <c r="BJ643" s="117">
        <v>112685</v>
      </c>
      <c r="BK643" s="133">
        <v>143</v>
      </c>
      <c r="BL643" s="117">
        <v>7959</v>
      </c>
      <c r="BM643" s="118">
        <v>46477</v>
      </c>
      <c r="BN643" s="118"/>
      <c r="BO643" s="120">
        <v>0.593</v>
      </c>
      <c r="BP643" s="120">
        <v>0.407</v>
      </c>
      <c r="BQ643" s="120">
        <v>0</v>
      </c>
      <c r="BR643" s="120">
        <v>0.034</v>
      </c>
      <c r="BS643" s="120">
        <v>0.102</v>
      </c>
      <c r="BT643" s="120">
        <v>0.468</v>
      </c>
      <c r="BU643" s="120">
        <v>0.276</v>
      </c>
      <c r="BV643" s="120">
        <v>0.085</v>
      </c>
      <c r="BW643" s="120">
        <v>0.027</v>
      </c>
      <c r="BX643" s="120">
        <v>0.008</v>
      </c>
    </row>
    <row r="644" s="96" customFormat="1" customHeight="1" spans="1:76">
      <c r="A644" s="111">
        <v>643</v>
      </c>
      <c r="B644" s="96" t="s">
        <v>58</v>
      </c>
      <c r="C644" s="96" t="s">
        <v>145</v>
      </c>
      <c r="D644" s="122">
        <v>2026</v>
      </c>
      <c r="E644" s="96" t="s">
        <v>38</v>
      </c>
      <c r="F644" s="126">
        <v>158331</v>
      </c>
      <c r="G644" s="126">
        <v>89785</v>
      </c>
      <c r="H644" s="128">
        <v>945</v>
      </c>
      <c r="I644" s="128">
        <v>148</v>
      </c>
      <c r="J644" s="127">
        <v>0.000428240740740741</v>
      </c>
      <c r="K644" s="128">
        <v>18</v>
      </c>
      <c r="L644" s="128">
        <v>65</v>
      </c>
      <c r="M644" s="126">
        <v>589459</v>
      </c>
      <c r="N644" s="128">
        <v>7</v>
      </c>
      <c r="O644" s="126">
        <v>63420</v>
      </c>
      <c r="P644" s="126">
        <v>46056</v>
      </c>
      <c r="Q644" s="126">
        <v>11813</v>
      </c>
      <c r="R644" s="126">
        <v>11499</v>
      </c>
      <c r="S644" s="128">
        <v>314</v>
      </c>
      <c r="T644" s="128">
        <v>426</v>
      </c>
      <c r="U644" s="128">
        <v>278</v>
      </c>
      <c r="V644" s="128">
        <v>353</v>
      </c>
      <c r="W644" s="128">
        <v>-53</v>
      </c>
      <c r="X644" s="128">
        <v>321</v>
      </c>
      <c r="Y644" s="128">
        <v>22</v>
      </c>
      <c r="Z644" s="126">
        <v>96200</v>
      </c>
      <c r="AA644" s="128">
        <v>0</v>
      </c>
      <c r="AB644" s="128">
        <v>0</v>
      </c>
      <c r="AC644" s="128">
        <v>635</v>
      </c>
      <c r="AD644" s="126">
        <v>91468</v>
      </c>
      <c r="AE644" s="126">
        <v>163148</v>
      </c>
      <c r="AF644" s="126">
        <v>13069</v>
      </c>
      <c r="AG644" s="126">
        <v>12484</v>
      </c>
      <c r="AH644" s="126">
        <v>11486</v>
      </c>
      <c r="AI644" s="126">
        <v>1077</v>
      </c>
      <c r="AJ644" s="128">
        <v>0</v>
      </c>
      <c r="AK644" s="128">
        <v>3</v>
      </c>
      <c r="AL644" s="128">
        <v>0</v>
      </c>
      <c r="AM644" s="128">
        <v>0</v>
      </c>
      <c r="AN644" s="128">
        <v>842</v>
      </c>
      <c r="AO644" s="128">
        <v>6</v>
      </c>
      <c r="AP644" s="128">
        <v>5</v>
      </c>
      <c r="AQ644" s="128">
        <v>52</v>
      </c>
      <c r="AR644" s="128">
        <v>2</v>
      </c>
      <c r="AS644" s="128">
        <v>0</v>
      </c>
      <c r="AT644" s="128">
        <v>3</v>
      </c>
      <c r="AU644" s="128">
        <v>686</v>
      </c>
      <c r="AV644" s="128">
        <v>0</v>
      </c>
      <c r="AW644" s="128">
        <v>0</v>
      </c>
      <c r="AX644" s="128">
        <v>0</v>
      </c>
      <c r="AY644" s="128">
        <v>0</v>
      </c>
      <c r="AZ644" s="128">
        <v>7</v>
      </c>
      <c r="BA644" s="128">
        <v>541</v>
      </c>
      <c r="BB644" s="129"/>
      <c r="BC644" s="129"/>
      <c r="BD644" s="129"/>
      <c r="BE644" s="129"/>
      <c r="BF644" s="129"/>
      <c r="BG644" s="129"/>
      <c r="BH644" s="129"/>
      <c r="BI644" s="129"/>
      <c r="BJ644" s="130">
        <v>112833</v>
      </c>
      <c r="BK644" s="119">
        <v>148</v>
      </c>
      <c r="BL644" s="130">
        <v>21950</v>
      </c>
      <c r="BM644" s="131">
        <v>36471.99</v>
      </c>
      <c r="BN644" s="131"/>
      <c r="BO644" s="132">
        <v>0.59</v>
      </c>
      <c r="BP644" s="132">
        <v>0.41</v>
      </c>
      <c r="BQ644" s="132">
        <v>0</v>
      </c>
      <c r="BR644" s="132">
        <v>0.031</v>
      </c>
      <c r="BS644" s="132">
        <v>0.096</v>
      </c>
      <c r="BT644" s="132">
        <v>0.447</v>
      </c>
      <c r="BU644" s="132">
        <v>0.269</v>
      </c>
      <c r="BV644" s="132">
        <v>0.092</v>
      </c>
      <c r="BW644" s="132">
        <v>0.042</v>
      </c>
      <c r="BX644" s="119"/>
    </row>
    <row r="645" s="96" customFormat="1" customHeight="1" spans="1:76">
      <c r="A645" s="111">
        <v>644</v>
      </c>
      <c r="B645" s="96" t="s">
        <v>58</v>
      </c>
      <c r="C645" s="96" t="s">
        <v>145</v>
      </c>
      <c r="D645" s="122">
        <v>2026</v>
      </c>
      <c r="E645" s="96" t="s">
        <v>39</v>
      </c>
      <c r="F645" s="128"/>
      <c r="G645" s="128"/>
      <c r="H645" s="128"/>
      <c r="I645" s="128"/>
      <c r="J645" s="127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9"/>
      <c r="BC645" s="129"/>
      <c r="BD645" s="129"/>
      <c r="BE645" s="129"/>
      <c r="BF645" s="129"/>
      <c r="BG645" s="129"/>
      <c r="BH645" s="129"/>
      <c r="BI645" s="129"/>
      <c r="BJ645" s="119"/>
      <c r="BK645" s="119"/>
      <c r="BL645" s="119"/>
      <c r="BM645" s="131"/>
      <c r="BN645" s="131"/>
      <c r="BO645" s="119"/>
      <c r="BP645" s="119"/>
      <c r="BQ645" s="119"/>
      <c r="BR645" s="119"/>
      <c r="BS645" s="119"/>
      <c r="BT645" s="119"/>
      <c r="BU645" s="119"/>
      <c r="BV645" s="119"/>
      <c r="BW645" s="119"/>
      <c r="BX645" s="119"/>
    </row>
    <row r="646" s="96" customFormat="1" customHeight="1" spans="1:76">
      <c r="A646" s="111">
        <v>645</v>
      </c>
      <c r="B646" s="96" t="s">
        <v>58</v>
      </c>
      <c r="C646" s="96" t="s">
        <v>145</v>
      </c>
      <c r="D646" s="122">
        <v>2026</v>
      </c>
      <c r="E646" s="96" t="s">
        <v>40</v>
      </c>
      <c r="F646" s="128"/>
      <c r="G646" s="128"/>
      <c r="H646" s="128"/>
      <c r="I646" s="128"/>
      <c r="J646" s="127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9"/>
      <c r="BC646" s="129"/>
      <c r="BD646" s="129"/>
      <c r="BE646" s="129"/>
      <c r="BF646" s="129"/>
      <c r="BG646" s="129"/>
      <c r="BH646" s="129"/>
      <c r="BI646" s="129"/>
      <c r="BJ646" s="119"/>
      <c r="BK646" s="119"/>
      <c r="BL646" s="119"/>
      <c r="BM646" s="131"/>
      <c r="BN646" s="131"/>
      <c r="BO646" s="119"/>
      <c r="BP646" s="119"/>
      <c r="BQ646" s="119"/>
      <c r="BR646" s="119"/>
      <c r="BS646" s="119"/>
      <c r="BT646" s="119"/>
      <c r="BU646" s="119"/>
      <c r="BV646" s="119"/>
      <c r="BW646" s="119"/>
      <c r="BX646" s="119"/>
    </row>
    <row r="647" s="96" customFormat="1" customHeight="1" spans="1:76">
      <c r="A647" s="111">
        <v>646</v>
      </c>
      <c r="B647" s="96" t="s">
        <v>58</v>
      </c>
      <c r="C647" s="96" t="s">
        <v>145</v>
      </c>
      <c r="D647" s="122">
        <v>2026</v>
      </c>
      <c r="E647" s="96" t="s">
        <v>41</v>
      </c>
      <c r="F647" s="128"/>
      <c r="G647" s="128"/>
      <c r="H647" s="128"/>
      <c r="I647" s="128"/>
      <c r="J647" s="127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9"/>
      <c r="BC647" s="129"/>
      <c r="BD647" s="129"/>
      <c r="BE647" s="129"/>
      <c r="BF647" s="129"/>
      <c r="BG647" s="129"/>
      <c r="BH647" s="129"/>
      <c r="BI647" s="129"/>
      <c r="BJ647" s="119"/>
      <c r="BK647" s="119"/>
      <c r="BL647" s="119"/>
      <c r="BM647" s="131"/>
      <c r="BN647" s="131"/>
      <c r="BO647" s="119"/>
      <c r="BP647" s="119"/>
      <c r="BQ647" s="119"/>
      <c r="BR647" s="119"/>
      <c r="BS647" s="119"/>
      <c r="BT647" s="119"/>
      <c r="BU647" s="119"/>
      <c r="BV647" s="119"/>
      <c r="BW647" s="119"/>
      <c r="BX647" s="119"/>
    </row>
    <row r="648" s="96" customFormat="1" customHeight="1" spans="1:76">
      <c r="A648" s="111">
        <v>647</v>
      </c>
      <c r="B648" s="96" t="s">
        <v>58</v>
      </c>
      <c r="C648" s="96" t="s">
        <v>145</v>
      </c>
      <c r="D648" s="122">
        <v>2026</v>
      </c>
      <c r="E648" s="96" t="s">
        <v>42</v>
      </c>
      <c r="F648" s="128"/>
      <c r="G648" s="128"/>
      <c r="H648" s="128"/>
      <c r="I648" s="128"/>
      <c r="J648" s="127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9"/>
      <c r="BC648" s="129"/>
      <c r="BD648" s="129"/>
      <c r="BE648" s="129"/>
      <c r="BF648" s="129"/>
      <c r="BG648" s="129"/>
      <c r="BH648" s="129"/>
      <c r="BI648" s="129"/>
      <c r="BJ648" s="119"/>
      <c r="BK648" s="119"/>
      <c r="BL648" s="119"/>
      <c r="BM648" s="131"/>
      <c r="BN648" s="131"/>
      <c r="BO648" s="119"/>
      <c r="BP648" s="119"/>
      <c r="BQ648" s="119"/>
      <c r="BR648" s="119"/>
      <c r="BS648" s="119"/>
      <c r="BT648" s="119"/>
      <c r="BU648" s="119"/>
      <c r="BV648" s="119"/>
      <c r="BW648" s="119"/>
      <c r="BX648" s="119"/>
    </row>
    <row r="649" s="96" customFormat="1" customHeight="1" spans="1:76">
      <c r="A649" s="111">
        <v>648</v>
      </c>
      <c r="B649" s="96" t="s">
        <v>58</v>
      </c>
      <c r="C649" s="96" t="s">
        <v>145</v>
      </c>
      <c r="D649" s="122">
        <v>2026</v>
      </c>
      <c r="E649" s="96" t="s">
        <v>43</v>
      </c>
      <c r="F649" s="128"/>
      <c r="G649" s="128"/>
      <c r="H649" s="128"/>
      <c r="I649" s="128"/>
      <c r="J649" s="127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9"/>
      <c r="BC649" s="129"/>
      <c r="BD649" s="129"/>
      <c r="BE649" s="129"/>
      <c r="BF649" s="129"/>
      <c r="BG649" s="129"/>
      <c r="BH649" s="129"/>
      <c r="BI649" s="129"/>
      <c r="BJ649" s="119"/>
      <c r="BK649" s="119"/>
      <c r="BL649" s="119"/>
      <c r="BM649" s="131"/>
      <c r="BN649" s="131"/>
      <c r="BO649" s="119"/>
      <c r="BP649" s="119"/>
      <c r="BQ649" s="119"/>
      <c r="BR649" s="119"/>
      <c r="BS649" s="119"/>
      <c r="BT649" s="119"/>
      <c r="BU649" s="119"/>
      <c r="BV649" s="119"/>
      <c r="BW649" s="119"/>
      <c r="BX649" s="119"/>
    </row>
    <row r="650" s="96" customFormat="1" customHeight="1" spans="1:76">
      <c r="A650" s="111">
        <v>649</v>
      </c>
      <c r="B650" s="112" t="s">
        <v>58</v>
      </c>
      <c r="C650" s="112" t="s">
        <v>146</v>
      </c>
      <c r="D650" s="111">
        <v>2024</v>
      </c>
      <c r="E650" s="113" t="s">
        <v>31</v>
      </c>
      <c r="F650" s="114">
        <v>85537</v>
      </c>
      <c r="G650" s="114">
        <v>85537</v>
      </c>
      <c r="H650" s="114">
        <v>1261.2179</v>
      </c>
      <c r="I650" s="114">
        <v>4</v>
      </c>
      <c r="J650" s="115">
        <v>0.000613425925925926</v>
      </c>
      <c r="K650" s="114">
        <v>20.88</v>
      </c>
      <c r="L650" s="114"/>
      <c r="M650" s="114">
        <v>1269926</v>
      </c>
      <c r="N650" s="114">
        <v>5.34</v>
      </c>
      <c r="O650" s="114">
        <v>55023</v>
      </c>
      <c r="P650" s="114">
        <v>49365</v>
      </c>
      <c r="Q650" s="114">
        <v>5658</v>
      </c>
      <c r="R650" s="114">
        <v>5658</v>
      </c>
      <c r="S650" s="114">
        <v>0</v>
      </c>
      <c r="T650" s="114">
        <v>230</v>
      </c>
      <c r="U650" s="114">
        <v>226</v>
      </c>
      <c r="V650" s="114">
        <v>-175</v>
      </c>
      <c r="W650" s="114">
        <v>1</v>
      </c>
      <c r="X650" s="114">
        <v>70</v>
      </c>
      <c r="Y650" s="114">
        <v>24</v>
      </c>
      <c r="Z650" s="114">
        <v>39880.58</v>
      </c>
      <c r="AA650" s="114">
        <v>0</v>
      </c>
      <c r="AB650" s="114">
        <v>0</v>
      </c>
      <c r="AC650" s="114">
        <v>1080.425</v>
      </c>
      <c r="AD650" s="114">
        <v>38309.663</v>
      </c>
      <c r="AE650" s="114">
        <v>69654.025</v>
      </c>
      <c r="AF650" s="114">
        <v>9711</v>
      </c>
      <c r="AG650" s="114">
        <v>7172.693</v>
      </c>
      <c r="AH650" s="114">
        <v>9011</v>
      </c>
      <c r="AI650" s="114">
        <v>466.238</v>
      </c>
      <c r="AJ650" s="114">
        <v>0</v>
      </c>
      <c r="AK650" s="114">
        <v>0</v>
      </c>
      <c r="AL650" s="114">
        <v>0</v>
      </c>
      <c r="AM650" s="114">
        <v>0</v>
      </c>
      <c r="AN650" s="114">
        <v>466</v>
      </c>
      <c r="AO650" s="114">
        <v>10.6789</v>
      </c>
      <c r="AP650" s="114"/>
      <c r="AQ650" s="114">
        <v>0</v>
      </c>
      <c r="AR650" s="114"/>
      <c r="AS650" s="114"/>
      <c r="AT650" s="114"/>
      <c r="AU650" s="114">
        <v>36</v>
      </c>
      <c r="AV650" s="114">
        <v>0</v>
      </c>
      <c r="AW650" s="114">
        <v>0</v>
      </c>
      <c r="AX650" s="114">
        <v>0</v>
      </c>
      <c r="AY650" s="114">
        <v>0</v>
      </c>
      <c r="AZ650" s="114">
        <v>0</v>
      </c>
      <c r="BA650" s="114">
        <v>6</v>
      </c>
      <c r="BB650" s="116"/>
      <c r="BC650" s="116"/>
      <c r="BD650" s="116"/>
      <c r="BE650" s="116"/>
      <c r="BF650" s="116"/>
      <c r="BG650" s="116"/>
      <c r="BH650" s="116"/>
      <c r="BI650" s="116"/>
      <c r="BJ650" s="117">
        <v>273822</v>
      </c>
      <c r="BK650" s="133">
        <v>4</v>
      </c>
      <c r="BL650" s="119"/>
      <c r="BM650" s="118">
        <v>0</v>
      </c>
      <c r="BN650" s="131"/>
      <c r="BO650" s="119"/>
      <c r="BP650" s="119"/>
      <c r="BQ650" s="119"/>
      <c r="BR650" s="119"/>
      <c r="BS650" s="119"/>
      <c r="BT650" s="119"/>
      <c r="BU650" s="119"/>
      <c r="BV650" s="119"/>
      <c r="BW650" s="119"/>
      <c r="BX650" s="119"/>
    </row>
    <row r="651" s="96" customFormat="1" customHeight="1" spans="1:76">
      <c r="A651" s="111">
        <v>650</v>
      </c>
      <c r="B651" s="112" t="s">
        <v>58</v>
      </c>
      <c r="C651" s="112" t="s">
        <v>146</v>
      </c>
      <c r="D651" s="111">
        <v>2024</v>
      </c>
      <c r="E651" s="113" t="s">
        <v>33</v>
      </c>
      <c r="F651" s="114">
        <v>106069</v>
      </c>
      <c r="G651" s="114">
        <v>106069</v>
      </c>
      <c r="H651" s="114">
        <v>1335.2665</v>
      </c>
      <c r="I651" s="114">
        <v>83</v>
      </c>
      <c r="J651" s="115">
        <v>0.000520833333333333</v>
      </c>
      <c r="K651" s="114">
        <v>19.36</v>
      </c>
      <c r="L651" s="114">
        <v>0</v>
      </c>
      <c r="M651" s="114">
        <v>1457631</v>
      </c>
      <c r="N651" s="114">
        <v>5.71</v>
      </c>
      <c r="O651" s="114">
        <v>67943</v>
      </c>
      <c r="P651" s="114">
        <v>61749</v>
      </c>
      <c r="Q651" s="114">
        <v>6213</v>
      </c>
      <c r="R651" s="114">
        <v>6213</v>
      </c>
      <c r="S651" s="114">
        <v>0</v>
      </c>
      <c r="T651" s="114">
        <v>301</v>
      </c>
      <c r="U651" s="114">
        <v>218</v>
      </c>
      <c r="V651" s="114">
        <v>-94</v>
      </c>
      <c r="W651" s="114">
        <v>-7</v>
      </c>
      <c r="X651" s="114">
        <v>110</v>
      </c>
      <c r="Y651" s="114">
        <v>32</v>
      </c>
      <c r="Z651" s="114">
        <v>32303.569</v>
      </c>
      <c r="AA651" s="114">
        <v>0</v>
      </c>
      <c r="AB651" s="114">
        <v>0</v>
      </c>
      <c r="AC651" s="114">
        <v>734.261</v>
      </c>
      <c r="AD651" s="114">
        <v>31149.044</v>
      </c>
      <c r="AE651" s="114">
        <v>56634.443</v>
      </c>
      <c r="AF651" s="114">
        <v>8090</v>
      </c>
      <c r="AG651" s="114">
        <v>7000.549</v>
      </c>
      <c r="AH651" s="114">
        <v>7432</v>
      </c>
      <c r="AI651" s="114">
        <v>304.552</v>
      </c>
      <c r="AJ651" s="114">
        <v>0</v>
      </c>
      <c r="AK651" s="114">
        <v>0</v>
      </c>
      <c r="AL651" s="114">
        <v>0</v>
      </c>
      <c r="AM651" s="114">
        <v>0</v>
      </c>
      <c r="AN651" s="114">
        <v>426</v>
      </c>
      <c r="AO651" s="114">
        <v>7.7662</v>
      </c>
      <c r="AP651" s="114"/>
      <c r="AQ651" s="114">
        <v>0</v>
      </c>
      <c r="AR651" s="114"/>
      <c r="AS651" s="114"/>
      <c r="AT651" s="114"/>
      <c r="AU651" s="114">
        <v>1</v>
      </c>
      <c r="AV651" s="114">
        <v>0</v>
      </c>
      <c r="AW651" s="114">
        <v>0</v>
      </c>
      <c r="AX651" s="114">
        <v>0</v>
      </c>
      <c r="AY651" s="114">
        <v>0</v>
      </c>
      <c r="AZ651" s="114">
        <v>0</v>
      </c>
      <c r="BA651" s="114">
        <v>4</v>
      </c>
      <c r="BB651" s="116"/>
      <c r="BC651" s="116"/>
      <c r="BD651" s="116"/>
      <c r="BE651" s="116"/>
      <c r="BF651" s="116"/>
      <c r="BG651" s="116"/>
      <c r="BH651" s="116"/>
      <c r="BI651" s="116"/>
      <c r="BJ651" s="117">
        <v>273905</v>
      </c>
      <c r="BK651" s="133">
        <v>83</v>
      </c>
      <c r="BL651" s="119"/>
      <c r="BM651" s="118">
        <v>0</v>
      </c>
      <c r="BN651" s="131"/>
      <c r="BO651" s="119"/>
      <c r="BP651" s="119"/>
      <c r="BQ651" s="119"/>
      <c r="BR651" s="119"/>
      <c r="BS651" s="119"/>
      <c r="BT651" s="119"/>
      <c r="BU651" s="119"/>
      <c r="BV651" s="119"/>
      <c r="BW651" s="119"/>
      <c r="BX651" s="119"/>
    </row>
    <row r="652" s="96" customFormat="1" customHeight="1" spans="1:76">
      <c r="A652" s="111">
        <v>651</v>
      </c>
      <c r="B652" s="112" t="s">
        <v>58</v>
      </c>
      <c r="C652" s="112" t="s">
        <v>146</v>
      </c>
      <c r="D652" s="111">
        <v>2024</v>
      </c>
      <c r="E652" s="113" t="s">
        <v>34</v>
      </c>
      <c r="F652" s="114">
        <v>87925</v>
      </c>
      <c r="G652" s="114">
        <v>87925</v>
      </c>
      <c r="H652" s="114">
        <v>1187.745</v>
      </c>
      <c r="I652" s="114">
        <v>28</v>
      </c>
      <c r="J652" s="115">
        <v>0.000555555555555556</v>
      </c>
      <c r="K652" s="114">
        <v>17.46</v>
      </c>
      <c r="L652" s="114"/>
      <c r="M652" s="114">
        <v>1219080</v>
      </c>
      <c r="N652" s="114">
        <v>5.5</v>
      </c>
      <c r="O652" s="114">
        <v>52627</v>
      </c>
      <c r="P652" s="114">
        <v>45664</v>
      </c>
      <c r="Q652" s="114">
        <v>6963</v>
      </c>
      <c r="R652" s="114">
        <v>6963</v>
      </c>
      <c r="S652" s="114">
        <v>0</v>
      </c>
      <c r="T652" s="114">
        <v>233</v>
      </c>
      <c r="U652" s="114">
        <v>205</v>
      </c>
      <c r="V652" s="114">
        <v>-4</v>
      </c>
      <c r="W652" s="114">
        <v>6</v>
      </c>
      <c r="X652" s="114">
        <v>57</v>
      </c>
      <c r="Y652" s="114">
        <v>15</v>
      </c>
      <c r="Z652" s="114">
        <v>35003.942</v>
      </c>
      <c r="AA652" s="114">
        <v>0</v>
      </c>
      <c r="AB652" s="114">
        <v>0</v>
      </c>
      <c r="AC652" s="114">
        <v>492.346</v>
      </c>
      <c r="AD652" s="114">
        <v>34337.584</v>
      </c>
      <c r="AE652" s="114">
        <v>62430.584</v>
      </c>
      <c r="AF652" s="114">
        <v>8021</v>
      </c>
      <c r="AG652" s="114">
        <v>7783.392</v>
      </c>
      <c r="AH652" s="114">
        <v>7171</v>
      </c>
      <c r="AI652" s="114">
        <v>398.111</v>
      </c>
      <c r="AJ652" s="114">
        <v>0</v>
      </c>
      <c r="AK652" s="114">
        <v>0</v>
      </c>
      <c r="AL652" s="114">
        <v>0</v>
      </c>
      <c r="AM652" s="114">
        <v>0</v>
      </c>
      <c r="AN652" s="114">
        <v>305</v>
      </c>
      <c r="AO652" s="114">
        <v>4.9824</v>
      </c>
      <c r="AP652" s="114"/>
      <c r="AQ652" s="114">
        <v>0</v>
      </c>
      <c r="AR652" s="114"/>
      <c r="AS652" s="114"/>
      <c r="AT652" s="114"/>
      <c r="AU652" s="114"/>
      <c r="AV652" s="114">
        <v>0</v>
      </c>
      <c r="AW652" s="114">
        <v>0</v>
      </c>
      <c r="AX652" s="114">
        <v>0</v>
      </c>
      <c r="AY652" s="114">
        <v>0</v>
      </c>
      <c r="AZ652" s="114">
        <v>0</v>
      </c>
      <c r="BA652" s="114">
        <v>16</v>
      </c>
      <c r="BB652" s="116"/>
      <c r="BC652" s="116"/>
      <c r="BD652" s="116"/>
      <c r="BE652" s="116"/>
      <c r="BF652" s="116"/>
      <c r="BG652" s="116"/>
      <c r="BH652" s="116"/>
      <c r="BI652" s="116"/>
      <c r="BJ652" s="117">
        <v>273933</v>
      </c>
      <c r="BK652" s="133">
        <v>28</v>
      </c>
      <c r="BL652" s="119"/>
      <c r="BM652" s="118">
        <v>0</v>
      </c>
      <c r="BN652" s="131"/>
      <c r="BO652" s="119"/>
      <c r="BP652" s="119"/>
      <c r="BQ652" s="119"/>
      <c r="BR652" s="119"/>
      <c r="BS652" s="119"/>
      <c r="BT652" s="119"/>
      <c r="BU652" s="119"/>
      <c r="BV652" s="119"/>
      <c r="BW652" s="119"/>
      <c r="BX652" s="119"/>
    </row>
    <row r="653" s="96" customFormat="1" customHeight="1" spans="1:76">
      <c r="A653" s="111">
        <v>652</v>
      </c>
      <c r="B653" s="112" t="s">
        <v>58</v>
      </c>
      <c r="C653" s="112" t="s">
        <v>146</v>
      </c>
      <c r="D653" s="111">
        <v>2024</v>
      </c>
      <c r="E653" s="113" t="s">
        <v>35</v>
      </c>
      <c r="F653" s="114">
        <v>96067</v>
      </c>
      <c r="G653" s="114">
        <v>96067</v>
      </c>
      <c r="H653" s="114">
        <v>1209.4045</v>
      </c>
      <c r="I653" s="114">
        <v>50</v>
      </c>
      <c r="J653" s="115">
        <v>0.000520833333333333</v>
      </c>
      <c r="K653" s="114">
        <v>14.37</v>
      </c>
      <c r="L653" s="114">
        <v>1</v>
      </c>
      <c r="M653" s="114">
        <v>1333225</v>
      </c>
      <c r="N653" s="114">
        <v>5.25</v>
      </c>
      <c r="O653" s="114">
        <v>53832</v>
      </c>
      <c r="P653" s="114">
        <v>46077</v>
      </c>
      <c r="Q653" s="114">
        <v>7755</v>
      </c>
      <c r="R653" s="114">
        <v>7755</v>
      </c>
      <c r="S653" s="114">
        <v>0</v>
      </c>
      <c r="T653" s="114">
        <v>243</v>
      </c>
      <c r="U653" s="114">
        <v>193</v>
      </c>
      <c r="V653" s="114">
        <v>120</v>
      </c>
      <c r="W653" s="114">
        <v>16</v>
      </c>
      <c r="X653" s="114">
        <v>64</v>
      </c>
      <c r="Y653" s="114">
        <v>33</v>
      </c>
      <c r="Z653" s="114">
        <v>29488.865</v>
      </c>
      <c r="AA653" s="114">
        <v>0</v>
      </c>
      <c r="AB653" s="114">
        <v>0</v>
      </c>
      <c r="AC653" s="114">
        <v>861.004</v>
      </c>
      <c r="AD653" s="114">
        <v>28413.915</v>
      </c>
      <c r="AE653" s="114">
        <v>51661.568</v>
      </c>
      <c r="AF653" s="114">
        <v>6265</v>
      </c>
      <c r="AG653" s="114">
        <v>8246.06</v>
      </c>
      <c r="AH653" s="114">
        <v>5713</v>
      </c>
      <c r="AI653" s="114">
        <v>306.962</v>
      </c>
      <c r="AJ653" s="114">
        <v>0</v>
      </c>
      <c r="AK653" s="114">
        <v>0</v>
      </c>
      <c r="AL653" s="114">
        <v>0</v>
      </c>
      <c r="AM653" s="114">
        <v>0</v>
      </c>
      <c r="AN653" s="114">
        <v>339</v>
      </c>
      <c r="AO653" s="114">
        <v>8.2731</v>
      </c>
      <c r="AP653" s="114"/>
      <c r="AQ653" s="114">
        <v>0</v>
      </c>
      <c r="AR653" s="114"/>
      <c r="AS653" s="114"/>
      <c r="AT653" s="114"/>
      <c r="AU653" s="114"/>
      <c r="AV653" s="114">
        <v>0</v>
      </c>
      <c r="AW653" s="114">
        <v>0</v>
      </c>
      <c r="AX653" s="114">
        <v>0</v>
      </c>
      <c r="AY653" s="114">
        <v>0</v>
      </c>
      <c r="AZ653" s="114">
        <v>0</v>
      </c>
      <c r="BA653" s="114">
        <v>6</v>
      </c>
      <c r="BB653" s="116"/>
      <c r="BC653" s="116"/>
      <c r="BD653" s="116"/>
      <c r="BE653" s="116"/>
      <c r="BF653" s="116"/>
      <c r="BG653" s="116"/>
      <c r="BH653" s="116"/>
      <c r="BI653" s="116"/>
      <c r="BJ653" s="117">
        <v>273983</v>
      </c>
      <c r="BK653" s="133">
        <v>50</v>
      </c>
      <c r="BL653" s="119"/>
      <c r="BM653" s="118">
        <v>0</v>
      </c>
      <c r="BN653" s="131"/>
      <c r="BO653" s="119"/>
      <c r="BP653" s="119"/>
      <c r="BQ653" s="119"/>
      <c r="BR653" s="119"/>
      <c r="BS653" s="119"/>
      <c r="BT653" s="119"/>
      <c r="BU653" s="119"/>
      <c r="BV653" s="119"/>
      <c r="BW653" s="119"/>
      <c r="BX653" s="119"/>
    </row>
    <row r="654" s="96" customFormat="1" customHeight="1" spans="1:76">
      <c r="A654" s="111">
        <v>653</v>
      </c>
      <c r="B654" s="112" t="s">
        <v>58</v>
      </c>
      <c r="C654" s="112" t="s">
        <v>146</v>
      </c>
      <c r="D654" s="111">
        <v>2024</v>
      </c>
      <c r="E654" s="113" t="s">
        <v>36</v>
      </c>
      <c r="F654" s="114">
        <v>92672</v>
      </c>
      <c r="G654" s="114">
        <v>92672</v>
      </c>
      <c r="H654" s="114">
        <v>1211.6356</v>
      </c>
      <c r="I654" s="114">
        <v>9</v>
      </c>
      <c r="J654" s="115">
        <v>0.000543981481481481</v>
      </c>
      <c r="K654" s="114">
        <v>17.31</v>
      </c>
      <c r="L654" s="114">
        <v>4</v>
      </c>
      <c r="M654" s="114">
        <v>1235926</v>
      </c>
      <c r="N654" s="114">
        <v>5.61</v>
      </c>
      <c r="O654" s="114">
        <v>56669</v>
      </c>
      <c r="P654" s="114">
        <v>48270</v>
      </c>
      <c r="Q654" s="114">
        <v>8399</v>
      </c>
      <c r="R654" s="114">
        <v>8399</v>
      </c>
      <c r="S654" s="114">
        <v>0</v>
      </c>
      <c r="T654" s="114">
        <v>273</v>
      </c>
      <c r="U654" s="114">
        <v>264</v>
      </c>
      <c r="V654" s="114">
        <v>-45</v>
      </c>
      <c r="W654" s="114">
        <v>0</v>
      </c>
      <c r="X654" s="114">
        <v>86</v>
      </c>
      <c r="Y654" s="114">
        <v>70</v>
      </c>
      <c r="Z654" s="114">
        <v>32494.573</v>
      </c>
      <c r="AA654" s="114">
        <v>0</v>
      </c>
      <c r="AB654" s="114">
        <v>0</v>
      </c>
      <c r="AC654" s="114">
        <v>983.644</v>
      </c>
      <c r="AD654" s="114">
        <v>31160.405</v>
      </c>
      <c r="AE654" s="114">
        <v>56655.744</v>
      </c>
      <c r="AF654" s="114">
        <v>6417</v>
      </c>
      <c r="AG654" s="114">
        <v>8829.008</v>
      </c>
      <c r="AH654" s="114">
        <v>5783</v>
      </c>
      <c r="AI654" s="114">
        <v>350.642</v>
      </c>
      <c r="AJ654" s="114">
        <v>0</v>
      </c>
      <c r="AK654" s="114">
        <v>0</v>
      </c>
      <c r="AL654" s="114">
        <v>0</v>
      </c>
      <c r="AM654" s="114">
        <v>0</v>
      </c>
      <c r="AN654" s="114">
        <v>359</v>
      </c>
      <c r="AO654" s="114">
        <v>8.3101</v>
      </c>
      <c r="AP654" s="114"/>
      <c r="AQ654" s="114">
        <v>0</v>
      </c>
      <c r="AR654" s="114"/>
      <c r="AS654" s="114"/>
      <c r="AT654" s="114"/>
      <c r="AU654" s="114"/>
      <c r="AV654" s="114">
        <v>0</v>
      </c>
      <c r="AW654" s="114">
        <v>0</v>
      </c>
      <c r="AX654" s="114">
        <v>0</v>
      </c>
      <c r="AY654" s="114">
        <v>0</v>
      </c>
      <c r="AZ654" s="114">
        <v>0</v>
      </c>
      <c r="BA654" s="114">
        <v>12</v>
      </c>
      <c r="BB654" s="116"/>
      <c r="BC654" s="116"/>
      <c r="BD654" s="116"/>
      <c r="BE654" s="116"/>
      <c r="BF654" s="116"/>
      <c r="BG654" s="116"/>
      <c r="BH654" s="116"/>
      <c r="BI654" s="116"/>
      <c r="BJ654" s="117">
        <v>273992</v>
      </c>
      <c r="BK654" s="133">
        <v>9</v>
      </c>
      <c r="BL654" s="119"/>
      <c r="BM654" s="118">
        <v>0</v>
      </c>
      <c r="BN654" s="131"/>
      <c r="BO654" s="119"/>
      <c r="BP654" s="119"/>
      <c r="BQ654" s="119"/>
      <c r="BR654" s="119"/>
      <c r="BS654" s="119"/>
      <c r="BT654" s="119"/>
      <c r="BU654" s="119"/>
      <c r="BV654" s="119"/>
      <c r="BW654" s="119"/>
      <c r="BX654" s="119"/>
    </row>
    <row r="655" s="96" customFormat="1" customHeight="1" spans="1:76">
      <c r="A655" s="111">
        <v>654</v>
      </c>
      <c r="B655" s="112" t="s">
        <v>58</v>
      </c>
      <c r="C655" s="112" t="s">
        <v>146</v>
      </c>
      <c r="D655" s="111">
        <v>2024</v>
      </c>
      <c r="E655" s="113" t="s">
        <v>37</v>
      </c>
      <c r="F655" s="114">
        <v>210238</v>
      </c>
      <c r="G655" s="114">
        <v>210238</v>
      </c>
      <c r="H655" s="114">
        <v>4255.0827</v>
      </c>
      <c r="I655" s="114">
        <v>296</v>
      </c>
      <c r="J655" s="115">
        <v>0.000833333333333333</v>
      </c>
      <c r="K655" s="114">
        <v>27.66</v>
      </c>
      <c r="L655" s="114">
        <v>271</v>
      </c>
      <c r="M655" s="114">
        <v>2245538</v>
      </c>
      <c r="N655" s="114">
        <v>7.84</v>
      </c>
      <c r="O655" s="114">
        <v>143453</v>
      </c>
      <c r="P655" s="114">
        <v>128303</v>
      </c>
      <c r="Q655" s="114">
        <v>15150</v>
      </c>
      <c r="R655" s="114">
        <v>15150</v>
      </c>
      <c r="S655" s="114">
        <v>0</v>
      </c>
      <c r="T655" s="114">
        <v>606</v>
      </c>
      <c r="U655" s="114">
        <v>310</v>
      </c>
      <c r="V655" s="114">
        <v>978</v>
      </c>
      <c r="W655" s="114">
        <v>58</v>
      </c>
      <c r="X655" s="114">
        <v>503</v>
      </c>
      <c r="Y655" s="114">
        <v>521</v>
      </c>
      <c r="Z655" s="114">
        <v>274822.054</v>
      </c>
      <c r="AA655" s="114">
        <v>0</v>
      </c>
      <c r="AB655" s="114">
        <v>0</v>
      </c>
      <c r="AC655" s="114">
        <v>5773.601</v>
      </c>
      <c r="AD655" s="114">
        <v>268738.707</v>
      </c>
      <c r="AE655" s="114">
        <v>488617.216</v>
      </c>
      <c r="AF655" s="114">
        <v>42617</v>
      </c>
      <c r="AG655" s="114">
        <v>11465.312</v>
      </c>
      <c r="AH655" s="114">
        <v>40196</v>
      </c>
      <c r="AI655" s="114">
        <v>1307.197</v>
      </c>
      <c r="AJ655" s="114">
        <v>0</v>
      </c>
      <c r="AK655" s="114">
        <v>0</v>
      </c>
      <c r="AL655" s="114">
        <v>0</v>
      </c>
      <c r="AM655" s="114">
        <v>0</v>
      </c>
      <c r="AN655" s="114">
        <v>1134</v>
      </c>
      <c r="AO655" s="114">
        <v>43.1782</v>
      </c>
      <c r="AP655" s="114"/>
      <c r="AQ655" s="114">
        <v>0</v>
      </c>
      <c r="AR655" s="114"/>
      <c r="AS655" s="114"/>
      <c r="AT655" s="114"/>
      <c r="AU655" s="114"/>
      <c r="AV655" s="114">
        <v>0</v>
      </c>
      <c r="AW655" s="114">
        <v>0</v>
      </c>
      <c r="AX655" s="114">
        <v>0</v>
      </c>
      <c r="AY655" s="114">
        <v>0</v>
      </c>
      <c r="AZ655" s="114">
        <v>2</v>
      </c>
      <c r="BA655" s="114">
        <v>12</v>
      </c>
      <c r="BB655" s="116"/>
      <c r="BC655" s="116"/>
      <c r="BD655" s="116"/>
      <c r="BE655" s="116"/>
      <c r="BF655" s="116"/>
      <c r="BG655" s="116"/>
      <c r="BH655" s="116"/>
      <c r="BI655" s="116"/>
      <c r="BJ655" s="117">
        <v>274288</v>
      </c>
      <c r="BK655" s="133">
        <v>296</v>
      </c>
      <c r="BL655" s="119"/>
      <c r="BM655" s="118">
        <v>0</v>
      </c>
      <c r="BN655" s="131"/>
      <c r="BO655" s="119"/>
      <c r="BP655" s="119"/>
      <c r="BQ655" s="119"/>
      <c r="BR655" s="119"/>
      <c r="BS655" s="119"/>
      <c r="BT655" s="119"/>
      <c r="BU655" s="119"/>
      <c r="BV655" s="119"/>
      <c r="BW655" s="119"/>
      <c r="BX655" s="119"/>
    </row>
    <row r="656" s="96" customFormat="1" customHeight="1" spans="1:76">
      <c r="A656" s="111">
        <v>655</v>
      </c>
      <c r="B656" s="112" t="s">
        <v>58</v>
      </c>
      <c r="C656" s="112" t="s">
        <v>146</v>
      </c>
      <c r="D656" s="111">
        <v>2024</v>
      </c>
      <c r="E656" s="113" t="s">
        <v>38</v>
      </c>
      <c r="F656" s="114">
        <v>338198</v>
      </c>
      <c r="G656" s="114">
        <v>338198</v>
      </c>
      <c r="H656" s="114">
        <v>11214.859</v>
      </c>
      <c r="I656" s="114">
        <v>642</v>
      </c>
      <c r="J656" s="115">
        <v>0.00137731481481481</v>
      </c>
      <c r="K656" s="114">
        <v>33.47</v>
      </c>
      <c r="L656" s="114">
        <v>91</v>
      </c>
      <c r="M656" s="114">
        <v>2999914</v>
      </c>
      <c r="N656" s="114">
        <v>9.79</v>
      </c>
      <c r="O656" s="114">
        <v>248010</v>
      </c>
      <c r="P656" s="114">
        <v>209083</v>
      </c>
      <c r="Q656" s="114">
        <v>38927</v>
      </c>
      <c r="R656" s="114">
        <v>38927</v>
      </c>
      <c r="S656" s="114">
        <v>0</v>
      </c>
      <c r="T656" s="114">
        <v>967</v>
      </c>
      <c r="U656" s="114">
        <v>325</v>
      </c>
      <c r="V656" s="114">
        <v>1730</v>
      </c>
      <c r="W656" s="114">
        <v>48</v>
      </c>
      <c r="X656" s="114">
        <v>524</v>
      </c>
      <c r="Y656" s="114">
        <v>792</v>
      </c>
      <c r="Z656" s="114">
        <v>764129.862</v>
      </c>
      <c r="AA656" s="114">
        <v>0</v>
      </c>
      <c r="AB656" s="114">
        <v>0</v>
      </c>
      <c r="AC656" s="114">
        <v>15161.728</v>
      </c>
      <c r="AD656" s="114">
        <v>748673.348</v>
      </c>
      <c r="AE656" s="114">
        <v>1361225.661</v>
      </c>
      <c r="AF656" s="114">
        <v>123377</v>
      </c>
      <c r="AG656" s="114">
        <v>11033.059</v>
      </c>
      <c r="AH656" s="114">
        <v>109767</v>
      </c>
      <c r="AI656" s="114">
        <v>2259.416</v>
      </c>
      <c r="AJ656" s="114">
        <v>0</v>
      </c>
      <c r="AK656" s="114">
        <v>0</v>
      </c>
      <c r="AL656" s="114">
        <v>0</v>
      </c>
      <c r="AM656" s="114">
        <v>0</v>
      </c>
      <c r="AN656" s="114">
        <v>2841</v>
      </c>
      <c r="AO656" s="114">
        <v>153.395</v>
      </c>
      <c r="AP656" s="114"/>
      <c r="AQ656" s="114">
        <v>0</v>
      </c>
      <c r="AR656" s="114"/>
      <c r="AS656" s="114"/>
      <c r="AT656" s="114"/>
      <c r="AU656" s="114"/>
      <c r="AV656" s="114">
        <v>0</v>
      </c>
      <c r="AW656" s="114">
        <v>0</v>
      </c>
      <c r="AX656" s="114">
        <v>0</v>
      </c>
      <c r="AY656" s="114">
        <v>0</v>
      </c>
      <c r="AZ656" s="114">
        <v>1</v>
      </c>
      <c r="BA656" s="114">
        <v>15</v>
      </c>
      <c r="BB656" s="116"/>
      <c r="BC656" s="116"/>
      <c r="BD656" s="116"/>
      <c r="BE656" s="116"/>
      <c r="BF656" s="116"/>
      <c r="BG656" s="116"/>
      <c r="BH656" s="116"/>
      <c r="BI656" s="116"/>
      <c r="BJ656" s="117">
        <v>274930</v>
      </c>
      <c r="BK656" s="133">
        <v>642</v>
      </c>
      <c r="BL656" s="119"/>
      <c r="BM656" s="118">
        <v>0</v>
      </c>
      <c r="BN656" s="131"/>
      <c r="BO656" s="119"/>
      <c r="BP656" s="119"/>
      <c r="BQ656" s="119"/>
      <c r="BR656" s="119"/>
      <c r="BS656" s="119"/>
      <c r="BT656" s="119"/>
      <c r="BU656" s="119"/>
      <c r="BV656" s="119"/>
      <c r="BW656" s="119"/>
      <c r="BX656" s="119"/>
    </row>
    <row r="657" s="96" customFormat="1" customHeight="1" spans="1:76">
      <c r="A657" s="111">
        <v>656</v>
      </c>
      <c r="B657" s="112" t="s">
        <v>58</v>
      </c>
      <c r="C657" s="112" t="s">
        <v>146</v>
      </c>
      <c r="D657" s="111">
        <v>2024</v>
      </c>
      <c r="E657" s="113" t="s">
        <v>39</v>
      </c>
      <c r="F657" s="114">
        <v>188956</v>
      </c>
      <c r="G657" s="114">
        <v>188956</v>
      </c>
      <c r="H657" s="114">
        <v>6075.1484</v>
      </c>
      <c r="I657" s="114">
        <v>348</v>
      </c>
      <c r="J657" s="115">
        <v>0.00133101851851852</v>
      </c>
      <c r="K657" s="114">
        <v>27.31</v>
      </c>
      <c r="L657" s="114">
        <v>1</v>
      </c>
      <c r="M657" s="114">
        <v>2066687</v>
      </c>
      <c r="N657" s="114">
        <v>7.86</v>
      </c>
      <c r="O657" s="114">
        <v>138241</v>
      </c>
      <c r="P657" s="114">
        <v>105946</v>
      </c>
      <c r="Q657" s="114">
        <v>32295</v>
      </c>
      <c r="R657" s="114">
        <v>32295</v>
      </c>
      <c r="S657" s="114">
        <v>0</v>
      </c>
      <c r="T657" s="114">
        <v>620</v>
      </c>
      <c r="U657" s="114">
        <v>272</v>
      </c>
      <c r="V657" s="114">
        <v>566</v>
      </c>
      <c r="W657" s="114">
        <v>3</v>
      </c>
      <c r="X657" s="114">
        <v>205</v>
      </c>
      <c r="Y657" s="114">
        <v>293</v>
      </c>
      <c r="Z657" s="114">
        <v>259197.034</v>
      </c>
      <c r="AA657" s="114">
        <v>0</v>
      </c>
      <c r="AB657" s="114">
        <v>0</v>
      </c>
      <c r="AC657" s="114">
        <v>5626.083</v>
      </c>
      <c r="AD657" s="114">
        <v>252857.305</v>
      </c>
      <c r="AE657" s="114">
        <v>459740.493</v>
      </c>
      <c r="AF657" s="114">
        <v>42875</v>
      </c>
      <c r="AG657" s="114">
        <v>10722.81</v>
      </c>
      <c r="AH657" s="114">
        <v>36282</v>
      </c>
      <c r="AI657" s="114">
        <v>1371.732</v>
      </c>
      <c r="AJ657" s="114">
        <v>0</v>
      </c>
      <c r="AK657" s="114">
        <v>0</v>
      </c>
      <c r="AL657" s="114">
        <v>0</v>
      </c>
      <c r="AM657" s="114">
        <v>0</v>
      </c>
      <c r="AN657" s="114">
        <v>1071</v>
      </c>
      <c r="AO657" s="114">
        <v>52.0448</v>
      </c>
      <c r="AP657" s="114"/>
      <c r="AQ657" s="114">
        <v>0</v>
      </c>
      <c r="AR657" s="114"/>
      <c r="AS657" s="114"/>
      <c r="AT657" s="114">
        <v>1</v>
      </c>
      <c r="AU657" s="114">
        <v>368</v>
      </c>
      <c r="AV657" s="114">
        <v>0</v>
      </c>
      <c r="AW657" s="114">
        <v>0</v>
      </c>
      <c r="AX657" s="114">
        <v>0</v>
      </c>
      <c r="AY657" s="114">
        <v>0</v>
      </c>
      <c r="AZ657" s="114">
        <v>0</v>
      </c>
      <c r="BA657" s="114">
        <v>10</v>
      </c>
      <c r="BB657" s="116"/>
      <c r="BC657" s="116"/>
      <c r="BD657" s="116"/>
      <c r="BE657" s="116"/>
      <c r="BF657" s="116"/>
      <c r="BG657" s="116"/>
      <c r="BH657" s="116"/>
      <c r="BI657" s="116"/>
      <c r="BJ657" s="117">
        <v>275278</v>
      </c>
      <c r="BK657" s="133">
        <v>348</v>
      </c>
      <c r="BL657" s="119"/>
      <c r="BM657" s="118">
        <v>0</v>
      </c>
      <c r="BN657" s="131"/>
      <c r="BO657" s="119"/>
      <c r="BP657" s="119"/>
      <c r="BQ657" s="119"/>
      <c r="BR657" s="119"/>
      <c r="BS657" s="119"/>
      <c r="BT657" s="119"/>
      <c r="BU657" s="119"/>
      <c r="BV657" s="119"/>
      <c r="BW657" s="119"/>
      <c r="BX657" s="119"/>
    </row>
    <row r="658" s="96" customFormat="1" customHeight="1" spans="1:76">
      <c r="A658" s="111">
        <v>657</v>
      </c>
      <c r="B658" s="112" t="s">
        <v>58</v>
      </c>
      <c r="C658" s="112" t="s">
        <v>146</v>
      </c>
      <c r="D658" s="111">
        <v>2024</v>
      </c>
      <c r="E658" s="113" t="s">
        <v>40</v>
      </c>
      <c r="F658" s="114">
        <v>121231</v>
      </c>
      <c r="G658" s="114">
        <v>121231</v>
      </c>
      <c r="H658" s="114">
        <v>2369.6175</v>
      </c>
      <c r="I658" s="114">
        <v>137</v>
      </c>
      <c r="J658" s="115">
        <v>0.000810185185185185</v>
      </c>
      <c r="K658" s="114">
        <v>29.71</v>
      </c>
      <c r="L658" s="114">
        <v>136</v>
      </c>
      <c r="M658" s="114">
        <v>1491985</v>
      </c>
      <c r="N658" s="114">
        <v>6.62</v>
      </c>
      <c r="O658" s="114">
        <v>85875</v>
      </c>
      <c r="P658" s="114">
        <v>67456</v>
      </c>
      <c r="Q658" s="114">
        <v>18419</v>
      </c>
      <c r="R658" s="114">
        <v>18419</v>
      </c>
      <c r="S658" s="114">
        <v>0</v>
      </c>
      <c r="T658" s="114">
        <v>367</v>
      </c>
      <c r="U658" s="114">
        <v>230</v>
      </c>
      <c r="V658" s="114">
        <v>326</v>
      </c>
      <c r="W658" s="114">
        <v>10</v>
      </c>
      <c r="X658" s="114">
        <v>254</v>
      </c>
      <c r="Y658" s="114">
        <v>147</v>
      </c>
      <c r="Z658" s="114">
        <v>169703.687</v>
      </c>
      <c r="AA658" s="114">
        <v>0</v>
      </c>
      <c r="AB658" s="114">
        <v>0</v>
      </c>
      <c r="AC658" s="114">
        <v>1963.302</v>
      </c>
      <c r="AD658" s="114">
        <v>167318.649</v>
      </c>
      <c r="AE658" s="114">
        <v>304216.037</v>
      </c>
      <c r="AF658" s="114">
        <v>29186</v>
      </c>
      <c r="AG658" s="114">
        <v>10423.355</v>
      </c>
      <c r="AH658" s="114">
        <v>26130</v>
      </c>
      <c r="AI658" s="114">
        <v>1399.838</v>
      </c>
      <c r="AJ658" s="114">
        <v>0</v>
      </c>
      <c r="AK658" s="114">
        <v>0</v>
      </c>
      <c r="AL658" s="114">
        <v>0</v>
      </c>
      <c r="AM658" s="114">
        <v>0</v>
      </c>
      <c r="AN658" s="114">
        <v>843</v>
      </c>
      <c r="AO658" s="114">
        <v>25.1705</v>
      </c>
      <c r="AP658" s="114"/>
      <c r="AQ658" s="114">
        <v>0</v>
      </c>
      <c r="AR658" s="114"/>
      <c r="AS658" s="114"/>
      <c r="AT658" s="114"/>
      <c r="AU658" s="114">
        <v>4</v>
      </c>
      <c r="AV658" s="114">
        <v>0</v>
      </c>
      <c r="AW658" s="114">
        <v>0</v>
      </c>
      <c r="AX658" s="114">
        <v>0</v>
      </c>
      <c r="AY658" s="114">
        <v>0</v>
      </c>
      <c r="AZ658" s="114">
        <v>0</v>
      </c>
      <c r="BA658" s="114">
        <v>16</v>
      </c>
      <c r="BB658" s="116"/>
      <c r="BC658" s="116"/>
      <c r="BD658" s="116"/>
      <c r="BE658" s="116"/>
      <c r="BF658" s="116"/>
      <c r="BG658" s="116"/>
      <c r="BH658" s="116"/>
      <c r="BI658" s="116"/>
      <c r="BJ658" s="117">
        <v>275415</v>
      </c>
      <c r="BK658" s="133">
        <v>137</v>
      </c>
      <c r="BL658" s="119"/>
      <c r="BM658" s="118">
        <v>0</v>
      </c>
      <c r="BN658" s="131"/>
      <c r="BO658" s="119"/>
      <c r="BP658" s="119"/>
      <c r="BQ658" s="119"/>
      <c r="BR658" s="119"/>
      <c r="BS658" s="119"/>
      <c r="BT658" s="119"/>
      <c r="BU658" s="119"/>
      <c r="BV658" s="119"/>
      <c r="BW658" s="119"/>
      <c r="BX658" s="119"/>
    </row>
    <row r="659" s="96" customFormat="1" customHeight="1" spans="1:76">
      <c r="A659" s="111">
        <v>658</v>
      </c>
      <c r="B659" s="112" t="s">
        <v>58</v>
      </c>
      <c r="C659" s="112" t="s">
        <v>146</v>
      </c>
      <c r="D659" s="111">
        <v>2024</v>
      </c>
      <c r="E659" s="113" t="s">
        <v>41</v>
      </c>
      <c r="F659" s="114">
        <v>59770</v>
      </c>
      <c r="G659" s="114">
        <v>59770</v>
      </c>
      <c r="H659" s="114">
        <v>840.7129</v>
      </c>
      <c r="I659" s="114">
        <v>-44</v>
      </c>
      <c r="J659" s="115">
        <v>0.000578703703703704</v>
      </c>
      <c r="K659" s="114">
        <v>20.75</v>
      </c>
      <c r="L659" s="114"/>
      <c r="M659" s="114">
        <v>752359</v>
      </c>
      <c r="N659" s="114">
        <v>5.93</v>
      </c>
      <c r="O659" s="114">
        <v>36450</v>
      </c>
      <c r="P659" s="114">
        <v>27724</v>
      </c>
      <c r="Q659" s="114">
        <v>8726</v>
      </c>
      <c r="R659" s="114">
        <v>8726</v>
      </c>
      <c r="S659" s="114">
        <v>0</v>
      </c>
      <c r="T659" s="114">
        <v>181</v>
      </c>
      <c r="U659" s="114">
        <v>225</v>
      </c>
      <c r="V659" s="114">
        <v>-139</v>
      </c>
      <c r="W659" s="114">
        <v>-9</v>
      </c>
      <c r="X659" s="114">
        <v>153</v>
      </c>
      <c r="Y659" s="114">
        <v>13</v>
      </c>
      <c r="Z659" s="114">
        <v>34091.496</v>
      </c>
      <c r="AA659" s="114">
        <v>0</v>
      </c>
      <c r="AB659" s="114">
        <v>0</v>
      </c>
      <c r="AC659" s="114">
        <v>1821.683</v>
      </c>
      <c r="AD659" s="114">
        <v>31820.573</v>
      </c>
      <c r="AE659" s="114">
        <v>57855.302</v>
      </c>
      <c r="AF659" s="114">
        <v>7198</v>
      </c>
      <c r="AG659" s="114">
        <v>8037.691</v>
      </c>
      <c r="AH659" s="114">
        <v>6719</v>
      </c>
      <c r="AI659" s="114">
        <v>570.374</v>
      </c>
      <c r="AJ659" s="114">
        <v>0</v>
      </c>
      <c r="AK659" s="114">
        <v>0</v>
      </c>
      <c r="AL659" s="114">
        <v>0</v>
      </c>
      <c r="AM659" s="114">
        <v>0</v>
      </c>
      <c r="AN659" s="114">
        <v>1244</v>
      </c>
      <c r="AO659" s="114">
        <v>28.1257</v>
      </c>
      <c r="AP659" s="114"/>
      <c r="AQ659" s="114">
        <v>0</v>
      </c>
      <c r="AR659" s="114"/>
      <c r="AS659" s="114"/>
      <c r="AT659" s="114"/>
      <c r="AU659" s="114"/>
      <c r="AV659" s="114">
        <v>0</v>
      </c>
      <c r="AW659" s="114">
        <v>0</v>
      </c>
      <c r="AX659" s="114">
        <v>0</v>
      </c>
      <c r="AY659" s="114">
        <v>0</v>
      </c>
      <c r="AZ659" s="114">
        <v>0</v>
      </c>
      <c r="BA659" s="114">
        <v>20</v>
      </c>
      <c r="BB659" s="116"/>
      <c r="BC659" s="116"/>
      <c r="BD659" s="116"/>
      <c r="BE659" s="116"/>
      <c r="BF659" s="116"/>
      <c r="BG659" s="116"/>
      <c r="BH659" s="116"/>
      <c r="BI659" s="116"/>
      <c r="BJ659" s="117">
        <v>275371</v>
      </c>
      <c r="BK659" s="133">
        <v>-44</v>
      </c>
      <c r="BL659" s="119"/>
      <c r="BM659" s="118">
        <v>0</v>
      </c>
      <c r="BN659" s="131"/>
      <c r="BO659" s="119"/>
      <c r="BP659" s="119"/>
      <c r="BQ659" s="119"/>
      <c r="BR659" s="119"/>
      <c r="BS659" s="119"/>
      <c r="BT659" s="119"/>
      <c r="BU659" s="119"/>
      <c r="BV659" s="119"/>
      <c r="BW659" s="119"/>
      <c r="BX659" s="119"/>
    </row>
    <row r="660" s="96" customFormat="1" customHeight="1" spans="1:76">
      <c r="A660" s="111">
        <v>659</v>
      </c>
      <c r="B660" s="112" t="s">
        <v>58</v>
      </c>
      <c r="C660" s="112" t="s">
        <v>146</v>
      </c>
      <c r="D660" s="111">
        <v>2024</v>
      </c>
      <c r="E660" s="113" t="s">
        <v>42</v>
      </c>
      <c r="F660" s="114">
        <v>177516</v>
      </c>
      <c r="G660" s="114">
        <v>177516</v>
      </c>
      <c r="H660" s="114">
        <v>4153.5747</v>
      </c>
      <c r="I660" s="114">
        <v>281</v>
      </c>
      <c r="J660" s="115">
        <v>0.000972222222222222</v>
      </c>
      <c r="K660" s="114">
        <v>25.6</v>
      </c>
      <c r="L660" s="114">
        <v>171</v>
      </c>
      <c r="M660" s="114">
        <v>1958587</v>
      </c>
      <c r="N660" s="114">
        <v>7.57</v>
      </c>
      <c r="O660" s="114">
        <v>126932</v>
      </c>
      <c r="P660" s="114">
        <v>101325</v>
      </c>
      <c r="Q660" s="114">
        <v>25607</v>
      </c>
      <c r="R660" s="114">
        <v>25607</v>
      </c>
      <c r="S660" s="114">
        <v>0</v>
      </c>
      <c r="T660" s="114">
        <v>520</v>
      </c>
      <c r="U660" s="114">
        <v>239</v>
      </c>
      <c r="V660" s="114">
        <v>748</v>
      </c>
      <c r="W660" s="114">
        <v>15</v>
      </c>
      <c r="X660" s="114">
        <v>508</v>
      </c>
      <c r="Y660" s="114">
        <v>274</v>
      </c>
      <c r="Z660" s="114">
        <v>213209.604</v>
      </c>
      <c r="AA660" s="114">
        <v>0</v>
      </c>
      <c r="AB660" s="114">
        <v>0</v>
      </c>
      <c r="AC660" s="114">
        <v>5947.046</v>
      </c>
      <c r="AD660" s="114">
        <v>206897.03</v>
      </c>
      <c r="AE660" s="114">
        <v>376175.955</v>
      </c>
      <c r="AF660" s="114">
        <v>35850</v>
      </c>
      <c r="AG660" s="114">
        <v>10493.053</v>
      </c>
      <c r="AH660" s="114">
        <v>31215</v>
      </c>
      <c r="AI660" s="114">
        <v>1201.072</v>
      </c>
      <c r="AJ660" s="114">
        <v>0</v>
      </c>
      <c r="AK660" s="114">
        <v>0</v>
      </c>
      <c r="AL660" s="114">
        <v>0</v>
      </c>
      <c r="AM660" s="114">
        <v>0</v>
      </c>
      <c r="AN660" s="114">
        <v>1263</v>
      </c>
      <c r="AO660" s="114">
        <v>43.0458</v>
      </c>
      <c r="AP660" s="114"/>
      <c r="AQ660" s="114">
        <v>0</v>
      </c>
      <c r="AR660" s="114"/>
      <c r="AS660" s="114"/>
      <c r="AT660" s="114"/>
      <c r="AU660" s="114"/>
      <c r="AV660" s="114">
        <v>0</v>
      </c>
      <c r="AW660" s="114">
        <v>0</v>
      </c>
      <c r="AX660" s="114">
        <v>0</v>
      </c>
      <c r="AY660" s="114">
        <v>0</v>
      </c>
      <c r="AZ660" s="114">
        <v>0</v>
      </c>
      <c r="BA660" s="114">
        <v>8</v>
      </c>
      <c r="BB660" s="116"/>
      <c r="BC660" s="116"/>
      <c r="BD660" s="116"/>
      <c r="BE660" s="116"/>
      <c r="BF660" s="116"/>
      <c r="BG660" s="116"/>
      <c r="BH660" s="116"/>
      <c r="BI660" s="116"/>
      <c r="BJ660" s="117">
        <v>275652</v>
      </c>
      <c r="BK660" s="133">
        <v>281</v>
      </c>
      <c r="BL660" s="119"/>
      <c r="BM660" s="118">
        <v>0</v>
      </c>
      <c r="BN660" s="131"/>
      <c r="BO660" s="119"/>
      <c r="BP660" s="119"/>
      <c r="BQ660" s="119"/>
      <c r="BR660" s="119"/>
      <c r="BS660" s="119"/>
      <c r="BT660" s="119"/>
      <c r="BU660" s="119"/>
      <c r="BV660" s="119"/>
      <c r="BW660" s="119"/>
      <c r="BX660" s="119"/>
    </row>
    <row r="661" s="96" customFormat="1" customHeight="1" spans="1:76">
      <c r="A661" s="111">
        <v>660</v>
      </c>
      <c r="B661" s="112" t="s">
        <v>58</v>
      </c>
      <c r="C661" s="112" t="s">
        <v>146</v>
      </c>
      <c r="D661" s="111">
        <v>2024</v>
      </c>
      <c r="E661" s="113" t="s">
        <v>43</v>
      </c>
      <c r="F661" s="114">
        <v>106270</v>
      </c>
      <c r="G661" s="114">
        <v>106270</v>
      </c>
      <c r="H661" s="114">
        <v>2868.3681</v>
      </c>
      <c r="I661" s="114">
        <v>51</v>
      </c>
      <c r="J661" s="115">
        <v>0.00112268518518519</v>
      </c>
      <c r="K661" s="114">
        <v>20.86</v>
      </c>
      <c r="L661" s="114">
        <v>81</v>
      </c>
      <c r="M661" s="114">
        <v>1352225</v>
      </c>
      <c r="N661" s="114">
        <v>6.17</v>
      </c>
      <c r="O661" s="114">
        <v>64325</v>
      </c>
      <c r="P661" s="114">
        <v>48536</v>
      </c>
      <c r="Q661" s="114">
        <v>15789</v>
      </c>
      <c r="R661" s="114">
        <v>15789</v>
      </c>
      <c r="S661" s="114">
        <v>0</v>
      </c>
      <c r="T661" s="114">
        <v>353</v>
      </c>
      <c r="U661" s="114">
        <v>302</v>
      </c>
      <c r="V661" s="114">
        <v>329</v>
      </c>
      <c r="W661" s="114">
        <v>13</v>
      </c>
      <c r="X661" s="114">
        <v>215</v>
      </c>
      <c r="Y661" s="114">
        <v>109</v>
      </c>
      <c r="Z661" s="114">
        <v>102543.623</v>
      </c>
      <c r="AA661" s="114">
        <v>0</v>
      </c>
      <c r="AB661" s="114">
        <v>0</v>
      </c>
      <c r="AC661" s="114">
        <v>4927.248</v>
      </c>
      <c r="AD661" s="114">
        <v>97072.221</v>
      </c>
      <c r="AE661" s="114">
        <v>176495.317</v>
      </c>
      <c r="AF661" s="114">
        <v>17611</v>
      </c>
      <c r="AG661" s="114">
        <v>10021.879</v>
      </c>
      <c r="AH661" s="114">
        <v>15576</v>
      </c>
      <c r="AI661" s="114">
        <v>964.933</v>
      </c>
      <c r="AJ661" s="114">
        <v>0</v>
      </c>
      <c r="AK661" s="114">
        <v>0</v>
      </c>
      <c r="AL661" s="114">
        <v>0</v>
      </c>
      <c r="AM661" s="114">
        <v>0</v>
      </c>
      <c r="AN661" s="114">
        <v>913</v>
      </c>
      <c r="AO661" s="114">
        <v>34.144</v>
      </c>
      <c r="AP661" s="114"/>
      <c r="AQ661" s="114">
        <v>0</v>
      </c>
      <c r="AR661" s="114"/>
      <c r="AS661" s="114"/>
      <c r="AT661" s="114"/>
      <c r="AU661" s="114"/>
      <c r="AV661" s="114">
        <v>0</v>
      </c>
      <c r="AW661" s="114">
        <v>0</v>
      </c>
      <c r="AX661" s="114">
        <v>0</v>
      </c>
      <c r="AY661" s="114">
        <v>0</v>
      </c>
      <c r="AZ661" s="114">
        <v>0</v>
      </c>
      <c r="BA661" s="114">
        <v>2</v>
      </c>
      <c r="BB661" s="116"/>
      <c r="BC661" s="116"/>
      <c r="BD661" s="116"/>
      <c r="BE661" s="116"/>
      <c r="BF661" s="116"/>
      <c r="BG661" s="116"/>
      <c r="BH661" s="116"/>
      <c r="BI661" s="116"/>
      <c r="BJ661" s="117">
        <v>275703</v>
      </c>
      <c r="BK661" s="133">
        <v>51</v>
      </c>
      <c r="BL661" s="119"/>
      <c r="BM661" s="118">
        <v>0</v>
      </c>
      <c r="BN661" s="131"/>
      <c r="BO661" s="119"/>
      <c r="BP661" s="119"/>
      <c r="BQ661" s="119"/>
      <c r="BR661" s="119"/>
      <c r="BS661" s="119"/>
      <c r="BT661" s="119"/>
      <c r="BU661" s="119"/>
      <c r="BV661" s="119"/>
      <c r="BW661" s="119"/>
      <c r="BX661" s="119"/>
    </row>
    <row r="662" s="96" customFormat="1" customHeight="1" spans="1:76">
      <c r="A662" s="111">
        <v>661</v>
      </c>
      <c r="B662" s="112" t="s">
        <v>58</v>
      </c>
      <c r="C662" s="112" t="s">
        <v>146</v>
      </c>
      <c r="D662" s="111">
        <v>2025</v>
      </c>
      <c r="E662" s="113" t="s">
        <v>31</v>
      </c>
      <c r="F662" s="114">
        <v>116362</v>
      </c>
      <c r="G662" s="114">
        <v>116362</v>
      </c>
      <c r="H662" s="114">
        <v>5224.947</v>
      </c>
      <c r="I662" s="114">
        <v>208</v>
      </c>
      <c r="J662" s="115">
        <v>0.00186342592592593</v>
      </c>
      <c r="K662" s="114">
        <v>24.81</v>
      </c>
      <c r="L662" s="114">
        <v>27</v>
      </c>
      <c r="M662" s="114">
        <v>1459245</v>
      </c>
      <c r="N662" s="114">
        <v>6.26</v>
      </c>
      <c r="O662" s="114">
        <v>68609</v>
      </c>
      <c r="P662" s="114">
        <v>50478</v>
      </c>
      <c r="Q662" s="114">
        <v>18131</v>
      </c>
      <c r="R662" s="114">
        <v>18131</v>
      </c>
      <c r="S662" s="114">
        <v>0</v>
      </c>
      <c r="T662" s="114">
        <v>463</v>
      </c>
      <c r="U662" s="114">
        <v>255</v>
      </c>
      <c r="V662" s="114">
        <v>473</v>
      </c>
      <c r="W662" s="114">
        <v>28</v>
      </c>
      <c r="X662" s="114">
        <v>194</v>
      </c>
      <c r="Y662" s="114">
        <v>176</v>
      </c>
      <c r="Z662" s="114">
        <v>61510.8</v>
      </c>
      <c r="AA662" s="114">
        <v>0</v>
      </c>
      <c r="AB662" s="114">
        <v>0</v>
      </c>
      <c r="AC662" s="114">
        <v>11322.561</v>
      </c>
      <c r="AD662" s="114">
        <v>49796.847</v>
      </c>
      <c r="AE662" s="114">
        <v>90539.468</v>
      </c>
      <c r="AF662" s="114">
        <v>11462</v>
      </c>
      <c r="AG662" s="114">
        <v>7899.099</v>
      </c>
      <c r="AH662" s="114">
        <v>10798</v>
      </c>
      <c r="AI662" s="114">
        <v>528.616</v>
      </c>
      <c r="AJ662" s="114">
        <v>0</v>
      </c>
      <c r="AK662" s="114">
        <v>0</v>
      </c>
      <c r="AL662" s="114">
        <v>0</v>
      </c>
      <c r="AM662" s="114">
        <v>0</v>
      </c>
      <c r="AN662" s="114">
        <v>1302</v>
      </c>
      <c r="AO662" s="114">
        <v>81.2816</v>
      </c>
      <c r="AP662" s="114"/>
      <c r="AQ662" s="114">
        <v>0</v>
      </c>
      <c r="AR662" s="114"/>
      <c r="AS662" s="114"/>
      <c r="AT662" s="114"/>
      <c r="AU662" s="114">
        <v>1</v>
      </c>
      <c r="AV662" s="114">
        <v>0</v>
      </c>
      <c r="AW662" s="114">
        <v>0</v>
      </c>
      <c r="AX662" s="114">
        <v>0</v>
      </c>
      <c r="AY662" s="114">
        <v>0</v>
      </c>
      <c r="AZ662" s="114">
        <v>0</v>
      </c>
      <c r="BA662" s="114">
        <v>10</v>
      </c>
      <c r="BB662" s="116"/>
      <c r="BC662" s="116"/>
      <c r="BD662" s="116"/>
      <c r="BE662" s="116"/>
      <c r="BF662" s="116"/>
      <c r="BG662" s="116"/>
      <c r="BH662" s="116"/>
      <c r="BI662" s="116"/>
      <c r="BJ662" s="117">
        <v>275911</v>
      </c>
      <c r="BK662" s="133">
        <v>208</v>
      </c>
      <c r="BL662" s="117">
        <v>49068</v>
      </c>
      <c r="BM662" s="118">
        <v>12920</v>
      </c>
      <c r="BN662" s="118">
        <v>0.76</v>
      </c>
      <c r="BO662" s="119"/>
      <c r="BP662" s="119"/>
      <c r="BQ662" s="119"/>
      <c r="BR662" s="119"/>
      <c r="BS662" s="119"/>
      <c r="BT662" s="119"/>
      <c r="BU662" s="119"/>
      <c r="BV662" s="119"/>
      <c r="BW662" s="119"/>
      <c r="BX662" s="119"/>
    </row>
    <row r="663" s="96" customFormat="1" customHeight="1" spans="1:76">
      <c r="A663" s="111">
        <v>662</v>
      </c>
      <c r="B663" s="112" t="s">
        <v>58</v>
      </c>
      <c r="C663" s="112" t="s">
        <v>146</v>
      </c>
      <c r="D663" s="111">
        <v>2025</v>
      </c>
      <c r="E663" s="113" t="s">
        <v>33</v>
      </c>
      <c r="F663" s="114">
        <v>75212</v>
      </c>
      <c r="G663" s="114">
        <v>75212</v>
      </c>
      <c r="H663" s="114">
        <v>3088.8287</v>
      </c>
      <c r="I663" s="114">
        <v>131</v>
      </c>
      <c r="J663" s="115">
        <v>0.00170138888888889</v>
      </c>
      <c r="K663" s="114">
        <v>22.7</v>
      </c>
      <c r="L663" s="114">
        <v>10</v>
      </c>
      <c r="M663" s="114">
        <v>817980</v>
      </c>
      <c r="N663" s="114">
        <v>6.77</v>
      </c>
      <c r="O663" s="114">
        <v>40694</v>
      </c>
      <c r="P663" s="114">
        <v>28482</v>
      </c>
      <c r="Q663" s="114">
        <v>12212</v>
      </c>
      <c r="R663" s="114">
        <v>12212</v>
      </c>
      <c r="S663" s="114">
        <v>0</v>
      </c>
      <c r="T663" s="114">
        <v>268</v>
      </c>
      <c r="U663" s="114">
        <v>137</v>
      </c>
      <c r="V663" s="114">
        <v>365</v>
      </c>
      <c r="W663" s="114">
        <v>1</v>
      </c>
      <c r="X663" s="114">
        <v>116</v>
      </c>
      <c r="Y663" s="114">
        <v>137</v>
      </c>
      <c r="Z663" s="114">
        <v>30233.84</v>
      </c>
      <c r="AA663" s="114">
        <v>0</v>
      </c>
      <c r="AB663" s="114">
        <v>0</v>
      </c>
      <c r="AC663" s="114">
        <v>9963.997</v>
      </c>
      <c r="AD663" s="114">
        <v>20059.583</v>
      </c>
      <c r="AE663" s="114">
        <v>36471.674</v>
      </c>
      <c r="AF663" s="114">
        <v>4096</v>
      </c>
      <c r="AG663" s="114">
        <v>8904.217</v>
      </c>
      <c r="AH663" s="114">
        <v>3746</v>
      </c>
      <c r="AI663" s="114">
        <v>401.979</v>
      </c>
      <c r="AJ663" s="114">
        <v>0</v>
      </c>
      <c r="AK663" s="114">
        <v>0</v>
      </c>
      <c r="AL663" s="114">
        <v>0</v>
      </c>
      <c r="AM663" s="114">
        <v>0</v>
      </c>
      <c r="AN663" s="114">
        <v>714</v>
      </c>
      <c r="AO663" s="114">
        <v>54.7432</v>
      </c>
      <c r="AP663" s="114"/>
      <c r="AQ663" s="114">
        <v>0</v>
      </c>
      <c r="AR663" s="114"/>
      <c r="AS663" s="114"/>
      <c r="AT663" s="114"/>
      <c r="AU663" s="114">
        <v>1</v>
      </c>
      <c r="AV663" s="114">
        <v>0</v>
      </c>
      <c r="AW663" s="114">
        <v>0</v>
      </c>
      <c r="AX663" s="114">
        <v>0</v>
      </c>
      <c r="AY663" s="114">
        <v>0</v>
      </c>
      <c r="AZ663" s="114">
        <v>0</v>
      </c>
      <c r="BA663" s="114">
        <v>4</v>
      </c>
      <c r="BB663" s="116"/>
      <c r="BC663" s="116"/>
      <c r="BD663" s="116"/>
      <c r="BE663" s="116"/>
      <c r="BF663" s="116"/>
      <c r="BG663" s="116"/>
      <c r="BH663" s="116"/>
      <c r="BI663" s="116"/>
      <c r="BJ663" s="117">
        <v>276042</v>
      </c>
      <c r="BK663" s="133">
        <v>131</v>
      </c>
      <c r="BL663" s="117">
        <v>20152</v>
      </c>
      <c r="BM663" s="118">
        <v>6290</v>
      </c>
      <c r="BN663" s="118">
        <v>0.37</v>
      </c>
      <c r="BO663" s="119"/>
      <c r="BP663" s="119"/>
      <c r="BQ663" s="119"/>
      <c r="BR663" s="119"/>
      <c r="BS663" s="119"/>
      <c r="BT663" s="119"/>
      <c r="BU663" s="119"/>
      <c r="BV663" s="119"/>
      <c r="BW663" s="119"/>
      <c r="BX663" s="119"/>
    </row>
    <row r="664" s="96" customFormat="1" customHeight="1" spans="1:76">
      <c r="A664" s="111">
        <v>663</v>
      </c>
      <c r="B664" s="112" t="s">
        <v>58</v>
      </c>
      <c r="C664" s="112" t="s">
        <v>146</v>
      </c>
      <c r="D664" s="111">
        <v>2025</v>
      </c>
      <c r="E664" s="113" t="s">
        <v>34</v>
      </c>
      <c r="F664" s="114">
        <v>56464</v>
      </c>
      <c r="G664" s="114">
        <v>56444</v>
      </c>
      <c r="H664" s="114">
        <v>687.4517</v>
      </c>
      <c r="I664" s="114">
        <v>-70</v>
      </c>
      <c r="J664" s="115">
        <v>0.000497685185185185</v>
      </c>
      <c r="K664" s="114">
        <v>11.79</v>
      </c>
      <c r="L664" s="114"/>
      <c r="M664" s="114">
        <v>680166</v>
      </c>
      <c r="N664" s="114">
        <v>5.94</v>
      </c>
      <c r="O664" s="114">
        <v>27409</v>
      </c>
      <c r="P664" s="114">
        <v>22359</v>
      </c>
      <c r="Q664" s="114">
        <v>5057</v>
      </c>
      <c r="R664" s="114">
        <v>4822</v>
      </c>
      <c r="S664" s="114">
        <v>235</v>
      </c>
      <c r="T664" s="114">
        <v>216</v>
      </c>
      <c r="U664" s="114">
        <v>286</v>
      </c>
      <c r="V664" s="114">
        <v>-135</v>
      </c>
      <c r="W664" s="114">
        <v>-10</v>
      </c>
      <c r="X664" s="114">
        <v>64</v>
      </c>
      <c r="Y664" s="114">
        <v>123</v>
      </c>
      <c r="Z664" s="114">
        <v>16709.252</v>
      </c>
      <c r="AA664" s="114">
        <v>0</v>
      </c>
      <c r="AB664" s="114">
        <v>0</v>
      </c>
      <c r="AC664" s="114">
        <v>646.019</v>
      </c>
      <c r="AD664" s="114">
        <v>15706.797</v>
      </c>
      <c r="AE664" s="114">
        <v>28558.039</v>
      </c>
      <c r="AF664" s="114">
        <v>3252</v>
      </c>
      <c r="AG664" s="114">
        <v>8781.685</v>
      </c>
      <c r="AH664" s="114">
        <v>3073</v>
      </c>
      <c r="AI664" s="114">
        <v>296.031</v>
      </c>
      <c r="AJ664" s="114">
        <v>0</v>
      </c>
      <c r="AK664" s="114">
        <v>0</v>
      </c>
      <c r="AL664" s="114">
        <v>0</v>
      </c>
      <c r="AM664" s="114">
        <v>0</v>
      </c>
      <c r="AN664" s="114">
        <v>238</v>
      </c>
      <c r="AO664" s="114">
        <v>4.6064</v>
      </c>
      <c r="AP664" s="114"/>
      <c r="AQ664" s="114">
        <v>0</v>
      </c>
      <c r="AR664" s="114"/>
      <c r="AS664" s="114"/>
      <c r="AT664" s="114">
        <v>1</v>
      </c>
      <c r="AU664" s="114">
        <v>9</v>
      </c>
      <c r="AV664" s="114">
        <v>0</v>
      </c>
      <c r="AW664" s="114">
        <v>0</v>
      </c>
      <c r="AX664" s="114">
        <v>0</v>
      </c>
      <c r="AY664" s="114">
        <v>0</v>
      </c>
      <c r="AZ664" s="114">
        <v>0</v>
      </c>
      <c r="BA664" s="114">
        <v>10</v>
      </c>
      <c r="BB664" s="116"/>
      <c r="BC664" s="116"/>
      <c r="BD664" s="116"/>
      <c r="BE664" s="116"/>
      <c r="BF664" s="116"/>
      <c r="BG664" s="116"/>
      <c r="BH664" s="116"/>
      <c r="BI664" s="116"/>
      <c r="BJ664" s="117">
        <v>275972</v>
      </c>
      <c r="BK664" s="133">
        <v>-70</v>
      </c>
      <c r="BL664" s="133">
        <v>0</v>
      </c>
      <c r="BM664" s="118">
        <v>0</v>
      </c>
      <c r="BN664" s="118">
        <v>0</v>
      </c>
      <c r="BO664" s="119"/>
      <c r="BP664" s="119"/>
      <c r="BQ664" s="119"/>
      <c r="BR664" s="119"/>
      <c r="BS664" s="119"/>
      <c r="BT664" s="119"/>
      <c r="BU664" s="119"/>
      <c r="BV664" s="119"/>
      <c r="BW664" s="119"/>
      <c r="BX664" s="119"/>
    </row>
    <row r="665" s="96" customFormat="1" customHeight="1" spans="1:76">
      <c r="A665" s="111">
        <v>664</v>
      </c>
      <c r="B665" s="112" t="s">
        <v>58</v>
      </c>
      <c r="C665" s="112" t="s">
        <v>146</v>
      </c>
      <c r="D665" s="111">
        <v>2025</v>
      </c>
      <c r="E665" s="113" t="s">
        <v>35</v>
      </c>
      <c r="F665" s="114">
        <v>113579</v>
      </c>
      <c r="G665" s="114">
        <v>111879</v>
      </c>
      <c r="H665" s="114">
        <v>1435.6917</v>
      </c>
      <c r="I665" s="114">
        <v>48</v>
      </c>
      <c r="J665" s="115">
        <v>0.000532407407407407</v>
      </c>
      <c r="K665" s="114">
        <v>20.75</v>
      </c>
      <c r="L665" s="114"/>
      <c r="M665" s="114">
        <v>1165982</v>
      </c>
      <c r="N665" s="114">
        <v>7.58</v>
      </c>
      <c r="O665" s="114">
        <v>73934</v>
      </c>
      <c r="P665" s="114">
        <v>64472</v>
      </c>
      <c r="Q665" s="114">
        <v>9454</v>
      </c>
      <c r="R665" s="114">
        <v>9041</v>
      </c>
      <c r="S665" s="114">
        <v>413</v>
      </c>
      <c r="T665" s="114">
        <v>332</v>
      </c>
      <c r="U665" s="114">
        <v>284</v>
      </c>
      <c r="V665" s="114">
        <v>-598</v>
      </c>
      <c r="W665" s="114">
        <v>-2</v>
      </c>
      <c r="X665" s="114">
        <v>83</v>
      </c>
      <c r="Y665" s="114">
        <v>52</v>
      </c>
      <c r="Z665" s="114">
        <v>13401.471</v>
      </c>
      <c r="AA665" s="114">
        <v>0</v>
      </c>
      <c r="AB665" s="114">
        <v>0</v>
      </c>
      <c r="AC665" s="114">
        <v>552.608</v>
      </c>
      <c r="AD665" s="114">
        <v>11941.737</v>
      </c>
      <c r="AE665" s="114">
        <v>21712.692</v>
      </c>
      <c r="AF665" s="114">
        <v>2630</v>
      </c>
      <c r="AG665" s="114">
        <v>8255.776</v>
      </c>
      <c r="AH665" s="114">
        <v>2461</v>
      </c>
      <c r="AI665" s="114">
        <v>119.787</v>
      </c>
      <c r="AJ665" s="114">
        <v>0</v>
      </c>
      <c r="AK665" s="114">
        <v>0</v>
      </c>
      <c r="AL665" s="114">
        <v>0</v>
      </c>
      <c r="AM665" s="114">
        <v>0</v>
      </c>
      <c r="AN665" s="114">
        <v>383</v>
      </c>
      <c r="AO665" s="114">
        <v>8.5476</v>
      </c>
      <c r="AP665" s="114"/>
      <c r="AQ665" s="114">
        <v>0</v>
      </c>
      <c r="AR665" s="114"/>
      <c r="AS665" s="114"/>
      <c r="AT665" s="114"/>
      <c r="AU665" s="114">
        <v>1</v>
      </c>
      <c r="AV665" s="114">
        <v>0</v>
      </c>
      <c r="AW665" s="114">
        <v>0</v>
      </c>
      <c r="AX665" s="114">
        <v>0</v>
      </c>
      <c r="AY665" s="114">
        <v>0</v>
      </c>
      <c r="AZ665" s="114">
        <v>0</v>
      </c>
      <c r="BA665" s="114">
        <v>10</v>
      </c>
      <c r="BB665" s="116"/>
      <c r="BC665" s="116"/>
      <c r="BD665" s="116"/>
      <c r="BE665" s="116"/>
      <c r="BF665" s="116"/>
      <c r="BG665" s="116"/>
      <c r="BH665" s="116"/>
      <c r="BI665" s="116"/>
      <c r="BJ665" s="117">
        <v>276020</v>
      </c>
      <c r="BK665" s="133">
        <v>48</v>
      </c>
      <c r="BL665" s="133">
        <v>0</v>
      </c>
      <c r="BM665" s="118">
        <v>0</v>
      </c>
      <c r="BN665" s="118">
        <v>0</v>
      </c>
      <c r="BO665" s="119"/>
      <c r="BP665" s="119"/>
      <c r="BQ665" s="119"/>
      <c r="BR665" s="119"/>
      <c r="BS665" s="119"/>
      <c r="BT665" s="119"/>
      <c r="BU665" s="119"/>
      <c r="BV665" s="119"/>
      <c r="BW665" s="119"/>
      <c r="BX665" s="119"/>
    </row>
    <row r="666" s="96" customFormat="1" customHeight="1" spans="1:76">
      <c r="A666" s="111">
        <v>665</v>
      </c>
      <c r="B666" s="112" t="s">
        <v>58</v>
      </c>
      <c r="C666" s="112" t="s">
        <v>146</v>
      </c>
      <c r="D666" s="111">
        <v>2025</v>
      </c>
      <c r="E666" s="113" t="s">
        <v>36</v>
      </c>
      <c r="F666" s="114">
        <v>72427</v>
      </c>
      <c r="G666" s="114">
        <v>70928</v>
      </c>
      <c r="H666" s="114">
        <v>1359.5013</v>
      </c>
      <c r="I666" s="114">
        <v>-28</v>
      </c>
      <c r="J666" s="115">
        <v>0.000787037037037037</v>
      </c>
      <c r="K666" s="114">
        <v>12.16</v>
      </c>
      <c r="L666" s="114">
        <v>14</v>
      </c>
      <c r="M666" s="114">
        <v>825836</v>
      </c>
      <c r="N666" s="114">
        <v>6.21</v>
      </c>
      <c r="O666" s="114">
        <v>39843</v>
      </c>
      <c r="P666" s="114">
        <v>34397</v>
      </c>
      <c r="Q666" s="114">
        <v>5446</v>
      </c>
      <c r="R666" s="114">
        <v>5096</v>
      </c>
      <c r="S666" s="114">
        <v>350</v>
      </c>
      <c r="T666" s="114">
        <v>247</v>
      </c>
      <c r="U666" s="114">
        <v>275</v>
      </c>
      <c r="V666" s="114">
        <v>-233</v>
      </c>
      <c r="W666" s="114">
        <v>-52</v>
      </c>
      <c r="X666" s="114">
        <v>69</v>
      </c>
      <c r="Y666" s="114">
        <v>347</v>
      </c>
      <c r="Z666" s="114">
        <v>53101.08</v>
      </c>
      <c r="AA666" s="114">
        <v>0</v>
      </c>
      <c r="AB666" s="114">
        <v>0</v>
      </c>
      <c r="AC666" s="114">
        <v>4936.929</v>
      </c>
      <c r="AD666" s="114">
        <v>47545.556</v>
      </c>
      <c r="AE666" s="114">
        <v>86445.981</v>
      </c>
      <c r="AF666" s="114">
        <v>8387</v>
      </c>
      <c r="AG666" s="114">
        <v>10307.14</v>
      </c>
      <c r="AH666" s="114">
        <v>6847</v>
      </c>
      <c r="AI666" s="114">
        <v>748.664</v>
      </c>
      <c r="AJ666" s="114">
        <v>5</v>
      </c>
      <c r="AK666" s="114">
        <v>493</v>
      </c>
      <c r="AL666" s="114">
        <v>0</v>
      </c>
      <c r="AM666" s="114">
        <v>0</v>
      </c>
      <c r="AN666" s="114">
        <v>512</v>
      </c>
      <c r="AO666" s="114">
        <v>32.5595</v>
      </c>
      <c r="AP666" s="114"/>
      <c r="AQ666" s="114">
        <v>0</v>
      </c>
      <c r="AR666" s="114"/>
      <c r="AS666" s="114"/>
      <c r="AT666" s="114"/>
      <c r="AU666" s="114">
        <v>1</v>
      </c>
      <c r="AV666" s="114">
        <v>0</v>
      </c>
      <c r="AW666" s="114">
        <v>0</v>
      </c>
      <c r="AX666" s="114">
        <v>0</v>
      </c>
      <c r="AY666" s="114">
        <v>0</v>
      </c>
      <c r="AZ666" s="114">
        <v>0</v>
      </c>
      <c r="BA666" s="114">
        <v>8</v>
      </c>
      <c r="BB666" s="116"/>
      <c r="BC666" s="116"/>
      <c r="BD666" s="116"/>
      <c r="BE666" s="116"/>
      <c r="BF666" s="116"/>
      <c r="BG666" s="116"/>
      <c r="BH666" s="116"/>
      <c r="BI666" s="116"/>
      <c r="BJ666" s="117">
        <v>275992</v>
      </c>
      <c r="BK666" s="133">
        <v>-28</v>
      </c>
      <c r="BL666" s="117">
        <v>9013</v>
      </c>
      <c r="BM666" s="118">
        <v>40630</v>
      </c>
      <c r="BN666" s="118">
        <v>2.39</v>
      </c>
      <c r="BO666" s="119"/>
      <c r="BP666" s="119"/>
      <c r="BQ666" s="119"/>
      <c r="BR666" s="119"/>
      <c r="BS666" s="119"/>
      <c r="BT666" s="119"/>
      <c r="BU666" s="119"/>
      <c r="BV666" s="119"/>
      <c r="BW666" s="119"/>
      <c r="BX666" s="119"/>
    </row>
    <row r="667" s="96" customFormat="1" customHeight="1" spans="1:76">
      <c r="A667" s="111">
        <v>666</v>
      </c>
      <c r="B667" s="112" t="s">
        <v>58</v>
      </c>
      <c r="C667" s="112" t="s">
        <v>146</v>
      </c>
      <c r="D667" s="111">
        <v>2025</v>
      </c>
      <c r="E667" s="113" t="s">
        <v>37</v>
      </c>
      <c r="F667" s="114">
        <v>206534</v>
      </c>
      <c r="G667" s="114">
        <v>205354</v>
      </c>
      <c r="H667" s="114">
        <v>20859.9007</v>
      </c>
      <c r="I667" s="114">
        <v>1402</v>
      </c>
      <c r="J667" s="115">
        <v>0.00422453703703704</v>
      </c>
      <c r="K667" s="114">
        <v>19.88</v>
      </c>
      <c r="L667" s="114">
        <v>25</v>
      </c>
      <c r="M667" s="114">
        <v>1971751</v>
      </c>
      <c r="N667" s="114">
        <v>8.09</v>
      </c>
      <c r="O667" s="114">
        <v>173855</v>
      </c>
      <c r="P667" s="114">
        <v>166277</v>
      </c>
      <c r="Q667" s="114">
        <v>7578</v>
      </c>
      <c r="R667" s="114">
        <v>7427</v>
      </c>
      <c r="S667" s="114">
        <v>151</v>
      </c>
      <c r="T667" s="114">
        <v>1683</v>
      </c>
      <c r="U667" s="114">
        <v>281</v>
      </c>
      <c r="V667" s="114">
        <v>1458</v>
      </c>
      <c r="W667" s="114">
        <v>194</v>
      </c>
      <c r="X667" s="114">
        <v>281</v>
      </c>
      <c r="Y667" s="114">
        <v>2084</v>
      </c>
      <c r="Z667" s="114">
        <v>956085.996</v>
      </c>
      <c r="AA667" s="114">
        <v>0</v>
      </c>
      <c r="AB667" s="114">
        <v>0</v>
      </c>
      <c r="AC667" s="114">
        <v>53121.486</v>
      </c>
      <c r="AD667" s="114">
        <v>902431.805</v>
      </c>
      <c r="AE667" s="114">
        <v>1640785.375</v>
      </c>
      <c r="AF667" s="114">
        <v>202477</v>
      </c>
      <c r="AG667" s="114">
        <v>8103.564</v>
      </c>
      <c r="AH667" s="114">
        <v>172573</v>
      </c>
      <c r="AI667" s="114">
        <v>4655.794</v>
      </c>
      <c r="AJ667" s="114">
        <v>8</v>
      </c>
      <c r="AK667" s="114">
        <v>761</v>
      </c>
      <c r="AL667" s="114">
        <v>0</v>
      </c>
      <c r="AM667" s="114">
        <v>0</v>
      </c>
      <c r="AN667" s="114">
        <v>2152</v>
      </c>
      <c r="AO667" s="114">
        <v>353.5957</v>
      </c>
      <c r="AP667" s="114">
        <v>124.5999</v>
      </c>
      <c r="AQ667" s="114">
        <v>18</v>
      </c>
      <c r="AR667" s="114">
        <v>16</v>
      </c>
      <c r="AS667" s="114">
        <v>1</v>
      </c>
      <c r="AT667" s="114"/>
      <c r="AU667" s="114">
        <v>2</v>
      </c>
      <c r="AV667" s="114">
        <v>0</v>
      </c>
      <c r="AW667" s="114">
        <v>0</v>
      </c>
      <c r="AX667" s="114">
        <v>0</v>
      </c>
      <c r="AY667" s="114">
        <v>0</v>
      </c>
      <c r="AZ667" s="114">
        <v>0</v>
      </c>
      <c r="BA667" s="114">
        <v>0</v>
      </c>
      <c r="BB667" s="116"/>
      <c r="BC667" s="116"/>
      <c r="BD667" s="116"/>
      <c r="BE667" s="116"/>
      <c r="BF667" s="116"/>
      <c r="BG667" s="116"/>
      <c r="BH667" s="116"/>
      <c r="BI667" s="116"/>
      <c r="BJ667" s="117">
        <v>277394</v>
      </c>
      <c r="BK667" s="117">
        <v>1402</v>
      </c>
      <c r="BL667" s="117">
        <v>192549</v>
      </c>
      <c r="BM667" s="118">
        <v>974100</v>
      </c>
      <c r="BN667" s="118">
        <v>57.3</v>
      </c>
      <c r="BO667" s="119"/>
      <c r="BP667" s="119"/>
      <c r="BQ667" s="119"/>
      <c r="BR667" s="119"/>
      <c r="BS667" s="119"/>
      <c r="BT667" s="119"/>
      <c r="BU667" s="119"/>
      <c r="BV667" s="119"/>
      <c r="BW667" s="119"/>
      <c r="BX667" s="119"/>
    </row>
    <row r="668" s="96" customFormat="1" customHeight="1" spans="1:76">
      <c r="A668" s="111">
        <v>667</v>
      </c>
      <c r="B668" s="112" t="s">
        <v>58</v>
      </c>
      <c r="C668" s="112" t="s">
        <v>146</v>
      </c>
      <c r="D668" s="111">
        <v>2025</v>
      </c>
      <c r="E668" s="113" t="s">
        <v>38</v>
      </c>
      <c r="F668" s="114">
        <v>68262</v>
      </c>
      <c r="G668" s="114">
        <v>65536</v>
      </c>
      <c r="H668" s="114">
        <v>4575.3144</v>
      </c>
      <c r="I668" s="114">
        <v>47</v>
      </c>
      <c r="J668" s="115">
        <v>0.00290509259259259</v>
      </c>
      <c r="K668" s="114">
        <v>19.77</v>
      </c>
      <c r="L668" s="114">
        <v>33</v>
      </c>
      <c r="M668" s="114">
        <v>709788</v>
      </c>
      <c r="N668" s="114">
        <v>7.38</v>
      </c>
      <c r="O668" s="114">
        <v>51649</v>
      </c>
      <c r="P668" s="114">
        <v>42917</v>
      </c>
      <c r="Q668" s="114">
        <v>8732</v>
      </c>
      <c r="R668" s="114">
        <v>8637</v>
      </c>
      <c r="S668" s="114">
        <v>95</v>
      </c>
      <c r="T668" s="114">
        <v>370</v>
      </c>
      <c r="U668" s="114">
        <v>323</v>
      </c>
      <c r="V668" s="114">
        <v>227</v>
      </c>
      <c r="W668" s="114">
        <v>3</v>
      </c>
      <c r="X668" s="114">
        <v>156</v>
      </c>
      <c r="Y668" s="114">
        <v>223</v>
      </c>
      <c r="Z668" s="114">
        <v>178700.696</v>
      </c>
      <c r="AA668" s="114">
        <v>0</v>
      </c>
      <c r="AB668" s="114">
        <v>0</v>
      </c>
      <c r="AC668" s="114">
        <v>8463.413</v>
      </c>
      <c r="AD668" s="114">
        <v>168649.443</v>
      </c>
      <c r="AE668" s="114">
        <v>306635.898</v>
      </c>
      <c r="AF668" s="114">
        <v>40598</v>
      </c>
      <c r="AG668" s="114">
        <v>7552.98</v>
      </c>
      <c r="AH668" s="114">
        <v>34633</v>
      </c>
      <c r="AI668" s="114">
        <v>2726.761</v>
      </c>
      <c r="AJ668" s="114">
        <v>0</v>
      </c>
      <c r="AK668" s="114">
        <v>5</v>
      </c>
      <c r="AL668" s="114">
        <v>0</v>
      </c>
      <c r="AM668" s="114">
        <v>0</v>
      </c>
      <c r="AN668" s="114">
        <v>692</v>
      </c>
      <c r="AO668" s="114">
        <v>54.9397</v>
      </c>
      <c r="AP668" s="114"/>
      <c r="AQ668" s="114">
        <v>0</v>
      </c>
      <c r="AR668" s="114"/>
      <c r="AS668" s="114"/>
      <c r="AT668" s="114"/>
      <c r="AU668" s="114"/>
      <c r="AV668" s="114">
        <v>0</v>
      </c>
      <c r="AW668" s="114">
        <v>0</v>
      </c>
      <c r="AX668" s="114">
        <v>0</v>
      </c>
      <c r="AY668" s="114">
        <v>0</v>
      </c>
      <c r="AZ668" s="114">
        <v>0</v>
      </c>
      <c r="BA668" s="114">
        <v>0</v>
      </c>
      <c r="BB668" s="116"/>
      <c r="BC668" s="116"/>
      <c r="BD668" s="116"/>
      <c r="BE668" s="116"/>
      <c r="BF668" s="116"/>
      <c r="BG668" s="116"/>
      <c r="BH668" s="116"/>
      <c r="BI668" s="116"/>
      <c r="BJ668" s="117">
        <v>277441</v>
      </c>
      <c r="BK668" s="133">
        <v>47</v>
      </c>
      <c r="BL668" s="117">
        <v>50117</v>
      </c>
      <c r="BM668" s="118">
        <v>164730</v>
      </c>
      <c r="BN668" s="118">
        <v>9.69</v>
      </c>
      <c r="BO668" s="120">
        <v>0.744</v>
      </c>
      <c r="BP668" s="120">
        <v>0.256</v>
      </c>
      <c r="BQ668" s="119"/>
      <c r="BR668" s="134">
        <v>0</v>
      </c>
      <c r="BS668" s="120">
        <v>0.092</v>
      </c>
      <c r="BT668" s="120">
        <v>0.527</v>
      </c>
      <c r="BU668" s="120">
        <v>0.261</v>
      </c>
      <c r="BV668" s="120">
        <v>0.057</v>
      </c>
      <c r="BW668" s="120">
        <v>0.041</v>
      </c>
      <c r="BX668" s="120">
        <v>0.022</v>
      </c>
    </row>
    <row r="669" s="96" customFormat="1" customHeight="1" spans="1:76">
      <c r="A669" s="111">
        <v>668</v>
      </c>
      <c r="B669" s="112" t="s">
        <v>58</v>
      </c>
      <c r="C669" s="112" t="s">
        <v>146</v>
      </c>
      <c r="D669" s="111">
        <v>2025</v>
      </c>
      <c r="E669" s="113" t="s">
        <v>39</v>
      </c>
      <c r="F669" s="114">
        <v>278721</v>
      </c>
      <c r="G669" s="114">
        <v>277104</v>
      </c>
      <c r="H669" s="114">
        <v>35186.5527</v>
      </c>
      <c r="I669" s="114">
        <v>1466</v>
      </c>
      <c r="J669" s="115">
        <v>0.00528935185185185</v>
      </c>
      <c r="K669" s="114">
        <v>23.02</v>
      </c>
      <c r="L669" s="114">
        <v>62</v>
      </c>
      <c r="M669" s="114">
        <v>2821104</v>
      </c>
      <c r="N669" s="114">
        <v>8.04</v>
      </c>
      <c r="O669" s="114">
        <v>227129</v>
      </c>
      <c r="P669" s="114">
        <v>199510</v>
      </c>
      <c r="Q669" s="114">
        <v>27619</v>
      </c>
      <c r="R669" s="114">
        <v>27530</v>
      </c>
      <c r="S669" s="114">
        <v>89</v>
      </c>
      <c r="T669" s="114">
        <v>1707</v>
      </c>
      <c r="U669" s="114">
        <v>241</v>
      </c>
      <c r="V669" s="114">
        <v>1625</v>
      </c>
      <c r="W669" s="114">
        <v>98</v>
      </c>
      <c r="X669" s="114">
        <v>370</v>
      </c>
      <c r="Y669" s="114">
        <v>1456</v>
      </c>
      <c r="Z669" s="114">
        <v>1885512.743</v>
      </c>
      <c r="AA669" s="114">
        <v>0</v>
      </c>
      <c r="AB669" s="114">
        <v>0</v>
      </c>
      <c r="AC669" s="114">
        <v>116830.805</v>
      </c>
      <c r="AD669" s="114">
        <v>1767810.369</v>
      </c>
      <c r="AE669" s="114">
        <v>3214095.55</v>
      </c>
      <c r="AF669" s="114">
        <v>295379</v>
      </c>
      <c r="AG669" s="114">
        <v>10881.26</v>
      </c>
      <c r="AH669" s="114">
        <v>222736</v>
      </c>
      <c r="AI669" s="114">
        <v>6804.349</v>
      </c>
      <c r="AJ669" s="114">
        <v>0</v>
      </c>
      <c r="AK669" s="114">
        <v>6</v>
      </c>
      <c r="AL669" s="114">
        <v>0</v>
      </c>
      <c r="AM669" s="114">
        <v>0</v>
      </c>
      <c r="AN669" s="114">
        <v>4995</v>
      </c>
      <c r="AO669" s="114">
        <v>800.4848</v>
      </c>
      <c r="AP669" s="114">
        <v>0.2329</v>
      </c>
      <c r="AQ669" s="114">
        <v>5</v>
      </c>
      <c r="AR669" s="114">
        <v>0</v>
      </c>
      <c r="AS669" s="114">
        <v>0</v>
      </c>
      <c r="AT669" s="114"/>
      <c r="AU669" s="114"/>
      <c r="AV669" s="114">
        <v>0</v>
      </c>
      <c r="AW669" s="114">
        <v>0</v>
      </c>
      <c r="AX669" s="114">
        <v>0</v>
      </c>
      <c r="AY669" s="114">
        <v>0</v>
      </c>
      <c r="AZ669" s="114">
        <v>0</v>
      </c>
      <c r="BA669" s="114">
        <v>0</v>
      </c>
      <c r="BB669" s="116"/>
      <c r="BC669" s="116"/>
      <c r="BD669" s="116"/>
      <c r="BE669" s="116"/>
      <c r="BF669" s="116"/>
      <c r="BG669" s="116"/>
      <c r="BH669" s="116"/>
      <c r="BI669" s="116"/>
      <c r="BJ669" s="117">
        <v>278968</v>
      </c>
      <c r="BK669" s="117">
        <v>1466</v>
      </c>
      <c r="BL669" s="117">
        <v>245085</v>
      </c>
      <c r="BM669" s="118">
        <v>1829880</v>
      </c>
      <c r="BN669" s="118">
        <v>107.64</v>
      </c>
      <c r="BO669" s="120">
        <v>0.804</v>
      </c>
      <c r="BP669" s="120">
        <v>0.196</v>
      </c>
      <c r="BQ669" s="134">
        <v>0</v>
      </c>
      <c r="BR669" s="120">
        <v>0.005</v>
      </c>
      <c r="BS669" s="120">
        <v>0.044</v>
      </c>
      <c r="BT669" s="120">
        <v>0.221</v>
      </c>
      <c r="BU669" s="120">
        <v>0.216</v>
      </c>
      <c r="BV669" s="120">
        <v>0.216</v>
      </c>
      <c r="BW669" s="120">
        <v>0.196</v>
      </c>
      <c r="BX669" s="120">
        <v>0.102</v>
      </c>
    </row>
    <row r="670" s="96" customFormat="1" customHeight="1" spans="1:76">
      <c r="A670" s="111">
        <v>669</v>
      </c>
      <c r="B670" s="112" t="s">
        <v>58</v>
      </c>
      <c r="C670" s="112" t="s">
        <v>146</v>
      </c>
      <c r="D670" s="111">
        <v>2025</v>
      </c>
      <c r="E670" s="113" t="s">
        <v>40</v>
      </c>
      <c r="F670" s="114">
        <v>635169</v>
      </c>
      <c r="G670" s="114">
        <v>626598</v>
      </c>
      <c r="H670" s="114">
        <v>61420.0038</v>
      </c>
      <c r="I670" s="114">
        <v>3605</v>
      </c>
      <c r="J670" s="115">
        <v>0.00407407407407407</v>
      </c>
      <c r="K670" s="114">
        <v>29.13</v>
      </c>
      <c r="L670" s="114">
        <v>247</v>
      </c>
      <c r="M670" s="114">
        <v>6960361</v>
      </c>
      <c r="N670" s="114">
        <v>6.8</v>
      </c>
      <c r="O670" s="114">
        <v>492054</v>
      </c>
      <c r="P670" s="114">
        <v>404621</v>
      </c>
      <c r="Q670" s="114">
        <v>87433</v>
      </c>
      <c r="R670" s="114">
        <v>87332</v>
      </c>
      <c r="S670" s="114">
        <v>101</v>
      </c>
      <c r="T670" s="114">
        <v>3967</v>
      </c>
      <c r="U670" s="114">
        <v>362</v>
      </c>
      <c r="V670" s="114">
        <v>5291</v>
      </c>
      <c r="W670" s="114">
        <v>231</v>
      </c>
      <c r="X670" s="114">
        <v>1063</v>
      </c>
      <c r="Y670" s="114">
        <v>3670</v>
      </c>
      <c r="Z670" s="114">
        <v>3752516.535</v>
      </c>
      <c r="AA670" s="114">
        <v>0</v>
      </c>
      <c r="AB670" s="114">
        <v>0</v>
      </c>
      <c r="AC670" s="114">
        <v>134455.81</v>
      </c>
      <c r="AD670" s="114">
        <v>3615980.159</v>
      </c>
      <c r="AE670" s="114">
        <v>6574508.117</v>
      </c>
      <c r="AF670" s="114">
        <v>736100</v>
      </c>
      <c r="AG670" s="114">
        <v>8931.542</v>
      </c>
      <c r="AH670" s="114">
        <v>570389</v>
      </c>
      <c r="AI670" s="114">
        <v>5988.713</v>
      </c>
      <c r="AJ670" s="114">
        <v>2</v>
      </c>
      <c r="AK670" s="114">
        <v>38</v>
      </c>
      <c r="AL670" s="114">
        <v>0</v>
      </c>
      <c r="AM670" s="114">
        <v>0</v>
      </c>
      <c r="AN670" s="114">
        <v>9086</v>
      </c>
      <c r="AO670" s="114">
        <v>952.1115</v>
      </c>
      <c r="AP670" s="114">
        <v>190.7418</v>
      </c>
      <c r="AQ670" s="114">
        <v>57</v>
      </c>
      <c r="AR670" s="114">
        <v>5</v>
      </c>
      <c r="AS670" s="114">
        <v>38</v>
      </c>
      <c r="AT670" s="114"/>
      <c r="AU670" s="114">
        <v>1</v>
      </c>
      <c r="AV670" s="114">
        <v>0</v>
      </c>
      <c r="AW670" s="114">
        <v>0</v>
      </c>
      <c r="AX670" s="114">
        <v>0</v>
      </c>
      <c r="AY670" s="114">
        <v>0</v>
      </c>
      <c r="AZ670" s="114">
        <v>1452</v>
      </c>
      <c r="BA670" s="114">
        <v>81635</v>
      </c>
      <c r="BB670" s="116"/>
      <c r="BC670" s="116"/>
      <c r="BD670" s="116"/>
      <c r="BE670" s="116"/>
      <c r="BF670" s="116"/>
      <c r="BG670" s="116"/>
      <c r="BH670" s="116"/>
      <c r="BI670" s="116"/>
      <c r="BJ670" s="117">
        <v>282513</v>
      </c>
      <c r="BK670" s="117">
        <v>3605</v>
      </c>
      <c r="BL670" s="117">
        <v>611244</v>
      </c>
      <c r="BM670" s="118">
        <v>3768390</v>
      </c>
      <c r="BN670" s="118">
        <v>221.67</v>
      </c>
      <c r="BO670" s="120">
        <v>0.799</v>
      </c>
      <c r="BP670" s="120">
        <v>0.201</v>
      </c>
      <c r="BQ670" s="134">
        <v>0</v>
      </c>
      <c r="BR670" s="120">
        <v>0.007</v>
      </c>
      <c r="BS670" s="120">
        <v>0.046</v>
      </c>
      <c r="BT670" s="120">
        <v>0.224</v>
      </c>
      <c r="BU670" s="120">
        <v>0.189</v>
      </c>
      <c r="BV670" s="120">
        <v>0.198</v>
      </c>
      <c r="BW670" s="120">
        <v>0.217</v>
      </c>
      <c r="BX670" s="120">
        <v>0.12</v>
      </c>
    </row>
    <row r="671" s="96" customFormat="1" customHeight="1" spans="1:76">
      <c r="A671" s="111">
        <v>670</v>
      </c>
      <c r="B671" s="112" t="s">
        <v>58</v>
      </c>
      <c r="C671" s="112" t="s">
        <v>146</v>
      </c>
      <c r="D671" s="111">
        <v>2025</v>
      </c>
      <c r="E671" s="113" t="s">
        <v>41</v>
      </c>
      <c r="F671" s="114">
        <v>312182</v>
      </c>
      <c r="G671" s="114">
        <v>303769</v>
      </c>
      <c r="H671" s="114">
        <v>38311.8101</v>
      </c>
      <c r="I671" s="114">
        <v>1899</v>
      </c>
      <c r="J671" s="115">
        <v>0.00524305555555556</v>
      </c>
      <c r="K671" s="114">
        <v>17.92</v>
      </c>
      <c r="L671" s="114">
        <v>303</v>
      </c>
      <c r="M671" s="114">
        <v>2981334</v>
      </c>
      <c r="N671" s="114">
        <v>7.73</v>
      </c>
      <c r="O671" s="114">
        <v>237330</v>
      </c>
      <c r="P671" s="114">
        <v>159395</v>
      </c>
      <c r="Q671" s="114">
        <v>77935</v>
      </c>
      <c r="R671" s="114">
        <v>77818</v>
      </c>
      <c r="S671" s="114">
        <v>117</v>
      </c>
      <c r="T671" s="114">
        <v>2232</v>
      </c>
      <c r="U671" s="114">
        <v>333</v>
      </c>
      <c r="V671" s="114">
        <v>2867</v>
      </c>
      <c r="W671" s="114">
        <v>124</v>
      </c>
      <c r="X671" s="114">
        <v>697</v>
      </c>
      <c r="Y671" s="114">
        <v>1109</v>
      </c>
      <c r="Z671" s="114">
        <v>2269240.701</v>
      </c>
      <c r="AA671" s="114">
        <v>0</v>
      </c>
      <c r="AB671" s="114">
        <v>0</v>
      </c>
      <c r="AC671" s="114">
        <v>129352.006</v>
      </c>
      <c r="AD671" s="114">
        <v>2136580.664</v>
      </c>
      <c r="AE671" s="114">
        <v>3885502.449</v>
      </c>
      <c r="AF671" s="114">
        <v>407670</v>
      </c>
      <c r="AG671" s="114">
        <v>9530.999</v>
      </c>
      <c r="AH671" s="114">
        <v>286173</v>
      </c>
      <c r="AI671" s="114">
        <v>7470.285</v>
      </c>
      <c r="AJ671" s="114">
        <v>2</v>
      </c>
      <c r="AK671" s="114">
        <v>25</v>
      </c>
      <c r="AL671" s="114">
        <v>0</v>
      </c>
      <c r="AM671" s="114">
        <v>0</v>
      </c>
      <c r="AN671" s="114">
        <v>5230</v>
      </c>
      <c r="AO671" s="114">
        <v>893.936</v>
      </c>
      <c r="AP671" s="114">
        <v>149.0716</v>
      </c>
      <c r="AQ671" s="114">
        <v>9</v>
      </c>
      <c r="AR671" s="114">
        <v>3</v>
      </c>
      <c r="AS671" s="114">
        <v>3</v>
      </c>
      <c r="AT671" s="114"/>
      <c r="AU671" s="114">
        <v>4</v>
      </c>
      <c r="AV671" s="114">
        <v>0</v>
      </c>
      <c r="AW671" s="114">
        <v>0</v>
      </c>
      <c r="AX671" s="114">
        <v>0</v>
      </c>
      <c r="AY671" s="114">
        <v>0</v>
      </c>
      <c r="AZ671" s="114">
        <v>343</v>
      </c>
      <c r="BA671" s="114">
        <v>20091</v>
      </c>
      <c r="BB671" s="116"/>
      <c r="BC671" s="116"/>
      <c r="BD671" s="116"/>
      <c r="BE671" s="116"/>
      <c r="BF671" s="116"/>
      <c r="BG671" s="116"/>
      <c r="BH671" s="116"/>
      <c r="BI671" s="116"/>
      <c r="BJ671" s="117">
        <v>284412</v>
      </c>
      <c r="BK671" s="117">
        <v>1899</v>
      </c>
      <c r="BL671" s="117">
        <v>263180</v>
      </c>
      <c r="BM671" s="118">
        <v>2166990</v>
      </c>
      <c r="BN671" s="118">
        <v>127.47</v>
      </c>
      <c r="BO671" s="120">
        <v>0.814</v>
      </c>
      <c r="BP671" s="120">
        <v>0.186</v>
      </c>
      <c r="BQ671" s="134">
        <v>0</v>
      </c>
      <c r="BR671" s="120">
        <v>0.005</v>
      </c>
      <c r="BS671" s="120">
        <v>0.039</v>
      </c>
      <c r="BT671" s="120">
        <v>0.219</v>
      </c>
      <c r="BU671" s="120">
        <v>0.171</v>
      </c>
      <c r="BV671" s="120">
        <v>0.175</v>
      </c>
      <c r="BW671" s="120">
        <v>0.224</v>
      </c>
      <c r="BX671" s="120">
        <v>0.166</v>
      </c>
    </row>
    <row r="672" s="96" customFormat="1" customHeight="1" spans="1:76">
      <c r="A672" s="111">
        <v>671</v>
      </c>
      <c r="B672" s="112" t="s">
        <v>58</v>
      </c>
      <c r="C672" s="112" t="s">
        <v>146</v>
      </c>
      <c r="D672" s="111">
        <v>2025</v>
      </c>
      <c r="E672" s="113" t="s">
        <v>42</v>
      </c>
      <c r="F672" s="114">
        <v>1121667</v>
      </c>
      <c r="G672" s="114">
        <v>1110456</v>
      </c>
      <c r="H672" s="114">
        <v>124885.4447</v>
      </c>
      <c r="I672" s="114">
        <v>3292</v>
      </c>
      <c r="J672" s="115">
        <v>0.00467592592592593</v>
      </c>
      <c r="K672" s="114">
        <v>28.07</v>
      </c>
      <c r="L672" s="114">
        <v>268</v>
      </c>
      <c r="M672" s="114">
        <v>11166393</v>
      </c>
      <c r="N672" s="114">
        <v>7.59</v>
      </c>
      <c r="O672" s="114">
        <v>745502</v>
      </c>
      <c r="P672" s="114">
        <v>493965</v>
      </c>
      <c r="Q672" s="114">
        <v>251784</v>
      </c>
      <c r="R672" s="114">
        <v>251388</v>
      </c>
      <c r="S672" s="114">
        <v>396</v>
      </c>
      <c r="T672" s="114">
        <v>3714</v>
      </c>
      <c r="U672" s="114">
        <v>422</v>
      </c>
      <c r="V672" s="114">
        <v>6611</v>
      </c>
      <c r="W672" s="114">
        <v>488</v>
      </c>
      <c r="X672" s="114">
        <v>1258</v>
      </c>
      <c r="Y672" s="114">
        <v>8660</v>
      </c>
      <c r="Z672" s="114">
        <v>7262642.781</v>
      </c>
      <c r="AA672" s="114">
        <v>0</v>
      </c>
      <c r="AB672" s="114">
        <v>0</v>
      </c>
      <c r="AC672" s="114">
        <v>305077.123</v>
      </c>
      <c r="AD672" s="114">
        <v>6954380.969</v>
      </c>
      <c r="AE672" s="114">
        <v>12645930.27</v>
      </c>
      <c r="AF672" s="114">
        <v>1418144</v>
      </c>
      <c r="AG672" s="114">
        <v>8917.24</v>
      </c>
      <c r="AH672" s="114">
        <v>1103127</v>
      </c>
      <c r="AI672" s="114">
        <v>6540.234</v>
      </c>
      <c r="AJ672" s="114">
        <v>3</v>
      </c>
      <c r="AK672" s="114">
        <v>11</v>
      </c>
      <c r="AL672" s="114">
        <v>0</v>
      </c>
      <c r="AM672" s="114">
        <v>0</v>
      </c>
      <c r="AN672" s="114">
        <v>16328</v>
      </c>
      <c r="AO672" s="114">
        <v>2064.3058</v>
      </c>
      <c r="AP672" s="114">
        <v>25.8792</v>
      </c>
      <c r="AQ672" s="114">
        <v>13</v>
      </c>
      <c r="AR672" s="114">
        <v>50</v>
      </c>
      <c r="AS672" s="114">
        <v>150</v>
      </c>
      <c r="AT672" s="114"/>
      <c r="AU672" s="114"/>
      <c r="AV672" s="114">
        <v>0</v>
      </c>
      <c r="AW672" s="114">
        <v>0</v>
      </c>
      <c r="AX672" s="114">
        <v>0</v>
      </c>
      <c r="AY672" s="114">
        <v>0</v>
      </c>
      <c r="AZ672" s="114">
        <v>5456</v>
      </c>
      <c r="BA672" s="114">
        <v>256075</v>
      </c>
      <c r="BB672" s="116"/>
      <c r="BC672" s="116"/>
      <c r="BD672" s="116"/>
      <c r="BE672" s="116"/>
      <c r="BF672" s="116"/>
      <c r="BG672" s="116"/>
      <c r="BH672" s="116"/>
      <c r="BI672" s="116"/>
      <c r="BJ672" s="117">
        <v>287704</v>
      </c>
      <c r="BK672" s="117">
        <v>3292</v>
      </c>
      <c r="BL672" s="117">
        <v>1093226</v>
      </c>
      <c r="BM672" s="118">
        <v>7254070</v>
      </c>
      <c r="BN672" s="118">
        <v>426.71</v>
      </c>
      <c r="BO672" s="120">
        <v>0.808</v>
      </c>
      <c r="BP672" s="120">
        <v>0.192</v>
      </c>
      <c r="BQ672" s="134">
        <v>0</v>
      </c>
      <c r="BR672" s="120">
        <v>0.01</v>
      </c>
      <c r="BS672" s="120">
        <v>0.048</v>
      </c>
      <c r="BT672" s="120">
        <v>0.233</v>
      </c>
      <c r="BU672" s="120">
        <v>0.191</v>
      </c>
      <c r="BV672" s="120">
        <v>0.197</v>
      </c>
      <c r="BW672" s="120">
        <v>0.205</v>
      </c>
      <c r="BX672" s="120">
        <v>0.116</v>
      </c>
    </row>
    <row r="673" s="96" customFormat="1" customHeight="1" spans="1:76">
      <c r="A673" s="111">
        <v>672</v>
      </c>
      <c r="B673" s="112" t="s">
        <v>58</v>
      </c>
      <c r="C673" s="112" t="s">
        <v>146</v>
      </c>
      <c r="D673" s="111">
        <v>2025</v>
      </c>
      <c r="E673" s="113" t="s">
        <v>43</v>
      </c>
      <c r="F673" s="114">
        <v>986411</v>
      </c>
      <c r="G673" s="114">
        <v>970423</v>
      </c>
      <c r="H673" s="114">
        <v>122317.7318</v>
      </c>
      <c r="I673" s="114">
        <v>3004</v>
      </c>
      <c r="J673" s="115">
        <v>0.00524305555555556</v>
      </c>
      <c r="K673" s="114">
        <v>25.64</v>
      </c>
      <c r="L673" s="114">
        <v>308</v>
      </c>
      <c r="M673" s="114">
        <v>9496645</v>
      </c>
      <c r="N673" s="114">
        <v>8.1</v>
      </c>
      <c r="O673" s="114">
        <v>644133</v>
      </c>
      <c r="P673" s="114">
        <v>357966</v>
      </c>
      <c r="Q673" s="114">
        <v>285823</v>
      </c>
      <c r="R673" s="114">
        <v>283980</v>
      </c>
      <c r="S673" s="114">
        <v>1843</v>
      </c>
      <c r="T673" s="114">
        <v>3458</v>
      </c>
      <c r="U673" s="114">
        <v>454</v>
      </c>
      <c r="V673" s="114">
        <v>7950</v>
      </c>
      <c r="W673" s="114">
        <v>456</v>
      </c>
      <c r="X673" s="114">
        <v>2087</v>
      </c>
      <c r="Y673" s="114">
        <v>5476</v>
      </c>
      <c r="Z673" s="114">
        <v>8403578.182</v>
      </c>
      <c r="AA673" s="114">
        <v>0</v>
      </c>
      <c r="AB673" s="114">
        <v>0</v>
      </c>
      <c r="AC673" s="114">
        <v>511995.267</v>
      </c>
      <c r="AD673" s="114">
        <v>7885977.491</v>
      </c>
      <c r="AE673" s="114">
        <v>14338264.06</v>
      </c>
      <c r="AF673" s="114">
        <v>1277638</v>
      </c>
      <c r="AG673" s="114">
        <v>11222.478</v>
      </c>
      <c r="AH673" s="114">
        <v>958554</v>
      </c>
      <c r="AI673" s="114">
        <v>8659.706</v>
      </c>
      <c r="AJ673" s="114">
        <v>0</v>
      </c>
      <c r="AK673" s="114">
        <v>28</v>
      </c>
      <c r="AL673" s="114">
        <v>0</v>
      </c>
      <c r="AM673" s="114">
        <v>0</v>
      </c>
      <c r="AN673" s="114">
        <v>20909</v>
      </c>
      <c r="AO673" s="114">
        <v>3548.4377</v>
      </c>
      <c r="AP673" s="114">
        <v>17.4203</v>
      </c>
      <c r="AQ673" s="114">
        <v>20</v>
      </c>
      <c r="AR673" s="114">
        <v>147</v>
      </c>
      <c r="AS673" s="114">
        <v>2</v>
      </c>
      <c r="AT673" s="114"/>
      <c r="AU673" s="114"/>
      <c r="AV673" s="114">
        <v>0</v>
      </c>
      <c r="AW673" s="114">
        <v>0</v>
      </c>
      <c r="AX673" s="114">
        <v>0</v>
      </c>
      <c r="AY673" s="114">
        <v>0</v>
      </c>
      <c r="AZ673" s="114">
        <v>902</v>
      </c>
      <c r="BA673" s="114">
        <v>82819</v>
      </c>
      <c r="BB673" s="116"/>
      <c r="BC673" s="116"/>
      <c r="BD673" s="116"/>
      <c r="BE673" s="116"/>
      <c r="BF673" s="116"/>
      <c r="BG673" s="116"/>
      <c r="BH673" s="116"/>
      <c r="BI673" s="116"/>
      <c r="BJ673" s="117">
        <v>290708</v>
      </c>
      <c r="BK673" s="117">
        <v>3004</v>
      </c>
      <c r="BL673" s="117">
        <v>845788</v>
      </c>
      <c r="BM673" s="118">
        <v>7560070</v>
      </c>
      <c r="BN673" s="118">
        <v>444.71</v>
      </c>
      <c r="BO673" s="120">
        <v>0.749</v>
      </c>
      <c r="BP673" s="120">
        <v>0.25</v>
      </c>
      <c r="BQ673" s="134">
        <v>0</v>
      </c>
      <c r="BR673" s="120">
        <v>0.009</v>
      </c>
      <c r="BS673" s="120">
        <v>0.042</v>
      </c>
      <c r="BT673" s="120">
        <v>0.225</v>
      </c>
      <c r="BU673" s="120">
        <v>0.198</v>
      </c>
      <c r="BV673" s="120">
        <v>0.204</v>
      </c>
      <c r="BW673" s="120">
        <v>0.203</v>
      </c>
      <c r="BX673" s="120">
        <v>0.119</v>
      </c>
    </row>
    <row r="674" s="96" customFormat="1" customHeight="1" spans="1:76">
      <c r="A674" s="111">
        <v>673</v>
      </c>
      <c r="B674" s="112" t="s">
        <v>58</v>
      </c>
      <c r="C674" s="112" t="s">
        <v>146</v>
      </c>
      <c r="D674" s="111">
        <v>2026</v>
      </c>
      <c r="E674" s="112" t="s">
        <v>31</v>
      </c>
      <c r="F674" s="121">
        <v>659168</v>
      </c>
      <c r="G674" s="114">
        <v>646596</v>
      </c>
      <c r="H674" s="114">
        <v>83841.15</v>
      </c>
      <c r="I674" s="114">
        <v>2378</v>
      </c>
      <c r="J674" s="115">
        <v>0.00539351851851852</v>
      </c>
      <c r="K674" s="114">
        <v>26.8</v>
      </c>
      <c r="L674" s="114">
        <v>373</v>
      </c>
      <c r="M674" s="114">
        <v>6796727</v>
      </c>
      <c r="N674" s="114">
        <v>7.06</v>
      </c>
      <c r="O674" s="114">
        <v>476242</v>
      </c>
      <c r="P674" s="114">
        <v>293230</v>
      </c>
      <c r="Q674" s="114">
        <v>182982</v>
      </c>
      <c r="R674" s="114">
        <v>180144</v>
      </c>
      <c r="S674" s="114">
        <v>2838</v>
      </c>
      <c r="T674" s="114">
        <v>2785</v>
      </c>
      <c r="U674" s="114">
        <v>407</v>
      </c>
      <c r="V674" s="114">
        <v>5350</v>
      </c>
      <c r="W674" s="114">
        <v>285</v>
      </c>
      <c r="X674" s="114">
        <v>2101</v>
      </c>
      <c r="Y674" s="114">
        <v>3217</v>
      </c>
      <c r="Z674" s="121">
        <v>5049383</v>
      </c>
      <c r="AA674" s="114">
        <v>0</v>
      </c>
      <c r="AB674" s="114">
        <v>0</v>
      </c>
      <c r="AC674" s="114">
        <v>361774.881</v>
      </c>
      <c r="AD674" s="114">
        <v>4568289.106</v>
      </c>
      <c r="AE674" s="114">
        <v>8309965.453</v>
      </c>
      <c r="AF674" s="114">
        <v>794987</v>
      </c>
      <c r="AG674" s="114">
        <v>10452.958</v>
      </c>
      <c r="AH674" s="114">
        <v>533405</v>
      </c>
      <c r="AI674" s="114">
        <v>7631.413</v>
      </c>
      <c r="AJ674" s="114">
        <v>1</v>
      </c>
      <c r="AK674" s="114">
        <v>15</v>
      </c>
      <c r="AL674" s="114">
        <v>0</v>
      </c>
      <c r="AM674" s="114">
        <v>0</v>
      </c>
      <c r="AN674" s="114">
        <v>14924</v>
      </c>
      <c r="AO674" s="114">
        <v>2604.044</v>
      </c>
      <c r="AP674" s="114">
        <v>13.1121</v>
      </c>
      <c r="AQ674" s="114">
        <v>13</v>
      </c>
      <c r="AR674" s="114">
        <v>6</v>
      </c>
      <c r="AS674" s="114">
        <v>1</v>
      </c>
      <c r="AT674" s="114"/>
      <c r="AU674" s="114">
        <v>1</v>
      </c>
      <c r="AV674" s="114">
        <v>0</v>
      </c>
      <c r="AW674" s="114">
        <v>0</v>
      </c>
      <c r="AX674" s="114">
        <v>0</v>
      </c>
      <c r="AY674" s="114">
        <v>0</v>
      </c>
      <c r="AZ674" s="114">
        <v>112</v>
      </c>
      <c r="BA674" s="114">
        <v>17854</v>
      </c>
      <c r="BB674" s="116"/>
      <c r="BC674" s="116"/>
      <c r="BD674" s="116"/>
      <c r="BE674" s="116"/>
      <c r="BF674" s="116"/>
      <c r="BG674" s="116"/>
      <c r="BH674" s="116"/>
      <c r="BI674" s="116"/>
      <c r="BJ674" s="117">
        <v>293086</v>
      </c>
      <c r="BK674" s="117">
        <v>2378</v>
      </c>
      <c r="BL674" s="117">
        <v>557774</v>
      </c>
      <c r="BM674" s="118">
        <v>4344532</v>
      </c>
      <c r="BN674" s="118"/>
      <c r="BO674" s="120">
        <v>0.782</v>
      </c>
      <c r="BP674" s="120">
        <v>0.218</v>
      </c>
      <c r="BQ674" s="134">
        <v>0</v>
      </c>
      <c r="BR674" s="120">
        <v>0.008</v>
      </c>
      <c r="BS674" s="120">
        <v>0.041</v>
      </c>
      <c r="BT674" s="120">
        <v>0.249</v>
      </c>
      <c r="BU674" s="120">
        <v>0.221</v>
      </c>
      <c r="BV674" s="120">
        <v>0.205</v>
      </c>
      <c r="BW674" s="120">
        <v>0.175</v>
      </c>
      <c r="BX674" s="120">
        <v>0.102</v>
      </c>
    </row>
    <row r="675" s="96" customFormat="1" customHeight="1" spans="1:76">
      <c r="A675" s="111">
        <v>674</v>
      </c>
      <c r="B675" s="112" t="s">
        <v>58</v>
      </c>
      <c r="C675" s="112" t="s">
        <v>146</v>
      </c>
      <c r="D675" s="111">
        <v>2026</v>
      </c>
      <c r="E675" s="112" t="s">
        <v>33</v>
      </c>
      <c r="F675" s="114">
        <v>1203307</v>
      </c>
      <c r="G675" s="114">
        <v>1202779</v>
      </c>
      <c r="H675" s="114">
        <v>137699.2453</v>
      </c>
      <c r="I675" s="114">
        <v>2707</v>
      </c>
      <c r="J675" s="115">
        <v>0.00476851851851852</v>
      </c>
      <c r="K675" s="114">
        <v>12.62</v>
      </c>
      <c r="L675" s="114">
        <v>652</v>
      </c>
      <c r="M675" s="114">
        <v>11577683</v>
      </c>
      <c r="N675" s="114">
        <v>8.53</v>
      </c>
      <c r="O675" s="114">
        <v>855434</v>
      </c>
      <c r="P675" s="114">
        <v>469695</v>
      </c>
      <c r="Q675" s="114">
        <v>383710</v>
      </c>
      <c r="R675" s="114">
        <v>373836</v>
      </c>
      <c r="S675" s="114">
        <v>9874</v>
      </c>
      <c r="T675" s="114">
        <v>3244</v>
      </c>
      <c r="U675" s="114">
        <v>537</v>
      </c>
      <c r="V675" s="114">
        <v>8159</v>
      </c>
      <c r="W675" s="114">
        <v>357</v>
      </c>
      <c r="X675" s="114">
        <v>2138</v>
      </c>
      <c r="Y675" s="114">
        <v>5507</v>
      </c>
      <c r="Z675" s="114">
        <v>7909331.468</v>
      </c>
      <c r="AA675" s="114">
        <v>0</v>
      </c>
      <c r="AB675" s="114">
        <v>0</v>
      </c>
      <c r="AC675" s="114">
        <v>563447.395</v>
      </c>
      <c r="AD675" s="114">
        <v>7345598.981</v>
      </c>
      <c r="AE675" s="114">
        <v>13348940.95</v>
      </c>
      <c r="AF675" s="114">
        <v>1369475</v>
      </c>
      <c r="AG675" s="114">
        <v>9747.488</v>
      </c>
      <c r="AH675" s="114">
        <v>997461</v>
      </c>
      <c r="AI675" s="114">
        <v>6573.011</v>
      </c>
      <c r="AJ675" s="114">
        <v>0</v>
      </c>
      <c r="AK675" s="114">
        <v>8</v>
      </c>
      <c r="AL675" s="114">
        <v>0</v>
      </c>
      <c r="AM675" s="114">
        <v>0</v>
      </c>
      <c r="AN675" s="114">
        <v>28386</v>
      </c>
      <c r="AO675" s="114">
        <v>4057.8947</v>
      </c>
      <c r="AP675" s="114">
        <v>765.1314</v>
      </c>
      <c r="AQ675" s="114">
        <v>230</v>
      </c>
      <c r="AR675" s="114">
        <v>8735</v>
      </c>
      <c r="AS675" s="114">
        <v>1233</v>
      </c>
      <c r="AT675" s="114">
        <v>0</v>
      </c>
      <c r="AU675" s="114">
        <v>2</v>
      </c>
      <c r="AV675" s="114">
        <v>0</v>
      </c>
      <c r="AW675" s="114">
        <v>0</v>
      </c>
      <c r="AX675" s="114">
        <v>0</v>
      </c>
      <c r="AY675" s="114">
        <v>0</v>
      </c>
      <c r="AZ675" s="114">
        <v>1311</v>
      </c>
      <c r="BA675" s="114">
        <v>191802</v>
      </c>
      <c r="BB675" s="116"/>
      <c r="BC675" s="116"/>
      <c r="BD675" s="116"/>
      <c r="BE675" s="116"/>
      <c r="BF675" s="116"/>
      <c r="BG675" s="116"/>
      <c r="BH675" s="116"/>
      <c r="BI675" s="116"/>
      <c r="BJ675" s="117">
        <v>295793</v>
      </c>
      <c r="BK675" s="117">
        <v>2707</v>
      </c>
      <c r="BL675" s="117">
        <v>1001359</v>
      </c>
      <c r="BM675" s="118">
        <v>6197533</v>
      </c>
      <c r="BN675" s="118"/>
      <c r="BO675" s="120">
        <v>0.817</v>
      </c>
      <c r="BP675" s="120">
        <v>0.183</v>
      </c>
      <c r="BQ675" s="120">
        <v>0</v>
      </c>
      <c r="BR675" s="120">
        <v>0.008</v>
      </c>
      <c r="BS675" s="120">
        <v>0.042</v>
      </c>
      <c r="BT675" s="120">
        <v>0.251</v>
      </c>
      <c r="BU675" s="120">
        <v>0.229</v>
      </c>
      <c r="BV675" s="120">
        <v>0.206</v>
      </c>
      <c r="BW675" s="120">
        <v>0.174</v>
      </c>
      <c r="BX675" s="120">
        <v>0.09</v>
      </c>
    </row>
    <row r="676" s="96" customFormat="1" customHeight="1" spans="1:76">
      <c r="A676" s="111">
        <v>675</v>
      </c>
      <c r="B676" s="112" t="s">
        <v>58</v>
      </c>
      <c r="C676" s="112" t="s">
        <v>146</v>
      </c>
      <c r="D676" s="111">
        <v>2026</v>
      </c>
      <c r="E676" s="113" t="s">
        <v>34</v>
      </c>
      <c r="F676" s="114">
        <v>850322</v>
      </c>
      <c r="G676" s="114">
        <v>849267</v>
      </c>
      <c r="H676" s="114">
        <v>101443.8117</v>
      </c>
      <c r="I676" s="114">
        <v>1728</v>
      </c>
      <c r="J676" s="115">
        <v>0.00497685185185185</v>
      </c>
      <c r="K676" s="114">
        <v>7.79</v>
      </c>
      <c r="L676" s="114">
        <v>464</v>
      </c>
      <c r="M676" s="114">
        <v>8550751</v>
      </c>
      <c r="N676" s="114">
        <v>8.25</v>
      </c>
      <c r="O676" s="114">
        <v>601970</v>
      </c>
      <c r="P676" s="114">
        <v>335149</v>
      </c>
      <c r="Q676" s="114">
        <v>250939</v>
      </c>
      <c r="R676" s="114">
        <v>241710</v>
      </c>
      <c r="S676" s="114">
        <v>9229</v>
      </c>
      <c r="T676" s="114">
        <v>2173</v>
      </c>
      <c r="U676" s="114">
        <v>445</v>
      </c>
      <c r="V676" s="114">
        <v>5471</v>
      </c>
      <c r="W676" s="114">
        <v>259</v>
      </c>
      <c r="X676" s="114">
        <v>1377</v>
      </c>
      <c r="Y676" s="114">
        <v>2978</v>
      </c>
      <c r="Z676" s="114">
        <v>5317873.194</v>
      </c>
      <c r="AA676" s="114">
        <v>0</v>
      </c>
      <c r="AB676" s="114">
        <v>0</v>
      </c>
      <c r="AC676" s="114">
        <v>358417.574</v>
      </c>
      <c r="AD676" s="114">
        <v>4958813.445</v>
      </c>
      <c r="AE676" s="114">
        <v>9015209.591</v>
      </c>
      <c r="AF676" s="114">
        <v>971124</v>
      </c>
      <c r="AG676" s="114">
        <v>9283.273</v>
      </c>
      <c r="AH676" s="114">
        <v>646495</v>
      </c>
      <c r="AI676" s="114">
        <v>6302.657</v>
      </c>
      <c r="AJ676" s="114">
        <v>0</v>
      </c>
      <c r="AK676" s="114">
        <v>11</v>
      </c>
      <c r="AL676" s="114">
        <v>0</v>
      </c>
      <c r="AM676" s="114">
        <v>0</v>
      </c>
      <c r="AN676" s="114">
        <v>16810</v>
      </c>
      <c r="AO676" s="114">
        <v>3027.4024</v>
      </c>
      <c r="AP676" s="114">
        <v>1015.8841</v>
      </c>
      <c r="AQ676" s="114">
        <v>237</v>
      </c>
      <c r="AR676" s="114">
        <v>4176</v>
      </c>
      <c r="AS676" s="114">
        <v>51</v>
      </c>
      <c r="AT676" s="114"/>
      <c r="AU676" s="114">
        <v>6</v>
      </c>
      <c r="AV676" s="114">
        <v>0</v>
      </c>
      <c r="AW676" s="114">
        <v>0</v>
      </c>
      <c r="AX676" s="114">
        <v>0</v>
      </c>
      <c r="AY676" s="114">
        <v>0</v>
      </c>
      <c r="AZ676" s="114">
        <v>362</v>
      </c>
      <c r="BA676" s="114">
        <v>63918</v>
      </c>
      <c r="BB676" s="116"/>
      <c r="BC676" s="116"/>
      <c r="BD676" s="116"/>
      <c r="BE676" s="116"/>
      <c r="BF676" s="116"/>
      <c r="BG676" s="116"/>
      <c r="BH676" s="116"/>
      <c r="BI676" s="116"/>
      <c r="BJ676" s="117">
        <v>297520</v>
      </c>
      <c r="BK676" s="117">
        <v>1728</v>
      </c>
      <c r="BL676" s="117">
        <v>627242</v>
      </c>
      <c r="BM676" s="118">
        <v>3532259</v>
      </c>
      <c r="BN676" s="118"/>
      <c r="BO676" s="120">
        <v>0.815</v>
      </c>
      <c r="BP676" s="120">
        <v>0.185</v>
      </c>
      <c r="BQ676" s="120">
        <v>0</v>
      </c>
      <c r="BR676" s="120">
        <v>0.009</v>
      </c>
      <c r="BS676" s="120">
        <v>0.047</v>
      </c>
      <c r="BT676" s="120">
        <v>0.248</v>
      </c>
      <c r="BU676" s="120">
        <v>0.226</v>
      </c>
      <c r="BV676" s="120">
        <v>0.217</v>
      </c>
      <c r="BW676" s="120">
        <v>0.169</v>
      </c>
      <c r="BX676" s="120">
        <v>0.084</v>
      </c>
    </row>
    <row r="677" s="96" customFormat="1" customHeight="1" spans="1:76">
      <c r="A677" s="111">
        <v>676</v>
      </c>
      <c r="B677" s="112" t="s">
        <v>58</v>
      </c>
      <c r="C677" s="112" t="s">
        <v>146</v>
      </c>
      <c r="D677" s="111">
        <v>2026</v>
      </c>
      <c r="E677" s="113" t="s">
        <v>35</v>
      </c>
      <c r="F677" s="114">
        <v>1551264</v>
      </c>
      <c r="G677" s="114">
        <v>1540336</v>
      </c>
      <c r="H677" s="114">
        <v>199601.0475</v>
      </c>
      <c r="I677" s="114">
        <v>2536</v>
      </c>
      <c r="J677" s="115">
        <v>0.00539351851851852</v>
      </c>
      <c r="K677" s="114">
        <v>29.88</v>
      </c>
      <c r="L677" s="114">
        <v>245</v>
      </c>
      <c r="M677" s="114">
        <v>14630650</v>
      </c>
      <c r="N677" s="114">
        <v>8.06</v>
      </c>
      <c r="O677" s="114">
        <v>976143</v>
      </c>
      <c r="P677" s="114">
        <v>470465</v>
      </c>
      <c r="Q677" s="114">
        <v>454970</v>
      </c>
      <c r="R677" s="114">
        <v>429012</v>
      </c>
      <c r="S677" s="114">
        <v>25958</v>
      </c>
      <c r="T677" s="114">
        <v>3056</v>
      </c>
      <c r="U677" s="114">
        <v>520</v>
      </c>
      <c r="V677" s="114">
        <v>8448</v>
      </c>
      <c r="W677" s="114">
        <v>507</v>
      </c>
      <c r="X677" s="114">
        <v>1344</v>
      </c>
      <c r="Y677" s="114">
        <v>6104</v>
      </c>
      <c r="Z677" s="114">
        <v>8552638.744</v>
      </c>
      <c r="AA677" s="114">
        <v>0</v>
      </c>
      <c r="AB677" s="114">
        <v>0</v>
      </c>
      <c r="AC677" s="114">
        <v>626531.71</v>
      </c>
      <c r="AD677" s="114">
        <v>7922889.335</v>
      </c>
      <c r="AE677" s="114">
        <v>14374879.91</v>
      </c>
      <c r="AF677" s="114">
        <v>1542953</v>
      </c>
      <c r="AG677" s="114">
        <v>9316.473</v>
      </c>
      <c r="AH677" s="114">
        <v>1206225</v>
      </c>
      <c r="AI677" s="114">
        <v>5462.861</v>
      </c>
      <c r="AJ677" s="114">
        <v>1</v>
      </c>
      <c r="AK677" s="114">
        <v>33</v>
      </c>
      <c r="AL677" s="114">
        <v>0</v>
      </c>
      <c r="AM677" s="114">
        <v>0</v>
      </c>
      <c r="AN677" s="114">
        <v>29090</v>
      </c>
      <c r="AO677" s="114">
        <v>4925.1667</v>
      </c>
      <c r="AP677" s="114">
        <v>959.2128</v>
      </c>
      <c r="AQ677" s="114">
        <v>320</v>
      </c>
      <c r="AR677" s="114">
        <v>9012</v>
      </c>
      <c r="AS677" s="114">
        <v>1071</v>
      </c>
      <c r="AT677" s="114"/>
      <c r="AU677" s="114">
        <v>8</v>
      </c>
      <c r="AV677" s="114">
        <v>0</v>
      </c>
      <c r="AW677" s="114">
        <v>0</v>
      </c>
      <c r="AX677" s="114">
        <v>0</v>
      </c>
      <c r="AY677" s="114">
        <v>0</v>
      </c>
      <c r="AZ677" s="114">
        <v>619</v>
      </c>
      <c r="BA677" s="114">
        <v>155635</v>
      </c>
      <c r="BB677" s="116"/>
      <c r="BC677" s="116"/>
      <c r="BD677" s="116"/>
      <c r="BE677" s="116"/>
      <c r="BF677" s="116"/>
      <c r="BG677" s="116"/>
      <c r="BH677" s="116"/>
      <c r="BI677" s="116"/>
      <c r="BJ677" s="117">
        <v>300055</v>
      </c>
      <c r="BK677" s="117">
        <v>2535</v>
      </c>
      <c r="BL677" s="117">
        <v>1312274</v>
      </c>
      <c r="BM677" s="118">
        <v>7258269</v>
      </c>
      <c r="BN677" s="118"/>
      <c r="BO677" s="120">
        <v>0.813</v>
      </c>
      <c r="BP677" s="120">
        <v>0.187</v>
      </c>
      <c r="BQ677" s="120">
        <v>0.001</v>
      </c>
      <c r="BR677" s="120">
        <v>0.01</v>
      </c>
      <c r="BS677" s="120">
        <v>0.047</v>
      </c>
      <c r="BT677" s="120">
        <v>0.248</v>
      </c>
      <c r="BU677" s="120">
        <v>0.22</v>
      </c>
      <c r="BV677" s="120">
        <v>0.204</v>
      </c>
      <c r="BW677" s="120">
        <v>0.18</v>
      </c>
      <c r="BX677" s="120">
        <v>0.093</v>
      </c>
    </row>
    <row r="678" s="96" customFormat="1" customHeight="1" spans="1:76">
      <c r="A678" s="111">
        <v>677</v>
      </c>
      <c r="B678" s="112" t="s">
        <v>58</v>
      </c>
      <c r="C678" s="112" t="s">
        <v>146</v>
      </c>
      <c r="D678" s="111">
        <v>2026</v>
      </c>
      <c r="E678" s="113" t="s">
        <v>36</v>
      </c>
      <c r="F678" s="114">
        <v>1240605</v>
      </c>
      <c r="G678" s="114">
        <v>1135498</v>
      </c>
      <c r="H678" s="114">
        <v>136877.9942</v>
      </c>
      <c r="I678" s="114">
        <v>2160</v>
      </c>
      <c r="J678" s="115">
        <v>0.00501157407407407</v>
      </c>
      <c r="K678" s="114">
        <v>13.37</v>
      </c>
      <c r="L678" s="114">
        <v>775</v>
      </c>
      <c r="M678" s="114">
        <v>9392444</v>
      </c>
      <c r="N678" s="114">
        <v>8.54</v>
      </c>
      <c r="O678" s="114">
        <v>766023</v>
      </c>
      <c r="P678" s="114">
        <v>346383</v>
      </c>
      <c r="Q678" s="114">
        <v>303561</v>
      </c>
      <c r="R678" s="114">
        <v>285346</v>
      </c>
      <c r="S678" s="114">
        <v>18215</v>
      </c>
      <c r="T678" s="114">
        <v>2693</v>
      </c>
      <c r="U678" s="114">
        <v>533</v>
      </c>
      <c r="V678" s="114">
        <v>9742</v>
      </c>
      <c r="W678" s="114">
        <v>617</v>
      </c>
      <c r="X678" s="114">
        <v>1421</v>
      </c>
      <c r="Y678" s="114">
        <v>3123</v>
      </c>
      <c r="Z678" s="114">
        <v>5769036.192</v>
      </c>
      <c r="AA678" s="114">
        <v>0</v>
      </c>
      <c r="AB678" s="114">
        <v>0</v>
      </c>
      <c r="AC678" s="114">
        <v>448362.556</v>
      </c>
      <c r="AD678" s="114">
        <v>5264038.635</v>
      </c>
      <c r="AE678" s="114">
        <v>9552067.985</v>
      </c>
      <c r="AF678" s="114">
        <v>950021</v>
      </c>
      <c r="AG678" s="114">
        <v>10054.586</v>
      </c>
      <c r="AH678" s="114">
        <v>686811</v>
      </c>
      <c r="AI678" s="114">
        <v>4950.023</v>
      </c>
      <c r="AJ678" s="114">
        <v>1</v>
      </c>
      <c r="AK678" s="114">
        <v>27</v>
      </c>
      <c r="AL678" s="114">
        <v>0</v>
      </c>
      <c r="AM678" s="114">
        <v>0</v>
      </c>
      <c r="AN678" s="114">
        <v>22397</v>
      </c>
      <c r="AO678" s="114">
        <v>3791.3913</v>
      </c>
      <c r="AP678" s="114">
        <v>988.4953</v>
      </c>
      <c r="AQ678" s="114">
        <v>360</v>
      </c>
      <c r="AR678" s="114">
        <v>1129</v>
      </c>
      <c r="AS678" s="114">
        <v>822</v>
      </c>
      <c r="AT678" s="114"/>
      <c r="AU678" s="114">
        <v>4</v>
      </c>
      <c r="AV678" s="114">
        <v>0</v>
      </c>
      <c r="AW678" s="114">
        <v>0</v>
      </c>
      <c r="AX678" s="114">
        <v>0</v>
      </c>
      <c r="AY678" s="114">
        <v>0</v>
      </c>
      <c r="AZ678" s="114">
        <v>402</v>
      </c>
      <c r="BA678" s="114">
        <v>75931</v>
      </c>
      <c r="BB678" s="116"/>
      <c r="BC678" s="116"/>
      <c r="BD678" s="116"/>
      <c r="BE678" s="116"/>
      <c r="BF678" s="116"/>
      <c r="BG678" s="116"/>
      <c r="BH678" s="116"/>
      <c r="BI678" s="116"/>
      <c r="BJ678" s="117">
        <v>302217</v>
      </c>
      <c r="BK678" s="117">
        <v>2160</v>
      </c>
      <c r="BL678" s="117">
        <v>905383</v>
      </c>
      <c r="BM678" s="118">
        <v>3577020</v>
      </c>
      <c r="BN678" s="118"/>
      <c r="BO678" s="120">
        <v>0.805</v>
      </c>
      <c r="BP678" s="120">
        <v>0.195</v>
      </c>
      <c r="BQ678" s="120">
        <v>0</v>
      </c>
      <c r="BR678" s="120">
        <v>0.01</v>
      </c>
      <c r="BS678" s="120">
        <v>0.052</v>
      </c>
      <c r="BT678" s="120">
        <v>0.265</v>
      </c>
      <c r="BU678" s="120">
        <v>0.212</v>
      </c>
      <c r="BV678" s="120">
        <v>0.187</v>
      </c>
      <c r="BW678" s="120">
        <v>0.169</v>
      </c>
      <c r="BX678" s="120">
        <v>0.104</v>
      </c>
    </row>
    <row r="679" s="96" customFormat="1" customHeight="1" spans="1:76">
      <c r="A679" s="111">
        <v>678</v>
      </c>
      <c r="B679" s="96" t="s">
        <v>58</v>
      </c>
      <c r="C679" s="96" t="s">
        <v>146</v>
      </c>
      <c r="D679" s="122">
        <v>2026</v>
      </c>
      <c r="E679" s="96" t="s">
        <v>37</v>
      </c>
      <c r="F679" s="123">
        <v>1745782</v>
      </c>
      <c r="G679" s="123">
        <v>1591550</v>
      </c>
      <c r="H679" s="123">
        <v>166975</v>
      </c>
      <c r="I679" s="123">
        <v>2834</v>
      </c>
      <c r="J679" s="124">
        <v>0.00436342592592593</v>
      </c>
      <c r="K679" s="125">
        <v>13</v>
      </c>
      <c r="L679" s="123">
        <v>1039</v>
      </c>
      <c r="M679" s="123">
        <v>13088779</v>
      </c>
      <c r="N679" s="125">
        <v>9</v>
      </c>
      <c r="O679" s="123">
        <v>1049226</v>
      </c>
      <c r="P679" s="123">
        <v>502705</v>
      </c>
      <c r="Q679" s="123">
        <v>472375</v>
      </c>
      <c r="R679" s="123">
        <v>439099</v>
      </c>
      <c r="S679" s="123">
        <v>33276</v>
      </c>
      <c r="T679" s="123">
        <v>3425</v>
      </c>
      <c r="U679" s="125">
        <v>591</v>
      </c>
      <c r="V679" s="123">
        <v>10521</v>
      </c>
      <c r="W679" s="125">
        <v>811</v>
      </c>
      <c r="X679" s="123">
        <v>1565</v>
      </c>
      <c r="Y679" s="123">
        <v>4944</v>
      </c>
      <c r="Z679" s="123">
        <v>8272440</v>
      </c>
      <c r="AA679" s="125">
        <v>0</v>
      </c>
      <c r="AB679" s="125">
        <v>0</v>
      </c>
      <c r="AC679" s="123">
        <v>538817</v>
      </c>
      <c r="AD679" s="123">
        <v>7695079</v>
      </c>
      <c r="AE679" s="123">
        <v>13990693</v>
      </c>
      <c r="AF679" s="123">
        <v>1392168</v>
      </c>
      <c r="AG679" s="123">
        <v>10050</v>
      </c>
      <c r="AH679" s="123">
        <v>1052680</v>
      </c>
      <c r="AI679" s="123">
        <v>5155</v>
      </c>
      <c r="AJ679" s="125">
        <v>0</v>
      </c>
      <c r="AK679" s="125">
        <v>28</v>
      </c>
      <c r="AL679" s="125">
        <v>0</v>
      </c>
      <c r="AM679" s="125">
        <v>0</v>
      </c>
      <c r="AN679" s="123">
        <v>29273</v>
      </c>
      <c r="AO679" s="123">
        <v>4324</v>
      </c>
      <c r="AP679" s="125">
        <v>886</v>
      </c>
      <c r="AQ679" s="125">
        <v>386</v>
      </c>
      <c r="AR679" s="125">
        <v>682</v>
      </c>
      <c r="AS679" s="125">
        <v>173</v>
      </c>
      <c r="AT679" s="125"/>
      <c r="AU679" s="125"/>
      <c r="AV679" s="125">
        <v>0</v>
      </c>
      <c r="AW679" s="125">
        <v>0</v>
      </c>
      <c r="AX679" s="125">
        <v>0</v>
      </c>
      <c r="AY679" s="125">
        <v>0</v>
      </c>
      <c r="AZ679" s="125">
        <v>994</v>
      </c>
      <c r="BA679" s="123">
        <v>152179</v>
      </c>
      <c r="BB679" s="125"/>
      <c r="BC679" s="125"/>
      <c r="BD679" s="125"/>
      <c r="BE679" s="125"/>
      <c r="BF679" s="125"/>
      <c r="BG679" s="125"/>
      <c r="BH679" s="125"/>
      <c r="BI679" s="125"/>
      <c r="BJ679" s="117">
        <v>305052</v>
      </c>
      <c r="BK679" s="117">
        <v>2834</v>
      </c>
      <c r="BL679" s="117">
        <v>1393066</v>
      </c>
      <c r="BM679" s="118">
        <v>6347970</v>
      </c>
      <c r="BN679" s="118"/>
      <c r="BO679" s="120">
        <v>0.777</v>
      </c>
      <c r="BP679" s="120">
        <v>0.223</v>
      </c>
      <c r="BQ679" s="120">
        <v>0</v>
      </c>
      <c r="BR679" s="120">
        <v>0.01</v>
      </c>
      <c r="BS679" s="120">
        <v>0.054</v>
      </c>
      <c r="BT679" s="120">
        <v>0.264</v>
      </c>
      <c r="BU679" s="120">
        <v>0.206</v>
      </c>
      <c r="BV679" s="120">
        <v>0.188</v>
      </c>
      <c r="BW679" s="120">
        <v>0.175</v>
      </c>
      <c r="BX679" s="120">
        <v>0.104</v>
      </c>
    </row>
    <row r="680" s="96" customFormat="1" customHeight="1" spans="1:76">
      <c r="A680" s="111">
        <v>679</v>
      </c>
      <c r="B680" s="96" t="s">
        <v>58</v>
      </c>
      <c r="C680" s="96" t="s">
        <v>146</v>
      </c>
      <c r="D680" s="122">
        <v>2026</v>
      </c>
      <c r="E680" s="96" t="s">
        <v>38</v>
      </c>
      <c r="F680" s="126">
        <v>1943313</v>
      </c>
      <c r="G680" s="126">
        <v>1816947</v>
      </c>
      <c r="H680" s="126">
        <v>213807</v>
      </c>
      <c r="I680" s="126">
        <v>3252</v>
      </c>
      <c r="J680" s="127">
        <v>0.00489583333333333</v>
      </c>
      <c r="K680" s="128">
        <v>16</v>
      </c>
      <c r="L680" s="126">
        <v>1196</v>
      </c>
      <c r="M680" s="126">
        <v>13976178</v>
      </c>
      <c r="N680" s="128">
        <v>9</v>
      </c>
      <c r="O680" s="126">
        <v>1161978</v>
      </c>
      <c r="P680" s="126">
        <v>486343</v>
      </c>
      <c r="Q680" s="126">
        <v>593030</v>
      </c>
      <c r="R680" s="126">
        <v>544662</v>
      </c>
      <c r="S680" s="126">
        <v>48368</v>
      </c>
      <c r="T680" s="126">
        <v>3848</v>
      </c>
      <c r="U680" s="128">
        <v>596</v>
      </c>
      <c r="V680" s="126">
        <v>11261</v>
      </c>
      <c r="W680" s="128">
        <v>676</v>
      </c>
      <c r="X680" s="126">
        <v>1617</v>
      </c>
      <c r="Y680" s="126">
        <v>4587</v>
      </c>
      <c r="Z680" s="126">
        <v>10608908</v>
      </c>
      <c r="AA680" s="128">
        <v>0</v>
      </c>
      <c r="AB680" s="128">
        <v>0</v>
      </c>
      <c r="AC680" s="126">
        <v>742840</v>
      </c>
      <c r="AD680" s="126">
        <v>9825072</v>
      </c>
      <c r="AE680" s="126">
        <v>17859863</v>
      </c>
      <c r="AF680" s="126">
        <v>1735346</v>
      </c>
      <c r="AG680" s="126">
        <v>10292</v>
      </c>
      <c r="AH680" s="126">
        <v>1274692</v>
      </c>
      <c r="AI680" s="126">
        <v>5878</v>
      </c>
      <c r="AJ680" s="128">
        <v>0</v>
      </c>
      <c r="AK680" s="128">
        <v>24</v>
      </c>
      <c r="AL680" s="128">
        <v>0</v>
      </c>
      <c r="AM680" s="128">
        <v>0</v>
      </c>
      <c r="AN680" s="126">
        <v>35809</v>
      </c>
      <c r="AO680" s="126">
        <v>5873</v>
      </c>
      <c r="AP680" s="128">
        <v>987</v>
      </c>
      <c r="AQ680" s="128">
        <v>358</v>
      </c>
      <c r="AR680" s="128">
        <v>480</v>
      </c>
      <c r="AS680" s="128">
        <v>180</v>
      </c>
      <c r="AT680" s="128"/>
      <c r="AU680" s="128">
        <v>2</v>
      </c>
      <c r="AV680" s="128">
        <v>0</v>
      </c>
      <c r="AW680" s="128">
        <v>0</v>
      </c>
      <c r="AX680" s="128">
        <v>0</v>
      </c>
      <c r="AY680" s="128">
        <v>0</v>
      </c>
      <c r="AZ680" s="128">
        <v>721</v>
      </c>
      <c r="BA680" s="126">
        <v>168062</v>
      </c>
      <c r="BB680" s="129"/>
      <c r="BC680" s="129"/>
      <c r="BD680" s="129"/>
      <c r="BE680" s="129"/>
      <c r="BF680" s="129"/>
      <c r="BG680" s="129"/>
      <c r="BH680" s="129"/>
      <c r="BI680" s="129"/>
      <c r="BJ680" s="130">
        <v>308304</v>
      </c>
      <c r="BK680" s="130">
        <v>3252</v>
      </c>
      <c r="BL680" s="130">
        <v>1653729</v>
      </c>
      <c r="BM680" s="131">
        <v>8718823.66</v>
      </c>
      <c r="BN680" s="131"/>
      <c r="BO680" s="132">
        <v>0.768</v>
      </c>
      <c r="BP680" s="132">
        <v>0.232</v>
      </c>
      <c r="BQ680" s="132">
        <v>0</v>
      </c>
      <c r="BR680" s="132">
        <v>0.009</v>
      </c>
      <c r="BS680" s="132">
        <v>0.049</v>
      </c>
      <c r="BT680" s="132">
        <v>0.247</v>
      </c>
      <c r="BU680" s="132">
        <v>0.188</v>
      </c>
      <c r="BV680" s="132">
        <v>0.187</v>
      </c>
      <c r="BW680" s="132">
        <v>0.193</v>
      </c>
      <c r="BX680" s="119"/>
    </row>
    <row r="681" s="96" customFormat="1" customHeight="1" spans="1:76">
      <c r="A681" s="111">
        <v>680</v>
      </c>
      <c r="B681" s="96" t="s">
        <v>58</v>
      </c>
      <c r="C681" s="96" t="s">
        <v>146</v>
      </c>
      <c r="D681" s="122">
        <v>2026</v>
      </c>
      <c r="E681" s="96" t="s">
        <v>39</v>
      </c>
      <c r="F681" s="128"/>
      <c r="G681" s="128"/>
      <c r="H681" s="128"/>
      <c r="I681" s="128"/>
      <c r="J681" s="127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9"/>
      <c r="BC681" s="129"/>
      <c r="BD681" s="129"/>
      <c r="BE681" s="129"/>
      <c r="BF681" s="129"/>
      <c r="BG681" s="129"/>
      <c r="BH681" s="129"/>
      <c r="BI681" s="129"/>
      <c r="BJ681" s="119"/>
      <c r="BK681" s="119"/>
      <c r="BL681" s="119"/>
      <c r="BM681" s="131"/>
      <c r="BN681" s="131"/>
      <c r="BO681" s="119"/>
      <c r="BP681" s="119"/>
      <c r="BQ681" s="119"/>
      <c r="BR681" s="119"/>
      <c r="BS681" s="119"/>
      <c r="BT681" s="119"/>
      <c r="BU681" s="119"/>
      <c r="BV681" s="119"/>
      <c r="BW681" s="119"/>
      <c r="BX681" s="119"/>
    </row>
    <row r="682" s="96" customFormat="1" customHeight="1" spans="1:76">
      <c r="A682" s="111">
        <v>681</v>
      </c>
      <c r="B682" s="96" t="s">
        <v>58</v>
      </c>
      <c r="C682" s="96" t="s">
        <v>146</v>
      </c>
      <c r="D682" s="122">
        <v>2026</v>
      </c>
      <c r="E682" s="96" t="s">
        <v>40</v>
      </c>
      <c r="F682" s="128"/>
      <c r="G682" s="128"/>
      <c r="H682" s="128"/>
      <c r="I682" s="128"/>
      <c r="J682" s="127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9"/>
      <c r="BC682" s="129"/>
      <c r="BD682" s="129"/>
      <c r="BE682" s="129"/>
      <c r="BF682" s="129"/>
      <c r="BG682" s="129"/>
      <c r="BH682" s="129"/>
      <c r="BI682" s="129"/>
      <c r="BJ682" s="119"/>
      <c r="BK682" s="119"/>
      <c r="BL682" s="119"/>
      <c r="BM682" s="131"/>
      <c r="BN682" s="131"/>
      <c r="BO682" s="119"/>
      <c r="BP682" s="119"/>
      <c r="BQ682" s="119"/>
      <c r="BR682" s="119"/>
      <c r="BS682" s="119"/>
      <c r="BT682" s="119"/>
      <c r="BU682" s="119"/>
      <c r="BV682" s="119"/>
      <c r="BW682" s="119"/>
      <c r="BX682" s="119"/>
    </row>
    <row r="683" s="96" customFormat="1" customHeight="1" spans="1:76">
      <c r="A683" s="111">
        <v>682</v>
      </c>
      <c r="B683" s="96" t="s">
        <v>58</v>
      </c>
      <c r="C683" s="96" t="s">
        <v>146</v>
      </c>
      <c r="D683" s="122">
        <v>2026</v>
      </c>
      <c r="E683" s="96" t="s">
        <v>41</v>
      </c>
      <c r="F683" s="128"/>
      <c r="G683" s="128"/>
      <c r="H683" s="128"/>
      <c r="I683" s="128"/>
      <c r="J683" s="127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9"/>
      <c r="BC683" s="129"/>
      <c r="BD683" s="129"/>
      <c r="BE683" s="129"/>
      <c r="BF683" s="129"/>
      <c r="BG683" s="129"/>
      <c r="BH683" s="129"/>
      <c r="BI683" s="129"/>
      <c r="BJ683" s="119"/>
      <c r="BK683" s="119"/>
      <c r="BL683" s="119"/>
      <c r="BM683" s="131"/>
      <c r="BN683" s="131"/>
      <c r="BO683" s="119"/>
      <c r="BP683" s="119"/>
      <c r="BQ683" s="119"/>
      <c r="BR683" s="119"/>
      <c r="BS683" s="119"/>
      <c r="BT683" s="119"/>
      <c r="BU683" s="119"/>
      <c r="BV683" s="119"/>
      <c r="BW683" s="119"/>
      <c r="BX683" s="119"/>
    </row>
    <row r="684" s="96" customFormat="1" customHeight="1" spans="1:76">
      <c r="A684" s="111">
        <v>683</v>
      </c>
      <c r="B684" s="96" t="s">
        <v>58</v>
      </c>
      <c r="C684" s="96" t="s">
        <v>146</v>
      </c>
      <c r="D684" s="122">
        <v>2026</v>
      </c>
      <c r="E684" s="96" t="s">
        <v>42</v>
      </c>
      <c r="F684" s="128"/>
      <c r="G684" s="128"/>
      <c r="H684" s="128"/>
      <c r="I684" s="128"/>
      <c r="J684" s="127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9"/>
      <c r="BC684" s="129"/>
      <c r="BD684" s="129"/>
      <c r="BE684" s="129"/>
      <c r="BF684" s="129"/>
      <c r="BG684" s="129"/>
      <c r="BH684" s="129"/>
      <c r="BI684" s="129"/>
      <c r="BJ684" s="119"/>
      <c r="BK684" s="119"/>
      <c r="BL684" s="119"/>
      <c r="BM684" s="131"/>
      <c r="BN684" s="131"/>
      <c r="BO684" s="119"/>
      <c r="BP684" s="119"/>
      <c r="BQ684" s="119"/>
      <c r="BR684" s="119"/>
      <c r="BS684" s="119"/>
      <c r="BT684" s="119"/>
      <c r="BU684" s="119"/>
      <c r="BV684" s="119"/>
      <c r="BW684" s="119"/>
      <c r="BX684" s="119"/>
    </row>
    <row r="685" s="96" customFormat="1" customHeight="1" spans="1:76">
      <c r="A685" s="111">
        <v>684</v>
      </c>
      <c r="B685" s="96" t="s">
        <v>58</v>
      </c>
      <c r="C685" s="96" t="s">
        <v>146</v>
      </c>
      <c r="D685" s="122">
        <v>2026</v>
      </c>
      <c r="E685" s="96" t="s">
        <v>43</v>
      </c>
      <c r="F685" s="128"/>
      <c r="G685" s="128"/>
      <c r="H685" s="128"/>
      <c r="I685" s="128"/>
      <c r="J685" s="127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9"/>
      <c r="BC685" s="129"/>
      <c r="BD685" s="129"/>
      <c r="BE685" s="129"/>
      <c r="BF685" s="129"/>
      <c r="BG685" s="129"/>
      <c r="BH685" s="129"/>
      <c r="BI685" s="129"/>
      <c r="BJ685" s="119"/>
      <c r="BK685" s="119"/>
      <c r="BL685" s="119"/>
      <c r="BM685" s="131"/>
      <c r="BN685" s="131"/>
      <c r="BO685" s="119"/>
      <c r="BP685" s="119"/>
      <c r="BQ685" s="119"/>
      <c r="BR685" s="119"/>
      <c r="BS685" s="119"/>
      <c r="BT685" s="119"/>
      <c r="BU685" s="119"/>
      <c r="BV685" s="119"/>
      <c r="BW685" s="119"/>
      <c r="BX685" s="119"/>
    </row>
    <row r="686" s="96" customFormat="1" customHeight="1" spans="1:76">
      <c r="A686" s="111">
        <v>685</v>
      </c>
      <c r="B686" s="112" t="s">
        <v>58</v>
      </c>
      <c r="C686" s="112" t="s">
        <v>58</v>
      </c>
      <c r="D686" s="111">
        <v>2024</v>
      </c>
      <c r="E686" s="113" t="s">
        <v>31</v>
      </c>
      <c r="F686" s="114">
        <v>24918213</v>
      </c>
      <c r="G686" s="114">
        <v>24918213</v>
      </c>
      <c r="H686" s="114">
        <v>1211304.135</v>
      </c>
      <c r="I686" s="114">
        <v>53007</v>
      </c>
      <c r="J686" s="115">
        <v>0.00202546296296296</v>
      </c>
      <c r="K686" s="114">
        <v>26.02</v>
      </c>
      <c r="L686" s="114">
        <v>3336</v>
      </c>
      <c r="M686" s="114">
        <v>266031550</v>
      </c>
      <c r="N686" s="114">
        <v>6.79</v>
      </c>
      <c r="O686" s="114">
        <v>8677982</v>
      </c>
      <c r="P686" s="114">
        <v>3001295</v>
      </c>
      <c r="Q686" s="114">
        <v>5676687</v>
      </c>
      <c r="R686" s="114">
        <v>5676687</v>
      </c>
      <c r="S686" s="114">
        <v>0</v>
      </c>
      <c r="T686" s="114">
        <v>60115</v>
      </c>
      <c r="U686" s="114">
        <v>7108</v>
      </c>
      <c r="V686" s="114">
        <v>374187</v>
      </c>
      <c r="W686" s="114">
        <v>9930</v>
      </c>
      <c r="X686" s="114">
        <v>58041</v>
      </c>
      <c r="Y686" s="114">
        <v>171991</v>
      </c>
      <c r="Z686" s="114">
        <v>66592299.43</v>
      </c>
      <c r="AA686" s="114">
        <v>13991.04</v>
      </c>
      <c r="AB686" s="114">
        <v>1</v>
      </c>
      <c r="AC686" s="114">
        <v>1744582.658</v>
      </c>
      <c r="AD686" s="114">
        <v>64481225.65</v>
      </c>
      <c r="AE686" s="114">
        <v>117494371.7</v>
      </c>
      <c r="AF686" s="114">
        <v>15032920</v>
      </c>
      <c r="AG686" s="114">
        <v>7815.805</v>
      </c>
      <c r="AH686" s="114">
        <v>13775134</v>
      </c>
      <c r="AI686" s="114">
        <v>2672.435</v>
      </c>
      <c r="AJ686" s="114">
        <v>0</v>
      </c>
      <c r="AK686" s="114">
        <v>0</v>
      </c>
      <c r="AL686" s="114">
        <v>0</v>
      </c>
      <c r="AM686" s="114">
        <v>0</v>
      </c>
      <c r="AN686" s="114">
        <v>312498</v>
      </c>
      <c r="AO686" s="114">
        <v>16348.8524</v>
      </c>
      <c r="AP686" s="114">
        <v>794.2921</v>
      </c>
      <c r="AQ686" s="114">
        <v>3890</v>
      </c>
      <c r="AR686" s="114">
        <v>4143</v>
      </c>
      <c r="AS686" s="114">
        <v>2866</v>
      </c>
      <c r="AT686" s="114">
        <v>1</v>
      </c>
      <c r="AU686" s="114">
        <v>83</v>
      </c>
      <c r="AV686" s="114">
        <v>0</v>
      </c>
      <c r="AW686" s="114">
        <v>0</v>
      </c>
      <c r="AX686" s="114">
        <v>0</v>
      </c>
      <c r="AY686" s="114">
        <v>0</v>
      </c>
      <c r="AZ686" s="114">
        <v>83</v>
      </c>
      <c r="BA686" s="114">
        <v>4086</v>
      </c>
      <c r="BB686" s="116"/>
      <c r="BC686" s="116"/>
      <c r="BD686" s="116"/>
      <c r="BE686" s="116"/>
      <c r="BF686" s="116"/>
      <c r="BG686" s="116"/>
      <c r="BH686" s="116"/>
      <c r="BI686" s="116"/>
      <c r="BJ686" s="117">
        <v>1725174</v>
      </c>
      <c r="BK686" s="117">
        <v>53007</v>
      </c>
      <c r="BL686" s="117">
        <v>19677832</v>
      </c>
      <c r="BM686" s="118">
        <v>56457000</v>
      </c>
      <c r="BN686" s="118">
        <v>3321</v>
      </c>
      <c r="BO686" s="119"/>
      <c r="BP686" s="119"/>
      <c r="BQ686" s="119"/>
      <c r="BR686" s="119"/>
      <c r="BS686" s="119"/>
      <c r="BT686" s="119"/>
      <c r="BU686" s="119"/>
      <c r="BV686" s="119"/>
      <c r="BW686" s="119"/>
      <c r="BX686" s="119"/>
    </row>
    <row r="687" s="96" customFormat="1" customHeight="1" spans="1:76">
      <c r="A687" s="111">
        <v>686</v>
      </c>
      <c r="B687" s="112" t="s">
        <v>58</v>
      </c>
      <c r="C687" s="112" t="s">
        <v>58</v>
      </c>
      <c r="D687" s="111">
        <v>2024</v>
      </c>
      <c r="E687" s="113" t="s">
        <v>33</v>
      </c>
      <c r="F687" s="114">
        <v>31962978</v>
      </c>
      <c r="G687" s="114">
        <v>31962978</v>
      </c>
      <c r="H687" s="114">
        <v>1619201.071</v>
      </c>
      <c r="I687" s="114">
        <v>74768</v>
      </c>
      <c r="J687" s="115">
        <v>0.00210648148148148</v>
      </c>
      <c r="K687" s="114">
        <v>8.16</v>
      </c>
      <c r="L687" s="114">
        <v>3467</v>
      </c>
      <c r="M687" s="114">
        <v>313401616</v>
      </c>
      <c r="N687" s="114">
        <v>7.53</v>
      </c>
      <c r="O687" s="114">
        <v>11217915</v>
      </c>
      <c r="P687" s="114">
        <v>3962411</v>
      </c>
      <c r="Q687" s="114">
        <v>7266117</v>
      </c>
      <c r="R687" s="114">
        <v>7266117</v>
      </c>
      <c r="S687" s="114">
        <v>0</v>
      </c>
      <c r="T687" s="114">
        <v>83612</v>
      </c>
      <c r="U687" s="114">
        <v>8844</v>
      </c>
      <c r="V687" s="114">
        <v>330125</v>
      </c>
      <c r="W687" s="114">
        <v>13089</v>
      </c>
      <c r="X687" s="114">
        <v>98111</v>
      </c>
      <c r="Y687" s="114">
        <v>195892</v>
      </c>
      <c r="Z687" s="114">
        <v>117114747</v>
      </c>
      <c r="AA687" s="114">
        <v>0</v>
      </c>
      <c r="AB687" s="114">
        <v>0</v>
      </c>
      <c r="AC687" s="114">
        <v>2747742.521</v>
      </c>
      <c r="AD687" s="114">
        <v>113898132</v>
      </c>
      <c r="AE687" s="114">
        <v>207286583.6</v>
      </c>
      <c r="AF687" s="114">
        <v>22091673</v>
      </c>
      <c r="AG687" s="114">
        <v>9383.019</v>
      </c>
      <c r="AH687" s="114">
        <v>19718126</v>
      </c>
      <c r="AI687" s="114">
        <v>3664.075</v>
      </c>
      <c r="AJ687" s="114">
        <v>0</v>
      </c>
      <c r="AK687" s="114">
        <v>0</v>
      </c>
      <c r="AL687" s="114">
        <v>0</v>
      </c>
      <c r="AM687" s="114">
        <v>0</v>
      </c>
      <c r="AN687" s="114">
        <v>445937</v>
      </c>
      <c r="AO687" s="114">
        <v>24079.8254</v>
      </c>
      <c r="AP687" s="114">
        <v>560.6586</v>
      </c>
      <c r="AQ687" s="114">
        <v>7408</v>
      </c>
      <c r="AR687" s="114">
        <v>132859</v>
      </c>
      <c r="AS687" s="114">
        <v>62824</v>
      </c>
      <c r="AT687" s="114"/>
      <c r="AU687" s="114">
        <v>279</v>
      </c>
      <c r="AV687" s="114">
        <v>0</v>
      </c>
      <c r="AW687" s="114">
        <v>0</v>
      </c>
      <c r="AX687" s="114">
        <v>0</v>
      </c>
      <c r="AY687" s="114">
        <v>0</v>
      </c>
      <c r="AZ687" s="114">
        <v>44</v>
      </c>
      <c r="BA687" s="114">
        <v>2772</v>
      </c>
      <c r="BB687" s="116"/>
      <c r="BC687" s="116"/>
      <c r="BD687" s="116"/>
      <c r="BE687" s="116"/>
      <c r="BF687" s="116"/>
      <c r="BG687" s="116"/>
      <c r="BH687" s="116"/>
      <c r="BI687" s="116"/>
      <c r="BJ687" s="117">
        <v>1799942</v>
      </c>
      <c r="BK687" s="117">
        <v>74768</v>
      </c>
      <c r="BL687" s="117">
        <v>24712304</v>
      </c>
      <c r="BM687" s="118">
        <v>89097000</v>
      </c>
      <c r="BN687" s="118">
        <v>5241</v>
      </c>
      <c r="BO687" s="119"/>
      <c r="BP687" s="119"/>
      <c r="BQ687" s="119"/>
      <c r="BR687" s="119"/>
      <c r="BS687" s="119"/>
      <c r="BT687" s="119"/>
      <c r="BU687" s="119"/>
      <c r="BV687" s="119"/>
      <c r="BW687" s="119"/>
      <c r="BX687" s="119"/>
    </row>
    <row r="688" s="96" customFormat="1" customHeight="1" spans="1:76">
      <c r="A688" s="111">
        <v>687</v>
      </c>
      <c r="B688" s="112" t="s">
        <v>58</v>
      </c>
      <c r="C688" s="112" t="s">
        <v>58</v>
      </c>
      <c r="D688" s="111">
        <v>2024</v>
      </c>
      <c r="E688" s="113" t="s">
        <v>34</v>
      </c>
      <c r="F688" s="114">
        <v>28051813</v>
      </c>
      <c r="G688" s="114">
        <v>28051813</v>
      </c>
      <c r="H688" s="114">
        <v>1859477.159</v>
      </c>
      <c r="I688" s="114">
        <v>74346</v>
      </c>
      <c r="J688" s="115">
        <v>0.00275462962962963</v>
      </c>
      <c r="K688" s="114">
        <v>15.04</v>
      </c>
      <c r="L688" s="114">
        <v>2846</v>
      </c>
      <c r="M688" s="114">
        <v>245608274</v>
      </c>
      <c r="N688" s="114">
        <v>7.26</v>
      </c>
      <c r="O688" s="114">
        <v>10957113</v>
      </c>
      <c r="P688" s="114">
        <v>3109768</v>
      </c>
      <c r="Q688" s="114">
        <v>7847345</v>
      </c>
      <c r="R688" s="114">
        <v>7847345</v>
      </c>
      <c r="S688" s="114">
        <v>0</v>
      </c>
      <c r="T688" s="114">
        <v>83364</v>
      </c>
      <c r="U688" s="114">
        <v>9018</v>
      </c>
      <c r="V688" s="114">
        <v>246003</v>
      </c>
      <c r="W688" s="114">
        <v>15149</v>
      </c>
      <c r="X688" s="114">
        <v>55062</v>
      </c>
      <c r="Y688" s="114">
        <v>101372</v>
      </c>
      <c r="Z688" s="114">
        <v>124739926.1</v>
      </c>
      <c r="AA688" s="114">
        <v>0</v>
      </c>
      <c r="AB688" s="114">
        <v>0</v>
      </c>
      <c r="AC688" s="114">
        <v>2765224.155</v>
      </c>
      <c r="AD688" s="114">
        <v>120929204.6</v>
      </c>
      <c r="AE688" s="114">
        <v>222710808.8</v>
      </c>
      <c r="AF688" s="114">
        <v>22336358</v>
      </c>
      <c r="AG688" s="114">
        <v>9970.775</v>
      </c>
      <c r="AH688" s="114">
        <v>18198718</v>
      </c>
      <c r="AI688" s="114">
        <v>4446.769</v>
      </c>
      <c r="AJ688" s="114">
        <v>0</v>
      </c>
      <c r="AK688" s="114">
        <v>0</v>
      </c>
      <c r="AL688" s="114">
        <v>0</v>
      </c>
      <c r="AM688" s="114">
        <v>0</v>
      </c>
      <c r="AN688" s="114">
        <v>343191</v>
      </c>
      <c r="AO688" s="114">
        <v>27713.9739</v>
      </c>
      <c r="AP688" s="114">
        <v>273.2323</v>
      </c>
      <c r="AQ688" s="114">
        <v>4321</v>
      </c>
      <c r="AR688" s="114">
        <v>34400</v>
      </c>
      <c r="AS688" s="114">
        <v>52149</v>
      </c>
      <c r="AT688" s="114"/>
      <c r="AU688" s="114">
        <v>3</v>
      </c>
      <c r="AV688" s="114">
        <v>1</v>
      </c>
      <c r="AW688" s="114">
        <v>0.0032</v>
      </c>
      <c r="AX688" s="114">
        <v>0</v>
      </c>
      <c r="AY688" s="114">
        <v>0</v>
      </c>
      <c r="AZ688" s="114">
        <v>29</v>
      </c>
      <c r="BA688" s="114">
        <v>2047</v>
      </c>
      <c r="BB688" s="116"/>
      <c r="BC688" s="116"/>
      <c r="BD688" s="116"/>
      <c r="BE688" s="116"/>
      <c r="BF688" s="116"/>
      <c r="BG688" s="116"/>
      <c r="BH688" s="116"/>
      <c r="BI688" s="116"/>
      <c r="BJ688" s="117">
        <v>1874288</v>
      </c>
      <c r="BK688" s="117">
        <v>74346</v>
      </c>
      <c r="BL688" s="117">
        <v>23311682</v>
      </c>
      <c r="BM688" s="118">
        <v>119731000</v>
      </c>
      <c r="BN688" s="118">
        <v>7043</v>
      </c>
      <c r="BO688" s="119"/>
      <c r="BP688" s="119"/>
      <c r="BQ688" s="119"/>
      <c r="BR688" s="119"/>
      <c r="BS688" s="119"/>
      <c r="BT688" s="119"/>
      <c r="BU688" s="119"/>
      <c r="BV688" s="119"/>
      <c r="BW688" s="119"/>
      <c r="BX688" s="119"/>
    </row>
    <row r="689" s="96" customFormat="1" customHeight="1" spans="1:76">
      <c r="A689" s="111">
        <v>688</v>
      </c>
      <c r="B689" s="112" t="s">
        <v>58</v>
      </c>
      <c r="C689" s="112" t="s">
        <v>58</v>
      </c>
      <c r="D689" s="111">
        <v>2024</v>
      </c>
      <c r="E689" s="113" t="s">
        <v>35</v>
      </c>
      <c r="F689" s="114">
        <v>29231651</v>
      </c>
      <c r="G689" s="114">
        <v>29231651</v>
      </c>
      <c r="H689" s="114">
        <v>1763321.246</v>
      </c>
      <c r="I689" s="114">
        <v>66136</v>
      </c>
      <c r="J689" s="115">
        <v>0.00251157407407407</v>
      </c>
      <c r="K689" s="114">
        <v>21.32</v>
      </c>
      <c r="L689" s="114">
        <v>2824</v>
      </c>
      <c r="M689" s="114">
        <v>255228668</v>
      </c>
      <c r="N689" s="114">
        <v>6.71</v>
      </c>
      <c r="O689" s="114">
        <v>11988134</v>
      </c>
      <c r="P689" s="114">
        <v>3297074</v>
      </c>
      <c r="Q689" s="114">
        <v>8691060</v>
      </c>
      <c r="R689" s="114">
        <v>8691060</v>
      </c>
      <c r="S689" s="114">
        <v>0</v>
      </c>
      <c r="T689" s="114">
        <v>73611</v>
      </c>
      <c r="U689" s="114">
        <v>7475</v>
      </c>
      <c r="V689" s="114">
        <v>273318</v>
      </c>
      <c r="W689" s="114">
        <v>19544</v>
      </c>
      <c r="X689" s="114">
        <v>41009</v>
      </c>
      <c r="Y689" s="114">
        <v>94284</v>
      </c>
      <c r="Z689" s="114">
        <v>89081733.04</v>
      </c>
      <c r="AA689" s="114">
        <v>0</v>
      </c>
      <c r="AB689" s="114">
        <v>0</v>
      </c>
      <c r="AC689" s="114">
        <v>3317984.24</v>
      </c>
      <c r="AD689" s="114">
        <v>84439671.68</v>
      </c>
      <c r="AE689" s="114">
        <v>154638824.6</v>
      </c>
      <c r="AF689" s="114">
        <v>15628027</v>
      </c>
      <c r="AG689" s="114">
        <v>9894.968</v>
      </c>
      <c r="AH689" s="114">
        <v>13012777</v>
      </c>
      <c r="AI689" s="114">
        <v>3047.441</v>
      </c>
      <c r="AJ689" s="114">
        <v>0</v>
      </c>
      <c r="AK689" s="114">
        <v>0</v>
      </c>
      <c r="AL689" s="114">
        <v>0</v>
      </c>
      <c r="AM689" s="114">
        <v>0</v>
      </c>
      <c r="AN689" s="114">
        <v>386987</v>
      </c>
      <c r="AO689" s="114">
        <v>28982.2255</v>
      </c>
      <c r="AP689" s="114">
        <v>151.0225</v>
      </c>
      <c r="AQ689" s="114">
        <v>-839</v>
      </c>
      <c r="AR689" s="114">
        <v>23326</v>
      </c>
      <c r="AS689" s="114">
        <v>10652</v>
      </c>
      <c r="AT689" s="114"/>
      <c r="AU689" s="114">
        <v>7</v>
      </c>
      <c r="AV689" s="114">
        <v>0</v>
      </c>
      <c r="AW689" s="114">
        <v>0</v>
      </c>
      <c r="AX689" s="114">
        <v>0</v>
      </c>
      <c r="AY689" s="114">
        <v>0</v>
      </c>
      <c r="AZ689" s="114">
        <v>15</v>
      </c>
      <c r="BA689" s="114">
        <v>1376</v>
      </c>
      <c r="BB689" s="116"/>
      <c r="BC689" s="116"/>
      <c r="BD689" s="116"/>
      <c r="BE689" s="116"/>
      <c r="BF689" s="116"/>
      <c r="BG689" s="116"/>
      <c r="BH689" s="116"/>
      <c r="BI689" s="116"/>
      <c r="BJ689" s="117">
        <v>1940424</v>
      </c>
      <c r="BK689" s="117">
        <v>66136</v>
      </c>
      <c r="BL689" s="117">
        <v>22814651</v>
      </c>
      <c r="BM689" s="118">
        <v>77860000</v>
      </c>
      <c r="BN689" s="118">
        <v>4580</v>
      </c>
      <c r="BO689" s="119"/>
      <c r="BP689" s="119"/>
      <c r="BQ689" s="119"/>
      <c r="BR689" s="119"/>
      <c r="BS689" s="119"/>
      <c r="BT689" s="119"/>
      <c r="BU689" s="119"/>
      <c r="BV689" s="119"/>
      <c r="BW689" s="119"/>
      <c r="BX689" s="119"/>
    </row>
    <row r="690" s="96" customFormat="1" customHeight="1" spans="1:76">
      <c r="A690" s="111">
        <v>689</v>
      </c>
      <c r="B690" s="112" t="s">
        <v>58</v>
      </c>
      <c r="C690" s="112" t="s">
        <v>58</v>
      </c>
      <c r="D690" s="111">
        <v>2024</v>
      </c>
      <c r="E690" s="113" t="s">
        <v>36</v>
      </c>
      <c r="F690" s="114">
        <v>26254446</v>
      </c>
      <c r="G690" s="114">
        <v>26254446</v>
      </c>
      <c r="H690" s="114">
        <v>1239393.151</v>
      </c>
      <c r="I690" s="114">
        <v>47860</v>
      </c>
      <c r="J690" s="115">
        <v>0.00195601851851852</v>
      </c>
      <c r="K690" s="114">
        <v>30.94</v>
      </c>
      <c r="L690" s="114">
        <v>3193</v>
      </c>
      <c r="M690" s="114">
        <v>275267795</v>
      </c>
      <c r="N690" s="114">
        <v>6.4</v>
      </c>
      <c r="O690" s="114">
        <v>11021145</v>
      </c>
      <c r="P690" s="114">
        <v>3023405</v>
      </c>
      <c r="Q690" s="114">
        <v>7997740</v>
      </c>
      <c r="R690" s="114">
        <v>7997740</v>
      </c>
      <c r="S690" s="114">
        <v>0</v>
      </c>
      <c r="T690" s="114">
        <v>54786</v>
      </c>
      <c r="U690" s="114">
        <v>6926</v>
      </c>
      <c r="V690" s="114">
        <v>220665</v>
      </c>
      <c r="W690" s="114">
        <v>11996</v>
      </c>
      <c r="X690" s="114">
        <v>37165</v>
      </c>
      <c r="Y690" s="114">
        <v>105938</v>
      </c>
      <c r="Z690" s="114">
        <v>46177739.4</v>
      </c>
      <c r="AA690" s="114">
        <v>15283.677</v>
      </c>
      <c r="AB690" s="114">
        <v>1</v>
      </c>
      <c r="AC690" s="114">
        <v>2298792.103</v>
      </c>
      <c r="AD690" s="114">
        <v>43002325.73</v>
      </c>
      <c r="AE690" s="114">
        <v>78242490.63</v>
      </c>
      <c r="AF690" s="114">
        <v>8327198</v>
      </c>
      <c r="AG690" s="114">
        <v>9396.017</v>
      </c>
      <c r="AH690" s="114">
        <v>7414780</v>
      </c>
      <c r="AI690" s="114">
        <v>1758.854</v>
      </c>
      <c r="AJ690" s="114">
        <v>0</v>
      </c>
      <c r="AK690" s="114">
        <v>0</v>
      </c>
      <c r="AL690" s="114">
        <v>0</v>
      </c>
      <c r="AM690" s="114">
        <v>0</v>
      </c>
      <c r="AN690" s="114">
        <v>346036</v>
      </c>
      <c r="AO690" s="114">
        <v>20940.8285</v>
      </c>
      <c r="AP690" s="114">
        <v>183.9832</v>
      </c>
      <c r="AQ690" s="114">
        <v>944</v>
      </c>
      <c r="AR690" s="114">
        <v>569</v>
      </c>
      <c r="AS690" s="114">
        <v>2711</v>
      </c>
      <c r="AT690" s="114"/>
      <c r="AU690" s="114">
        <v>29</v>
      </c>
      <c r="AV690" s="114">
        <v>3</v>
      </c>
      <c r="AW690" s="114">
        <v>0.0388</v>
      </c>
      <c r="AX690" s="114">
        <v>0</v>
      </c>
      <c r="AY690" s="114">
        <v>0</v>
      </c>
      <c r="AZ690" s="114">
        <v>36</v>
      </c>
      <c r="BA690" s="114">
        <v>2291</v>
      </c>
      <c r="BB690" s="116"/>
      <c r="BC690" s="116"/>
      <c r="BD690" s="116"/>
      <c r="BE690" s="116"/>
      <c r="BF690" s="116"/>
      <c r="BG690" s="116"/>
      <c r="BH690" s="116"/>
      <c r="BI690" s="116"/>
      <c r="BJ690" s="117">
        <v>1988284</v>
      </c>
      <c r="BK690" s="117">
        <v>47860</v>
      </c>
      <c r="BL690" s="117">
        <v>21152646</v>
      </c>
      <c r="BM690" s="118">
        <v>34204000</v>
      </c>
      <c r="BN690" s="118">
        <v>2012</v>
      </c>
      <c r="BO690" s="119"/>
      <c r="BP690" s="119"/>
      <c r="BQ690" s="119"/>
      <c r="BR690" s="119"/>
      <c r="BS690" s="119"/>
      <c r="BT690" s="119"/>
      <c r="BU690" s="119"/>
      <c r="BV690" s="119"/>
      <c r="BW690" s="119"/>
      <c r="BX690" s="119"/>
    </row>
    <row r="691" s="96" customFormat="1" customHeight="1" spans="1:76">
      <c r="A691" s="111">
        <v>690</v>
      </c>
      <c r="B691" s="112" t="s">
        <v>58</v>
      </c>
      <c r="C691" s="112" t="s">
        <v>58</v>
      </c>
      <c r="D691" s="111">
        <v>2024</v>
      </c>
      <c r="E691" s="113" t="s">
        <v>37</v>
      </c>
      <c r="F691" s="114">
        <v>30891454</v>
      </c>
      <c r="G691" s="114">
        <v>30891454</v>
      </c>
      <c r="H691" s="114">
        <v>2111080.375</v>
      </c>
      <c r="I691" s="114">
        <v>66285</v>
      </c>
      <c r="J691" s="115">
        <v>0.00284722222222222</v>
      </c>
      <c r="K691" s="114">
        <v>34.82</v>
      </c>
      <c r="L691" s="114">
        <v>3249</v>
      </c>
      <c r="M691" s="114">
        <v>280415353</v>
      </c>
      <c r="N691" s="114">
        <v>7.08</v>
      </c>
      <c r="O691" s="114">
        <v>10713867</v>
      </c>
      <c r="P691" s="114">
        <v>2770047</v>
      </c>
      <c r="Q691" s="114">
        <v>7943820</v>
      </c>
      <c r="R691" s="114">
        <v>7943820</v>
      </c>
      <c r="S691" s="114">
        <v>0</v>
      </c>
      <c r="T691" s="114">
        <v>74472</v>
      </c>
      <c r="U691" s="114">
        <v>8187</v>
      </c>
      <c r="V691" s="114">
        <v>296259</v>
      </c>
      <c r="W691" s="114">
        <v>16656</v>
      </c>
      <c r="X691" s="114">
        <v>35195</v>
      </c>
      <c r="Y691" s="114">
        <v>169558</v>
      </c>
      <c r="Z691" s="114">
        <v>74369520.09</v>
      </c>
      <c r="AA691" s="114">
        <v>0</v>
      </c>
      <c r="AB691" s="114">
        <v>0</v>
      </c>
      <c r="AC691" s="114">
        <v>3229535.907</v>
      </c>
      <c r="AD691" s="114">
        <v>69538856.44</v>
      </c>
      <c r="AE691" s="114">
        <v>126587311.8</v>
      </c>
      <c r="AF691" s="114">
        <v>12232450</v>
      </c>
      <c r="AG691" s="114">
        <v>10348.484</v>
      </c>
      <c r="AH691" s="114">
        <v>10413658</v>
      </c>
      <c r="AI691" s="114">
        <v>2407.447</v>
      </c>
      <c r="AJ691" s="114">
        <v>0</v>
      </c>
      <c r="AK691" s="114">
        <v>0</v>
      </c>
      <c r="AL691" s="114">
        <v>0</v>
      </c>
      <c r="AM691" s="114">
        <v>0</v>
      </c>
      <c r="AN691" s="114">
        <v>352724</v>
      </c>
      <c r="AO691" s="114">
        <v>29771.5836</v>
      </c>
      <c r="AP691" s="114">
        <v>192.5917</v>
      </c>
      <c r="AQ691" s="114">
        <v>1407</v>
      </c>
      <c r="AR691" s="114">
        <v>3718</v>
      </c>
      <c r="AS691" s="114">
        <v>9770</v>
      </c>
      <c r="AT691" s="114"/>
      <c r="AU691" s="114">
        <v>8</v>
      </c>
      <c r="AV691" s="114">
        <v>1</v>
      </c>
      <c r="AW691" s="114">
        <v>0.0034</v>
      </c>
      <c r="AX691" s="114">
        <v>0</v>
      </c>
      <c r="AY691" s="114">
        <v>0</v>
      </c>
      <c r="AZ691" s="114">
        <v>16</v>
      </c>
      <c r="BA691" s="114">
        <v>2033</v>
      </c>
      <c r="BB691" s="116"/>
      <c r="BC691" s="116"/>
      <c r="BD691" s="116"/>
      <c r="BE691" s="116"/>
      <c r="BF691" s="116"/>
      <c r="BG691" s="116"/>
      <c r="BH691" s="116"/>
      <c r="BI691" s="116"/>
      <c r="BJ691" s="117">
        <v>2054569</v>
      </c>
      <c r="BK691" s="117">
        <v>66285</v>
      </c>
      <c r="BL691" s="117">
        <v>23361634</v>
      </c>
      <c r="BM691" s="118">
        <v>61591000</v>
      </c>
      <c r="BN691" s="118">
        <v>3623</v>
      </c>
      <c r="BO691" s="119"/>
      <c r="BP691" s="119"/>
      <c r="BQ691" s="119"/>
      <c r="BR691" s="119"/>
      <c r="BS691" s="119"/>
      <c r="BT691" s="119"/>
      <c r="BU691" s="119"/>
      <c r="BV691" s="119"/>
      <c r="BW691" s="119"/>
      <c r="BX691" s="119"/>
    </row>
    <row r="692" s="96" customFormat="1" customHeight="1" spans="1:76">
      <c r="A692" s="111">
        <v>691</v>
      </c>
      <c r="B692" s="112" t="s">
        <v>58</v>
      </c>
      <c r="C692" s="112" t="s">
        <v>58</v>
      </c>
      <c r="D692" s="111">
        <v>2024</v>
      </c>
      <c r="E692" s="113" t="s">
        <v>38</v>
      </c>
      <c r="F692" s="114">
        <v>28059857</v>
      </c>
      <c r="G692" s="114">
        <v>28059857</v>
      </c>
      <c r="H692" s="114">
        <v>1840918.61</v>
      </c>
      <c r="I692" s="114">
        <v>52196</v>
      </c>
      <c r="J692" s="115">
        <v>0.00273148148148148</v>
      </c>
      <c r="K692" s="114">
        <v>24.96</v>
      </c>
      <c r="L692" s="114">
        <v>3460</v>
      </c>
      <c r="M692" s="114">
        <v>293423955</v>
      </c>
      <c r="N692" s="114">
        <v>6.13</v>
      </c>
      <c r="O692" s="114">
        <v>9326067</v>
      </c>
      <c r="P692" s="114">
        <v>2173856</v>
      </c>
      <c r="Q692" s="114">
        <v>7152211</v>
      </c>
      <c r="R692" s="114">
        <v>7152211</v>
      </c>
      <c r="S692" s="114">
        <v>0</v>
      </c>
      <c r="T692" s="114">
        <v>60406</v>
      </c>
      <c r="U692" s="114">
        <v>8210</v>
      </c>
      <c r="V692" s="114">
        <v>267456</v>
      </c>
      <c r="W692" s="114">
        <v>16416</v>
      </c>
      <c r="X692" s="114">
        <v>40228</v>
      </c>
      <c r="Y692" s="114">
        <v>152816</v>
      </c>
      <c r="Z692" s="114">
        <v>72128928.75</v>
      </c>
      <c r="AA692" s="114">
        <v>15809.365</v>
      </c>
      <c r="AB692" s="114">
        <v>1</v>
      </c>
      <c r="AC692" s="114">
        <v>2542883.086</v>
      </c>
      <c r="AD692" s="114">
        <v>68046773.98</v>
      </c>
      <c r="AE692" s="114">
        <v>124416849.2</v>
      </c>
      <c r="AF692" s="114">
        <v>13966732</v>
      </c>
      <c r="AG692" s="114">
        <v>8908.086</v>
      </c>
      <c r="AH692" s="114">
        <v>12218209</v>
      </c>
      <c r="AI692" s="114">
        <v>2570.538</v>
      </c>
      <c r="AJ692" s="114">
        <v>0</v>
      </c>
      <c r="AK692" s="114">
        <v>0</v>
      </c>
      <c r="AL692" s="114">
        <v>0</v>
      </c>
      <c r="AM692" s="114">
        <v>0</v>
      </c>
      <c r="AN692" s="114">
        <v>327274</v>
      </c>
      <c r="AO692" s="114">
        <v>24718.2523</v>
      </c>
      <c r="AP692" s="114">
        <v>758.4225</v>
      </c>
      <c r="AQ692" s="114">
        <v>3372</v>
      </c>
      <c r="AR692" s="114">
        <v>22504</v>
      </c>
      <c r="AS692" s="114">
        <v>27764</v>
      </c>
      <c r="AT692" s="114">
        <v>1</v>
      </c>
      <c r="AU692" s="114">
        <v>429</v>
      </c>
      <c r="AV692" s="114">
        <v>0</v>
      </c>
      <c r="AW692" s="114">
        <v>0</v>
      </c>
      <c r="AX692" s="114">
        <v>0</v>
      </c>
      <c r="AY692" s="114">
        <v>0</v>
      </c>
      <c r="AZ692" s="114">
        <v>216</v>
      </c>
      <c r="BA692" s="114">
        <v>13564</v>
      </c>
      <c r="BB692" s="116"/>
      <c r="BC692" s="116"/>
      <c r="BD692" s="116"/>
      <c r="BE692" s="116"/>
      <c r="BF692" s="116"/>
      <c r="BG692" s="116"/>
      <c r="BH692" s="116"/>
      <c r="BI692" s="116"/>
      <c r="BJ692" s="117">
        <v>2106765</v>
      </c>
      <c r="BK692" s="117">
        <v>52196</v>
      </c>
      <c r="BL692" s="117">
        <v>20037382</v>
      </c>
      <c r="BM692" s="118">
        <v>59636000</v>
      </c>
      <c r="BN692" s="118">
        <v>3508</v>
      </c>
      <c r="BO692" s="119"/>
      <c r="BP692" s="119"/>
      <c r="BQ692" s="119"/>
      <c r="BR692" s="119"/>
      <c r="BS692" s="119"/>
      <c r="BT692" s="119"/>
      <c r="BU692" s="119"/>
      <c r="BV692" s="119"/>
      <c r="BW692" s="119"/>
      <c r="BX692" s="119"/>
    </row>
    <row r="693" s="96" customFormat="1" customHeight="1" spans="1:76">
      <c r="A693" s="111">
        <v>692</v>
      </c>
      <c r="B693" s="112" t="s">
        <v>58</v>
      </c>
      <c r="C693" s="112" t="s">
        <v>58</v>
      </c>
      <c r="D693" s="111">
        <v>2024</v>
      </c>
      <c r="E693" s="113" t="s">
        <v>39</v>
      </c>
      <c r="F693" s="114">
        <v>24393004</v>
      </c>
      <c r="G693" s="114">
        <v>24393004</v>
      </c>
      <c r="H693" s="114">
        <v>1391953.015</v>
      </c>
      <c r="I693" s="114">
        <v>48522</v>
      </c>
      <c r="J693" s="115">
        <v>0.00237268518518519</v>
      </c>
      <c r="K693" s="114">
        <v>22.14</v>
      </c>
      <c r="L693" s="114">
        <v>4026</v>
      </c>
      <c r="M693" s="114">
        <v>301762965</v>
      </c>
      <c r="N693" s="114">
        <v>5.75</v>
      </c>
      <c r="O693" s="114">
        <v>9461659</v>
      </c>
      <c r="P693" s="114">
        <v>2200269</v>
      </c>
      <c r="Q693" s="114">
        <v>7261390</v>
      </c>
      <c r="R693" s="114">
        <v>7261390</v>
      </c>
      <c r="S693" s="114">
        <v>0</v>
      </c>
      <c r="T693" s="114">
        <v>56073</v>
      </c>
      <c r="U693" s="114">
        <v>7551</v>
      </c>
      <c r="V693" s="114">
        <v>203980</v>
      </c>
      <c r="W693" s="114">
        <v>11323</v>
      </c>
      <c r="X693" s="114">
        <v>40621</v>
      </c>
      <c r="Y693" s="114">
        <v>106144</v>
      </c>
      <c r="Z693" s="114">
        <v>80079891.2</v>
      </c>
      <c r="AA693" s="114">
        <v>27663.692</v>
      </c>
      <c r="AB693" s="114">
        <v>2</v>
      </c>
      <c r="AC693" s="114">
        <v>2813460.986</v>
      </c>
      <c r="AD693" s="114">
        <v>76594256.64</v>
      </c>
      <c r="AE693" s="114">
        <v>139430145.5</v>
      </c>
      <c r="AF693" s="114">
        <v>15606989</v>
      </c>
      <c r="AG693" s="114">
        <v>8933.827</v>
      </c>
      <c r="AH693" s="114">
        <v>13803066</v>
      </c>
      <c r="AI693" s="114">
        <v>3282.904</v>
      </c>
      <c r="AJ693" s="114">
        <v>0</v>
      </c>
      <c r="AK693" s="114">
        <v>0</v>
      </c>
      <c r="AL693" s="114">
        <v>0</v>
      </c>
      <c r="AM693" s="114">
        <v>0</v>
      </c>
      <c r="AN693" s="114">
        <v>433849</v>
      </c>
      <c r="AO693" s="114">
        <v>25838.7611</v>
      </c>
      <c r="AP693" s="114">
        <v>1011.1001</v>
      </c>
      <c r="AQ693" s="114">
        <v>4011</v>
      </c>
      <c r="AR693" s="114">
        <v>47354</v>
      </c>
      <c r="AS693" s="114">
        <v>26868</v>
      </c>
      <c r="AT693" s="114"/>
      <c r="AU693" s="114">
        <v>8</v>
      </c>
      <c r="AV693" s="114">
        <v>0</v>
      </c>
      <c r="AW693" s="114">
        <v>0</v>
      </c>
      <c r="AX693" s="114">
        <v>0</v>
      </c>
      <c r="AY693" s="114">
        <v>2</v>
      </c>
      <c r="AZ693" s="114">
        <v>131</v>
      </c>
      <c r="BA693" s="114">
        <v>5344</v>
      </c>
      <c r="BB693" s="116"/>
      <c r="BC693" s="116"/>
      <c r="BD693" s="116"/>
      <c r="BE693" s="116"/>
      <c r="BF693" s="116"/>
      <c r="BG693" s="116"/>
      <c r="BH693" s="116"/>
      <c r="BI693" s="116"/>
      <c r="BJ693" s="117">
        <v>2155287</v>
      </c>
      <c r="BK693" s="117">
        <v>48522</v>
      </c>
      <c r="BL693" s="117">
        <v>18210004</v>
      </c>
      <c r="BM693" s="118">
        <v>68323000</v>
      </c>
      <c r="BN693" s="118">
        <v>4019</v>
      </c>
      <c r="BO693" s="119"/>
      <c r="BP693" s="119"/>
      <c r="BQ693" s="119"/>
      <c r="BR693" s="119"/>
      <c r="BS693" s="119"/>
      <c r="BT693" s="119"/>
      <c r="BU693" s="119"/>
      <c r="BV693" s="119"/>
      <c r="BW693" s="119"/>
      <c r="BX693" s="119"/>
    </row>
    <row r="694" s="96" customFormat="1" customHeight="1" spans="1:76">
      <c r="A694" s="111">
        <v>693</v>
      </c>
      <c r="B694" s="112" t="s">
        <v>58</v>
      </c>
      <c r="C694" s="112" t="s">
        <v>58</v>
      </c>
      <c r="D694" s="111">
        <v>2024</v>
      </c>
      <c r="E694" s="113" t="s">
        <v>40</v>
      </c>
      <c r="F694" s="114">
        <v>22126681</v>
      </c>
      <c r="G694" s="114">
        <v>22126681</v>
      </c>
      <c r="H694" s="114">
        <v>2064728.042</v>
      </c>
      <c r="I694" s="114">
        <v>56879</v>
      </c>
      <c r="J694" s="115">
        <v>0.00387731481481481</v>
      </c>
      <c r="K694" s="114">
        <v>24.66</v>
      </c>
      <c r="L694" s="114">
        <v>4189</v>
      </c>
      <c r="M694" s="114">
        <v>263988537</v>
      </c>
      <c r="N694" s="114">
        <v>6.04</v>
      </c>
      <c r="O694" s="114">
        <v>8930366</v>
      </c>
      <c r="P694" s="114">
        <v>2122012</v>
      </c>
      <c r="Q694" s="114">
        <v>6808354</v>
      </c>
      <c r="R694" s="114">
        <v>6808354</v>
      </c>
      <c r="S694" s="114">
        <v>0</v>
      </c>
      <c r="T694" s="114">
        <v>64481</v>
      </c>
      <c r="U694" s="114">
        <v>7602</v>
      </c>
      <c r="V694" s="114">
        <v>191211</v>
      </c>
      <c r="W694" s="114">
        <v>11685</v>
      </c>
      <c r="X694" s="114">
        <v>40172</v>
      </c>
      <c r="Y694" s="114">
        <v>114423</v>
      </c>
      <c r="Z694" s="114">
        <v>106647235.6</v>
      </c>
      <c r="AA694" s="114">
        <v>13785.139</v>
      </c>
      <c r="AB694" s="114">
        <v>1</v>
      </c>
      <c r="AC694" s="114">
        <v>5039766.497</v>
      </c>
      <c r="AD694" s="114">
        <v>101248249</v>
      </c>
      <c r="AE694" s="114">
        <v>184140598.2</v>
      </c>
      <c r="AF694" s="114">
        <v>19380276</v>
      </c>
      <c r="AG694" s="114">
        <v>9501.444</v>
      </c>
      <c r="AH694" s="114">
        <v>16208935</v>
      </c>
      <c r="AI694" s="114">
        <v>4819.848</v>
      </c>
      <c r="AJ694" s="114">
        <v>2</v>
      </c>
      <c r="AK694" s="114">
        <v>43</v>
      </c>
      <c r="AL694" s="114">
        <v>0</v>
      </c>
      <c r="AM694" s="114">
        <v>0</v>
      </c>
      <c r="AN694" s="114">
        <v>393484</v>
      </c>
      <c r="AO694" s="114">
        <v>42867.8313</v>
      </c>
      <c r="AP694" s="114">
        <v>932.0738</v>
      </c>
      <c r="AQ694" s="114">
        <v>2254</v>
      </c>
      <c r="AR694" s="114">
        <v>4177</v>
      </c>
      <c r="AS694" s="114">
        <v>4879</v>
      </c>
      <c r="AT694" s="114">
        <v>2</v>
      </c>
      <c r="AU694" s="114">
        <v>969</v>
      </c>
      <c r="AV694" s="114">
        <v>1</v>
      </c>
      <c r="AW694" s="114">
        <v>0.0236</v>
      </c>
      <c r="AX694" s="114">
        <v>0</v>
      </c>
      <c r="AY694" s="114">
        <v>3</v>
      </c>
      <c r="AZ694" s="114">
        <v>88</v>
      </c>
      <c r="BA694" s="114">
        <v>5769</v>
      </c>
      <c r="BB694" s="116"/>
      <c r="BC694" s="116"/>
      <c r="BD694" s="116"/>
      <c r="BE694" s="116"/>
      <c r="BF694" s="116"/>
      <c r="BG694" s="116"/>
      <c r="BH694" s="116"/>
      <c r="BI694" s="116"/>
      <c r="BJ694" s="117">
        <v>2212166</v>
      </c>
      <c r="BK694" s="117">
        <v>56879</v>
      </c>
      <c r="BL694" s="117">
        <v>17479761</v>
      </c>
      <c r="BM694" s="118">
        <v>97937000</v>
      </c>
      <c r="BN694" s="118">
        <v>5761</v>
      </c>
      <c r="BO694" s="119"/>
      <c r="BP694" s="119"/>
      <c r="BQ694" s="119"/>
      <c r="BR694" s="119"/>
      <c r="BS694" s="119"/>
      <c r="BT694" s="119"/>
      <c r="BU694" s="119"/>
      <c r="BV694" s="119"/>
      <c r="BW694" s="119"/>
      <c r="BX694" s="119"/>
    </row>
    <row r="695" s="96" customFormat="1" customHeight="1" spans="1:76">
      <c r="A695" s="111">
        <v>694</v>
      </c>
      <c r="B695" s="112" t="s">
        <v>58</v>
      </c>
      <c r="C695" s="112" t="s">
        <v>58</v>
      </c>
      <c r="D695" s="111">
        <v>2024</v>
      </c>
      <c r="E695" s="113" t="s">
        <v>41</v>
      </c>
      <c r="F695" s="114">
        <v>27902152</v>
      </c>
      <c r="G695" s="114">
        <v>27902152</v>
      </c>
      <c r="H695" s="114">
        <v>1540736.22</v>
      </c>
      <c r="I695" s="114">
        <v>54278</v>
      </c>
      <c r="J695" s="115">
        <v>0.00229166666666667</v>
      </c>
      <c r="K695" s="114">
        <v>23.07</v>
      </c>
      <c r="L695" s="114">
        <v>5205</v>
      </c>
      <c r="M695" s="114">
        <v>339180791</v>
      </c>
      <c r="N695" s="114">
        <v>6.08</v>
      </c>
      <c r="O695" s="114">
        <v>10760126</v>
      </c>
      <c r="P695" s="114">
        <v>2779301</v>
      </c>
      <c r="Q695" s="114">
        <v>7980825</v>
      </c>
      <c r="R695" s="114">
        <v>7980825</v>
      </c>
      <c r="S695" s="114">
        <v>0</v>
      </c>
      <c r="T695" s="114">
        <v>62516</v>
      </c>
      <c r="U695" s="114">
        <v>8238</v>
      </c>
      <c r="V695" s="114">
        <v>207562</v>
      </c>
      <c r="W695" s="114">
        <v>12588</v>
      </c>
      <c r="X695" s="114">
        <v>42264</v>
      </c>
      <c r="Y695" s="114">
        <v>101288</v>
      </c>
      <c r="Z695" s="114">
        <v>89284215.27</v>
      </c>
      <c r="AA695" s="114">
        <v>0</v>
      </c>
      <c r="AB695" s="114">
        <v>6</v>
      </c>
      <c r="AC695" s="114">
        <v>3694866.763</v>
      </c>
      <c r="AD695" s="114">
        <v>85045931.67</v>
      </c>
      <c r="AE695" s="114">
        <v>154718020.5</v>
      </c>
      <c r="AF695" s="114">
        <v>17146536</v>
      </c>
      <c r="AG695" s="114">
        <v>9023.281</v>
      </c>
      <c r="AH695" s="114">
        <v>14829615</v>
      </c>
      <c r="AI695" s="114">
        <v>3199.904</v>
      </c>
      <c r="AJ695" s="114">
        <v>46</v>
      </c>
      <c r="AK695" s="114">
        <v>2812</v>
      </c>
      <c r="AL695" s="114">
        <v>231236.059</v>
      </c>
      <c r="AM695" s="114">
        <v>2</v>
      </c>
      <c r="AN695" s="114">
        <v>447430</v>
      </c>
      <c r="AO695" s="114">
        <v>28837.7274</v>
      </c>
      <c r="AP695" s="114">
        <v>1004.6205</v>
      </c>
      <c r="AQ695" s="114">
        <v>2185</v>
      </c>
      <c r="AR695" s="114">
        <v>10835</v>
      </c>
      <c r="AS695" s="114">
        <v>7896</v>
      </c>
      <c r="AT695" s="114">
        <v>2</v>
      </c>
      <c r="AU695" s="114">
        <v>4115</v>
      </c>
      <c r="AV695" s="114">
        <v>0</v>
      </c>
      <c r="AW695" s="114">
        <v>0</v>
      </c>
      <c r="AX695" s="114">
        <v>0</v>
      </c>
      <c r="AY695" s="114">
        <v>1</v>
      </c>
      <c r="AZ695" s="114">
        <v>57</v>
      </c>
      <c r="BA695" s="114">
        <v>3169</v>
      </c>
      <c r="BB695" s="116"/>
      <c r="BC695" s="116"/>
      <c r="BD695" s="116"/>
      <c r="BE695" s="116"/>
      <c r="BF695" s="116"/>
      <c r="BG695" s="116"/>
      <c r="BH695" s="116"/>
      <c r="BI695" s="116"/>
      <c r="BJ695" s="117">
        <v>2266444</v>
      </c>
      <c r="BK695" s="117">
        <v>54278</v>
      </c>
      <c r="BL695" s="117">
        <v>23435595</v>
      </c>
      <c r="BM695" s="118">
        <v>83810000</v>
      </c>
      <c r="BN695" s="118">
        <v>4930</v>
      </c>
      <c r="BO695" s="119"/>
      <c r="BP695" s="119"/>
      <c r="BQ695" s="119"/>
      <c r="BR695" s="119"/>
      <c r="BS695" s="119"/>
      <c r="BT695" s="119"/>
      <c r="BU695" s="119"/>
      <c r="BV695" s="119"/>
      <c r="BW695" s="119"/>
      <c r="BX695" s="119"/>
    </row>
    <row r="696" s="96" customFormat="1" customHeight="1" spans="1:76">
      <c r="A696" s="111">
        <v>695</v>
      </c>
      <c r="B696" s="112" t="s">
        <v>58</v>
      </c>
      <c r="C696" s="112" t="s">
        <v>58</v>
      </c>
      <c r="D696" s="111">
        <v>2024</v>
      </c>
      <c r="E696" s="113" t="s">
        <v>42</v>
      </c>
      <c r="F696" s="114">
        <v>28876647</v>
      </c>
      <c r="G696" s="114">
        <v>28876647</v>
      </c>
      <c r="H696" s="114">
        <v>1605196.461</v>
      </c>
      <c r="I696" s="114">
        <v>55021</v>
      </c>
      <c r="J696" s="115">
        <v>0.00231481481481481</v>
      </c>
      <c r="K696" s="114">
        <v>22.65</v>
      </c>
      <c r="L696" s="114">
        <v>4627</v>
      </c>
      <c r="M696" s="114">
        <v>327362018</v>
      </c>
      <c r="N696" s="114">
        <v>6.49</v>
      </c>
      <c r="O696" s="114">
        <v>10940185</v>
      </c>
      <c r="P696" s="114">
        <v>2741958</v>
      </c>
      <c r="Q696" s="114">
        <v>8198227</v>
      </c>
      <c r="R696" s="114">
        <v>8198227</v>
      </c>
      <c r="S696" s="114">
        <v>0</v>
      </c>
      <c r="T696" s="114">
        <v>63279</v>
      </c>
      <c r="U696" s="114">
        <v>8258</v>
      </c>
      <c r="V696" s="114">
        <v>225993</v>
      </c>
      <c r="W696" s="114">
        <v>11842</v>
      </c>
      <c r="X696" s="114">
        <v>46484</v>
      </c>
      <c r="Y696" s="114">
        <v>114522</v>
      </c>
      <c r="Z696" s="114">
        <v>87080281.76</v>
      </c>
      <c r="AA696" s="114">
        <v>13877.505</v>
      </c>
      <c r="AB696" s="114">
        <v>35</v>
      </c>
      <c r="AC696" s="114">
        <v>4335356.536</v>
      </c>
      <c r="AD696" s="114">
        <v>82100595.1</v>
      </c>
      <c r="AE696" s="114">
        <v>149395108</v>
      </c>
      <c r="AF696" s="114">
        <v>16340687</v>
      </c>
      <c r="AG696" s="114">
        <v>9142.523</v>
      </c>
      <c r="AH696" s="114">
        <v>14104394</v>
      </c>
      <c r="AI696" s="114">
        <v>3015.596</v>
      </c>
      <c r="AJ696" s="114">
        <v>886</v>
      </c>
      <c r="AK696" s="114">
        <v>153289</v>
      </c>
      <c r="AL696" s="114">
        <v>2003281.207</v>
      </c>
      <c r="AM696" s="114">
        <v>20</v>
      </c>
      <c r="AN696" s="114">
        <v>439996</v>
      </c>
      <c r="AO696" s="114">
        <v>29331.872</v>
      </c>
      <c r="AP696" s="114">
        <v>913.4671</v>
      </c>
      <c r="AQ696" s="114">
        <v>1865</v>
      </c>
      <c r="AR696" s="114">
        <v>10514</v>
      </c>
      <c r="AS696" s="114">
        <v>6588</v>
      </c>
      <c r="AT696" s="114">
        <v>1</v>
      </c>
      <c r="AU696" s="114">
        <v>211</v>
      </c>
      <c r="AV696" s="114">
        <v>2</v>
      </c>
      <c r="AW696" s="114">
        <v>0.0161</v>
      </c>
      <c r="AX696" s="114">
        <v>0</v>
      </c>
      <c r="AY696" s="114">
        <v>2</v>
      </c>
      <c r="AZ696" s="114">
        <v>28</v>
      </c>
      <c r="BA696" s="114">
        <v>1724</v>
      </c>
      <c r="BB696" s="116"/>
      <c r="BC696" s="116"/>
      <c r="BD696" s="116"/>
      <c r="BE696" s="116"/>
      <c r="BF696" s="116"/>
      <c r="BG696" s="116"/>
      <c r="BH696" s="116"/>
      <c r="BI696" s="116"/>
      <c r="BJ696" s="117">
        <v>2321465</v>
      </c>
      <c r="BK696" s="117">
        <v>55021</v>
      </c>
      <c r="BL696" s="117">
        <v>22768485</v>
      </c>
      <c r="BM696" s="118">
        <v>73525000</v>
      </c>
      <c r="BN696" s="118">
        <v>4325</v>
      </c>
      <c r="BO696" s="119"/>
      <c r="BP696" s="119"/>
      <c r="BQ696" s="119"/>
      <c r="BR696" s="119"/>
      <c r="BS696" s="119"/>
      <c r="BT696" s="119"/>
      <c r="BU696" s="119"/>
      <c r="BV696" s="119"/>
      <c r="BW696" s="119"/>
      <c r="BX696" s="119"/>
    </row>
    <row r="697" s="96" customFormat="1" customHeight="1" spans="1:76">
      <c r="A697" s="111">
        <v>696</v>
      </c>
      <c r="B697" s="112" t="s">
        <v>58</v>
      </c>
      <c r="C697" s="112" t="s">
        <v>58</v>
      </c>
      <c r="D697" s="111">
        <v>2024</v>
      </c>
      <c r="E697" s="113" t="s">
        <v>43</v>
      </c>
      <c r="F697" s="114">
        <v>27660482</v>
      </c>
      <c r="G697" s="114">
        <v>27660482</v>
      </c>
      <c r="H697" s="114">
        <v>2018588.415</v>
      </c>
      <c r="I697" s="114">
        <v>57082</v>
      </c>
      <c r="J697" s="115">
        <v>0.00303240740740741</v>
      </c>
      <c r="K697" s="114">
        <v>27.45</v>
      </c>
      <c r="L697" s="114">
        <v>4506</v>
      </c>
      <c r="M697" s="114">
        <v>313120368</v>
      </c>
      <c r="N697" s="114">
        <v>6.37</v>
      </c>
      <c r="O697" s="114">
        <v>10742076</v>
      </c>
      <c r="P697" s="114">
        <v>2548922</v>
      </c>
      <c r="Q697" s="114">
        <v>8193154</v>
      </c>
      <c r="R697" s="114">
        <v>8193154</v>
      </c>
      <c r="S697" s="114">
        <v>0</v>
      </c>
      <c r="T697" s="114">
        <v>66334</v>
      </c>
      <c r="U697" s="114">
        <v>9252</v>
      </c>
      <c r="V697" s="114">
        <v>194709</v>
      </c>
      <c r="W697" s="114">
        <v>11129</v>
      </c>
      <c r="X697" s="114">
        <v>51290</v>
      </c>
      <c r="Y697" s="114">
        <v>122694</v>
      </c>
      <c r="Z697" s="114">
        <v>121699009.5</v>
      </c>
      <c r="AA697" s="114">
        <v>13975.812</v>
      </c>
      <c r="AB697" s="114">
        <v>43</v>
      </c>
      <c r="AC697" s="114">
        <v>5627015.551</v>
      </c>
      <c r="AD697" s="114">
        <v>115570226.6</v>
      </c>
      <c r="AE697" s="114">
        <v>210213012.1</v>
      </c>
      <c r="AF697" s="114">
        <v>21034695</v>
      </c>
      <c r="AG697" s="114">
        <v>9993.633</v>
      </c>
      <c r="AH697" s="114">
        <v>17743126</v>
      </c>
      <c r="AI697" s="114">
        <v>4399.743</v>
      </c>
      <c r="AJ697" s="114">
        <v>502</v>
      </c>
      <c r="AK697" s="114">
        <v>85596</v>
      </c>
      <c r="AL697" s="114">
        <v>2350147.696</v>
      </c>
      <c r="AM697" s="114">
        <v>32</v>
      </c>
      <c r="AN697" s="114">
        <v>434092</v>
      </c>
      <c r="AO697" s="114">
        <v>38587.9523</v>
      </c>
      <c r="AP697" s="114">
        <v>950.0427</v>
      </c>
      <c r="AQ697" s="114">
        <v>2463</v>
      </c>
      <c r="AR697" s="114">
        <v>834</v>
      </c>
      <c r="AS697" s="114">
        <v>6417</v>
      </c>
      <c r="AT697" s="114">
        <v>2</v>
      </c>
      <c r="AU697" s="114">
        <v>864</v>
      </c>
      <c r="AV697" s="114">
        <v>0</v>
      </c>
      <c r="AW697" s="114">
        <v>0</v>
      </c>
      <c r="AX697" s="114">
        <v>0</v>
      </c>
      <c r="AY697" s="114">
        <v>6</v>
      </c>
      <c r="AZ697" s="114">
        <v>40</v>
      </c>
      <c r="BA697" s="114">
        <v>1671</v>
      </c>
      <c r="BB697" s="116"/>
      <c r="BC697" s="116"/>
      <c r="BD697" s="116"/>
      <c r="BE697" s="116"/>
      <c r="BF697" s="116"/>
      <c r="BG697" s="116"/>
      <c r="BH697" s="116"/>
      <c r="BI697" s="116"/>
      <c r="BJ697" s="117">
        <v>2378547</v>
      </c>
      <c r="BK697" s="117">
        <v>57082</v>
      </c>
      <c r="BL697" s="117">
        <v>22681046</v>
      </c>
      <c r="BM697" s="118">
        <v>109939000</v>
      </c>
      <c r="BN697" s="118">
        <v>6467</v>
      </c>
      <c r="BO697" s="119"/>
      <c r="BP697" s="119"/>
      <c r="BQ697" s="119"/>
      <c r="BR697" s="119"/>
      <c r="BS697" s="119"/>
      <c r="BT697" s="119"/>
      <c r="BU697" s="119"/>
      <c r="BV697" s="119"/>
      <c r="BW697" s="119"/>
      <c r="BX697" s="119"/>
    </row>
    <row r="698" s="96" customFormat="1" customHeight="1" spans="1:76">
      <c r="A698" s="111">
        <v>697</v>
      </c>
      <c r="B698" s="112" t="s">
        <v>58</v>
      </c>
      <c r="C698" s="112" t="s">
        <v>58</v>
      </c>
      <c r="D698" s="111">
        <v>2025</v>
      </c>
      <c r="E698" s="113" t="s">
        <v>31</v>
      </c>
      <c r="F698" s="114">
        <v>26799395</v>
      </c>
      <c r="G698" s="114">
        <v>26799395</v>
      </c>
      <c r="H698" s="114">
        <v>1987810.521</v>
      </c>
      <c r="I698" s="114">
        <v>53660</v>
      </c>
      <c r="J698" s="115">
        <v>0.00309027777777778</v>
      </c>
      <c r="K698" s="114">
        <v>19.33</v>
      </c>
      <c r="L698" s="114">
        <v>4177</v>
      </c>
      <c r="M698" s="114">
        <v>296480708</v>
      </c>
      <c r="N698" s="114">
        <v>6.56</v>
      </c>
      <c r="O698" s="114">
        <v>10820980</v>
      </c>
      <c r="P698" s="114">
        <v>2528791</v>
      </c>
      <c r="Q698" s="114">
        <v>8292189</v>
      </c>
      <c r="R698" s="114">
        <v>8292189</v>
      </c>
      <c r="S698" s="114">
        <v>0</v>
      </c>
      <c r="T698" s="114">
        <v>63389</v>
      </c>
      <c r="U698" s="114">
        <v>9729</v>
      </c>
      <c r="V698" s="114">
        <v>192279</v>
      </c>
      <c r="W698" s="114">
        <v>10544</v>
      </c>
      <c r="X698" s="114">
        <v>48323</v>
      </c>
      <c r="Y698" s="114">
        <v>116642</v>
      </c>
      <c r="Z698" s="114">
        <v>91793190.82</v>
      </c>
      <c r="AA698" s="114">
        <v>34845.403</v>
      </c>
      <c r="AB698" s="114">
        <v>29</v>
      </c>
      <c r="AC698" s="114">
        <v>5966404.486</v>
      </c>
      <c r="AD698" s="114">
        <v>85438087.09</v>
      </c>
      <c r="AE698" s="114">
        <v>155614481.2</v>
      </c>
      <c r="AF698" s="114">
        <v>16202887</v>
      </c>
      <c r="AG698" s="114">
        <v>9604.121</v>
      </c>
      <c r="AH698" s="114">
        <v>14117387</v>
      </c>
      <c r="AI698" s="114">
        <v>3425.197</v>
      </c>
      <c r="AJ698" s="114">
        <v>702</v>
      </c>
      <c r="AK698" s="114">
        <v>91754</v>
      </c>
      <c r="AL698" s="114">
        <v>1690530.218</v>
      </c>
      <c r="AM698" s="114">
        <v>29</v>
      </c>
      <c r="AN698" s="114">
        <v>465420</v>
      </c>
      <c r="AO698" s="114">
        <v>42128.0364</v>
      </c>
      <c r="AP698" s="114">
        <v>952.3007</v>
      </c>
      <c r="AQ698" s="114">
        <v>3138</v>
      </c>
      <c r="AR698" s="114">
        <v>2448</v>
      </c>
      <c r="AS698" s="114">
        <v>7046</v>
      </c>
      <c r="AT698" s="114">
        <v>1</v>
      </c>
      <c r="AU698" s="114">
        <v>17</v>
      </c>
      <c r="AV698" s="114">
        <v>0</v>
      </c>
      <c r="AW698" s="114">
        <v>0</v>
      </c>
      <c r="AX698" s="114">
        <v>1</v>
      </c>
      <c r="AY698" s="114">
        <v>9</v>
      </c>
      <c r="AZ698" s="114">
        <v>20</v>
      </c>
      <c r="BA698" s="114">
        <v>1320</v>
      </c>
      <c r="BB698" s="116"/>
      <c r="BC698" s="116"/>
      <c r="BD698" s="116"/>
      <c r="BE698" s="116"/>
      <c r="BF698" s="116"/>
      <c r="BG698" s="116"/>
      <c r="BH698" s="116"/>
      <c r="BI698" s="116"/>
      <c r="BJ698" s="117">
        <v>2432207</v>
      </c>
      <c r="BK698" s="117">
        <v>53660</v>
      </c>
      <c r="BL698" s="117">
        <v>22288182</v>
      </c>
      <c r="BM698" s="118">
        <v>77926640</v>
      </c>
      <c r="BN698" s="118">
        <v>4583.92</v>
      </c>
      <c r="BO698" s="119"/>
      <c r="BP698" s="119"/>
      <c r="BQ698" s="119"/>
      <c r="BR698" s="119"/>
      <c r="BS698" s="119"/>
      <c r="BT698" s="119"/>
      <c r="BU698" s="119"/>
      <c r="BV698" s="119"/>
      <c r="BW698" s="119"/>
      <c r="BX698" s="119"/>
    </row>
    <row r="699" s="96" customFormat="1" customHeight="1" spans="1:76">
      <c r="A699" s="111">
        <v>698</v>
      </c>
      <c r="B699" s="112" t="s">
        <v>58</v>
      </c>
      <c r="C699" s="112" t="s">
        <v>58</v>
      </c>
      <c r="D699" s="111">
        <v>2025</v>
      </c>
      <c r="E699" s="113" t="s">
        <v>33</v>
      </c>
      <c r="F699" s="114">
        <v>29986961</v>
      </c>
      <c r="G699" s="114">
        <v>29986961</v>
      </c>
      <c r="H699" s="114">
        <v>2328002.955</v>
      </c>
      <c r="I699" s="114">
        <v>57441</v>
      </c>
      <c r="J699" s="115">
        <v>0.00322916666666667</v>
      </c>
      <c r="K699" s="114">
        <v>20.93</v>
      </c>
      <c r="L699" s="114">
        <v>3839</v>
      </c>
      <c r="M699" s="114">
        <v>313582599</v>
      </c>
      <c r="N699" s="114">
        <v>6.86</v>
      </c>
      <c r="O699" s="114">
        <v>10931886</v>
      </c>
      <c r="P699" s="114">
        <v>2478182</v>
      </c>
      <c r="Q699" s="114">
        <v>8453704</v>
      </c>
      <c r="R699" s="114">
        <v>8453704</v>
      </c>
      <c r="S699" s="114">
        <v>0</v>
      </c>
      <c r="T699" s="114">
        <v>67067</v>
      </c>
      <c r="U699" s="114">
        <v>9626</v>
      </c>
      <c r="V699" s="114">
        <v>203565</v>
      </c>
      <c r="W699" s="114">
        <v>12062</v>
      </c>
      <c r="X699" s="114">
        <v>46373</v>
      </c>
      <c r="Y699" s="114">
        <v>226829</v>
      </c>
      <c r="Z699" s="114">
        <v>124052916.4</v>
      </c>
      <c r="AA699" s="114">
        <v>27905.403</v>
      </c>
      <c r="AB699" s="114">
        <v>65</v>
      </c>
      <c r="AC699" s="114">
        <v>8162267.458</v>
      </c>
      <c r="AD699" s="114">
        <v>115184623.7</v>
      </c>
      <c r="AE699" s="114">
        <v>209526787.2</v>
      </c>
      <c r="AF699" s="114">
        <v>21411758</v>
      </c>
      <c r="AG699" s="114">
        <v>9785.595</v>
      </c>
      <c r="AH699" s="114">
        <v>18209356</v>
      </c>
      <c r="AI699" s="114">
        <v>4136.894</v>
      </c>
      <c r="AJ699" s="114">
        <v>3456</v>
      </c>
      <c r="AK699" s="114">
        <v>429105</v>
      </c>
      <c r="AL699" s="114">
        <v>5072382.817</v>
      </c>
      <c r="AM699" s="114">
        <v>43</v>
      </c>
      <c r="AN699" s="114">
        <v>531006</v>
      </c>
      <c r="AO699" s="114">
        <v>49706.9659</v>
      </c>
      <c r="AP699" s="114">
        <v>864.5798</v>
      </c>
      <c r="AQ699" s="114">
        <v>2761</v>
      </c>
      <c r="AR699" s="114">
        <v>1430</v>
      </c>
      <c r="AS699" s="114">
        <v>11072</v>
      </c>
      <c r="AT699" s="114"/>
      <c r="AU699" s="114">
        <v>7</v>
      </c>
      <c r="AV699" s="114">
        <v>0</v>
      </c>
      <c r="AW699" s="114">
        <v>0</v>
      </c>
      <c r="AX699" s="114">
        <v>2</v>
      </c>
      <c r="AY699" s="114">
        <v>7</v>
      </c>
      <c r="AZ699" s="114">
        <v>16</v>
      </c>
      <c r="BA699" s="114">
        <v>1020</v>
      </c>
      <c r="BB699" s="116"/>
      <c r="BC699" s="116"/>
      <c r="BD699" s="116"/>
      <c r="BE699" s="116"/>
      <c r="BF699" s="116"/>
      <c r="BG699" s="116"/>
      <c r="BH699" s="116"/>
      <c r="BI699" s="116"/>
      <c r="BJ699" s="117">
        <v>2489648</v>
      </c>
      <c r="BK699" s="117">
        <v>57441</v>
      </c>
      <c r="BL699" s="117">
        <v>25198294</v>
      </c>
      <c r="BM699" s="118">
        <v>113109330</v>
      </c>
      <c r="BN699" s="118">
        <v>6653.49</v>
      </c>
      <c r="BO699" s="119"/>
      <c r="BP699" s="119"/>
      <c r="BQ699" s="119"/>
      <c r="BR699" s="119"/>
      <c r="BS699" s="119"/>
      <c r="BT699" s="119"/>
      <c r="BU699" s="119"/>
      <c r="BV699" s="119"/>
      <c r="BW699" s="119"/>
      <c r="BX699" s="119"/>
    </row>
    <row r="700" s="96" customFormat="1" customHeight="1" spans="1:76">
      <c r="A700" s="111">
        <v>699</v>
      </c>
      <c r="B700" s="112" t="s">
        <v>58</v>
      </c>
      <c r="C700" s="112" t="s">
        <v>58</v>
      </c>
      <c r="D700" s="111">
        <v>2025</v>
      </c>
      <c r="E700" s="113" t="s">
        <v>34</v>
      </c>
      <c r="F700" s="114">
        <v>26663920</v>
      </c>
      <c r="G700" s="114">
        <v>26636314</v>
      </c>
      <c r="H700" s="114">
        <v>2266815.577</v>
      </c>
      <c r="I700" s="114">
        <v>52082</v>
      </c>
      <c r="J700" s="115">
        <v>0.00354166666666667</v>
      </c>
      <c r="K700" s="114">
        <v>22.81</v>
      </c>
      <c r="L700" s="114">
        <v>3694</v>
      </c>
      <c r="M700" s="114">
        <v>267663691</v>
      </c>
      <c r="N700" s="114">
        <v>6.66</v>
      </c>
      <c r="O700" s="114">
        <v>10285918</v>
      </c>
      <c r="P700" s="114">
        <v>2314113</v>
      </c>
      <c r="Q700" s="114">
        <v>7964223</v>
      </c>
      <c r="R700" s="114">
        <v>5455800</v>
      </c>
      <c r="S700" s="114">
        <v>2508423</v>
      </c>
      <c r="T700" s="114">
        <v>64508</v>
      </c>
      <c r="U700" s="114">
        <v>12426</v>
      </c>
      <c r="V700" s="114">
        <v>187527</v>
      </c>
      <c r="W700" s="114">
        <v>10391</v>
      </c>
      <c r="X700" s="114">
        <v>48800</v>
      </c>
      <c r="Y700" s="114">
        <v>132490</v>
      </c>
      <c r="Z700" s="114">
        <v>150048338.9</v>
      </c>
      <c r="AA700" s="114">
        <v>13819.258</v>
      </c>
      <c r="AB700" s="114">
        <v>193</v>
      </c>
      <c r="AC700" s="114">
        <v>6633126.736</v>
      </c>
      <c r="AD700" s="114">
        <v>140235467.8</v>
      </c>
      <c r="AE700" s="114">
        <v>254973569.6</v>
      </c>
      <c r="AF700" s="114">
        <v>23379836</v>
      </c>
      <c r="AG700" s="114">
        <v>10905.704</v>
      </c>
      <c r="AH700" s="114">
        <v>18904671</v>
      </c>
      <c r="AI700" s="114">
        <v>5633.224</v>
      </c>
      <c r="AJ700" s="114">
        <v>11997</v>
      </c>
      <c r="AK700" s="114">
        <v>665780</v>
      </c>
      <c r="AL700" s="114">
        <v>16787074.04</v>
      </c>
      <c r="AM700" s="114">
        <v>177</v>
      </c>
      <c r="AN700" s="114">
        <v>489661</v>
      </c>
      <c r="AO700" s="114">
        <v>48388.6877</v>
      </c>
      <c r="AP700" s="114">
        <v>894.1981</v>
      </c>
      <c r="AQ700" s="114">
        <v>2366</v>
      </c>
      <c r="AR700" s="114">
        <v>3546</v>
      </c>
      <c r="AS700" s="114">
        <v>14381</v>
      </c>
      <c r="AT700" s="114"/>
      <c r="AU700" s="114">
        <v>22</v>
      </c>
      <c r="AV700" s="114">
        <v>0</v>
      </c>
      <c r="AW700" s="114">
        <v>0</v>
      </c>
      <c r="AX700" s="114">
        <v>0</v>
      </c>
      <c r="AY700" s="114">
        <v>1</v>
      </c>
      <c r="AZ700" s="114">
        <v>9</v>
      </c>
      <c r="BA700" s="114">
        <v>861</v>
      </c>
      <c r="BB700" s="116"/>
      <c r="BC700" s="116"/>
      <c r="BD700" s="116"/>
      <c r="BE700" s="116"/>
      <c r="BF700" s="116"/>
      <c r="BG700" s="116"/>
      <c r="BH700" s="116"/>
      <c r="BI700" s="116"/>
      <c r="BJ700" s="117">
        <v>2541730</v>
      </c>
      <c r="BK700" s="117">
        <v>52082</v>
      </c>
      <c r="BL700" s="117">
        <v>21432119</v>
      </c>
      <c r="BM700" s="118">
        <v>130587880</v>
      </c>
      <c r="BN700" s="118">
        <v>7681.64</v>
      </c>
      <c r="BO700" s="119"/>
      <c r="BP700" s="119"/>
      <c r="BQ700" s="119"/>
      <c r="BR700" s="119"/>
      <c r="BS700" s="119"/>
      <c r="BT700" s="119"/>
      <c r="BU700" s="119"/>
      <c r="BV700" s="119"/>
      <c r="BW700" s="119"/>
      <c r="BX700" s="119"/>
    </row>
    <row r="701" s="96" customFormat="1" customHeight="1" spans="1:76">
      <c r="A701" s="111">
        <v>700</v>
      </c>
      <c r="B701" s="112" t="s">
        <v>58</v>
      </c>
      <c r="C701" s="112" t="s">
        <v>58</v>
      </c>
      <c r="D701" s="111">
        <v>2025</v>
      </c>
      <c r="E701" s="113" t="s">
        <v>35</v>
      </c>
      <c r="F701" s="114">
        <v>24322237</v>
      </c>
      <c r="G701" s="114">
        <v>22989852</v>
      </c>
      <c r="H701" s="114">
        <v>1943856.568</v>
      </c>
      <c r="I701" s="114">
        <v>48948</v>
      </c>
      <c r="J701" s="115">
        <v>0.00351851851851852</v>
      </c>
      <c r="K701" s="114">
        <v>23.19</v>
      </c>
      <c r="L701" s="114">
        <v>2925</v>
      </c>
      <c r="M701" s="114">
        <v>256945122</v>
      </c>
      <c r="N701" s="114">
        <v>6.1</v>
      </c>
      <c r="O701" s="114">
        <v>9286490</v>
      </c>
      <c r="P701" s="114">
        <v>1973277</v>
      </c>
      <c r="Q701" s="114">
        <v>7326447</v>
      </c>
      <c r="R701" s="114">
        <v>3260084</v>
      </c>
      <c r="S701" s="114">
        <v>4066363</v>
      </c>
      <c r="T701" s="114">
        <v>58346</v>
      </c>
      <c r="U701" s="114">
        <v>9398</v>
      </c>
      <c r="V701" s="114">
        <v>157692</v>
      </c>
      <c r="W701" s="114">
        <v>10986</v>
      </c>
      <c r="X701" s="114">
        <v>32543</v>
      </c>
      <c r="Y701" s="114">
        <v>124149</v>
      </c>
      <c r="Z701" s="114">
        <v>97500215.26</v>
      </c>
      <c r="AA701" s="114">
        <v>13865.745</v>
      </c>
      <c r="AB701" s="114">
        <v>199</v>
      </c>
      <c r="AC701" s="114">
        <v>5148715.471</v>
      </c>
      <c r="AD701" s="114">
        <v>91422314.3</v>
      </c>
      <c r="AE701" s="114">
        <v>166260661.4</v>
      </c>
      <c r="AF701" s="114">
        <v>18160441</v>
      </c>
      <c r="AG701" s="114">
        <v>9155.1</v>
      </c>
      <c r="AH701" s="114">
        <v>15688796</v>
      </c>
      <c r="AI701" s="114">
        <v>4241.011</v>
      </c>
      <c r="AJ701" s="114">
        <v>10739</v>
      </c>
      <c r="AK701" s="114">
        <v>748987</v>
      </c>
      <c r="AL701" s="114">
        <v>13752710.61</v>
      </c>
      <c r="AM701" s="114">
        <v>171</v>
      </c>
      <c r="AN701" s="114">
        <v>378366</v>
      </c>
      <c r="AO701" s="114">
        <v>35357.056</v>
      </c>
      <c r="AP701" s="114">
        <v>888.4253</v>
      </c>
      <c r="AQ701" s="114">
        <v>1782</v>
      </c>
      <c r="AR701" s="114">
        <v>1822</v>
      </c>
      <c r="AS701" s="114">
        <v>3247</v>
      </c>
      <c r="AT701" s="114"/>
      <c r="AU701" s="114">
        <v>20</v>
      </c>
      <c r="AV701" s="114">
        <v>1</v>
      </c>
      <c r="AW701" s="114">
        <v>0.0227</v>
      </c>
      <c r="AX701" s="114">
        <v>0</v>
      </c>
      <c r="AY701" s="114">
        <v>0</v>
      </c>
      <c r="AZ701" s="114">
        <v>13</v>
      </c>
      <c r="BA701" s="114">
        <v>790</v>
      </c>
      <c r="BB701" s="116"/>
      <c r="BC701" s="116"/>
      <c r="BD701" s="116"/>
      <c r="BE701" s="116"/>
      <c r="BF701" s="116"/>
      <c r="BG701" s="116"/>
      <c r="BH701" s="116"/>
      <c r="BI701" s="116"/>
      <c r="BJ701" s="117">
        <v>2590678</v>
      </c>
      <c r="BK701" s="117">
        <v>48948</v>
      </c>
      <c r="BL701" s="117">
        <v>19837260</v>
      </c>
      <c r="BM701" s="118">
        <v>86831920</v>
      </c>
      <c r="BN701" s="118">
        <v>5107.76</v>
      </c>
      <c r="BO701" s="119"/>
      <c r="BP701" s="119"/>
      <c r="BQ701" s="119"/>
      <c r="BR701" s="119"/>
      <c r="BS701" s="119"/>
      <c r="BT701" s="119"/>
      <c r="BU701" s="119"/>
      <c r="BV701" s="119"/>
      <c r="BW701" s="119"/>
      <c r="BX701" s="119"/>
    </row>
    <row r="702" s="96" customFormat="1" customHeight="1" spans="1:76">
      <c r="A702" s="111">
        <v>701</v>
      </c>
      <c r="B702" s="112" t="s">
        <v>58</v>
      </c>
      <c r="C702" s="112" t="s">
        <v>58</v>
      </c>
      <c r="D702" s="111">
        <v>2025</v>
      </c>
      <c r="E702" s="113" t="s">
        <v>36</v>
      </c>
      <c r="F702" s="114">
        <v>28918820</v>
      </c>
      <c r="G702" s="114">
        <v>27190271</v>
      </c>
      <c r="H702" s="114">
        <v>2271507.36</v>
      </c>
      <c r="I702" s="114">
        <v>54079</v>
      </c>
      <c r="J702" s="115">
        <v>0.00347222222222222</v>
      </c>
      <c r="K702" s="114">
        <v>22.55</v>
      </c>
      <c r="L702" s="114">
        <v>2127</v>
      </c>
      <c r="M702" s="114">
        <v>279072824</v>
      </c>
      <c r="N702" s="114">
        <v>6.79</v>
      </c>
      <c r="O702" s="114">
        <v>10157746</v>
      </c>
      <c r="P702" s="114">
        <v>2156322</v>
      </c>
      <c r="Q702" s="114">
        <v>8001424</v>
      </c>
      <c r="R702" s="114">
        <v>3712369</v>
      </c>
      <c r="S702" s="114">
        <v>4289055</v>
      </c>
      <c r="T702" s="114">
        <v>63530</v>
      </c>
      <c r="U702" s="114">
        <v>9451</v>
      </c>
      <c r="V702" s="114">
        <v>195297</v>
      </c>
      <c r="W702" s="114">
        <v>13474</v>
      </c>
      <c r="X702" s="114">
        <v>41278</v>
      </c>
      <c r="Y702" s="114">
        <v>159470</v>
      </c>
      <c r="Z702" s="114">
        <v>107912153.7</v>
      </c>
      <c r="AA702" s="114">
        <v>43146.682</v>
      </c>
      <c r="AB702" s="114">
        <v>408</v>
      </c>
      <c r="AC702" s="114">
        <v>5692128.016</v>
      </c>
      <c r="AD702" s="114">
        <v>100374855.6</v>
      </c>
      <c r="AE702" s="114">
        <v>182533468.5</v>
      </c>
      <c r="AF702" s="114">
        <v>20623874</v>
      </c>
      <c r="AG702" s="114">
        <v>8850.591</v>
      </c>
      <c r="AH702" s="114">
        <v>17363749</v>
      </c>
      <c r="AI702" s="114">
        <v>3968.778</v>
      </c>
      <c r="AJ702" s="114">
        <v>22418</v>
      </c>
      <c r="AK702" s="114">
        <v>1366435</v>
      </c>
      <c r="AL702" s="114">
        <v>27478179.01</v>
      </c>
      <c r="AM702" s="114">
        <v>332</v>
      </c>
      <c r="AN702" s="114">
        <v>432417</v>
      </c>
      <c r="AO702" s="114">
        <v>42236.216</v>
      </c>
      <c r="AP702" s="114">
        <v>947.2402</v>
      </c>
      <c r="AQ702" s="114">
        <v>1124</v>
      </c>
      <c r="AR702" s="114">
        <v>14004</v>
      </c>
      <c r="AS702" s="114">
        <v>2351</v>
      </c>
      <c r="AT702" s="114">
        <v>1</v>
      </c>
      <c r="AU702" s="114">
        <v>21</v>
      </c>
      <c r="AV702" s="114">
        <v>0</v>
      </c>
      <c r="AW702" s="114">
        <v>0</v>
      </c>
      <c r="AX702" s="114">
        <v>0</v>
      </c>
      <c r="AY702" s="114">
        <v>1</v>
      </c>
      <c r="AZ702" s="114">
        <v>12</v>
      </c>
      <c r="BA702" s="114">
        <v>772</v>
      </c>
      <c r="BB702" s="116"/>
      <c r="BC702" s="116"/>
      <c r="BD702" s="116"/>
      <c r="BE702" s="116"/>
      <c r="BF702" s="116"/>
      <c r="BG702" s="116"/>
      <c r="BH702" s="116"/>
      <c r="BI702" s="116"/>
      <c r="BJ702" s="117">
        <v>2644757</v>
      </c>
      <c r="BK702" s="117">
        <v>54079</v>
      </c>
      <c r="BL702" s="117">
        <v>17554932</v>
      </c>
      <c r="BM702" s="118">
        <v>72660040</v>
      </c>
      <c r="BN702" s="118">
        <v>4274.12</v>
      </c>
      <c r="BO702" s="119"/>
      <c r="BP702" s="119"/>
      <c r="BQ702" s="119"/>
      <c r="BR702" s="119"/>
      <c r="BS702" s="119"/>
      <c r="BT702" s="119"/>
      <c r="BU702" s="119"/>
      <c r="BV702" s="119"/>
      <c r="BW702" s="119"/>
      <c r="BX702" s="119"/>
    </row>
    <row r="703" s="96" customFormat="1" customHeight="1" spans="1:76">
      <c r="A703" s="111">
        <v>702</v>
      </c>
      <c r="B703" s="112" t="s">
        <v>58</v>
      </c>
      <c r="C703" s="112" t="s">
        <v>58</v>
      </c>
      <c r="D703" s="111">
        <v>2025</v>
      </c>
      <c r="E703" s="113" t="s">
        <v>37</v>
      </c>
      <c r="F703" s="114">
        <v>21539920</v>
      </c>
      <c r="G703" s="114">
        <v>20200604</v>
      </c>
      <c r="H703" s="114">
        <v>1726269.546</v>
      </c>
      <c r="I703" s="114">
        <v>40539</v>
      </c>
      <c r="J703" s="115">
        <v>0.00355324074074074</v>
      </c>
      <c r="K703" s="114">
        <v>18.71</v>
      </c>
      <c r="L703" s="114">
        <v>971</v>
      </c>
      <c r="M703" s="114">
        <v>194202412</v>
      </c>
      <c r="N703" s="114">
        <v>6.79</v>
      </c>
      <c r="O703" s="114">
        <v>8364120</v>
      </c>
      <c r="P703" s="114">
        <v>1721108</v>
      </c>
      <c r="Q703" s="114">
        <v>6643012</v>
      </c>
      <c r="R703" s="114">
        <v>2966166</v>
      </c>
      <c r="S703" s="114">
        <v>3676846</v>
      </c>
      <c r="T703" s="114">
        <v>48658</v>
      </c>
      <c r="U703" s="114">
        <v>8119</v>
      </c>
      <c r="V703" s="114">
        <v>148995</v>
      </c>
      <c r="W703" s="114">
        <v>10825</v>
      </c>
      <c r="X703" s="114">
        <v>35733</v>
      </c>
      <c r="Y703" s="114">
        <v>88081</v>
      </c>
      <c r="Z703" s="114">
        <v>93994464.9</v>
      </c>
      <c r="AA703" s="114">
        <v>0</v>
      </c>
      <c r="AB703" s="114">
        <v>234</v>
      </c>
      <c r="AC703" s="114">
        <v>5078032.968</v>
      </c>
      <c r="AD703" s="114">
        <v>87776905.35</v>
      </c>
      <c r="AE703" s="114">
        <v>159697986.8</v>
      </c>
      <c r="AF703" s="114">
        <v>16666775</v>
      </c>
      <c r="AG703" s="114">
        <v>9581.817</v>
      </c>
      <c r="AH703" s="114">
        <v>13341108</v>
      </c>
      <c r="AI703" s="114">
        <v>4653.052</v>
      </c>
      <c r="AJ703" s="114">
        <v>17668</v>
      </c>
      <c r="AK703" s="114">
        <v>1866671</v>
      </c>
      <c r="AL703" s="114">
        <v>12619064.31</v>
      </c>
      <c r="AM703" s="114">
        <v>193</v>
      </c>
      <c r="AN703" s="114">
        <v>357088</v>
      </c>
      <c r="AO703" s="114">
        <v>34768.8069</v>
      </c>
      <c r="AP703" s="114">
        <v>880.9725</v>
      </c>
      <c r="AQ703" s="114">
        <v>494</v>
      </c>
      <c r="AR703" s="114">
        <v>11120</v>
      </c>
      <c r="AS703" s="114">
        <v>3313</v>
      </c>
      <c r="AT703" s="114"/>
      <c r="AU703" s="114">
        <v>13</v>
      </c>
      <c r="AV703" s="114">
        <v>0</v>
      </c>
      <c r="AW703" s="114">
        <v>0</v>
      </c>
      <c r="AX703" s="114">
        <v>0</v>
      </c>
      <c r="AY703" s="114">
        <v>1</v>
      </c>
      <c r="AZ703" s="114">
        <v>12</v>
      </c>
      <c r="BA703" s="114">
        <v>636</v>
      </c>
      <c r="BB703" s="116"/>
      <c r="BC703" s="116"/>
      <c r="BD703" s="116"/>
      <c r="BE703" s="116"/>
      <c r="BF703" s="116"/>
      <c r="BG703" s="116"/>
      <c r="BH703" s="116"/>
      <c r="BI703" s="116"/>
      <c r="BJ703" s="117">
        <v>2685296</v>
      </c>
      <c r="BK703" s="117">
        <v>40539</v>
      </c>
      <c r="BL703" s="117">
        <v>15264816</v>
      </c>
      <c r="BM703" s="118">
        <v>78575700</v>
      </c>
      <c r="BN703" s="118">
        <v>4622.1</v>
      </c>
      <c r="BO703" s="119"/>
      <c r="BP703" s="119"/>
      <c r="BQ703" s="119"/>
      <c r="BR703" s="119"/>
      <c r="BS703" s="119"/>
      <c r="BT703" s="119"/>
      <c r="BU703" s="119"/>
      <c r="BV703" s="119"/>
      <c r="BW703" s="119"/>
      <c r="BX703" s="119"/>
    </row>
    <row r="704" s="96" customFormat="1" customHeight="1" spans="1:76">
      <c r="A704" s="111">
        <v>703</v>
      </c>
      <c r="B704" s="112" t="s">
        <v>58</v>
      </c>
      <c r="C704" s="112" t="s">
        <v>58</v>
      </c>
      <c r="D704" s="111">
        <v>2025</v>
      </c>
      <c r="E704" s="113" t="s">
        <v>38</v>
      </c>
      <c r="F704" s="114">
        <v>25640707</v>
      </c>
      <c r="G704" s="114">
        <v>24955942</v>
      </c>
      <c r="H704" s="114">
        <v>2198670.111</v>
      </c>
      <c r="I704" s="114">
        <v>44251</v>
      </c>
      <c r="J704" s="115">
        <v>0.00366898148148148</v>
      </c>
      <c r="K704" s="114">
        <v>25.02</v>
      </c>
      <c r="L704" s="114">
        <v>1290</v>
      </c>
      <c r="M704" s="114">
        <v>239568916</v>
      </c>
      <c r="N704" s="114">
        <v>7.07</v>
      </c>
      <c r="O704" s="114">
        <v>8883567</v>
      </c>
      <c r="P704" s="114">
        <v>1790839</v>
      </c>
      <c r="Q704" s="114">
        <v>7092728</v>
      </c>
      <c r="R704" s="114">
        <v>3102776</v>
      </c>
      <c r="S704" s="114">
        <v>3989952</v>
      </c>
      <c r="T704" s="114">
        <v>53074</v>
      </c>
      <c r="U704" s="114">
        <v>8823</v>
      </c>
      <c r="V704" s="114">
        <v>160916</v>
      </c>
      <c r="W704" s="114">
        <v>10126</v>
      </c>
      <c r="X704" s="114">
        <v>31779</v>
      </c>
      <c r="Y704" s="114">
        <v>123438</v>
      </c>
      <c r="Z704" s="114">
        <v>119370525.3</v>
      </c>
      <c r="AA704" s="114">
        <v>0</v>
      </c>
      <c r="AB704" s="114">
        <v>410</v>
      </c>
      <c r="AC704" s="114">
        <v>5805896.293</v>
      </c>
      <c r="AD704" s="114">
        <v>112176663.8</v>
      </c>
      <c r="AE704" s="114">
        <v>203976144.7</v>
      </c>
      <c r="AF704" s="114">
        <v>21201206</v>
      </c>
      <c r="AG704" s="114">
        <v>9620.969</v>
      </c>
      <c r="AH704" s="114">
        <v>17089576</v>
      </c>
      <c r="AI704" s="114">
        <v>4783.251</v>
      </c>
      <c r="AJ704" s="114">
        <v>23082</v>
      </c>
      <c r="AK704" s="114">
        <v>1216043</v>
      </c>
      <c r="AL704" s="114">
        <v>25341518.52</v>
      </c>
      <c r="AM704" s="114">
        <v>364</v>
      </c>
      <c r="AN704" s="114">
        <v>406222</v>
      </c>
      <c r="AO704" s="114">
        <v>41953.7668</v>
      </c>
      <c r="AP704" s="114">
        <v>1072.802</v>
      </c>
      <c r="AQ704" s="114">
        <v>602</v>
      </c>
      <c r="AR704" s="114">
        <v>846</v>
      </c>
      <c r="AS704" s="114">
        <v>3973</v>
      </c>
      <c r="AT704" s="114">
        <v>1</v>
      </c>
      <c r="AU704" s="114">
        <v>494</v>
      </c>
      <c r="AV704" s="114">
        <v>3</v>
      </c>
      <c r="AW704" s="114">
        <v>0.0483</v>
      </c>
      <c r="AX704" s="114">
        <v>0</v>
      </c>
      <c r="AY704" s="114">
        <v>0</v>
      </c>
      <c r="AZ704" s="114">
        <v>116</v>
      </c>
      <c r="BA704" s="114">
        <v>8108</v>
      </c>
      <c r="BB704" s="116"/>
      <c r="BC704" s="116"/>
      <c r="BD704" s="116"/>
      <c r="BE704" s="116"/>
      <c r="BF704" s="116"/>
      <c r="BG704" s="116"/>
      <c r="BH704" s="116"/>
      <c r="BI704" s="116"/>
      <c r="BJ704" s="117">
        <v>2729547</v>
      </c>
      <c r="BK704" s="117">
        <v>44251</v>
      </c>
      <c r="BL704" s="117">
        <v>20923633</v>
      </c>
      <c r="BM704" s="118">
        <v>107334090</v>
      </c>
      <c r="BN704" s="118">
        <v>6313.77</v>
      </c>
      <c r="BO704" s="120">
        <v>0.764</v>
      </c>
      <c r="BP704" s="120">
        <v>0.235</v>
      </c>
      <c r="BQ704" s="119"/>
      <c r="BR704" s="120">
        <v>0.01</v>
      </c>
      <c r="BS704" s="120">
        <v>0.068</v>
      </c>
      <c r="BT704" s="120">
        <v>0.261</v>
      </c>
      <c r="BU704" s="120">
        <v>0.211</v>
      </c>
      <c r="BV704" s="120">
        <v>0.191</v>
      </c>
      <c r="BW704" s="120">
        <v>0.168</v>
      </c>
      <c r="BX704" s="120">
        <v>0.091</v>
      </c>
    </row>
    <row r="705" s="96" customFormat="1" customHeight="1" spans="1:76">
      <c r="A705" s="111">
        <v>704</v>
      </c>
      <c r="B705" s="112" t="s">
        <v>58</v>
      </c>
      <c r="C705" s="112" t="s">
        <v>58</v>
      </c>
      <c r="D705" s="111">
        <v>2025</v>
      </c>
      <c r="E705" s="113" t="s">
        <v>39</v>
      </c>
      <c r="F705" s="114">
        <v>28103138</v>
      </c>
      <c r="G705" s="114">
        <v>26937064</v>
      </c>
      <c r="H705" s="114">
        <v>2067988.09</v>
      </c>
      <c r="I705" s="114">
        <v>48344</v>
      </c>
      <c r="J705" s="115">
        <v>0.00319444444444444</v>
      </c>
      <c r="K705" s="114">
        <v>25.68</v>
      </c>
      <c r="L705" s="114">
        <v>1584</v>
      </c>
      <c r="M705" s="114">
        <v>298666412</v>
      </c>
      <c r="N705" s="114">
        <v>6.29</v>
      </c>
      <c r="O705" s="114">
        <v>10341661</v>
      </c>
      <c r="P705" s="114">
        <v>2426295</v>
      </c>
      <c r="Q705" s="114">
        <v>7915366</v>
      </c>
      <c r="R705" s="114">
        <v>3695572</v>
      </c>
      <c r="S705" s="114">
        <v>4219794</v>
      </c>
      <c r="T705" s="114">
        <v>56323</v>
      </c>
      <c r="U705" s="114">
        <v>7979</v>
      </c>
      <c r="V705" s="114">
        <v>200373</v>
      </c>
      <c r="W705" s="114">
        <v>11168</v>
      </c>
      <c r="X705" s="114">
        <v>43168</v>
      </c>
      <c r="Y705" s="114">
        <v>139371</v>
      </c>
      <c r="Z705" s="114">
        <v>136229712.4</v>
      </c>
      <c r="AA705" s="114">
        <v>6225.849</v>
      </c>
      <c r="AB705" s="114">
        <v>204</v>
      </c>
      <c r="AC705" s="114">
        <v>7566470.849</v>
      </c>
      <c r="AD705" s="114">
        <v>126642977.4</v>
      </c>
      <c r="AE705" s="114">
        <v>230389157.4</v>
      </c>
      <c r="AF705" s="114">
        <v>22044687</v>
      </c>
      <c r="AG705" s="114">
        <v>10451.006</v>
      </c>
      <c r="AH705" s="114">
        <v>17536698</v>
      </c>
      <c r="AI705" s="114">
        <v>5057.333</v>
      </c>
      <c r="AJ705" s="114">
        <v>10347</v>
      </c>
      <c r="AK705" s="114">
        <v>861831</v>
      </c>
      <c r="AL705" s="114">
        <v>13493065.36</v>
      </c>
      <c r="AM705" s="114">
        <v>181</v>
      </c>
      <c r="AN705" s="114">
        <v>571663</v>
      </c>
      <c r="AO705" s="114">
        <v>53191.3333</v>
      </c>
      <c r="AP705" s="114">
        <v>1086.9988</v>
      </c>
      <c r="AQ705" s="114">
        <v>1542</v>
      </c>
      <c r="AR705" s="114">
        <v>2307</v>
      </c>
      <c r="AS705" s="114">
        <v>17813</v>
      </c>
      <c r="AT705" s="114">
        <v>2</v>
      </c>
      <c r="AU705" s="114">
        <v>5551</v>
      </c>
      <c r="AV705" s="114">
        <v>2</v>
      </c>
      <c r="AW705" s="114">
        <v>0.049</v>
      </c>
      <c r="AX705" s="114">
        <v>0</v>
      </c>
      <c r="AY705" s="114">
        <v>0</v>
      </c>
      <c r="AZ705" s="114">
        <v>2808</v>
      </c>
      <c r="BA705" s="114">
        <v>39987</v>
      </c>
      <c r="BB705" s="116"/>
      <c r="BC705" s="116"/>
      <c r="BD705" s="116"/>
      <c r="BE705" s="116"/>
      <c r="BF705" s="116"/>
      <c r="BG705" s="116"/>
      <c r="BH705" s="116"/>
      <c r="BI705" s="116"/>
      <c r="BJ705" s="117">
        <v>2783954</v>
      </c>
      <c r="BK705" s="117">
        <v>48344</v>
      </c>
      <c r="BL705" s="117">
        <v>21189091</v>
      </c>
      <c r="BM705" s="118">
        <v>112672770</v>
      </c>
      <c r="BN705" s="118">
        <v>6627.81</v>
      </c>
      <c r="BO705" s="120">
        <v>0.709</v>
      </c>
      <c r="BP705" s="120">
        <v>0.29</v>
      </c>
      <c r="BQ705" s="120">
        <v>0.001</v>
      </c>
      <c r="BR705" s="120">
        <v>0.01</v>
      </c>
      <c r="BS705" s="120">
        <v>0.067</v>
      </c>
      <c r="BT705" s="120">
        <v>0.271</v>
      </c>
      <c r="BU705" s="120">
        <v>0.222</v>
      </c>
      <c r="BV705" s="120">
        <v>0.188</v>
      </c>
      <c r="BW705" s="120">
        <v>0.155</v>
      </c>
      <c r="BX705" s="120">
        <v>0.087</v>
      </c>
    </row>
    <row r="706" s="96" customFormat="1" customHeight="1" spans="1:76">
      <c r="A706" s="111">
        <v>705</v>
      </c>
      <c r="B706" s="112" t="s">
        <v>58</v>
      </c>
      <c r="C706" s="112" t="s">
        <v>58</v>
      </c>
      <c r="D706" s="111">
        <v>2025</v>
      </c>
      <c r="E706" s="113" t="s">
        <v>40</v>
      </c>
      <c r="F706" s="114">
        <v>24564024</v>
      </c>
      <c r="G706" s="114">
        <v>23567887</v>
      </c>
      <c r="H706" s="114">
        <v>1865876.767</v>
      </c>
      <c r="I706" s="114">
        <v>42199</v>
      </c>
      <c r="J706" s="115">
        <v>0.00328703703703704</v>
      </c>
      <c r="K706" s="114">
        <v>14.91</v>
      </c>
      <c r="L706" s="114">
        <v>1865</v>
      </c>
      <c r="M706" s="114">
        <v>243908972</v>
      </c>
      <c r="N706" s="114">
        <v>6.77</v>
      </c>
      <c r="O706" s="114">
        <v>9432569</v>
      </c>
      <c r="P706" s="114">
        <v>1977593</v>
      </c>
      <c r="Q706" s="114">
        <v>7454976</v>
      </c>
      <c r="R706" s="114">
        <v>3391727</v>
      </c>
      <c r="S706" s="114">
        <v>4063249</v>
      </c>
      <c r="T706" s="114">
        <v>50138</v>
      </c>
      <c r="U706" s="114">
        <v>7939</v>
      </c>
      <c r="V706" s="114">
        <v>186634</v>
      </c>
      <c r="W706" s="114">
        <v>7878</v>
      </c>
      <c r="X706" s="114">
        <v>46737</v>
      </c>
      <c r="Y706" s="114">
        <v>101438</v>
      </c>
      <c r="Z706" s="114">
        <v>136484143.5</v>
      </c>
      <c r="AA706" s="114">
        <v>37796.165</v>
      </c>
      <c r="AB706" s="114">
        <v>245</v>
      </c>
      <c r="AC706" s="114">
        <v>8700288.381</v>
      </c>
      <c r="AD706" s="114">
        <v>126768943.8</v>
      </c>
      <c r="AE706" s="114">
        <v>230553933.1</v>
      </c>
      <c r="AF706" s="114">
        <v>21749557</v>
      </c>
      <c r="AG706" s="114">
        <v>10600.397</v>
      </c>
      <c r="AH706" s="114">
        <v>15743110</v>
      </c>
      <c r="AI706" s="114">
        <v>5791.107</v>
      </c>
      <c r="AJ706" s="114">
        <v>8240</v>
      </c>
      <c r="AK706" s="114">
        <v>632484</v>
      </c>
      <c r="AL706" s="114">
        <v>12743820.28</v>
      </c>
      <c r="AM706" s="114">
        <v>197</v>
      </c>
      <c r="AN706" s="114">
        <v>574662</v>
      </c>
      <c r="AO706" s="114">
        <v>59317.6701</v>
      </c>
      <c r="AP706" s="114">
        <v>1088.9188</v>
      </c>
      <c r="AQ706" s="114">
        <v>2511</v>
      </c>
      <c r="AR706" s="114">
        <v>3230</v>
      </c>
      <c r="AS706" s="114">
        <v>5326</v>
      </c>
      <c r="AT706" s="114">
        <v>33</v>
      </c>
      <c r="AU706" s="114">
        <v>131022</v>
      </c>
      <c r="AV706" s="114">
        <v>0</v>
      </c>
      <c r="AW706" s="114">
        <v>0</v>
      </c>
      <c r="AX706" s="114">
        <v>91</v>
      </c>
      <c r="AY706" s="114">
        <v>7524</v>
      </c>
      <c r="AZ706" s="114">
        <v>25315</v>
      </c>
      <c r="BA706" s="114">
        <v>1605536</v>
      </c>
      <c r="BB706" s="116"/>
      <c r="BC706" s="116"/>
      <c r="BD706" s="116"/>
      <c r="BE706" s="116"/>
      <c r="BF706" s="116"/>
      <c r="BG706" s="116"/>
      <c r="BH706" s="116"/>
      <c r="BI706" s="116"/>
      <c r="BJ706" s="117">
        <v>2819613</v>
      </c>
      <c r="BK706" s="117">
        <v>42198</v>
      </c>
      <c r="BL706" s="117">
        <v>17818273</v>
      </c>
      <c r="BM706" s="118">
        <v>100262260</v>
      </c>
      <c r="BN706" s="118">
        <v>5897.78</v>
      </c>
      <c r="BO706" s="120">
        <v>0.723</v>
      </c>
      <c r="BP706" s="120">
        <v>0.277</v>
      </c>
      <c r="BQ706" s="120">
        <v>0.001</v>
      </c>
      <c r="BR706" s="120">
        <v>0.011</v>
      </c>
      <c r="BS706" s="120">
        <v>0.066</v>
      </c>
      <c r="BT706" s="120">
        <v>0.279</v>
      </c>
      <c r="BU706" s="120">
        <v>0.227</v>
      </c>
      <c r="BV706" s="120">
        <v>0.187</v>
      </c>
      <c r="BW706" s="120">
        <v>0.148</v>
      </c>
      <c r="BX706" s="120">
        <v>0.083</v>
      </c>
    </row>
    <row r="707" s="96" customFormat="1" customHeight="1" spans="1:76">
      <c r="A707" s="111">
        <v>706</v>
      </c>
      <c r="B707" s="112" t="s">
        <v>58</v>
      </c>
      <c r="C707" s="112" t="s">
        <v>58</v>
      </c>
      <c r="D707" s="111">
        <v>2025</v>
      </c>
      <c r="E707" s="113" t="s">
        <v>41</v>
      </c>
      <c r="F707" s="114">
        <v>24628143</v>
      </c>
      <c r="G707" s="114">
        <v>23047606</v>
      </c>
      <c r="H707" s="114">
        <v>1572557.879</v>
      </c>
      <c r="I707" s="114">
        <v>35958</v>
      </c>
      <c r="J707" s="115">
        <v>0.00283564814814815</v>
      </c>
      <c r="K707" s="114">
        <v>20.12</v>
      </c>
      <c r="L707" s="114">
        <v>2396</v>
      </c>
      <c r="M707" s="114">
        <v>226480359</v>
      </c>
      <c r="N707" s="114">
        <v>7.08</v>
      </c>
      <c r="O707" s="114">
        <v>8618994</v>
      </c>
      <c r="P707" s="114">
        <v>1747881</v>
      </c>
      <c r="Q707" s="114">
        <v>6871113</v>
      </c>
      <c r="R707" s="114">
        <v>2915619</v>
      </c>
      <c r="S707" s="114">
        <v>3955494</v>
      </c>
      <c r="T707" s="114">
        <v>44143</v>
      </c>
      <c r="U707" s="114">
        <v>8185</v>
      </c>
      <c r="V707" s="114">
        <v>204172</v>
      </c>
      <c r="W707" s="114">
        <v>8283</v>
      </c>
      <c r="X707" s="114">
        <v>48565</v>
      </c>
      <c r="Y707" s="114">
        <v>117516</v>
      </c>
      <c r="Z707" s="114">
        <v>105750278.1</v>
      </c>
      <c r="AA707" s="114">
        <v>29438.82</v>
      </c>
      <c r="AB707" s="114">
        <v>98</v>
      </c>
      <c r="AC707" s="114">
        <v>5686502.664</v>
      </c>
      <c r="AD707" s="114">
        <v>99171215.64</v>
      </c>
      <c r="AE707" s="114">
        <v>181058058</v>
      </c>
      <c r="AF707" s="114">
        <v>19340946</v>
      </c>
      <c r="AG707" s="114">
        <v>9361.386</v>
      </c>
      <c r="AH707" s="114">
        <v>14509709</v>
      </c>
      <c r="AI707" s="114">
        <v>4588.341</v>
      </c>
      <c r="AJ707" s="114">
        <v>5280</v>
      </c>
      <c r="AK707" s="114">
        <v>792818</v>
      </c>
      <c r="AL707" s="114">
        <v>6355791.043</v>
      </c>
      <c r="AM707" s="114">
        <v>98</v>
      </c>
      <c r="AN707" s="114">
        <v>481632</v>
      </c>
      <c r="AO707" s="114">
        <v>41015.4112</v>
      </c>
      <c r="AP707" s="114">
        <v>1289.686</v>
      </c>
      <c r="AQ707" s="114">
        <v>3833</v>
      </c>
      <c r="AR707" s="114">
        <v>27335</v>
      </c>
      <c r="AS707" s="114">
        <v>45877</v>
      </c>
      <c r="AT707" s="114">
        <v>41</v>
      </c>
      <c r="AU707" s="114">
        <v>760591</v>
      </c>
      <c r="AV707" s="114">
        <v>0</v>
      </c>
      <c r="AW707" s="114">
        <v>0</v>
      </c>
      <c r="AX707" s="114">
        <v>44</v>
      </c>
      <c r="AY707" s="114">
        <v>1607</v>
      </c>
      <c r="AZ707" s="114">
        <v>19887</v>
      </c>
      <c r="BA707" s="114">
        <v>1776582</v>
      </c>
      <c r="BB707" s="116"/>
      <c r="BC707" s="116"/>
      <c r="BD707" s="116"/>
      <c r="BE707" s="116"/>
      <c r="BF707" s="116"/>
      <c r="BG707" s="116"/>
      <c r="BH707" s="116"/>
      <c r="BI707" s="116"/>
      <c r="BJ707" s="117">
        <v>2855572</v>
      </c>
      <c r="BK707" s="117">
        <v>35958</v>
      </c>
      <c r="BL707" s="117">
        <v>19905131</v>
      </c>
      <c r="BM707" s="118">
        <v>88321800</v>
      </c>
      <c r="BN707" s="118">
        <v>5195.4</v>
      </c>
      <c r="BO707" s="120">
        <v>0.744</v>
      </c>
      <c r="BP707" s="120">
        <v>0.255</v>
      </c>
      <c r="BQ707" s="120">
        <v>0.001</v>
      </c>
      <c r="BR707" s="120">
        <v>0.011</v>
      </c>
      <c r="BS707" s="120">
        <v>0.061</v>
      </c>
      <c r="BT707" s="120">
        <v>0.27</v>
      </c>
      <c r="BU707" s="120">
        <v>0.223</v>
      </c>
      <c r="BV707" s="120">
        <v>0.187</v>
      </c>
      <c r="BW707" s="120">
        <v>0.157</v>
      </c>
      <c r="BX707" s="120">
        <v>0.091</v>
      </c>
    </row>
    <row r="708" s="96" customFormat="1" customHeight="1" spans="1:76">
      <c r="A708" s="111">
        <v>707</v>
      </c>
      <c r="B708" s="112" t="s">
        <v>58</v>
      </c>
      <c r="C708" s="112" t="s">
        <v>58</v>
      </c>
      <c r="D708" s="111">
        <v>2025</v>
      </c>
      <c r="E708" s="113" t="s">
        <v>42</v>
      </c>
      <c r="F708" s="114">
        <v>28038788</v>
      </c>
      <c r="G708" s="114">
        <v>25844757</v>
      </c>
      <c r="H708" s="114">
        <v>1921182.189</v>
      </c>
      <c r="I708" s="114">
        <v>26786</v>
      </c>
      <c r="J708" s="115">
        <v>0.00309027777777778</v>
      </c>
      <c r="K708" s="114">
        <v>20.67</v>
      </c>
      <c r="L708" s="114">
        <v>2272</v>
      </c>
      <c r="M708" s="114">
        <v>246091325</v>
      </c>
      <c r="N708" s="114">
        <v>7.2</v>
      </c>
      <c r="O708" s="114">
        <v>9509680</v>
      </c>
      <c r="P708" s="114">
        <v>2156249</v>
      </c>
      <c r="Q708" s="114">
        <v>7358208</v>
      </c>
      <c r="R708" s="114">
        <v>3157878</v>
      </c>
      <c r="S708" s="114">
        <v>4200330</v>
      </c>
      <c r="T708" s="114">
        <v>34765</v>
      </c>
      <c r="U708" s="114">
        <v>7979</v>
      </c>
      <c r="V708" s="114">
        <v>225473</v>
      </c>
      <c r="W708" s="114">
        <v>10784</v>
      </c>
      <c r="X708" s="114">
        <v>47681</v>
      </c>
      <c r="Y708" s="114">
        <v>137238</v>
      </c>
      <c r="Z708" s="114">
        <v>132533773.7</v>
      </c>
      <c r="AA708" s="114">
        <v>30655.415</v>
      </c>
      <c r="AB708" s="114">
        <v>65</v>
      </c>
      <c r="AC708" s="114">
        <v>7410409.71</v>
      </c>
      <c r="AD708" s="114">
        <v>124060200.2</v>
      </c>
      <c r="AE708" s="114">
        <v>225658205.2</v>
      </c>
      <c r="AF708" s="114">
        <v>22567166</v>
      </c>
      <c r="AG708" s="114">
        <v>9999.404</v>
      </c>
      <c r="AH708" s="114">
        <v>16774874</v>
      </c>
      <c r="AI708" s="114">
        <v>5128.072</v>
      </c>
      <c r="AJ708" s="114">
        <v>4596</v>
      </c>
      <c r="AK708" s="114">
        <v>1281019</v>
      </c>
      <c r="AL708" s="114">
        <v>7263962.337</v>
      </c>
      <c r="AM708" s="114">
        <v>62</v>
      </c>
      <c r="AN708" s="114">
        <v>562186</v>
      </c>
      <c r="AO708" s="114">
        <v>50792.7927</v>
      </c>
      <c r="AP708" s="114">
        <v>1121.7121</v>
      </c>
      <c r="AQ708" s="114">
        <v>2710</v>
      </c>
      <c r="AR708" s="114">
        <v>18669</v>
      </c>
      <c r="AS708" s="114">
        <v>9731</v>
      </c>
      <c r="AT708" s="114">
        <v>80</v>
      </c>
      <c r="AU708" s="114">
        <v>205326</v>
      </c>
      <c r="AV708" s="114">
        <v>0</v>
      </c>
      <c r="AW708" s="114">
        <v>0</v>
      </c>
      <c r="AX708" s="114">
        <v>3</v>
      </c>
      <c r="AY708" s="114">
        <v>194</v>
      </c>
      <c r="AZ708" s="114">
        <v>30258</v>
      </c>
      <c r="BA708" s="114">
        <v>2411926</v>
      </c>
      <c r="BB708" s="116"/>
      <c r="BC708" s="116"/>
      <c r="BD708" s="116"/>
      <c r="BE708" s="116"/>
      <c r="BF708" s="116"/>
      <c r="BG708" s="116"/>
      <c r="BH708" s="116"/>
      <c r="BI708" s="116"/>
      <c r="BJ708" s="117">
        <v>2882358</v>
      </c>
      <c r="BK708" s="117">
        <v>26786</v>
      </c>
      <c r="BL708" s="117">
        <v>22074433</v>
      </c>
      <c r="BM708" s="118">
        <v>110537060</v>
      </c>
      <c r="BN708" s="118">
        <v>6502.18</v>
      </c>
      <c r="BO708" s="120">
        <v>0.759</v>
      </c>
      <c r="BP708" s="120">
        <v>0.24</v>
      </c>
      <c r="BQ708" s="120">
        <v>0.001</v>
      </c>
      <c r="BR708" s="120">
        <v>0.011</v>
      </c>
      <c r="BS708" s="120">
        <v>0.061</v>
      </c>
      <c r="BT708" s="120">
        <v>0.265</v>
      </c>
      <c r="BU708" s="120">
        <v>0.214</v>
      </c>
      <c r="BV708" s="120">
        <v>0.192</v>
      </c>
      <c r="BW708" s="120">
        <v>0.164</v>
      </c>
      <c r="BX708" s="120">
        <v>0.092</v>
      </c>
    </row>
    <row r="709" s="96" customFormat="1" customHeight="1" spans="1:76">
      <c r="A709" s="111">
        <v>708</v>
      </c>
      <c r="B709" s="112" t="s">
        <v>58</v>
      </c>
      <c r="C709" s="112" t="s">
        <v>58</v>
      </c>
      <c r="D709" s="111">
        <v>2025</v>
      </c>
      <c r="E709" s="113" t="s">
        <v>43</v>
      </c>
      <c r="F709" s="114">
        <v>28392594</v>
      </c>
      <c r="G709" s="114">
        <v>25996315</v>
      </c>
      <c r="H709" s="114">
        <v>1764734.44</v>
      </c>
      <c r="I709" s="114">
        <v>22386</v>
      </c>
      <c r="J709" s="115">
        <v>0.00282407407407407</v>
      </c>
      <c r="K709" s="114">
        <v>15.65</v>
      </c>
      <c r="L709" s="114">
        <v>2421</v>
      </c>
      <c r="M709" s="114">
        <v>235667456</v>
      </c>
      <c r="N709" s="114">
        <v>7.41</v>
      </c>
      <c r="O709" s="114">
        <v>9867801</v>
      </c>
      <c r="P709" s="114">
        <v>2501191</v>
      </c>
      <c r="Q709" s="114">
        <v>7362935</v>
      </c>
      <c r="R709" s="114">
        <v>3342150</v>
      </c>
      <c r="S709" s="114">
        <v>4020785</v>
      </c>
      <c r="T709" s="114">
        <v>29836</v>
      </c>
      <c r="U709" s="114">
        <v>7450</v>
      </c>
      <c r="V709" s="114">
        <v>231116</v>
      </c>
      <c r="W709" s="114">
        <v>10845</v>
      </c>
      <c r="X709" s="114">
        <v>50020</v>
      </c>
      <c r="Y709" s="114">
        <v>98423</v>
      </c>
      <c r="Z709" s="114">
        <v>131900991.7</v>
      </c>
      <c r="AA709" s="114">
        <v>0</v>
      </c>
      <c r="AB709" s="114">
        <v>97</v>
      </c>
      <c r="AC709" s="114">
        <v>7596093.465</v>
      </c>
      <c r="AD709" s="114">
        <v>122782968.1</v>
      </c>
      <c r="AE709" s="114">
        <v>224316224.1</v>
      </c>
      <c r="AF709" s="114">
        <v>21115966</v>
      </c>
      <c r="AG709" s="114">
        <v>10623.062</v>
      </c>
      <c r="AH709" s="114">
        <v>15720766</v>
      </c>
      <c r="AI709" s="114">
        <v>5073.834</v>
      </c>
      <c r="AJ709" s="114">
        <v>7707</v>
      </c>
      <c r="AK709" s="114">
        <v>1824770</v>
      </c>
      <c r="AL709" s="114">
        <v>9018723.542</v>
      </c>
      <c r="AM709" s="114">
        <v>105</v>
      </c>
      <c r="AN709" s="114">
        <v>651257</v>
      </c>
      <c r="AO709" s="114">
        <v>53919.3486</v>
      </c>
      <c r="AP709" s="114">
        <v>1244.8816</v>
      </c>
      <c r="AQ709" s="114">
        <v>2794</v>
      </c>
      <c r="AR709" s="114">
        <v>42661</v>
      </c>
      <c r="AS709" s="114">
        <v>13669</v>
      </c>
      <c r="AT709" s="114">
        <v>67</v>
      </c>
      <c r="AU709" s="114">
        <v>131794</v>
      </c>
      <c r="AV709" s="114">
        <v>0</v>
      </c>
      <c r="AW709" s="114">
        <v>0</v>
      </c>
      <c r="AX709" s="114">
        <v>4</v>
      </c>
      <c r="AY709" s="114">
        <v>74</v>
      </c>
      <c r="AZ709" s="114">
        <v>12149</v>
      </c>
      <c r="BA709" s="114">
        <v>1095866</v>
      </c>
      <c r="BB709" s="116"/>
      <c r="BC709" s="116"/>
      <c r="BD709" s="116"/>
      <c r="BE709" s="116"/>
      <c r="BF709" s="116"/>
      <c r="BG709" s="116"/>
      <c r="BH709" s="116"/>
      <c r="BI709" s="116"/>
      <c r="BJ709" s="117">
        <v>2904740</v>
      </c>
      <c r="BK709" s="117">
        <v>22382</v>
      </c>
      <c r="BL709" s="117">
        <v>21287580</v>
      </c>
      <c r="BM709" s="118">
        <v>107644000</v>
      </c>
      <c r="BN709" s="118">
        <v>6332</v>
      </c>
      <c r="BO709" s="120">
        <v>0.701</v>
      </c>
      <c r="BP709" s="120">
        <v>0.298</v>
      </c>
      <c r="BQ709" s="120">
        <v>0.001</v>
      </c>
      <c r="BR709" s="120">
        <v>0.012</v>
      </c>
      <c r="BS709" s="120">
        <v>0.062</v>
      </c>
      <c r="BT709" s="120">
        <v>0.267</v>
      </c>
      <c r="BU709" s="120">
        <v>0.216</v>
      </c>
      <c r="BV709" s="120">
        <v>0.195</v>
      </c>
      <c r="BW709" s="120">
        <v>0.159</v>
      </c>
      <c r="BX709" s="120">
        <v>0.089</v>
      </c>
    </row>
    <row r="710" s="96" customFormat="1" customHeight="1" spans="1:76">
      <c r="A710" s="111">
        <v>709</v>
      </c>
      <c r="B710" s="112" t="s">
        <v>58</v>
      </c>
      <c r="C710" s="112" t="s">
        <v>58</v>
      </c>
      <c r="D710" s="111">
        <v>2026</v>
      </c>
      <c r="E710" s="112" t="s">
        <v>31</v>
      </c>
      <c r="F710" s="121">
        <v>23121939</v>
      </c>
      <c r="G710" s="114">
        <v>21008079</v>
      </c>
      <c r="H710" s="114">
        <v>1487517.189</v>
      </c>
      <c r="I710" s="114">
        <v>16586</v>
      </c>
      <c r="J710" s="115">
        <v>0.00293981481481481</v>
      </c>
      <c r="K710" s="114">
        <v>18.8</v>
      </c>
      <c r="L710" s="114">
        <v>2705</v>
      </c>
      <c r="M710" s="114">
        <v>189477686</v>
      </c>
      <c r="N710" s="114">
        <v>7.05</v>
      </c>
      <c r="O710" s="114">
        <v>8130867</v>
      </c>
      <c r="P710" s="114">
        <v>1786290</v>
      </c>
      <c r="Q710" s="114">
        <v>6338797</v>
      </c>
      <c r="R710" s="114">
        <v>2686263</v>
      </c>
      <c r="S710" s="114">
        <v>3652534</v>
      </c>
      <c r="T710" s="114">
        <v>23454</v>
      </c>
      <c r="U710" s="114">
        <v>6868</v>
      </c>
      <c r="V710" s="114">
        <v>176007</v>
      </c>
      <c r="W710" s="114">
        <v>9510</v>
      </c>
      <c r="X710" s="114">
        <v>46845</v>
      </c>
      <c r="Y710" s="114">
        <v>87519</v>
      </c>
      <c r="Z710" s="121">
        <v>87689212</v>
      </c>
      <c r="AA710" s="114">
        <v>0</v>
      </c>
      <c r="AB710" s="114">
        <v>72</v>
      </c>
      <c r="AC710" s="114">
        <v>6034202.46</v>
      </c>
      <c r="AD710" s="114">
        <v>78228706.75</v>
      </c>
      <c r="AE710" s="114">
        <v>142491304.4</v>
      </c>
      <c r="AF710" s="114">
        <v>15128725</v>
      </c>
      <c r="AG710" s="114">
        <v>9418.593</v>
      </c>
      <c r="AH710" s="114">
        <v>11534500</v>
      </c>
      <c r="AI710" s="114">
        <v>4075.784</v>
      </c>
      <c r="AJ710" s="114">
        <v>4710</v>
      </c>
      <c r="AK710" s="114">
        <v>669792</v>
      </c>
      <c r="AL710" s="114">
        <v>3770636.115</v>
      </c>
      <c r="AM710" s="114">
        <v>71</v>
      </c>
      <c r="AN710" s="114">
        <v>496663</v>
      </c>
      <c r="AO710" s="114">
        <v>44654.9182</v>
      </c>
      <c r="AP710" s="114">
        <v>1114.903</v>
      </c>
      <c r="AQ710" s="114">
        <v>2819</v>
      </c>
      <c r="AR710" s="114">
        <v>4405</v>
      </c>
      <c r="AS710" s="114">
        <v>13717</v>
      </c>
      <c r="AT710" s="114">
        <v>50</v>
      </c>
      <c r="AU710" s="114">
        <v>43481</v>
      </c>
      <c r="AV710" s="114">
        <v>0</v>
      </c>
      <c r="AW710" s="114">
        <v>0</v>
      </c>
      <c r="AX710" s="114">
        <v>2</v>
      </c>
      <c r="AY710" s="114">
        <v>82</v>
      </c>
      <c r="AZ710" s="114">
        <v>8031</v>
      </c>
      <c r="BA710" s="114">
        <v>1028233</v>
      </c>
      <c r="BB710" s="116"/>
      <c r="BC710" s="116"/>
      <c r="BD710" s="116"/>
      <c r="BE710" s="116"/>
      <c r="BF710" s="116"/>
      <c r="BG710" s="116"/>
      <c r="BH710" s="116"/>
      <c r="BI710" s="116"/>
      <c r="BJ710" s="117">
        <v>2921325</v>
      </c>
      <c r="BK710" s="117">
        <v>16581</v>
      </c>
      <c r="BL710" s="117">
        <v>17830633</v>
      </c>
      <c r="BM710" s="118">
        <v>64967411</v>
      </c>
      <c r="BN710" s="118"/>
      <c r="BO710" s="120">
        <v>0.732</v>
      </c>
      <c r="BP710" s="120">
        <v>0.266</v>
      </c>
      <c r="BQ710" s="120">
        <v>0.001</v>
      </c>
      <c r="BR710" s="120">
        <v>0.011</v>
      </c>
      <c r="BS710" s="120">
        <v>0.056</v>
      </c>
      <c r="BT710" s="120">
        <v>0.258</v>
      </c>
      <c r="BU710" s="120">
        <v>0.209</v>
      </c>
      <c r="BV710" s="120">
        <v>0.19</v>
      </c>
      <c r="BW710" s="120">
        <v>0.169</v>
      </c>
      <c r="BX710" s="120">
        <v>0.107</v>
      </c>
    </row>
    <row r="711" s="96" customFormat="1" customHeight="1" spans="1:76">
      <c r="A711" s="111">
        <v>710</v>
      </c>
      <c r="B711" s="112" t="s">
        <v>58</v>
      </c>
      <c r="C711" s="112" t="s">
        <v>58</v>
      </c>
      <c r="D711" s="111">
        <v>2026</v>
      </c>
      <c r="E711" s="112" t="s">
        <v>33</v>
      </c>
      <c r="F711" s="114">
        <v>25680853</v>
      </c>
      <c r="G711" s="114">
        <v>24107372</v>
      </c>
      <c r="H711" s="114">
        <v>1965518.843</v>
      </c>
      <c r="I711" s="114">
        <v>18689</v>
      </c>
      <c r="J711" s="115">
        <v>0.0033912037037037</v>
      </c>
      <c r="K711" s="114">
        <v>25.03</v>
      </c>
      <c r="L711" s="114">
        <v>2628</v>
      </c>
      <c r="M711" s="114">
        <v>215927725</v>
      </c>
      <c r="N711" s="114">
        <v>7.25</v>
      </c>
      <c r="O711" s="114">
        <v>8839554</v>
      </c>
      <c r="P711" s="114">
        <v>1842263</v>
      </c>
      <c r="Q711" s="114">
        <v>6965355</v>
      </c>
      <c r="R711" s="114">
        <v>2875570</v>
      </c>
      <c r="S711" s="114">
        <v>4089785</v>
      </c>
      <c r="T711" s="114">
        <v>26681</v>
      </c>
      <c r="U711" s="114">
        <v>7992</v>
      </c>
      <c r="V711" s="114">
        <v>191485</v>
      </c>
      <c r="W711" s="114">
        <v>8776</v>
      </c>
      <c r="X711" s="114">
        <v>74300</v>
      </c>
      <c r="Y711" s="114">
        <v>119685</v>
      </c>
      <c r="Z711" s="114">
        <v>129313588</v>
      </c>
      <c r="AA711" s="114">
        <v>0</v>
      </c>
      <c r="AB711" s="114">
        <v>46</v>
      </c>
      <c r="AC711" s="114">
        <v>8970844.345</v>
      </c>
      <c r="AD711" s="114">
        <v>119653335.3</v>
      </c>
      <c r="AE711" s="114">
        <v>217256354.7</v>
      </c>
      <c r="AF711" s="114">
        <v>22283038</v>
      </c>
      <c r="AG711" s="114">
        <v>9749.853</v>
      </c>
      <c r="AH711" s="114">
        <v>16142876</v>
      </c>
      <c r="AI711" s="114">
        <v>5362.288</v>
      </c>
      <c r="AJ711" s="114">
        <v>3444</v>
      </c>
      <c r="AK711" s="114">
        <v>458541</v>
      </c>
      <c r="AL711" s="114">
        <v>1967096.298</v>
      </c>
      <c r="AM711" s="114">
        <v>42</v>
      </c>
      <c r="AN711" s="114">
        <v>593932</v>
      </c>
      <c r="AO711" s="114">
        <v>62626.7901</v>
      </c>
      <c r="AP711" s="114">
        <v>686.1393</v>
      </c>
      <c r="AQ711" s="114">
        <v>2458</v>
      </c>
      <c r="AR711" s="114">
        <v>69554</v>
      </c>
      <c r="AS711" s="114">
        <v>14682</v>
      </c>
      <c r="AT711" s="114">
        <v>55</v>
      </c>
      <c r="AU711" s="114">
        <v>290948</v>
      </c>
      <c r="AV711" s="114">
        <v>0</v>
      </c>
      <c r="AW711" s="114">
        <v>0</v>
      </c>
      <c r="AX711" s="114">
        <v>0</v>
      </c>
      <c r="AY711" s="114">
        <v>46</v>
      </c>
      <c r="AZ711" s="114">
        <v>24055</v>
      </c>
      <c r="BA711" s="114">
        <v>3345428</v>
      </c>
      <c r="BB711" s="116"/>
      <c r="BC711" s="116"/>
      <c r="BD711" s="116"/>
      <c r="BE711" s="116"/>
      <c r="BF711" s="116"/>
      <c r="BG711" s="116"/>
      <c r="BH711" s="116"/>
      <c r="BI711" s="116"/>
      <c r="BJ711" s="117">
        <v>2940019</v>
      </c>
      <c r="BK711" s="117">
        <v>18688</v>
      </c>
      <c r="BL711" s="117">
        <v>20833877</v>
      </c>
      <c r="BM711" s="118">
        <v>107678399</v>
      </c>
      <c r="BN711" s="118"/>
      <c r="BO711" s="120">
        <v>0.743</v>
      </c>
      <c r="BP711" s="120">
        <v>0.256</v>
      </c>
      <c r="BQ711" s="120">
        <v>0.001</v>
      </c>
      <c r="BR711" s="120">
        <v>0.011</v>
      </c>
      <c r="BS711" s="120">
        <v>0.055</v>
      </c>
      <c r="BT711" s="120">
        <v>0.26</v>
      </c>
      <c r="BU711" s="120">
        <v>0.215</v>
      </c>
      <c r="BV711" s="120">
        <v>0.192</v>
      </c>
      <c r="BW711" s="120">
        <v>0.168</v>
      </c>
      <c r="BX711" s="120">
        <v>0.1</v>
      </c>
    </row>
    <row r="712" s="96" customFormat="1" customHeight="1" spans="1:76">
      <c r="A712" s="111">
        <v>711</v>
      </c>
      <c r="B712" s="112" t="s">
        <v>58</v>
      </c>
      <c r="C712" s="112" t="s">
        <v>58</v>
      </c>
      <c r="D712" s="111">
        <v>2026</v>
      </c>
      <c r="E712" s="113" t="s">
        <v>34</v>
      </c>
      <c r="F712" s="114">
        <v>74908596</v>
      </c>
      <c r="G712" s="114">
        <v>72260512</v>
      </c>
      <c r="H712" s="114">
        <v>5667798.246</v>
      </c>
      <c r="I712" s="114">
        <v>60962</v>
      </c>
      <c r="J712" s="115">
        <v>0.00326388888888889</v>
      </c>
      <c r="K712" s="114">
        <v>24.49</v>
      </c>
      <c r="L712" s="114">
        <v>2857</v>
      </c>
      <c r="M712" s="114">
        <v>560822034</v>
      </c>
      <c r="N712" s="114">
        <v>9.14</v>
      </c>
      <c r="O712" s="114">
        <v>18496432</v>
      </c>
      <c r="P712" s="114">
        <v>5851725</v>
      </c>
      <c r="Q712" s="114">
        <v>12016985</v>
      </c>
      <c r="R712" s="114">
        <v>6096195</v>
      </c>
      <c r="S712" s="114">
        <v>5920790</v>
      </c>
      <c r="T712" s="114">
        <v>75943</v>
      </c>
      <c r="U712" s="114">
        <v>14981</v>
      </c>
      <c r="V712" s="114">
        <v>598615</v>
      </c>
      <c r="W712" s="114">
        <v>23411</v>
      </c>
      <c r="X712" s="114">
        <v>92352</v>
      </c>
      <c r="Y712" s="114">
        <v>269206</v>
      </c>
      <c r="Z712" s="114">
        <v>371339257.2</v>
      </c>
      <c r="AA712" s="114">
        <v>0</v>
      </c>
      <c r="AB712" s="114">
        <v>99</v>
      </c>
      <c r="AC712" s="114">
        <v>16900929.3</v>
      </c>
      <c r="AD712" s="114">
        <v>352941499.7</v>
      </c>
      <c r="AE712" s="114">
        <v>641528699.9</v>
      </c>
      <c r="AF712" s="114">
        <v>68009059</v>
      </c>
      <c r="AG712" s="114">
        <v>9432.989</v>
      </c>
      <c r="AH712" s="114">
        <v>48557704</v>
      </c>
      <c r="AI712" s="114">
        <v>5206.188</v>
      </c>
      <c r="AJ712" s="114">
        <v>5277</v>
      </c>
      <c r="AK712" s="114">
        <v>670648</v>
      </c>
      <c r="AL712" s="114">
        <v>6489772.982</v>
      </c>
      <c r="AM712" s="114">
        <v>88</v>
      </c>
      <c r="AN712" s="114">
        <v>1528143</v>
      </c>
      <c r="AO712" s="114">
        <v>143782.8732</v>
      </c>
      <c r="AP712" s="114">
        <v>1023.1104</v>
      </c>
      <c r="AQ712" s="114">
        <v>4282</v>
      </c>
      <c r="AR712" s="114">
        <v>16635</v>
      </c>
      <c r="AS712" s="114">
        <v>24008</v>
      </c>
      <c r="AT712" s="114">
        <v>99</v>
      </c>
      <c r="AU712" s="114">
        <v>183573</v>
      </c>
      <c r="AV712" s="114">
        <v>0</v>
      </c>
      <c r="AW712" s="114">
        <v>0</v>
      </c>
      <c r="AX712" s="114">
        <v>0</v>
      </c>
      <c r="AY712" s="114">
        <v>51</v>
      </c>
      <c r="AZ712" s="114">
        <v>75729</v>
      </c>
      <c r="BA712" s="114">
        <v>13035220</v>
      </c>
      <c r="BB712" s="116"/>
      <c r="BC712" s="116"/>
      <c r="BD712" s="116"/>
      <c r="BE712" s="116"/>
      <c r="BF712" s="116"/>
      <c r="BG712" s="116"/>
      <c r="BH712" s="116"/>
      <c r="BI712" s="116"/>
      <c r="BJ712" s="117">
        <v>3000973</v>
      </c>
      <c r="BK712" s="117">
        <v>60962</v>
      </c>
      <c r="BL712" s="117">
        <v>67814129</v>
      </c>
      <c r="BM712" s="118">
        <v>339109771</v>
      </c>
      <c r="BN712" s="118"/>
      <c r="BO712" s="120">
        <v>0.765</v>
      </c>
      <c r="BP712" s="120">
        <v>0.234</v>
      </c>
      <c r="BQ712" s="120">
        <v>0.001</v>
      </c>
      <c r="BR712" s="120">
        <v>0.014</v>
      </c>
      <c r="BS712" s="120">
        <v>0.063</v>
      </c>
      <c r="BT712" s="120">
        <v>0.274</v>
      </c>
      <c r="BU712" s="120">
        <v>0.235</v>
      </c>
      <c r="BV712" s="120">
        <v>0.203</v>
      </c>
      <c r="BW712" s="120">
        <v>0.14</v>
      </c>
      <c r="BX712" s="120">
        <v>0.069</v>
      </c>
    </row>
    <row r="713" s="96" customFormat="1" customHeight="1" spans="1:76">
      <c r="A713" s="111">
        <v>712</v>
      </c>
      <c r="B713" s="112" t="s">
        <v>58</v>
      </c>
      <c r="C713" s="112" t="s">
        <v>58</v>
      </c>
      <c r="D713" s="111">
        <v>2026</v>
      </c>
      <c r="E713" s="135" t="s">
        <v>35</v>
      </c>
      <c r="F713" s="136">
        <v>58833719</v>
      </c>
      <c r="G713" s="136">
        <v>56408926</v>
      </c>
      <c r="H713" s="136">
        <v>4733345.524</v>
      </c>
      <c r="I713" s="136">
        <v>35810</v>
      </c>
      <c r="J713" s="137">
        <v>0.00349537037037037</v>
      </c>
      <c r="K713" s="136">
        <v>30.02</v>
      </c>
      <c r="L713" s="136">
        <v>1660</v>
      </c>
      <c r="M713" s="136">
        <v>433667516</v>
      </c>
      <c r="N713" s="136">
        <v>9.4</v>
      </c>
      <c r="O713" s="136">
        <v>13200835</v>
      </c>
      <c r="P713" s="136">
        <v>2686542</v>
      </c>
      <c r="Q713" s="136">
        <v>9858483</v>
      </c>
      <c r="R713" s="136">
        <v>5072230</v>
      </c>
      <c r="S713" s="136">
        <v>4786253</v>
      </c>
      <c r="T713" s="136">
        <v>48558</v>
      </c>
      <c r="U713" s="136">
        <v>12748</v>
      </c>
      <c r="V713" s="136">
        <v>450591</v>
      </c>
      <c r="W713" s="136">
        <v>20223</v>
      </c>
      <c r="X713" s="136">
        <v>64755</v>
      </c>
      <c r="Y713" s="136">
        <v>214760</v>
      </c>
      <c r="Z713" s="136">
        <v>241450439.6</v>
      </c>
      <c r="AA713" s="136">
        <v>0</v>
      </c>
      <c r="AB713" s="136">
        <v>104</v>
      </c>
      <c r="AC713" s="136">
        <v>12870124.99</v>
      </c>
      <c r="AD713" s="136">
        <v>227295895</v>
      </c>
      <c r="AE713" s="136">
        <v>412224694.9</v>
      </c>
      <c r="AF713" s="136">
        <v>44504671</v>
      </c>
      <c r="AG713" s="136">
        <v>9262.504</v>
      </c>
      <c r="AH713" s="136">
        <v>34467059</v>
      </c>
      <c r="AI713" s="136">
        <v>4136.449</v>
      </c>
      <c r="AJ713" s="136">
        <v>5415</v>
      </c>
      <c r="AK713" s="136">
        <v>911597</v>
      </c>
      <c r="AL713" s="136">
        <v>9989774.749</v>
      </c>
      <c r="AM713" s="136">
        <v>68</v>
      </c>
      <c r="AN713" s="136">
        <v>1089903</v>
      </c>
      <c r="AO713" s="136">
        <v>105646.872</v>
      </c>
      <c r="AP713" s="136">
        <v>1003.7857</v>
      </c>
      <c r="AQ713" s="136">
        <v>1862</v>
      </c>
      <c r="AR713" s="136">
        <v>25234</v>
      </c>
      <c r="AS713" s="136">
        <v>7098</v>
      </c>
      <c r="AT713" s="136">
        <v>71</v>
      </c>
      <c r="AU713" s="136">
        <v>145751</v>
      </c>
      <c r="AV713" s="136">
        <v>0</v>
      </c>
      <c r="AW713" s="136">
        <v>0</v>
      </c>
      <c r="AX713" s="136">
        <v>2</v>
      </c>
      <c r="AY713" s="136">
        <v>85</v>
      </c>
      <c r="AZ713" s="136">
        <v>76957</v>
      </c>
      <c r="BA713" s="136">
        <v>10747372</v>
      </c>
      <c r="BB713" s="138"/>
      <c r="BC713" s="138"/>
      <c r="BD713" s="138"/>
      <c r="BE713" s="138"/>
      <c r="BF713" s="138"/>
      <c r="BG713" s="138"/>
      <c r="BH713" s="138"/>
      <c r="BI713" s="138"/>
      <c r="BJ713" s="117">
        <v>3036789</v>
      </c>
      <c r="BK713" s="117">
        <v>35811</v>
      </c>
      <c r="BL713" s="117">
        <v>50085840</v>
      </c>
      <c r="BM713" s="118">
        <v>210380623</v>
      </c>
      <c r="BN713" s="118"/>
      <c r="BO713" s="120">
        <v>0.774</v>
      </c>
      <c r="BP713" s="120">
        <v>0.225</v>
      </c>
      <c r="BQ713" s="120">
        <v>0.001</v>
      </c>
      <c r="BR713" s="120">
        <v>0.014</v>
      </c>
      <c r="BS713" s="120">
        <v>0.061</v>
      </c>
      <c r="BT713" s="120">
        <v>0.27</v>
      </c>
      <c r="BU713" s="120">
        <v>0.222</v>
      </c>
      <c r="BV713" s="120">
        <v>0.199</v>
      </c>
      <c r="BW713" s="120">
        <v>0.153</v>
      </c>
      <c r="BX713" s="120">
        <v>0.082</v>
      </c>
    </row>
    <row r="714" s="96" customFormat="1" customHeight="1" spans="1:76">
      <c r="A714" s="111">
        <v>713</v>
      </c>
      <c r="B714" s="112" t="s">
        <v>58</v>
      </c>
      <c r="C714" s="112" t="s">
        <v>58</v>
      </c>
      <c r="D714" s="111">
        <v>2026</v>
      </c>
      <c r="E714" s="113" t="s">
        <v>36</v>
      </c>
      <c r="F714" s="136">
        <v>46442763</v>
      </c>
      <c r="G714" s="136">
        <v>44145727</v>
      </c>
      <c r="H714" s="136">
        <v>3736710.24</v>
      </c>
      <c r="I714" s="136">
        <v>26001</v>
      </c>
      <c r="J714" s="137">
        <v>0.00351851851851852</v>
      </c>
      <c r="K714" s="136">
        <v>21.51</v>
      </c>
      <c r="L714" s="136">
        <v>2887</v>
      </c>
      <c r="M714" s="136">
        <v>333697145</v>
      </c>
      <c r="N714" s="136">
        <v>8.87</v>
      </c>
      <c r="O714" s="136">
        <v>11063584</v>
      </c>
      <c r="P714" s="136">
        <v>2334397</v>
      </c>
      <c r="Q714" s="136">
        <v>8404202</v>
      </c>
      <c r="R714" s="136">
        <v>4204328</v>
      </c>
      <c r="S714" s="136">
        <v>4199874</v>
      </c>
      <c r="T714" s="136">
        <v>35895</v>
      </c>
      <c r="U714" s="136">
        <v>9894</v>
      </c>
      <c r="V714" s="136">
        <v>324795</v>
      </c>
      <c r="W714" s="136">
        <v>15776</v>
      </c>
      <c r="X714" s="136">
        <v>61313</v>
      </c>
      <c r="Y714" s="136">
        <v>145169</v>
      </c>
      <c r="Z714" s="136">
        <v>212297115.7</v>
      </c>
      <c r="AA714" s="136">
        <v>17583.916</v>
      </c>
      <c r="AB714" s="136">
        <v>83</v>
      </c>
      <c r="AC714" s="136">
        <v>10876524.72</v>
      </c>
      <c r="AD714" s="136">
        <v>200162350.1</v>
      </c>
      <c r="AE714" s="136">
        <v>363052829</v>
      </c>
      <c r="AF714" s="136">
        <v>36122214</v>
      </c>
      <c r="AG714" s="136">
        <v>10050.68</v>
      </c>
      <c r="AH714" s="136">
        <v>27317582</v>
      </c>
      <c r="AI714" s="136">
        <v>4829.658</v>
      </c>
      <c r="AJ714" s="136">
        <v>5632</v>
      </c>
      <c r="AK714" s="136">
        <v>842781</v>
      </c>
      <c r="AL714" s="136">
        <v>5266341.207</v>
      </c>
      <c r="AM714" s="136">
        <v>73</v>
      </c>
      <c r="AN714" s="136">
        <v>933780</v>
      </c>
      <c r="AO714" s="136">
        <v>91452.3461</v>
      </c>
      <c r="AP714" s="136">
        <v>1057.0587</v>
      </c>
      <c r="AQ714" s="136">
        <v>2150</v>
      </c>
      <c r="AR714" s="136">
        <v>12176</v>
      </c>
      <c r="AS714" s="136">
        <v>3952</v>
      </c>
      <c r="AT714" s="136">
        <v>50</v>
      </c>
      <c r="AU714" s="136">
        <v>110601</v>
      </c>
      <c r="AV714" s="136">
        <v>0</v>
      </c>
      <c r="AW714" s="136">
        <v>0</v>
      </c>
      <c r="AX714" s="136">
        <v>0</v>
      </c>
      <c r="AY714" s="136">
        <v>30</v>
      </c>
      <c r="AZ714" s="136">
        <v>37882</v>
      </c>
      <c r="BA714" s="136">
        <v>7840874</v>
      </c>
      <c r="BB714" s="138"/>
      <c r="BC714" s="138"/>
      <c r="BD714" s="138"/>
      <c r="BE714" s="138"/>
      <c r="BF714" s="138"/>
      <c r="BG714" s="138"/>
      <c r="BH714" s="138"/>
      <c r="BI714" s="138"/>
      <c r="BJ714" s="117">
        <v>3062793</v>
      </c>
      <c r="BK714" s="117">
        <v>26001</v>
      </c>
      <c r="BL714" s="117">
        <v>35754963</v>
      </c>
      <c r="BM714" s="118">
        <v>158396103</v>
      </c>
      <c r="BN714" s="118"/>
      <c r="BO714" s="120">
        <v>0.753</v>
      </c>
      <c r="BP714" s="120">
        <v>0.246</v>
      </c>
      <c r="BQ714" s="120">
        <v>0.001</v>
      </c>
      <c r="BR714" s="120">
        <v>0.015</v>
      </c>
      <c r="BS714" s="120">
        <v>0.066</v>
      </c>
      <c r="BT714" s="120">
        <v>0.274</v>
      </c>
      <c r="BU714" s="120">
        <v>0.209</v>
      </c>
      <c r="BV714" s="120">
        <v>0.188</v>
      </c>
      <c r="BW714" s="120">
        <v>0.156</v>
      </c>
      <c r="BX714" s="120">
        <v>0.093</v>
      </c>
    </row>
    <row r="715" s="96" customFormat="1" customHeight="1" spans="1:76">
      <c r="A715" s="111">
        <v>714</v>
      </c>
      <c r="B715" s="96" t="s">
        <v>58</v>
      </c>
      <c r="C715" s="96" t="s">
        <v>59</v>
      </c>
      <c r="D715" s="122">
        <v>2026</v>
      </c>
      <c r="E715" s="96" t="s">
        <v>37</v>
      </c>
      <c r="F715" s="139">
        <v>47623084</v>
      </c>
      <c r="G715" s="139">
        <v>45020981</v>
      </c>
      <c r="H715" s="139">
        <v>3470327</v>
      </c>
      <c r="I715" s="139">
        <v>27548</v>
      </c>
      <c r="J715" s="140">
        <v>0.00320601851851852</v>
      </c>
      <c r="K715" s="141">
        <v>22</v>
      </c>
      <c r="L715" s="139">
        <v>2921</v>
      </c>
      <c r="M715" s="139">
        <v>329900091</v>
      </c>
      <c r="N715" s="141">
        <v>9</v>
      </c>
      <c r="O715" s="139">
        <v>11634392</v>
      </c>
      <c r="P715" s="139">
        <v>2438750</v>
      </c>
      <c r="Q715" s="139">
        <v>8647123</v>
      </c>
      <c r="R715" s="139">
        <v>4031854</v>
      </c>
      <c r="S715" s="139">
        <v>4615269</v>
      </c>
      <c r="T715" s="139">
        <v>38119</v>
      </c>
      <c r="U715" s="139">
        <v>10571</v>
      </c>
      <c r="V715" s="139">
        <v>347735</v>
      </c>
      <c r="W715" s="139">
        <v>20336</v>
      </c>
      <c r="X715" s="139">
        <v>59936</v>
      </c>
      <c r="Y715" s="139">
        <v>191364</v>
      </c>
      <c r="Z715" s="139">
        <v>224016963</v>
      </c>
      <c r="AA715" s="139">
        <v>6982</v>
      </c>
      <c r="AB715" s="141">
        <v>35</v>
      </c>
      <c r="AC715" s="139">
        <v>10484384</v>
      </c>
      <c r="AD715" s="139">
        <v>211989302</v>
      </c>
      <c r="AE715" s="139">
        <v>385074658</v>
      </c>
      <c r="AF715" s="139">
        <v>37234540</v>
      </c>
      <c r="AG715" s="139">
        <v>10342</v>
      </c>
      <c r="AH715" s="139">
        <v>28287239</v>
      </c>
      <c r="AI715" s="139">
        <v>5011</v>
      </c>
      <c r="AJ715" s="139">
        <v>2865</v>
      </c>
      <c r="AK715" s="139">
        <v>779367</v>
      </c>
      <c r="AL715" s="139">
        <v>1614979</v>
      </c>
      <c r="AM715" s="141">
        <v>29</v>
      </c>
      <c r="AN715" s="139">
        <v>963333</v>
      </c>
      <c r="AO715" s="139">
        <v>85852</v>
      </c>
      <c r="AP715" s="141">
        <v>913</v>
      </c>
      <c r="AQ715" s="139">
        <v>2101</v>
      </c>
      <c r="AR715" s="139">
        <v>2629</v>
      </c>
      <c r="AS715" s="139">
        <v>4938</v>
      </c>
      <c r="AT715" s="141">
        <v>55</v>
      </c>
      <c r="AU715" s="139">
        <v>58500</v>
      </c>
      <c r="AV715" s="141">
        <v>0</v>
      </c>
      <c r="AW715" s="141">
        <v>0</v>
      </c>
      <c r="AX715" s="141">
        <v>1</v>
      </c>
      <c r="AY715" s="141">
        <v>20</v>
      </c>
      <c r="AZ715" s="139">
        <v>35283</v>
      </c>
      <c r="BA715" s="139">
        <v>6962197</v>
      </c>
      <c r="BB715" s="141"/>
      <c r="BC715" s="141"/>
      <c r="BD715" s="141"/>
      <c r="BE715" s="141"/>
      <c r="BF715" s="141"/>
      <c r="BG715" s="141"/>
      <c r="BH715" s="141"/>
      <c r="BI715" s="141"/>
      <c r="BJ715" s="117">
        <v>3090341</v>
      </c>
      <c r="BK715" s="117">
        <v>27548</v>
      </c>
      <c r="BL715" s="117">
        <v>38772688</v>
      </c>
      <c r="BM715" s="118">
        <v>183439785</v>
      </c>
      <c r="BN715" s="118"/>
      <c r="BO715" s="120">
        <v>0.751</v>
      </c>
      <c r="BP715" s="120">
        <v>0.248</v>
      </c>
      <c r="BQ715" s="120">
        <v>0.001</v>
      </c>
      <c r="BR715" s="120">
        <v>0.013</v>
      </c>
      <c r="BS715" s="120">
        <v>0.06</v>
      </c>
      <c r="BT715" s="120">
        <v>0.267</v>
      </c>
      <c r="BU715" s="120">
        <v>0.208</v>
      </c>
      <c r="BV715" s="120">
        <v>0.189</v>
      </c>
      <c r="BW715" s="120">
        <v>0.165</v>
      </c>
      <c r="BX715" s="120">
        <v>0.098</v>
      </c>
    </row>
    <row r="716" s="96" customFormat="1" customHeight="1" spans="1:76">
      <c r="A716" s="111">
        <v>715</v>
      </c>
      <c r="B716" s="96" t="s">
        <v>58</v>
      </c>
      <c r="C716" s="96" t="s">
        <v>59</v>
      </c>
      <c r="D716" s="122">
        <v>2026</v>
      </c>
      <c r="E716" s="96" t="s">
        <v>38</v>
      </c>
      <c r="F716" s="126">
        <v>45018557</v>
      </c>
      <c r="G716" s="126">
        <v>42215773</v>
      </c>
      <c r="H716" s="126">
        <v>3342829</v>
      </c>
      <c r="I716" s="126">
        <v>24712</v>
      </c>
      <c r="J716" s="127">
        <v>0.00328703703703704</v>
      </c>
      <c r="K716" s="128">
        <v>20</v>
      </c>
      <c r="L716" s="126">
        <v>3155</v>
      </c>
      <c r="M716" s="126">
        <v>326733020</v>
      </c>
      <c r="N716" s="128">
        <v>8</v>
      </c>
      <c r="O716" s="126">
        <v>11536410</v>
      </c>
      <c r="P716" s="126">
        <v>2114180</v>
      </c>
      <c r="Q716" s="126">
        <v>8608750</v>
      </c>
      <c r="R716" s="126">
        <v>3652592</v>
      </c>
      <c r="S716" s="126">
        <v>4956158</v>
      </c>
      <c r="T716" s="126">
        <v>34182</v>
      </c>
      <c r="U716" s="126">
        <v>9470</v>
      </c>
      <c r="V716" s="126">
        <v>284473</v>
      </c>
      <c r="W716" s="126">
        <v>12682</v>
      </c>
      <c r="X716" s="126">
        <v>54379</v>
      </c>
      <c r="Y716" s="126">
        <v>173375</v>
      </c>
      <c r="Z716" s="126">
        <v>217748563</v>
      </c>
      <c r="AA716" s="128">
        <v>0</v>
      </c>
      <c r="AB716" s="128">
        <v>34</v>
      </c>
      <c r="AC716" s="126">
        <v>11452148</v>
      </c>
      <c r="AD716" s="126">
        <v>205109203</v>
      </c>
      <c r="AE716" s="126">
        <v>372478699</v>
      </c>
      <c r="AF716" s="126">
        <v>35232706</v>
      </c>
      <c r="AG716" s="126">
        <v>10572</v>
      </c>
      <c r="AH716" s="126">
        <v>27192595</v>
      </c>
      <c r="AI716" s="126">
        <v>5170</v>
      </c>
      <c r="AJ716" s="126">
        <v>2439</v>
      </c>
      <c r="AK716" s="126">
        <v>756653</v>
      </c>
      <c r="AL716" s="126">
        <v>1793277</v>
      </c>
      <c r="AM716" s="128">
        <v>31</v>
      </c>
      <c r="AN716" s="126">
        <v>948231</v>
      </c>
      <c r="AO716" s="126">
        <v>89493</v>
      </c>
      <c r="AP716" s="126">
        <v>1043</v>
      </c>
      <c r="AQ716" s="126">
        <v>2560</v>
      </c>
      <c r="AR716" s="126">
        <v>4200</v>
      </c>
      <c r="AS716" s="126">
        <v>8232</v>
      </c>
      <c r="AT716" s="128">
        <v>33</v>
      </c>
      <c r="AU716" s="126">
        <v>42545</v>
      </c>
      <c r="AV716" s="128">
        <v>0</v>
      </c>
      <c r="AW716" s="128">
        <v>0</v>
      </c>
      <c r="AX716" s="128">
        <v>0</v>
      </c>
      <c r="AY716" s="128">
        <v>40</v>
      </c>
      <c r="AZ716" s="126">
        <v>28915</v>
      </c>
      <c r="BA716" s="126">
        <v>5770021</v>
      </c>
      <c r="BB716" s="129"/>
      <c r="BC716" s="129"/>
      <c r="BD716" s="129"/>
      <c r="BE716" s="129"/>
      <c r="BF716" s="129"/>
      <c r="BG716" s="129"/>
      <c r="BH716" s="129"/>
      <c r="BI716" s="129"/>
      <c r="BJ716" s="130">
        <v>3115055</v>
      </c>
      <c r="BK716" s="130">
        <v>24712</v>
      </c>
      <c r="BL716" s="130">
        <v>36229803</v>
      </c>
      <c r="BM716" s="131">
        <v>176967341.76</v>
      </c>
      <c r="BN716" s="131"/>
      <c r="BO716" s="132">
        <v>0.759</v>
      </c>
      <c r="BP716" s="132">
        <v>0.24</v>
      </c>
      <c r="BQ716" s="132">
        <v>0.001</v>
      </c>
      <c r="BR716" s="132">
        <v>0.011</v>
      </c>
      <c r="BS716" s="132">
        <v>0.054</v>
      </c>
      <c r="BT716" s="132">
        <v>0.255</v>
      </c>
      <c r="BU716" s="132">
        <v>0.198</v>
      </c>
      <c r="BV716" s="132">
        <v>0.185</v>
      </c>
      <c r="BW716" s="132">
        <v>0.18</v>
      </c>
      <c r="BX716" s="119"/>
    </row>
    <row r="717" s="96" customFormat="1" customHeight="1" spans="1:76">
      <c r="A717" s="111">
        <v>716</v>
      </c>
      <c r="B717" s="96" t="s">
        <v>58</v>
      </c>
      <c r="C717" s="96" t="s">
        <v>59</v>
      </c>
      <c r="D717" s="122">
        <v>2026</v>
      </c>
      <c r="E717" s="96" t="s">
        <v>39</v>
      </c>
      <c r="F717" s="128"/>
      <c r="G717" s="128"/>
      <c r="H717" s="128"/>
      <c r="I717" s="128"/>
      <c r="J717" s="127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9"/>
      <c r="BC717" s="129"/>
      <c r="BD717" s="129"/>
      <c r="BE717" s="129"/>
      <c r="BF717" s="129"/>
      <c r="BG717" s="129"/>
      <c r="BH717" s="129"/>
      <c r="BI717" s="129"/>
      <c r="BJ717" s="119"/>
      <c r="BK717" s="119"/>
      <c r="BL717" s="119"/>
      <c r="BM717" s="131"/>
      <c r="BN717" s="131"/>
      <c r="BO717" s="119"/>
      <c r="BP717" s="119"/>
      <c r="BQ717" s="119"/>
      <c r="BR717" s="119"/>
      <c r="BS717" s="119"/>
      <c r="BT717" s="119"/>
      <c r="BU717" s="119"/>
      <c r="BV717" s="119"/>
      <c r="BW717" s="119"/>
      <c r="BX717" s="119"/>
    </row>
    <row r="718" s="96" customFormat="1" customHeight="1" spans="1:76">
      <c r="A718" s="111">
        <v>717</v>
      </c>
      <c r="B718" s="96" t="s">
        <v>58</v>
      </c>
      <c r="C718" s="96" t="s">
        <v>59</v>
      </c>
      <c r="D718" s="122">
        <v>2026</v>
      </c>
      <c r="E718" s="96" t="s">
        <v>40</v>
      </c>
      <c r="F718" s="128"/>
      <c r="G718" s="128"/>
      <c r="H718" s="128"/>
      <c r="I718" s="128"/>
      <c r="J718" s="127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9"/>
      <c r="BC718" s="129"/>
      <c r="BD718" s="129"/>
      <c r="BE718" s="129"/>
      <c r="BF718" s="129"/>
      <c r="BG718" s="129"/>
      <c r="BH718" s="129"/>
      <c r="BI718" s="129"/>
      <c r="BJ718" s="119"/>
      <c r="BK718" s="119"/>
      <c r="BL718" s="119"/>
      <c r="BM718" s="131"/>
      <c r="BN718" s="131"/>
      <c r="BO718" s="119"/>
      <c r="BP718" s="119"/>
      <c r="BQ718" s="119"/>
      <c r="BR718" s="119"/>
      <c r="BS718" s="119"/>
      <c r="BT718" s="119"/>
      <c r="BU718" s="119"/>
      <c r="BV718" s="119"/>
      <c r="BW718" s="119"/>
      <c r="BX718" s="119"/>
    </row>
    <row r="719" s="96" customFormat="1" customHeight="1" spans="1:76">
      <c r="A719" s="111">
        <v>718</v>
      </c>
      <c r="B719" s="96" t="s">
        <v>58</v>
      </c>
      <c r="C719" s="96" t="s">
        <v>59</v>
      </c>
      <c r="D719" s="122">
        <v>2026</v>
      </c>
      <c r="E719" s="96" t="s">
        <v>41</v>
      </c>
      <c r="F719" s="128"/>
      <c r="G719" s="128"/>
      <c r="H719" s="128"/>
      <c r="I719" s="128"/>
      <c r="J719" s="127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9"/>
      <c r="BC719" s="129"/>
      <c r="BD719" s="129"/>
      <c r="BE719" s="129"/>
      <c r="BF719" s="129"/>
      <c r="BG719" s="129"/>
      <c r="BH719" s="129"/>
      <c r="BI719" s="129"/>
      <c r="BJ719" s="119"/>
      <c r="BK719" s="119"/>
      <c r="BL719" s="119"/>
      <c r="BM719" s="131"/>
      <c r="BN719" s="131"/>
      <c r="BO719" s="119"/>
      <c r="BP719" s="119"/>
      <c r="BQ719" s="119"/>
      <c r="BR719" s="119"/>
      <c r="BS719" s="119"/>
      <c r="BT719" s="119"/>
      <c r="BU719" s="119"/>
      <c r="BV719" s="119"/>
      <c r="BW719" s="119"/>
      <c r="BX719" s="119"/>
    </row>
    <row r="720" s="96" customFormat="1" customHeight="1" spans="1:76">
      <c r="A720" s="111">
        <v>719</v>
      </c>
      <c r="B720" s="96" t="s">
        <v>58</v>
      </c>
      <c r="C720" s="96" t="s">
        <v>59</v>
      </c>
      <c r="D720" s="122">
        <v>2026</v>
      </c>
      <c r="E720" s="96" t="s">
        <v>42</v>
      </c>
      <c r="F720" s="128"/>
      <c r="G720" s="128"/>
      <c r="H720" s="128"/>
      <c r="I720" s="128"/>
      <c r="J720" s="127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9"/>
      <c r="BC720" s="129"/>
      <c r="BD720" s="129"/>
      <c r="BE720" s="129"/>
      <c r="BF720" s="129"/>
      <c r="BG720" s="129"/>
      <c r="BH720" s="129"/>
      <c r="BI720" s="129"/>
      <c r="BJ720" s="119"/>
      <c r="BK720" s="119"/>
      <c r="BL720" s="119"/>
      <c r="BM720" s="131"/>
      <c r="BN720" s="131"/>
      <c r="BO720" s="119"/>
      <c r="BP720" s="119"/>
      <c r="BQ720" s="119"/>
      <c r="BR720" s="119"/>
      <c r="BS720" s="119"/>
      <c r="BT720" s="119"/>
      <c r="BU720" s="119"/>
      <c r="BV720" s="119"/>
      <c r="BW720" s="119"/>
      <c r="BX720" s="119"/>
    </row>
    <row r="721" s="96" customFormat="1" customHeight="1" spans="1:76">
      <c r="A721" s="111">
        <v>720</v>
      </c>
      <c r="B721" s="96" t="s">
        <v>58</v>
      </c>
      <c r="C721" s="96" t="s">
        <v>59</v>
      </c>
      <c r="D721" s="122">
        <v>2026</v>
      </c>
      <c r="E721" s="96" t="s">
        <v>43</v>
      </c>
      <c r="F721" s="128"/>
      <c r="G721" s="128"/>
      <c r="H721" s="128"/>
      <c r="I721" s="128"/>
      <c r="J721" s="127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9"/>
      <c r="BC721" s="129"/>
      <c r="BD721" s="129"/>
      <c r="BE721" s="129"/>
      <c r="BF721" s="129"/>
      <c r="BG721" s="129"/>
      <c r="BH721" s="129"/>
      <c r="BI721" s="129"/>
      <c r="BJ721" s="119"/>
      <c r="BK721" s="119"/>
      <c r="BL721" s="119"/>
      <c r="BM721" s="131"/>
      <c r="BN721" s="131"/>
      <c r="BO721" s="119"/>
      <c r="BP721" s="119"/>
      <c r="BQ721" s="119"/>
      <c r="BR721" s="119"/>
      <c r="BS721" s="119"/>
      <c r="BT721" s="119"/>
      <c r="BU721" s="119"/>
      <c r="BV721" s="119"/>
      <c r="BW721" s="119"/>
      <c r="BX721" s="119"/>
    </row>
  </sheetData>
  <autoFilter xmlns:etc="http://www.wps.cn/officeDocument/2017/etCustomData" ref="A1:BW721" etc:filterBottomFollowUsedRange="0">
    <sortState ref="A1:BW721">
      <sortCondition ref="A1"/>
    </sortState>
    <extLst/>
  </autoFilter>
  <sortState ref="A2:BI779">
    <sortCondition ref="E2:E779" customList="January,February,March,April,May,June,July,August,September,October,November,December"/>
  </sortState>
  <conditionalFormatting sqref="BX1">
    <cfRule type="expression" dxfId="0" priority="151">
      <formula>MOD(ROW(),2)=0</formula>
    </cfRule>
  </conditionalFormatting>
  <conditionalFormatting sqref="BN1:BN721">
    <cfRule type="expression" dxfId="0" priority="146">
      <formula>MOD(ROW(),2)=0</formula>
    </cfRule>
  </conditionalFormatting>
  <conditionalFormatting sqref="A1:BM1 BO1:BX1 A2:BM2 BO2:BX2 A3:BM17 BO3:BX17 A18:BM18 BO18:BX18 A19:BM19 BO19:BX19 A20:BM721 BO20:BX721">
    <cfRule type="expression" dxfId="0" priority="153">
      <formula>MOD(ROW(),2)=0</formula>
    </cfRule>
  </conditionalFormatting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2590"/>
  <sheetViews>
    <sheetView zoomScale="70" zoomScaleNormal="70" workbookViewId="0">
      <pane ySplit="1" topLeftCell="A2" activePane="bottomLeft" state="frozen"/>
      <selection/>
      <selection pane="bottomLeft" activeCell="A1" sqref="A1:K2588"/>
    </sheetView>
  </sheetViews>
  <sheetFormatPr defaultColWidth="12.7142857142857" defaultRowHeight="15" customHeight="1"/>
  <cols>
    <col min="1" max="2" width="12.7142857142857" style="85" customWidth="1"/>
    <col min="3" max="3" width="22.1428571428571" style="85" customWidth="1"/>
    <col min="4" max="5" width="12.7142857142857" style="85" customWidth="1"/>
    <col min="6" max="6" width="27.1428571428571" style="85" customWidth="1"/>
    <col min="7" max="7" width="17.2857142857143" style="85" customWidth="1"/>
    <col min="8" max="8" width="15.7142857142857" style="85" customWidth="1"/>
    <col min="9" max="9" width="19.7142857142857" style="85" customWidth="1"/>
    <col min="10" max="10" width="13.4285714285714" style="85" customWidth="1"/>
    <col min="11" max="11" width="25.2857142857143" style="85" customWidth="1"/>
    <col min="12" max="16384" width="12.7142857142857" style="85"/>
  </cols>
  <sheetData>
    <row r="1" ht="25.5" spans="1:11">
      <c r="A1" s="86" t="s">
        <v>0</v>
      </c>
      <c r="B1" s="86" t="s">
        <v>2</v>
      </c>
      <c r="C1" s="86" t="s">
        <v>3</v>
      </c>
      <c r="D1" s="86" t="s">
        <v>5</v>
      </c>
      <c r="E1" s="86" t="s">
        <v>6</v>
      </c>
      <c r="F1" s="86" t="s">
        <v>147</v>
      </c>
      <c r="G1" s="86" t="s">
        <v>91</v>
      </c>
      <c r="H1" s="86" t="s">
        <v>92</v>
      </c>
      <c r="I1" s="86" t="s">
        <v>102</v>
      </c>
      <c r="J1" s="86" t="s">
        <v>103</v>
      </c>
      <c r="K1" s="86" t="s">
        <v>148</v>
      </c>
    </row>
    <row r="2" ht="15.75" customHeight="1" spans="1:11">
      <c r="A2" s="87">
        <v>1</v>
      </c>
      <c r="B2" s="88" t="s">
        <v>28</v>
      </c>
      <c r="C2" s="88" t="s">
        <v>28</v>
      </c>
      <c r="D2" s="87">
        <v>2024</v>
      </c>
      <c r="E2" s="88" t="s">
        <v>31</v>
      </c>
      <c r="F2" s="88" t="s">
        <v>44</v>
      </c>
      <c r="G2" s="89" t="s">
        <v>44</v>
      </c>
      <c r="H2" s="89" t="s">
        <v>44</v>
      </c>
      <c r="I2" s="89" t="s">
        <v>44</v>
      </c>
      <c r="J2" s="89" t="s">
        <v>44</v>
      </c>
      <c r="K2" s="89" t="s">
        <v>44</v>
      </c>
    </row>
    <row r="3" ht="15.75" customHeight="1" spans="1:11">
      <c r="A3" s="87">
        <v>2</v>
      </c>
      <c r="B3" s="88" t="s">
        <v>28</v>
      </c>
      <c r="C3" s="88" t="s">
        <v>28</v>
      </c>
      <c r="D3" s="87">
        <v>2024</v>
      </c>
      <c r="E3" s="88" t="s">
        <v>33</v>
      </c>
      <c r="F3" s="88" t="s">
        <v>44</v>
      </c>
      <c r="G3" s="89" t="s">
        <v>44</v>
      </c>
      <c r="H3" s="89" t="s">
        <v>44</v>
      </c>
      <c r="I3" s="89" t="s">
        <v>44</v>
      </c>
      <c r="J3" s="89" t="s">
        <v>44</v>
      </c>
      <c r="K3" s="89" t="s">
        <v>44</v>
      </c>
    </row>
    <row r="4" ht="15.75" customHeight="1" spans="1:11">
      <c r="A4" s="87">
        <v>3</v>
      </c>
      <c r="B4" s="88" t="s">
        <v>28</v>
      </c>
      <c r="C4" s="88" t="s">
        <v>28</v>
      </c>
      <c r="D4" s="87">
        <v>2024</v>
      </c>
      <c r="E4" s="88" t="s">
        <v>34</v>
      </c>
      <c r="F4" s="88" t="s">
        <v>44</v>
      </c>
      <c r="G4" s="89" t="s">
        <v>44</v>
      </c>
      <c r="H4" s="89" t="s">
        <v>44</v>
      </c>
      <c r="I4" s="89" t="s">
        <v>44</v>
      </c>
      <c r="J4" s="89" t="s">
        <v>44</v>
      </c>
      <c r="K4" s="89" t="s">
        <v>44</v>
      </c>
    </row>
    <row r="5" ht="15.75" customHeight="1" spans="1:11">
      <c r="A5" s="87">
        <v>4</v>
      </c>
      <c r="B5" s="88" t="s">
        <v>28</v>
      </c>
      <c r="C5" s="88" t="s">
        <v>28</v>
      </c>
      <c r="D5" s="87">
        <v>2024</v>
      </c>
      <c r="E5" s="88" t="s">
        <v>35</v>
      </c>
      <c r="F5" s="88" t="s">
        <v>44</v>
      </c>
      <c r="G5" s="89" t="s">
        <v>44</v>
      </c>
      <c r="H5" s="89" t="s">
        <v>44</v>
      </c>
      <c r="I5" s="89" t="s">
        <v>44</v>
      </c>
      <c r="J5" s="89" t="s">
        <v>44</v>
      </c>
      <c r="K5" s="89" t="s">
        <v>44</v>
      </c>
    </row>
    <row r="6" ht="15.75" customHeight="1" spans="1:11">
      <c r="A6" s="87">
        <v>5</v>
      </c>
      <c r="B6" s="88" t="s">
        <v>28</v>
      </c>
      <c r="C6" s="88" t="s">
        <v>28</v>
      </c>
      <c r="D6" s="87">
        <v>2024</v>
      </c>
      <c r="E6" s="88" t="s">
        <v>36</v>
      </c>
      <c r="F6" s="88" t="s">
        <v>44</v>
      </c>
      <c r="G6" s="89" t="s">
        <v>44</v>
      </c>
      <c r="H6" s="89" t="s">
        <v>44</v>
      </c>
      <c r="I6" s="89" t="s">
        <v>44</v>
      </c>
      <c r="J6" s="89" t="s">
        <v>44</v>
      </c>
      <c r="K6" s="89" t="s">
        <v>44</v>
      </c>
    </row>
    <row r="7" ht="15.75" customHeight="1" spans="1:11">
      <c r="A7" s="87">
        <v>6</v>
      </c>
      <c r="B7" s="88" t="s">
        <v>28</v>
      </c>
      <c r="C7" s="88" t="s">
        <v>28</v>
      </c>
      <c r="D7" s="87">
        <v>2024</v>
      </c>
      <c r="E7" s="88" t="s">
        <v>37</v>
      </c>
      <c r="F7" s="88" t="s">
        <v>44</v>
      </c>
      <c r="G7" s="89" t="s">
        <v>44</v>
      </c>
      <c r="H7" s="89" t="s">
        <v>44</v>
      </c>
      <c r="I7" s="89" t="s">
        <v>44</v>
      </c>
      <c r="J7" s="89" t="s">
        <v>44</v>
      </c>
      <c r="K7" s="89" t="s">
        <v>44</v>
      </c>
    </row>
    <row r="8" ht="15.75" customHeight="1" spans="1:11">
      <c r="A8" s="87">
        <v>7</v>
      </c>
      <c r="B8" s="88" t="s">
        <v>28</v>
      </c>
      <c r="C8" s="88" t="s">
        <v>28</v>
      </c>
      <c r="D8" s="87">
        <v>2024</v>
      </c>
      <c r="E8" s="88" t="s">
        <v>38</v>
      </c>
      <c r="F8" s="88" t="s">
        <v>44</v>
      </c>
      <c r="G8" s="89" t="s">
        <v>44</v>
      </c>
      <c r="H8" s="89" t="s">
        <v>44</v>
      </c>
      <c r="I8" s="89" t="s">
        <v>44</v>
      </c>
      <c r="J8" s="89" t="s">
        <v>44</v>
      </c>
      <c r="K8" s="89" t="s">
        <v>44</v>
      </c>
    </row>
    <row r="9" ht="15.75" customHeight="1" spans="1:11">
      <c r="A9" s="87">
        <v>8</v>
      </c>
      <c r="B9" s="88" t="s">
        <v>28</v>
      </c>
      <c r="C9" s="88" t="s">
        <v>28</v>
      </c>
      <c r="D9" s="87">
        <v>2024</v>
      </c>
      <c r="E9" s="88" t="s">
        <v>39</v>
      </c>
      <c r="F9" s="88" t="s">
        <v>44</v>
      </c>
      <c r="G9" s="89" t="s">
        <v>44</v>
      </c>
      <c r="H9" s="89" t="s">
        <v>44</v>
      </c>
      <c r="I9" s="89" t="s">
        <v>44</v>
      </c>
      <c r="J9" s="89" t="s">
        <v>44</v>
      </c>
      <c r="K9" s="89" t="s">
        <v>44</v>
      </c>
    </row>
    <row r="10" ht="15.75" customHeight="1" spans="1:11">
      <c r="A10" s="87">
        <v>9</v>
      </c>
      <c r="B10" s="88" t="s">
        <v>28</v>
      </c>
      <c r="C10" s="88" t="s">
        <v>28</v>
      </c>
      <c r="D10" s="87">
        <v>2024</v>
      </c>
      <c r="E10" s="88" t="s">
        <v>40</v>
      </c>
      <c r="F10" s="88" t="s">
        <v>44</v>
      </c>
      <c r="G10" s="89" t="s">
        <v>44</v>
      </c>
      <c r="H10" s="89" t="s">
        <v>44</v>
      </c>
      <c r="I10" s="89" t="s">
        <v>44</v>
      </c>
      <c r="J10" s="89" t="s">
        <v>44</v>
      </c>
      <c r="K10" s="89" t="s">
        <v>44</v>
      </c>
    </row>
    <row r="11" ht="15.75" customHeight="1" spans="1:11">
      <c r="A11" s="87">
        <v>10</v>
      </c>
      <c r="B11" s="88" t="s">
        <v>28</v>
      </c>
      <c r="C11" s="88" t="s">
        <v>28</v>
      </c>
      <c r="D11" s="87">
        <v>2024</v>
      </c>
      <c r="E11" s="88" t="s">
        <v>41</v>
      </c>
      <c r="F11" s="88" t="s">
        <v>44</v>
      </c>
      <c r="G11" s="89" t="s">
        <v>44</v>
      </c>
      <c r="H11" s="89" t="s">
        <v>44</v>
      </c>
      <c r="I11" s="89" t="s">
        <v>44</v>
      </c>
      <c r="J11" s="89" t="s">
        <v>44</v>
      </c>
      <c r="K11" s="89" t="s">
        <v>44</v>
      </c>
    </row>
    <row r="12" ht="15.75" customHeight="1" spans="1:11">
      <c r="A12" s="87">
        <v>11</v>
      </c>
      <c r="B12" s="88" t="s">
        <v>28</v>
      </c>
      <c r="C12" s="88" t="s">
        <v>28</v>
      </c>
      <c r="D12" s="87">
        <v>2024</v>
      </c>
      <c r="E12" s="88" t="s">
        <v>42</v>
      </c>
      <c r="F12" s="88" t="s">
        <v>44</v>
      </c>
      <c r="G12" s="89" t="s">
        <v>44</v>
      </c>
      <c r="H12" s="89" t="s">
        <v>44</v>
      </c>
      <c r="I12" s="89" t="s">
        <v>44</v>
      </c>
      <c r="J12" s="89" t="s">
        <v>44</v>
      </c>
      <c r="K12" s="89" t="s">
        <v>44</v>
      </c>
    </row>
    <row r="13" ht="15.75" customHeight="1" spans="1:11">
      <c r="A13" s="87">
        <v>12</v>
      </c>
      <c r="B13" s="88" t="s">
        <v>28</v>
      </c>
      <c r="C13" s="88" t="s">
        <v>28</v>
      </c>
      <c r="D13" s="87">
        <v>2024</v>
      </c>
      <c r="E13" s="88" t="s">
        <v>43</v>
      </c>
      <c r="F13" s="88" t="s">
        <v>44</v>
      </c>
      <c r="G13" s="89" t="s">
        <v>44</v>
      </c>
      <c r="H13" s="89" t="s">
        <v>44</v>
      </c>
      <c r="I13" s="89" t="s">
        <v>44</v>
      </c>
      <c r="J13" s="89" t="s">
        <v>44</v>
      </c>
      <c r="K13" s="89" t="s">
        <v>44</v>
      </c>
    </row>
    <row r="14" ht="15.75" customHeight="1" spans="1:11">
      <c r="A14" s="87">
        <v>13</v>
      </c>
      <c r="B14" s="88" t="s">
        <v>28</v>
      </c>
      <c r="C14" s="88" t="s">
        <v>28</v>
      </c>
      <c r="D14" s="87">
        <v>2025</v>
      </c>
      <c r="E14" s="88" t="s">
        <v>36</v>
      </c>
      <c r="F14" s="88" t="s">
        <v>149</v>
      </c>
      <c r="G14" s="89" t="s">
        <v>44</v>
      </c>
      <c r="H14" s="89">
        <v>15</v>
      </c>
      <c r="I14" s="90">
        <v>955368</v>
      </c>
      <c r="J14" s="89">
        <v>13</v>
      </c>
      <c r="K14" s="90">
        <v>40982</v>
      </c>
    </row>
    <row r="15" ht="15.75" customHeight="1" spans="1:11">
      <c r="A15" s="87">
        <v>14</v>
      </c>
      <c r="B15" s="88" t="s">
        <v>28</v>
      </c>
      <c r="C15" s="88" t="s">
        <v>28</v>
      </c>
      <c r="D15" s="87">
        <v>2025</v>
      </c>
      <c r="E15" s="88" t="s">
        <v>36</v>
      </c>
      <c r="F15" s="88" t="s">
        <v>150</v>
      </c>
      <c r="G15" s="89" t="s">
        <v>44</v>
      </c>
      <c r="H15" s="89" t="s">
        <v>44</v>
      </c>
      <c r="I15" s="89" t="s">
        <v>44</v>
      </c>
      <c r="J15" s="89" t="s">
        <v>44</v>
      </c>
      <c r="K15" s="90">
        <v>54475</v>
      </c>
    </row>
    <row r="16" ht="15.75" customHeight="1" spans="1:11">
      <c r="A16" s="87">
        <v>15</v>
      </c>
      <c r="B16" s="88" t="s">
        <v>28</v>
      </c>
      <c r="C16" s="88" t="s">
        <v>28</v>
      </c>
      <c r="D16" s="87">
        <v>2025</v>
      </c>
      <c r="E16" s="88" t="s">
        <v>36</v>
      </c>
      <c r="F16" s="88" t="s">
        <v>151</v>
      </c>
      <c r="G16" s="89" t="s">
        <v>44</v>
      </c>
      <c r="H16" s="89" t="s">
        <v>44</v>
      </c>
      <c r="I16" s="89" t="s">
        <v>44</v>
      </c>
      <c r="J16" s="89" t="s">
        <v>44</v>
      </c>
      <c r="K16" s="90">
        <v>7177325</v>
      </c>
    </row>
    <row r="17" ht="15.75" customHeight="1" spans="1:11">
      <c r="A17" s="87">
        <v>16</v>
      </c>
      <c r="B17" s="88" t="s">
        <v>28</v>
      </c>
      <c r="C17" s="88" t="s">
        <v>28</v>
      </c>
      <c r="D17" s="87">
        <v>2025</v>
      </c>
      <c r="E17" s="88" t="s">
        <v>36</v>
      </c>
      <c r="F17" s="88" t="s">
        <v>152</v>
      </c>
      <c r="G17" s="89" t="s">
        <v>44</v>
      </c>
      <c r="H17" s="89" t="s">
        <v>44</v>
      </c>
      <c r="I17" s="89" t="s">
        <v>44</v>
      </c>
      <c r="J17" s="89" t="s">
        <v>44</v>
      </c>
      <c r="K17" s="90">
        <v>760803</v>
      </c>
    </row>
    <row r="18" ht="15.75" customHeight="1" spans="1:11">
      <c r="A18" s="87">
        <v>17</v>
      </c>
      <c r="B18" s="88" t="s">
        <v>28</v>
      </c>
      <c r="C18" s="88" t="s">
        <v>28</v>
      </c>
      <c r="D18" s="87">
        <v>2025</v>
      </c>
      <c r="E18" s="88" t="s">
        <v>37</v>
      </c>
      <c r="F18" s="88" t="s">
        <v>149</v>
      </c>
      <c r="G18" s="89" t="s">
        <v>44</v>
      </c>
      <c r="H18" s="89">
        <v>14</v>
      </c>
      <c r="I18" s="90">
        <v>1875787</v>
      </c>
      <c r="J18" s="89">
        <v>15</v>
      </c>
      <c r="K18" s="90">
        <v>62182</v>
      </c>
    </row>
    <row r="19" ht="15.75" customHeight="1" spans="1:11">
      <c r="A19" s="87">
        <v>18</v>
      </c>
      <c r="B19" s="88" t="s">
        <v>28</v>
      </c>
      <c r="C19" s="88" t="s">
        <v>28</v>
      </c>
      <c r="D19" s="87">
        <v>2025</v>
      </c>
      <c r="E19" s="88" t="s">
        <v>37</v>
      </c>
      <c r="F19" s="88" t="s">
        <v>150</v>
      </c>
      <c r="G19" s="89" t="s">
        <v>44</v>
      </c>
      <c r="H19" s="89" t="s">
        <v>44</v>
      </c>
      <c r="I19" s="89" t="s">
        <v>44</v>
      </c>
      <c r="J19" s="89" t="s">
        <v>44</v>
      </c>
      <c r="K19" s="90">
        <v>79415</v>
      </c>
    </row>
    <row r="20" ht="15.75" customHeight="1" spans="1:11">
      <c r="A20" s="87">
        <v>19</v>
      </c>
      <c r="B20" s="88" t="s">
        <v>28</v>
      </c>
      <c r="C20" s="88" t="s">
        <v>28</v>
      </c>
      <c r="D20" s="87">
        <v>2025</v>
      </c>
      <c r="E20" s="88" t="s">
        <v>37</v>
      </c>
      <c r="F20" s="88" t="s">
        <v>151</v>
      </c>
      <c r="G20" s="89" t="s">
        <v>44</v>
      </c>
      <c r="H20" s="89" t="s">
        <v>44</v>
      </c>
      <c r="I20" s="89" t="s">
        <v>44</v>
      </c>
      <c r="J20" s="89" t="s">
        <v>44</v>
      </c>
      <c r="K20" s="90">
        <v>8115041</v>
      </c>
    </row>
    <row r="21" ht="15.75" customHeight="1" spans="1:11">
      <c r="A21" s="87">
        <v>20</v>
      </c>
      <c r="B21" s="88" t="s">
        <v>28</v>
      </c>
      <c r="C21" s="88" t="s">
        <v>28</v>
      </c>
      <c r="D21" s="87">
        <v>2025</v>
      </c>
      <c r="E21" s="88" t="s">
        <v>37</v>
      </c>
      <c r="F21" s="88" t="s">
        <v>152</v>
      </c>
      <c r="G21" s="89" t="s">
        <v>44</v>
      </c>
      <c r="H21" s="89" t="s">
        <v>44</v>
      </c>
      <c r="I21" s="89" t="s">
        <v>44</v>
      </c>
      <c r="J21" s="89" t="s">
        <v>44</v>
      </c>
      <c r="K21" s="90">
        <v>1044960</v>
      </c>
    </row>
    <row r="22" ht="15.75" customHeight="1" spans="1:11">
      <c r="A22" s="87">
        <v>21</v>
      </c>
      <c r="B22" s="88" t="s">
        <v>28</v>
      </c>
      <c r="C22" s="88" t="s">
        <v>28</v>
      </c>
      <c r="D22" s="87">
        <v>2025</v>
      </c>
      <c r="E22" s="88" t="s">
        <v>38</v>
      </c>
      <c r="F22" s="88" t="s">
        <v>149</v>
      </c>
      <c r="G22" s="89" t="s">
        <v>44</v>
      </c>
      <c r="H22" s="89">
        <v>43</v>
      </c>
      <c r="I22" s="90">
        <v>8785154</v>
      </c>
      <c r="J22" s="89">
        <v>37</v>
      </c>
      <c r="K22" s="90">
        <v>136756</v>
      </c>
    </row>
    <row r="23" ht="15.75" customHeight="1" spans="1:11">
      <c r="A23" s="87">
        <v>22</v>
      </c>
      <c r="B23" s="88" t="s">
        <v>28</v>
      </c>
      <c r="C23" s="88" t="s">
        <v>28</v>
      </c>
      <c r="D23" s="87">
        <v>2025</v>
      </c>
      <c r="E23" s="88" t="s">
        <v>38</v>
      </c>
      <c r="F23" s="88" t="s">
        <v>150</v>
      </c>
      <c r="G23" s="89" t="s">
        <v>44</v>
      </c>
      <c r="H23" s="89" t="s">
        <v>44</v>
      </c>
      <c r="I23" s="89" t="s">
        <v>44</v>
      </c>
      <c r="J23" s="89" t="s">
        <v>44</v>
      </c>
      <c r="K23" s="90">
        <v>50278</v>
      </c>
    </row>
    <row r="24" ht="15.75" customHeight="1" spans="1:11">
      <c r="A24" s="87">
        <v>23</v>
      </c>
      <c r="B24" s="88" t="s">
        <v>28</v>
      </c>
      <c r="C24" s="88" t="s">
        <v>28</v>
      </c>
      <c r="D24" s="87">
        <v>2025</v>
      </c>
      <c r="E24" s="88" t="s">
        <v>38</v>
      </c>
      <c r="F24" s="88" t="s">
        <v>153</v>
      </c>
      <c r="G24" s="90">
        <v>13918</v>
      </c>
      <c r="H24" s="89">
        <v>1</v>
      </c>
      <c r="I24" s="89" t="s">
        <v>44</v>
      </c>
      <c r="J24" s="89" t="s">
        <v>44</v>
      </c>
      <c r="K24" s="90">
        <v>13918</v>
      </c>
    </row>
    <row r="25" ht="15.75" customHeight="1" spans="1:11">
      <c r="A25" s="87">
        <v>24</v>
      </c>
      <c r="B25" s="88" t="s">
        <v>28</v>
      </c>
      <c r="C25" s="88" t="s">
        <v>28</v>
      </c>
      <c r="D25" s="87">
        <v>2025</v>
      </c>
      <c r="E25" s="88" t="s">
        <v>38</v>
      </c>
      <c r="F25" s="88" t="s">
        <v>151</v>
      </c>
      <c r="G25" s="89" t="s">
        <v>44</v>
      </c>
      <c r="H25" s="89" t="s">
        <v>44</v>
      </c>
      <c r="I25" s="89" t="s">
        <v>44</v>
      </c>
      <c r="J25" s="89" t="s">
        <v>44</v>
      </c>
      <c r="K25" s="90">
        <v>18179946</v>
      </c>
    </row>
    <row r="26" ht="15.75" customHeight="1" spans="1:11">
      <c r="A26" s="87">
        <v>25</v>
      </c>
      <c r="B26" s="88" t="s">
        <v>28</v>
      </c>
      <c r="C26" s="88" t="s">
        <v>28</v>
      </c>
      <c r="D26" s="87">
        <v>2025</v>
      </c>
      <c r="E26" s="88" t="s">
        <v>38</v>
      </c>
      <c r="F26" s="88" t="s">
        <v>152</v>
      </c>
      <c r="G26" s="89" t="s">
        <v>44</v>
      </c>
      <c r="H26" s="89" t="s">
        <v>44</v>
      </c>
      <c r="I26" s="89" t="s">
        <v>44</v>
      </c>
      <c r="J26" s="89" t="s">
        <v>44</v>
      </c>
      <c r="K26" s="90">
        <v>1713471</v>
      </c>
    </row>
    <row r="27" ht="15.75" customHeight="1" spans="1:11">
      <c r="A27" s="87">
        <v>26</v>
      </c>
      <c r="B27" s="88" t="s">
        <v>28</v>
      </c>
      <c r="C27" s="88" t="s">
        <v>28</v>
      </c>
      <c r="D27" s="87">
        <v>2025</v>
      </c>
      <c r="E27" s="88" t="s">
        <v>39</v>
      </c>
      <c r="F27" s="88" t="s">
        <v>149</v>
      </c>
      <c r="G27" s="89" t="s">
        <v>44</v>
      </c>
      <c r="H27" s="89">
        <v>31</v>
      </c>
      <c r="I27" s="90">
        <v>1963425</v>
      </c>
      <c r="J27" s="89">
        <v>25</v>
      </c>
      <c r="K27" s="90">
        <v>101436</v>
      </c>
    </row>
    <row r="28" ht="15.75" customHeight="1" spans="1:11">
      <c r="A28" s="87">
        <v>27</v>
      </c>
      <c r="B28" s="88" t="s">
        <v>28</v>
      </c>
      <c r="C28" s="88" t="s">
        <v>28</v>
      </c>
      <c r="D28" s="87">
        <v>2025</v>
      </c>
      <c r="E28" s="88" t="s">
        <v>39</v>
      </c>
      <c r="F28" s="88" t="s">
        <v>154</v>
      </c>
      <c r="G28" s="89" t="s">
        <v>44</v>
      </c>
      <c r="H28" s="89" t="s">
        <v>44</v>
      </c>
      <c r="I28" s="89" t="s">
        <v>44</v>
      </c>
      <c r="J28" s="89" t="s">
        <v>44</v>
      </c>
      <c r="K28" s="90">
        <v>164980</v>
      </c>
    </row>
    <row r="29" ht="15.75" customHeight="1" spans="1:11">
      <c r="A29" s="87">
        <v>28</v>
      </c>
      <c r="B29" s="88" t="s">
        <v>28</v>
      </c>
      <c r="C29" s="88" t="s">
        <v>28</v>
      </c>
      <c r="D29" s="87">
        <v>2025</v>
      </c>
      <c r="E29" s="88" t="s">
        <v>39</v>
      </c>
      <c r="F29" s="88" t="s">
        <v>150</v>
      </c>
      <c r="G29" s="89" t="s">
        <v>44</v>
      </c>
      <c r="H29" s="89" t="s">
        <v>44</v>
      </c>
      <c r="I29" s="89" t="s">
        <v>44</v>
      </c>
      <c r="J29" s="89" t="s">
        <v>44</v>
      </c>
      <c r="K29" s="90">
        <v>82055</v>
      </c>
    </row>
    <row r="30" ht="15.75" customHeight="1" spans="1:11">
      <c r="A30" s="87">
        <v>29</v>
      </c>
      <c r="B30" s="88" t="s">
        <v>28</v>
      </c>
      <c r="C30" s="88" t="s">
        <v>28</v>
      </c>
      <c r="D30" s="87">
        <v>2025</v>
      </c>
      <c r="E30" s="88" t="s">
        <v>39</v>
      </c>
      <c r="F30" s="88" t="s">
        <v>151</v>
      </c>
      <c r="G30" s="89" t="s">
        <v>44</v>
      </c>
      <c r="H30" s="89" t="s">
        <v>44</v>
      </c>
      <c r="I30" s="89" t="s">
        <v>44</v>
      </c>
      <c r="J30" s="89" t="s">
        <v>44</v>
      </c>
      <c r="K30" s="90">
        <v>16092904</v>
      </c>
    </row>
    <row r="31" ht="15.75" customHeight="1" spans="1:11">
      <c r="A31" s="87">
        <v>30</v>
      </c>
      <c r="B31" s="88" t="s">
        <v>28</v>
      </c>
      <c r="C31" s="88" t="s">
        <v>28</v>
      </c>
      <c r="D31" s="87">
        <v>2025</v>
      </c>
      <c r="E31" s="88" t="s">
        <v>39</v>
      </c>
      <c r="F31" s="88" t="s">
        <v>152</v>
      </c>
      <c r="G31" s="89" t="s">
        <v>44</v>
      </c>
      <c r="H31" s="89" t="s">
        <v>44</v>
      </c>
      <c r="I31" s="89" t="s">
        <v>44</v>
      </c>
      <c r="J31" s="89" t="s">
        <v>44</v>
      </c>
      <c r="K31" s="90">
        <v>1895956</v>
      </c>
    </row>
    <row r="32" ht="15.75" customHeight="1" spans="1:11">
      <c r="A32" s="87">
        <v>31</v>
      </c>
      <c r="B32" s="88" t="s">
        <v>28</v>
      </c>
      <c r="C32" s="88" t="s">
        <v>28</v>
      </c>
      <c r="D32" s="87">
        <v>2025</v>
      </c>
      <c r="E32" s="88" t="s">
        <v>40</v>
      </c>
      <c r="F32" s="88" t="s">
        <v>149</v>
      </c>
      <c r="G32" s="89" t="s">
        <v>44</v>
      </c>
      <c r="H32" s="89">
        <v>59</v>
      </c>
      <c r="I32" s="90">
        <v>4140476</v>
      </c>
      <c r="J32" s="89">
        <v>58</v>
      </c>
      <c r="K32" s="90">
        <v>199963</v>
      </c>
    </row>
    <row r="33" ht="15.75" customHeight="1" spans="1:11">
      <c r="A33" s="87">
        <v>32</v>
      </c>
      <c r="B33" s="88" t="s">
        <v>28</v>
      </c>
      <c r="C33" s="88" t="s">
        <v>28</v>
      </c>
      <c r="D33" s="87">
        <v>2025</v>
      </c>
      <c r="E33" s="88" t="s">
        <v>40</v>
      </c>
      <c r="F33" s="88" t="s">
        <v>150</v>
      </c>
      <c r="G33" s="89" t="s">
        <v>44</v>
      </c>
      <c r="H33" s="89" t="s">
        <v>44</v>
      </c>
      <c r="I33" s="89" t="s">
        <v>44</v>
      </c>
      <c r="J33" s="89" t="s">
        <v>44</v>
      </c>
      <c r="K33" s="90">
        <v>64098</v>
      </c>
    </row>
    <row r="34" ht="15.75" customHeight="1" spans="1:11">
      <c r="A34" s="87">
        <v>33</v>
      </c>
      <c r="B34" s="88" t="s">
        <v>28</v>
      </c>
      <c r="C34" s="88" t="s">
        <v>28</v>
      </c>
      <c r="D34" s="87">
        <v>2025</v>
      </c>
      <c r="E34" s="88" t="s">
        <v>40</v>
      </c>
      <c r="F34" s="88" t="s">
        <v>151</v>
      </c>
      <c r="G34" s="89" t="s">
        <v>44</v>
      </c>
      <c r="H34" s="89" t="s">
        <v>44</v>
      </c>
      <c r="I34" s="89" t="s">
        <v>44</v>
      </c>
      <c r="J34" s="89" t="s">
        <v>44</v>
      </c>
      <c r="K34" s="90">
        <v>46039399</v>
      </c>
    </row>
    <row r="35" ht="15.75" customHeight="1" spans="1:11">
      <c r="A35" s="87">
        <v>34</v>
      </c>
      <c r="B35" s="88" t="s">
        <v>28</v>
      </c>
      <c r="C35" s="88" t="s">
        <v>28</v>
      </c>
      <c r="D35" s="87">
        <v>2025</v>
      </c>
      <c r="E35" s="88" t="s">
        <v>40</v>
      </c>
      <c r="F35" s="88" t="s">
        <v>152</v>
      </c>
      <c r="G35" s="89" t="s">
        <v>44</v>
      </c>
      <c r="H35" s="89" t="s">
        <v>44</v>
      </c>
      <c r="I35" s="89" t="s">
        <v>44</v>
      </c>
      <c r="J35" s="89" t="s">
        <v>44</v>
      </c>
      <c r="K35" s="90">
        <v>3835664</v>
      </c>
    </row>
    <row r="36" ht="15.75" customHeight="1" spans="1:11">
      <c r="A36" s="87">
        <v>35</v>
      </c>
      <c r="B36" s="88" t="s">
        <v>28</v>
      </c>
      <c r="C36" s="88" t="s">
        <v>28</v>
      </c>
      <c r="D36" s="87">
        <v>2025</v>
      </c>
      <c r="E36" s="88" t="s">
        <v>41</v>
      </c>
      <c r="F36" s="88" t="s">
        <v>149</v>
      </c>
      <c r="G36" s="89" t="s">
        <v>44</v>
      </c>
      <c r="H36" s="89">
        <v>47</v>
      </c>
      <c r="I36" s="90">
        <v>5876484</v>
      </c>
      <c r="J36" s="89">
        <v>40</v>
      </c>
      <c r="K36" s="90">
        <v>275254</v>
      </c>
    </row>
    <row r="37" ht="15.75" customHeight="1" spans="1:11">
      <c r="A37" s="87">
        <v>36</v>
      </c>
      <c r="B37" s="88" t="s">
        <v>28</v>
      </c>
      <c r="C37" s="88" t="s">
        <v>28</v>
      </c>
      <c r="D37" s="87">
        <v>2025</v>
      </c>
      <c r="E37" s="88" t="s">
        <v>41</v>
      </c>
      <c r="F37" s="88" t="s">
        <v>150</v>
      </c>
      <c r="G37" s="89" t="s">
        <v>44</v>
      </c>
      <c r="H37" s="89" t="s">
        <v>44</v>
      </c>
      <c r="I37" s="89" t="s">
        <v>44</v>
      </c>
      <c r="J37" s="89" t="s">
        <v>44</v>
      </c>
      <c r="K37" s="90">
        <v>135911</v>
      </c>
    </row>
    <row r="38" ht="15.75" customHeight="1" spans="1:11">
      <c r="A38" s="87">
        <v>37</v>
      </c>
      <c r="B38" s="88" t="s">
        <v>28</v>
      </c>
      <c r="C38" s="88" t="s">
        <v>28</v>
      </c>
      <c r="D38" s="87">
        <v>2025</v>
      </c>
      <c r="E38" s="88" t="s">
        <v>41</v>
      </c>
      <c r="F38" s="88" t="s">
        <v>151</v>
      </c>
      <c r="G38" s="89" t="s">
        <v>44</v>
      </c>
      <c r="H38" s="89" t="s">
        <v>44</v>
      </c>
      <c r="I38" s="89" t="s">
        <v>44</v>
      </c>
      <c r="J38" s="89" t="s">
        <v>44</v>
      </c>
      <c r="K38" s="90">
        <v>52228587</v>
      </c>
    </row>
    <row r="39" ht="15.75" customHeight="1" spans="1:11">
      <c r="A39" s="87">
        <v>38</v>
      </c>
      <c r="B39" s="88" t="s">
        <v>28</v>
      </c>
      <c r="C39" s="88" t="s">
        <v>28</v>
      </c>
      <c r="D39" s="87">
        <v>2025</v>
      </c>
      <c r="E39" s="88" t="s">
        <v>41</v>
      </c>
      <c r="F39" s="88" t="s">
        <v>152</v>
      </c>
      <c r="G39" s="89" t="s">
        <v>44</v>
      </c>
      <c r="H39" s="89" t="s">
        <v>44</v>
      </c>
      <c r="I39" s="89" t="s">
        <v>44</v>
      </c>
      <c r="J39" s="89" t="s">
        <v>44</v>
      </c>
      <c r="K39" s="90">
        <v>5830541</v>
      </c>
    </row>
    <row r="40" ht="15.75" customHeight="1" spans="1:11">
      <c r="A40" s="87">
        <v>39</v>
      </c>
      <c r="B40" s="88" t="s">
        <v>28</v>
      </c>
      <c r="C40" s="88" t="s">
        <v>28</v>
      </c>
      <c r="D40" s="87">
        <v>2025</v>
      </c>
      <c r="E40" s="88" t="s">
        <v>42</v>
      </c>
      <c r="F40" s="88" t="s">
        <v>149</v>
      </c>
      <c r="G40" s="89" t="s">
        <v>44</v>
      </c>
      <c r="H40" s="89">
        <v>55</v>
      </c>
      <c r="I40" s="90">
        <v>14449180</v>
      </c>
      <c r="J40" s="89">
        <v>45</v>
      </c>
      <c r="K40" s="90">
        <v>283394</v>
      </c>
    </row>
    <row r="41" ht="15.75" customHeight="1" spans="1:11">
      <c r="A41" s="87">
        <v>40</v>
      </c>
      <c r="B41" s="88" t="s">
        <v>28</v>
      </c>
      <c r="C41" s="88" t="s">
        <v>28</v>
      </c>
      <c r="D41" s="87">
        <v>2025</v>
      </c>
      <c r="E41" s="88" t="s">
        <v>42</v>
      </c>
      <c r="F41" s="88" t="s">
        <v>150</v>
      </c>
      <c r="G41" s="89" t="s">
        <v>44</v>
      </c>
      <c r="H41" s="89" t="s">
        <v>44</v>
      </c>
      <c r="I41" s="89" t="s">
        <v>44</v>
      </c>
      <c r="J41" s="89" t="s">
        <v>44</v>
      </c>
      <c r="K41" s="90">
        <v>146219</v>
      </c>
    </row>
    <row r="42" ht="15.75" customHeight="1" spans="1:11">
      <c r="A42" s="87">
        <v>41</v>
      </c>
      <c r="B42" s="88" t="s">
        <v>28</v>
      </c>
      <c r="C42" s="88" t="s">
        <v>28</v>
      </c>
      <c r="D42" s="87">
        <v>2025</v>
      </c>
      <c r="E42" s="88" t="s">
        <v>42</v>
      </c>
      <c r="F42" s="88" t="s">
        <v>151</v>
      </c>
      <c r="G42" s="89" t="s">
        <v>44</v>
      </c>
      <c r="H42" s="89" t="s">
        <v>44</v>
      </c>
      <c r="I42" s="89" t="s">
        <v>44</v>
      </c>
      <c r="J42" s="89" t="s">
        <v>44</v>
      </c>
      <c r="K42" s="90">
        <v>40821859</v>
      </c>
    </row>
    <row r="43" ht="15.75" customHeight="1" spans="1:11">
      <c r="A43" s="87">
        <v>42</v>
      </c>
      <c r="B43" s="88" t="s">
        <v>28</v>
      </c>
      <c r="C43" s="88" t="s">
        <v>28</v>
      </c>
      <c r="D43" s="87">
        <v>2025</v>
      </c>
      <c r="E43" s="88" t="s">
        <v>42</v>
      </c>
      <c r="F43" s="88" t="s">
        <v>152</v>
      </c>
      <c r="G43" s="89" t="s">
        <v>44</v>
      </c>
      <c r="H43" s="89" t="s">
        <v>44</v>
      </c>
      <c r="I43" s="89" t="s">
        <v>44</v>
      </c>
      <c r="J43" s="89" t="s">
        <v>44</v>
      </c>
      <c r="K43" s="90">
        <v>3470680</v>
      </c>
    </row>
    <row r="44" ht="15.75" customHeight="1" spans="1:11">
      <c r="A44" s="87">
        <v>43</v>
      </c>
      <c r="B44" s="88" t="s">
        <v>28</v>
      </c>
      <c r="C44" s="88" t="s">
        <v>28</v>
      </c>
      <c r="D44" s="87">
        <v>2025</v>
      </c>
      <c r="E44" s="88" t="s">
        <v>43</v>
      </c>
      <c r="F44" s="88" t="s">
        <v>149</v>
      </c>
      <c r="G44" s="89" t="s">
        <v>44</v>
      </c>
      <c r="H44" s="89">
        <v>44</v>
      </c>
      <c r="I44" s="90">
        <v>5082044</v>
      </c>
      <c r="J44" s="89">
        <v>35</v>
      </c>
      <c r="K44" s="90">
        <v>228357</v>
      </c>
    </row>
    <row r="45" ht="15.75" customHeight="1" spans="1:11">
      <c r="A45" s="87">
        <v>44</v>
      </c>
      <c r="B45" s="88" t="s">
        <v>28</v>
      </c>
      <c r="C45" s="88" t="s">
        <v>28</v>
      </c>
      <c r="D45" s="87">
        <v>2025</v>
      </c>
      <c r="E45" s="88" t="s">
        <v>43</v>
      </c>
      <c r="F45" s="88" t="s">
        <v>150</v>
      </c>
      <c r="G45" s="89" t="s">
        <v>44</v>
      </c>
      <c r="H45" s="89" t="s">
        <v>44</v>
      </c>
      <c r="I45" s="89" t="s">
        <v>44</v>
      </c>
      <c r="J45" s="89" t="s">
        <v>44</v>
      </c>
      <c r="K45" s="90">
        <v>90687</v>
      </c>
    </row>
    <row r="46" ht="15.75" customHeight="1" spans="1:11">
      <c r="A46" s="87">
        <v>45</v>
      </c>
      <c r="B46" s="88" t="s">
        <v>28</v>
      </c>
      <c r="C46" s="88" t="s">
        <v>28</v>
      </c>
      <c r="D46" s="87">
        <v>2025</v>
      </c>
      <c r="E46" s="88" t="s">
        <v>43</v>
      </c>
      <c r="F46" s="88" t="s">
        <v>155</v>
      </c>
      <c r="G46" s="90">
        <v>34899</v>
      </c>
      <c r="H46" s="89">
        <v>1</v>
      </c>
      <c r="I46" s="89" t="s">
        <v>44</v>
      </c>
      <c r="J46" s="89" t="s">
        <v>44</v>
      </c>
      <c r="K46" s="90">
        <v>34899</v>
      </c>
    </row>
    <row r="47" ht="15.75" customHeight="1" spans="1:11">
      <c r="A47" s="87">
        <v>46</v>
      </c>
      <c r="B47" s="88" t="s">
        <v>28</v>
      </c>
      <c r="C47" s="88" t="s">
        <v>28</v>
      </c>
      <c r="D47" s="87">
        <v>2025</v>
      </c>
      <c r="E47" s="88" t="s">
        <v>43</v>
      </c>
      <c r="F47" s="88" t="s">
        <v>151</v>
      </c>
      <c r="G47" s="89" t="s">
        <v>44</v>
      </c>
      <c r="H47" s="89" t="s">
        <v>44</v>
      </c>
      <c r="I47" s="89" t="s">
        <v>44</v>
      </c>
      <c r="J47" s="89" t="s">
        <v>44</v>
      </c>
      <c r="K47" s="90">
        <v>24343222</v>
      </c>
    </row>
    <row r="48" ht="15.75" customHeight="1" spans="1:11">
      <c r="A48" s="87">
        <v>47</v>
      </c>
      <c r="B48" s="88" t="s">
        <v>28</v>
      </c>
      <c r="C48" s="88" t="s">
        <v>28</v>
      </c>
      <c r="D48" s="87">
        <v>2025</v>
      </c>
      <c r="E48" s="88" t="s">
        <v>43</v>
      </c>
      <c r="F48" s="88" t="s">
        <v>152</v>
      </c>
      <c r="G48" s="89" t="s">
        <v>44</v>
      </c>
      <c r="H48" s="89" t="s">
        <v>44</v>
      </c>
      <c r="I48" s="89" t="s">
        <v>44</v>
      </c>
      <c r="J48" s="89" t="s">
        <v>44</v>
      </c>
      <c r="K48" s="90">
        <v>2020188</v>
      </c>
    </row>
    <row r="49" ht="15.75" customHeight="1" spans="1:11">
      <c r="A49" s="87">
        <v>48</v>
      </c>
      <c r="B49" s="88" t="s">
        <v>28</v>
      </c>
      <c r="C49" s="88" t="s">
        <v>28</v>
      </c>
      <c r="D49" s="87">
        <v>2026</v>
      </c>
      <c r="E49" s="88" t="s">
        <v>31</v>
      </c>
      <c r="F49" s="88" t="s">
        <v>149</v>
      </c>
      <c r="G49" s="89" t="s">
        <v>44</v>
      </c>
      <c r="H49" s="89">
        <v>101</v>
      </c>
      <c r="I49" s="90">
        <v>12800670</v>
      </c>
      <c r="J49" s="89">
        <v>68</v>
      </c>
      <c r="K49" s="90">
        <v>449363</v>
      </c>
    </row>
    <row r="50" ht="15.75" customHeight="1" spans="1:11">
      <c r="A50" s="87">
        <v>49</v>
      </c>
      <c r="B50" s="88" t="s">
        <v>28</v>
      </c>
      <c r="C50" s="88" t="s">
        <v>28</v>
      </c>
      <c r="D50" s="87">
        <v>2026</v>
      </c>
      <c r="E50" s="88" t="s">
        <v>31</v>
      </c>
      <c r="F50" s="88" t="s">
        <v>154</v>
      </c>
      <c r="G50" s="89" t="s">
        <v>44</v>
      </c>
      <c r="H50" s="89" t="s">
        <v>44</v>
      </c>
      <c r="I50" s="89" t="s">
        <v>44</v>
      </c>
      <c r="J50" s="89" t="s">
        <v>44</v>
      </c>
      <c r="K50" s="90">
        <v>419637</v>
      </c>
    </row>
    <row r="51" ht="15.75" customHeight="1" spans="1:11">
      <c r="A51" s="87">
        <v>50</v>
      </c>
      <c r="B51" s="88" t="s">
        <v>28</v>
      </c>
      <c r="C51" s="88" t="s">
        <v>28</v>
      </c>
      <c r="D51" s="87">
        <v>2026</v>
      </c>
      <c r="E51" s="88" t="s">
        <v>31</v>
      </c>
      <c r="F51" s="88" t="s">
        <v>150</v>
      </c>
      <c r="G51" s="89" t="s">
        <v>44</v>
      </c>
      <c r="H51" s="89" t="s">
        <v>44</v>
      </c>
      <c r="I51" s="89" t="s">
        <v>44</v>
      </c>
      <c r="J51" s="89" t="s">
        <v>44</v>
      </c>
      <c r="K51" s="90">
        <v>74208</v>
      </c>
    </row>
    <row r="52" ht="15.75" customHeight="1" spans="1:11">
      <c r="A52" s="87">
        <v>51</v>
      </c>
      <c r="B52" s="88" t="s">
        <v>28</v>
      </c>
      <c r="C52" s="88" t="s">
        <v>28</v>
      </c>
      <c r="D52" s="87">
        <v>2026</v>
      </c>
      <c r="E52" s="88" t="s">
        <v>31</v>
      </c>
      <c r="F52" s="88" t="s">
        <v>151</v>
      </c>
      <c r="G52" s="89" t="s">
        <v>44</v>
      </c>
      <c r="H52" s="89" t="s">
        <v>44</v>
      </c>
      <c r="I52" s="89" t="s">
        <v>44</v>
      </c>
      <c r="J52" s="89" t="s">
        <v>44</v>
      </c>
      <c r="K52" s="90">
        <v>26345543</v>
      </c>
    </row>
    <row r="53" ht="15.75" customHeight="1" spans="1:11">
      <c r="A53" s="87">
        <v>52</v>
      </c>
      <c r="B53" s="88" t="s">
        <v>28</v>
      </c>
      <c r="C53" s="88" t="s">
        <v>28</v>
      </c>
      <c r="D53" s="87">
        <v>2026</v>
      </c>
      <c r="E53" s="88" t="s">
        <v>31</v>
      </c>
      <c r="F53" s="88" t="s">
        <v>152</v>
      </c>
      <c r="G53" s="89" t="s">
        <v>44</v>
      </c>
      <c r="H53" s="89" t="s">
        <v>44</v>
      </c>
      <c r="I53" s="89" t="s">
        <v>44</v>
      </c>
      <c r="J53" s="89" t="s">
        <v>44</v>
      </c>
      <c r="K53" s="90">
        <v>3735898</v>
      </c>
    </row>
    <row r="54" ht="15.75" customHeight="1" spans="1:11">
      <c r="A54" s="87">
        <v>53</v>
      </c>
      <c r="B54" s="88" t="s">
        <v>28</v>
      </c>
      <c r="C54" s="88" t="s">
        <v>28</v>
      </c>
      <c r="D54" s="87">
        <v>2026</v>
      </c>
      <c r="E54" s="88" t="s">
        <v>33</v>
      </c>
      <c r="F54" s="88" t="s">
        <v>151</v>
      </c>
      <c r="G54" s="89" t="s">
        <v>44</v>
      </c>
      <c r="H54" s="89" t="s">
        <v>44</v>
      </c>
      <c r="I54" s="89" t="s">
        <v>44</v>
      </c>
      <c r="J54" s="89" t="s">
        <v>44</v>
      </c>
      <c r="K54" s="90">
        <v>23219020</v>
      </c>
    </row>
    <row r="55" ht="15.75" customHeight="1" spans="1:11">
      <c r="A55" s="87">
        <v>54</v>
      </c>
      <c r="B55" s="88" t="s">
        <v>28</v>
      </c>
      <c r="C55" s="88" t="s">
        <v>28</v>
      </c>
      <c r="D55" s="87">
        <v>2026</v>
      </c>
      <c r="E55" s="88" t="s">
        <v>33</v>
      </c>
      <c r="F55" s="88" t="s">
        <v>152</v>
      </c>
      <c r="G55" s="89" t="s">
        <v>44</v>
      </c>
      <c r="H55" s="89" t="s">
        <v>44</v>
      </c>
      <c r="I55" s="89" t="s">
        <v>44</v>
      </c>
      <c r="J55" s="89" t="s">
        <v>44</v>
      </c>
      <c r="K55" s="90">
        <v>3203075</v>
      </c>
    </row>
    <row r="56" ht="15.75" customHeight="1" spans="1:11">
      <c r="A56" s="87">
        <v>55</v>
      </c>
      <c r="B56" s="88" t="s">
        <v>28</v>
      </c>
      <c r="C56" s="88" t="s">
        <v>28</v>
      </c>
      <c r="D56" s="87">
        <v>2026</v>
      </c>
      <c r="E56" s="88" t="s">
        <v>33</v>
      </c>
      <c r="F56" s="88" t="s">
        <v>149</v>
      </c>
      <c r="G56" s="89" t="s">
        <v>44</v>
      </c>
      <c r="H56" s="89">
        <v>92</v>
      </c>
      <c r="I56" s="90">
        <v>7030059</v>
      </c>
      <c r="J56" s="89">
        <v>64</v>
      </c>
      <c r="K56" s="90">
        <v>323742</v>
      </c>
    </row>
    <row r="57" ht="15.75" customHeight="1" spans="1:11">
      <c r="A57" s="87">
        <v>56</v>
      </c>
      <c r="B57" s="88" t="s">
        <v>28</v>
      </c>
      <c r="C57" s="88" t="s">
        <v>28</v>
      </c>
      <c r="D57" s="87">
        <v>2026</v>
      </c>
      <c r="E57" s="88" t="s">
        <v>33</v>
      </c>
      <c r="F57" s="88" t="s">
        <v>150</v>
      </c>
      <c r="G57" s="89" t="s">
        <v>44</v>
      </c>
      <c r="H57" s="89" t="s">
        <v>44</v>
      </c>
      <c r="I57" s="89" t="s">
        <v>44</v>
      </c>
      <c r="J57" s="89" t="s">
        <v>44</v>
      </c>
      <c r="K57" s="90">
        <v>65935</v>
      </c>
    </row>
    <row r="58" ht="15.75" customHeight="1" spans="1:11">
      <c r="A58" s="87">
        <v>57</v>
      </c>
      <c r="B58" s="88" t="s">
        <v>28</v>
      </c>
      <c r="C58" s="88" t="s">
        <v>28</v>
      </c>
      <c r="D58" s="87">
        <v>2026</v>
      </c>
      <c r="E58" s="88" t="s">
        <v>34</v>
      </c>
      <c r="F58" s="88" t="s">
        <v>153</v>
      </c>
      <c r="G58" s="90">
        <v>75641</v>
      </c>
      <c r="H58" s="89">
        <v>1</v>
      </c>
      <c r="I58" s="89" t="s">
        <v>44</v>
      </c>
      <c r="J58" s="89" t="s">
        <v>44</v>
      </c>
      <c r="K58" s="90">
        <v>75641</v>
      </c>
    </row>
    <row r="59" ht="15.75" customHeight="1" spans="1:11">
      <c r="A59" s="87">
        <v>58</v>
      </c>
      <c r="B59" s="88" t="s">
        <v>28</v>
      </c>
      <c r="C59" s="88" t="s">
        <v>28</v>
      </c>
      <c r="D59" s="87">
        <v>2026</v>
      </c>
      <c r="E59" s="88" t="s">
        <v>34</v>
      </c>
      <c r="F59" s="88" t="s">
        <v>152</v>
      </c>
      <c r="G59" s="89" t="s">
        <v>44</v>
      </c>
      <c r="H59" s="89" t="s">
        <v>44</v>
      </c>
      <c r="I59" s="89" t="s">
        <v>44</v>
      </c>
      <c r="J59" s="89" t="s">
        <v>44</v>
      </c>
      <c r="K59" s="90">
        <v>3325881</v>
      </c>
    </row>
    <row r="60" ht="15.75" customHeight="1" spans="1:11">
      <c r="A60" s="87">
        <v>59</v>
      </c>
      <c r="B60" s="88" t="s">
        <v>28</v>
      </c>
      <c r="C60" s="88" t="s">
        <v>28</v>
      </c>
      <c r="D60" s="87">
        <v>2026</v>
      </c>
      <c r="E60" s="88" t="s">
        <v>34</v>
      </c>
      <c r="F60" s="88" t="s">
        <v>149</v>
      </c>
      <c r="G60" s="89" t="s">
        <v>44</v>
      </c>
      <c r="H60" s="89">
        <v>49</v>
      </c>
      <c r="I60" s="90">
        <v>5169239</v>
      </c>
      <c r="J60" s="89">
        <v>37</v>
      </c>
      <c r="K60" s="90">
        <v>204994</v>
      </c>
    </row>
    <row r="61" ht="15.75" customHeight="1" spans="1:11">
      <c r="A61" s="87">
        <v>60</v>
      </c>
      <c r="B61" s="88" t="s">
        <v>28</v>
      </c>
      <c r="C61" s="88" t="s">
        <v>28</v>
      </c>
      <c r="D61" s="87">
        <v>2026</v>
      </c>
      <c r="E61" s="88" t="s">
        <v>34</v>
      </c>
      <c r="F61" s="88" t="s">
        <v>150</v>
      </c>
      <c r="G61" s="89" t="s">
        <v>44</v>
      </c>
      <c r="H61" s="89" t="s">
        <v>44</v>
      </c>
      <c r="I61" s="89" t="s">
        <v>44</v>
      </c>
      <c r="J61" s="89" t="s">
        <v>44</v>
      </c>
      <c r="K61" s="90">
        <v>592678</v>
      </c>
    </row>
    <row r="62" ht="15.75" customHeight="1" spans="1:11">
      <c r="A62" s="87">
        <v>61</v>
      </c>
      <c r="B62" s="88" t="s">
        <v>28</v>
      </c>
      <c r="C62" s="88" t="s">
        <v>28</v>
      </c>
      <c r="D62" s="87">
        <v>2026</v>
      </c>
      <c r="E62" s="88" t="s">
        <v>34</v>
      </c>
      <c r="F62" s="88" t="s">
        <v>151</v>
      </c>
      <c r="G62" s="89" t="s">
        <v>44</v>
      </c>
      <c r="H62" s="89" t="s">
        <v>44</v>
      </c>
      <c r="I62" s="89" t="s">
        <v>44</v>
      </c>
      <c r="J62" s="89" t="s">
        <v>44</v>
      </c>
      <c r="K62" s="90">
        <v>57513076</v>
      </c>
    </row>
    <row r="63" ht="15.75" customHeight="1" spans="1:11">
      <c r="A63" s="87">
        <v>62</v>
      </c>
      <c r="B63" s="88" t="s">
        <v>28</v>
      </c>
      <c r="C63" s="88" t="s">
        <v>132</v>
      </c>
      <c r="D63" s="87">
        <v>2024</v>
      </c>
      <c r="E63" s="88" t="s">
        <v>31</v>
      </c>
      <c r="F63" s="88" t="s">
        <v>44</v>
      </c>
      <c r="G63" s="89" t="s">
        <v>44</v>
      </c>
      <c r="H63" s="89" t="s">
        <v>44</v>
      </c>
      <c r="I63" s="89" t="s">
        <v>44</v>
      </c>
      <c r="J63" s="89" t="s">
        <v>44</v>
      </c>
      <c r="K63" s="89" t="s">
        <v>44</v>
      </c>
    </row>
    <row r="64" ht="15.75" customHeight="1" spans="1:11">
      <c r="A64" s="87">
        <v>63</v>
      </c>
      <c r="B64" s="88" t="s">
        <v>28</v>
      </c>
      <c r="C64" s="88" t="s">
        <v>132</v>
      </c>
      <c r="D64" s="87">
        <v>2024</v>
      </c>
      <c r="E64" s="88" t="s">
        <v>33</v>
      </c>
      <c r="F64" s="88" t="s">
        <v>44</v>
      </c>
      <c r="G64" s="89" t="s">
        <v>44</v>
      </c>
      <c r="H64" s="89" t="s">
        <v>44</v>
      </c>
      <c r="I64" s="89" t="s">
        <v>44</v>
      </c>
      <c r="J64" s="89" t="s">
        <v>44</v>
      </c>
      <c r="K64" s="89" t="s">
        <v>44</v>
      </c>
    </row>
    <row r="65" ht="15.75" customHeight="1" spans="1:11">
      <c r="A65" s="87">
        <v>64</v>
      </c>
      <c r="B65" s="88" t="s">
        <v>28</v>
      </c>
      <c r="C65" s="88" t="s">
        <v>132</v>
      </c>
      <c r="D65" s="87">
        <v>2024</v>
      </c>
      <c r="E65" s="88" t="s">
        <v>34</v>
      </c>
      <c r="F65" s="88" t="s">
        <v>44</v>
      </c>
      <c r="G65" s="89" t="s">
        <v>44</v>
      </c>
      <c r="H65" s="89" t="s">
        <v>44</v>
      </c>
      <c r="I65" s="89" t="s">
        <v>44</v>
      </c>
      <c r="J65" s="89" t="s">
        <v>44</v>
      </c>
      <c r="K65" s="89" t="s">
        <v>44</v>
      </c>
    </row>
    <row r="66" ht="15.75" customHeight="1" spans="1:11">
      <c r="A66" s="87">
        <v>65</v>
      </c>
      <c r="B66" s="88" t="s">
        <v>28</v>
      </c>
      <c r="C66" s="88" t="s">
        <v>132</v>
      </c>
      <c r="D66" s="87">
        <v>2024</v>
      </c>
      <c r="E66" s="88" t="s">
        <v>35</v>
      </c>
      <c r="F66" s="88" t="s">
        <v>44</v>
      </c>
      <c r="G66" s="89" t="s">
        <v>44</v>
      </c>
      <c r="H66" s="89" t="s">
        <v>44</v>
      </c>
      <c r="I66" s="89" t="s">
        <v>44</v>
      </c>
      <c r="J66" s="89" t="s">
        <v>44</v>
      </c>
      <c r="K66" s="89" t="s">
        <v>44</v>
      </c>
    </row>
    <row r="67" ht="15.75" customHeight="1" spans="1:11">
      <c r="A67" s="87">
        <v>66</v>
      </c>
      <c r="B67" s="88" t="s">
        <v>28</v>
      </c>
      <c r="C67" s="88" t="s">
        <v>132</v>
      </c>
      <c r="D67" s="87">
        <v>2024</v>
      </c>
      <c r="E67" s="88" t="s">
        <v>36</v>
      </c>
      <c r="F67" s="88" t="s">
        <v>44</v>
      </c>
      <c r="G67" s="89" t="s">
        <v>44</v>
      </c>
      <c r="H67" s="89" t="s">
        <v>44</v>
      </c>
      <c r="I67" s="89" t="s">
        <v>44</v>
      </c>
      <c r="J67" s="89" t="s">
        <v>44</v>
      </c>
      <c r="K67" s="89" t="s">
        <v>44</v>
      </c>
    </row>
    <row r="68" ht="15.75" customHeight="1" spans="1:11">
      <c r="A68" s="87">
        <v>67</v>
      </c>
      <c r="B68" s="88" t="s">
        <v>28</v>
      </c>
      <c r="C68" s="88" t="s">
        <v>132</v>
      </c>
      <c r="D68" s="87">
        <v>2024</v>
      </c>
      <c r="E68" s="88" t="s">
        <v>37</v>
      </c>
      <c r="F68" s="88" t="s">
        <v>44</v>
      </c>
      <c r="G68" s="89" t="s">
        <v>44</v>
      </c>
      <c r="H68" s="89" t="s">
        <v>44</v>
      </c>
      <c r="I68" s="89" t="s">
        <v>44</v>
      </c>
      <c r="J68" s="89" t="s">
        <v>44</v>
      </c>
      <c r="K68" s="89" t="s">
        <v>44</v>
      </c>
    </row>
    <row r="69" ht="15.75" customHeight="1" spans="1:11">
      <c r="A69" s="87">
        <v>68</v>
      </c>
      <c r="B69" s="88" t="s">
        <v>28</v>
      </c>
      <c r="C69" s="88" t="s">
        <v>132</v>
      </c>
      <c r="D69" s="87">
        <v>2024</v>
      </c>
      <c r="E69" s="88" t="s">
        <v>38</v>
      </c>
      <c r="F69" s="88" t="s">
        <v>44</v>
      </c>
      <c r="G69" s="89" t="s">
        <v>44</v>
      </c>
      <c r="H69" s="89" t="s">
        <v>44</v>
      </c>
      <c r="I69" s="89" t="s">
        <v>44</v>
      </c>
      <c r="J69" s="89" t="s">
        <v>44</v>
      </c>
      <c r="K69" s="89" t="s">
        <v>44</v>
      </c>
    </row>
    <row r="70" ht="15.75" customHeight="1" spans="1:11">
      <c r="A70" s="87">
        <v>69</v>
      </c>
      <c r="B70" s="88" t="s">
        <v>28</v>
      </c>
      <c r="C70" s="88" t="s">
        <v>132</v>
      </c>
      <c r="D70" s="87">
        <v>2024</v>
      </c>
      <c r="E70" s="88" t="s">
        <v>39</v>
      </c>
      <c r="F70" s="88" t="s">
        <v>44</v>
      </c>
      <c r="G70" s="89" t="s">
        <v>44</v>
      </c>
      <c r="H70" s="89" t="s">
        <v>44</v>
      </c>
      <c r="I70" s="89" t="s">
        <v>44</v>
      </c>
      <c r="J70" s="89" t="s">
        <v>44</v>
      </c>
      <c r="K70" s="89" t="s">
        <v>44</v>
      </c>
    </row>
    <row r="71" ht="15.75" customHeight="1" spans="1:11">
      <c r="A71" s="87">
        <v>70</v>
      </c>
      <c r="B71" s="88" t="s">
        <v>28</v>
      </c>
      <c r="C71" s="88" t="s">
        <v>132</v>
      </c>
      <c r="D71" s="87">
        <v>2024</v>
      </c>
      <c r="E71" s="88" t="s">
        <v>40</v>
      </c>
      <c r="F71" s="88" t="s">
        <v>44</v>
      </c>
      <c r="G71" s="89" t="s">
        <v>44</v>
      </c>
      <c r="H71" s="89" t="s">
        <v>44</v>
      </c>
      <c r="I71" s="89" t="s">
        <v>44</v>
      </c>
      <c r="J71" s="89" t="s">
        <v>44</v>
      </c>
      <c r="K71" s="89" t="s">
        <v>44</v>
      </c>
    </row>
    <row r="72" ht="15.75" customHeight="1" spans="1:11">
      <c r="A72" s="87">
        <v>71</v>
      </c>
      <c r="B72" s="88" t="s">
        <v>28</v>
      </c>
      <c r="C72" s="88" t="s">
        <v>132</v>
      </c>
      <c r="D72" s="87">
        <v>2024</v>
      </c>
      <c r="E72" s="88" t="s">
        <v>41</v>
      </c>
      <c r="F72" s="88" t="s">
        <v>44</v>
      </c>
      <c r="G72" s="89" t="s">
        <v>44</v>
      </c>
      <c r="H72" s="89" t="s">
        <v>44</v>
      </c>
      <c r="I72" s="89" t="s">
        <v>44</v>
      </c>
      <c r="J72" s="89" t="s">
        <v>44</v>
      </c>
      <c r="K72" s="89" t="s">
        <v>44</v>
      </c>
    </row>
    <row r="73" ht="15.75" customHeight="1" spans="1:11">
      <c r="A73" s="87">
        <v>72</v>
      </c>
      <c r="B73" s="88" t="s">
        <v>28</v>
      </c>
      <c r="C73" s="88" t="s">
        <v>132</v>
      </c>
      <c r="D73" s="87">
        <v>2024</v>
      </c>
      <c r="E73" s="88" t="s">
        <v>42</v>
      </c>
      <c r="F73" s="88" t="s">
        <v>44</v>
      </c>
      <c r="G73" s="89" t="s">
        <v>44</v>
      </c>
      <c r="H73" s="89" t="s">
        <v>44</v>
      </c>
      <c r="I73" s="89" t="s">
        <v>44</v>
      </c>
      <c r="J73" s="89" t="s">
        <v>44</v>
      </c>
      <c r="K73" s="89" t="s">
        <v>44</v>
      </c>
    </row>
    <row r="74" ht="15.75" customHeight="1" spans="1:11">
      <c r="A74" s="87">
        <v>73</v>
      </c>
      <c r="B74" s="88" t="s">
        <v>28</v>
      </c>
      <c r="C74" s="88" t="s">
        <v>132</v>
      </c>
      <c r="D74" s="87">
        <v>2024</v>
      </c>
      <c r="E74" s="88" t="s">
        <v>43</v>
      </c>
      <c r="F74" s="88" t="s">
        <v>44</v>
      </c>
      <c r="G74" s="89" t="s">
        <v>44</v>
      </c>
      <c r="H74" s="89" t="s">
        <v>44</v>
      </c>
      <c r="I74" s="89" t="s">
        <v>44</v>
      </c>
      <c r="J74" s="89" t="s">
        <v>44</v>
      </c>
      <c r="K74" s="89" t="s">
        <v>44</v>
      </c>
    </row>
    <row r="75" ht="15.75" customHeight="1" spans="1:11">
      <c r="A75" s="87">
        <v>74</v>
      </c>
      <c r="B75" s="88" t="s">
        <v>28</v>
      </c>
      <c r="C75" s="88" t="s">
        <v>132</v>
      </c>
      <c r="D75" s="87">
        <v>2025</v>
      </c>
      <c r="E75" s="88" t="s">
        <v>36</v>
      </c>
      <c r="F75" s="88" t="s">
        <v>150</v>
      </c>
      <c r="G75" s="89" t="s">
        <v>44</v>
      </c>
      <c r="H75" s="89" t="s">
        <v>44</v>
      </c>
      <c r="I75" s="89" t="s">
        <v>44</v>
      </c>
      <c r="J75" s="89" t="s">
        <v>44</v>
      </c>
      <c r="K75" s="90">
        <v>1578</v>
      </c>
    </row>
    <row r="76" ht="15.75" customHeight="1" spans="1:11">
      <c r="A76" s="87">
        <v>75</v>
      </c>
      <c r="B76" s="88" t="s">
        <v>28</v>
      </c>
      <c r="C76" s="88" t="s">
        <v>132</v>
      </c>
      <c r="D76" s="87">
        <v>2025</v>
      </c>
      <c r="E76" s="88" t="s">
        <v>36</v>
      </c>
      <c r="F76" s="88" t="s">
        <v>151</v>
      </c>
      <c r="G76" s="89" t="s">
        <v>44</v>
      </c>
      <c r="H76" s="89" t="s">
        <v>44</v>
      </c>
      <c r="I76" s="89" t="s">
        <v>44</v>
      </c>
      <c r="J76" s="89" t="s">
        <v>44</v>
      </c>
      <c r="K76" s="90">
        <v>690200</v>
      </c>
    </row>
    <row r="77" ht="15.75" customHeight="1" spans="1:11">
      <c r="A77" s="87">
        <v>76</v>
      </c>
      <c r="B77" s="88" t="s">
        <v>28</v>
      </c>
      <c r="C77" s="88" t="s">
        <v>132</v>
      </c>
      <c r="D77" s="87">
        <v>2025</v>
      </c>
      <c r="E77" s="88" t="s">
        <v>36</v>
      </c>
      <c r="F77" s="88" t="s">
        <v>152</v>
      </c>
      <c r="G77" s="89" t="s">
        <v>44</v>
      </c>
      <c r="H77" s="89" t="s">
        <v>44</v>
      </c>
      <c r="I77" s="89" t="s">
        <v>44</v>
      </c>
      <c r="J77" s="89" t="s">
        <v>44</v>
      </c>
      <c r="K77" s="90">
        <v>32058</v>
      </c>
    </row>
    <row r="78" ht="15.75" customHeight="1" spans="1:11">
      <c r="A78" s="87">
        <v>77</v>
      </c>
      <c r="B78" s="88" t="s">
        <v>28</v>
      </c>
      <c r="C78" s="88" t="s">
        <v>132</v>
      </c>
      <c r="D78" s="87">
        <v>2025</v>
      </c>
      <c r="E78" s="88" t="s">
        <v>37</v>
      </c>
      <c r="F78" s="88" t="s">
        <v>150</v>
      </c>
      <c r="G78" s="89" t="s">
        <v>44</v>
      </c>
      <c r="H78" s="89" t="s">
        <v>44</v>
      </c>
      <c r="I78" s="89" t="s">
        <v>44</v>
      </c>
      <c r="J78" s="89" t="s">
        <v>44</v>
      </c>
      <c r="K78" s="90">
        <v>2605</v>
      </c>
    </row>
    <row r="79" ht="15.75" customHeight="1" spans="1:11">
      <c r="A79" s="87">
        <v>78</v>
      </c>
      <c r="B79" s="88" t="s">
        <v>28</v>
      </c>
      <c r="C79" s="88" t="s">
        <v>132</v>
      </c>
      <c r="D79" s="87">
        <v>2025</v>
      </c>
      <c r="E79" s="88" t="s">
        <v>37</v>
      </c>
      <c r="F79" s="88" t="s">
        <v>151</v>
      </c>
      <c r="G79" s="89" t="s">
        <v>44</v>
      </c>
      <c r="H79" s="89" t="s">
        <v>44</v>
      </c>
      <c r="I79" s="89" t="s">
        <v>44</v>
      </c>
      <c r="J79" s="89" t="s">
        <v>44</v>
      </c>
      <c r="K79" s="90">
        <v>1949342</v>
      </c>
    </row>
    <row r="80" ht="15.75" customHeight="1" spans="1:11">
      <c r="A80" s="87">
        <v>79</v>
      </c>
      <c r="B80" s="88" t="s">
        <v>28</v>
      </c>
      <c r="C80" s="88" t="s">
        <v>132</v>
      </c>
      <c r="D80" s="87">
        <v>2025</v>
      </c>
      <c r="E80" s="88" t="s">
        <v>37</v>
      </c>
      <c r="F80" s="88" t="s">
        <v>152</v>
      </c>
      <c r="G80" s="89" t="s">
        <v>44</v>
      </c>
      <c r="H80" s="89" t="s">
        <v>44</v>
      </c>
      <c r="I80" s="89" t="s">
        <v>44</v>
      </c>
      <c r="J80" s="89" t="s">
        <v>44</v>
      </c>
      <c r="K80" s="90">
        <v>81778</v>
      </c>
    </row>
    <row r="81" ht="15.75" customHeight="1" spans="1:11">
      <c r="A81" s="87">
        <v>80</v>
      </c>
      <c r="B81" s="88" t="s">
        <v>28</v>
      </c>
      <c r="C81" s="88" t="s">
        <v>132</v>
      </c>
      <c r="D81" s="87">
        <v>2025</v>
      </c>
      <c r="E81" s="88" t="s">
        <v>38</v>
      </c>
      <c r="F81" s="88" t="s">
        <v>150</v>
      </c>
      <c r="G81" s="89" t="s">
        <v>44</v>
      </c>
      <c r="H81" s="89" t="s">
        <v>44</v>
      </c>
      <c r="I81" s="89" t="s">
        <v>44</v>
      </c>
      <c r="J81" s="89" t="s">
        <v>44</v>
      </c>
      <c r="K81" s="90">
        <v>11361</v>
      </c>
    </row>
    <row r="82" ht="15.75" customHeight="1" spans="1:11">
      <c r="A82" s="87">
        <v>81</v>
      </c>
      <c r="B82" s="88" t="s">
        <v>28</v>
      </c>
      <c r="C82" s="88" t="s">
        <v>132</v>
      </c>
      <c r="D82" s="87">
        <v>2025</v>
      </c>
      <c r="E82" s="88" t="s">
        <v>38</v>
      </c>
      <c r="F82" s="88" t="s">
        <v>151</v>
      </c>
      <c r="G82" s="89" t="s">
        <v>44</v>
      </c>
      <c r="H82" s="89" t="s">
        <v>44</v>
      </c>
      <c r="I82" s="89" t="s">
        <v>44</v>
      </c>
      <c r="J82" s="89" t="s">
        <v>44</v>
      </c>
      <c r="K82" s="90">
        <v>1288082</v>
      </c>
    </row>
    <row r="83" ht="15.75" customHeight="1" spans="1:11">
      <c r="A83" s="87">
        <v>82</v>
      </c>
      <c r="B83" s="88" t="s">
        <v>28</v>
      </c>
      <c r="C83" s="88" t="s">
        <v>132</v>
      </c>
      <c r="D83" s="87">
        <v>2025</v>
      </c>
      <c r="E83" s="88" t="s">
        <v>38</v>
      </c>
      <c r="F83" s="88" t="s">
        <v>152</v>
      </c>
      <c r="G83" s="89" t="s">
        <v>44</v>
      </c>
      <c r="H83" s="89" t="s">
        <v>44</v>
      </c>
      <c r="I83" s="89" t="s">
        <v>44</v>
      </c>
      <c r="J83" s="89" t="s">
        <v>44</v>
      </c>
      <c r="K83" s="90">
        <v>80035</v>
      </c>
    </row>
    <row r="84" ht="15.75" customHeight="1" spans="1:11">
      <c r="A84" s="87">
        <v>83</v>
      </c>
      <c r="B84" s="88" t="s">
        <v>28</v>
      </c>
      <c r="C84" s="88" t="s">
        <v>132</v>
      </c>
      <c r="D84" s="87">
        <v>2025</v>
      </c>
      <c r="E84" s="88" t="s">
        <v>39</v>
      </c>
      <c r="F84" s="88" t="s">
        <v>150</v>
      </c>
      <c r="G84" s="89" t="s">
        <v>44</v>
      </c>
      <c r="H84" s="89" t="s">
        <v>44</v>
      </c>
      <c r="I84" s="89" t="s">
        <v>44</v>
      </c>
      <c r="J84" s="89" t="s">
        <v>44</v>
      </c>
      <c r="K84" s="90">
        <v>18019</v>
      </c>
    </row>
    <row r="85" ht="15.75" customHeight="1" spans="1:11">
      <c r="A85" s="87">
        <v>84</v>
      </c>
      <c r="B85" s="88" t="s">
        <v>28</v>
      </c>
      <c r="C85" s="88" t="s">
        <v>132</v>
      </c>
      <c r="D85" s="87">
        <v>2025</v>
      </c>
      <c r="E85" s="88" t="s">
        <v>39</v>
      </c>
      <c r="F85" s="88" t="s">
        <v>151</v>
      </c>
      <c r="G85" s="89" t="s">
        <v>44</v>
      </c>
      <c r="H85" s="89" t="s">
        <v>44</v>
      </c>
      <c r="I85" s="89" t="s">
        <v>44</v>
      </c>
      <c r="J85" s="89" t="s">
        <v>44</v>
      </c>
      <c r="K85" s="90">
        <v>1525296</v>
      </c>
    </row>
    <row r="86" ht="15.75" customHeight="1" spans="1:11">
      <c r="A86" s="87">
        <v>85</v>
      </c>
      <c r="B86" s="88" t="s">
        <v>28</v>
      </c>
      <c r="C86" s="88" t="s">
        <v>132</v>
      </c>
      <c r="D86" s="87">
        <v>2025</v>
      </c>
      <c r="E86" s="88" t="s">
        <v>39</v>
      </c>
      <c r="F86" s="88" t="s">
        <v>152</v>
      </c>
      <c r="G86" s="89" t="s">
        <v>44</v>
      </c>
      <c r="H86" s="89" t="s">
        <v>44</v>
      </c>
      <c r="I86" s="89" t="s">
        <v>44</v>
      </c>
      <c r="J86" s="89" t="s">
        <v>44</v>
      </c>
      <c r="K86" s="90">
        <v>152751</v>
      </c>
    </row>
    <row r="87" ht="15.75" customHeight="1" spans="1:11">
      <c r="A87" s="87">
        <v>86</v>
      </c>
      <c r="B87" s="88" t="s">
        <v>28</v>
      </c>
      <c r="C87" s="88" t="s">
        <v>132</v>
      </c>
      <c r="D87" s="87">
        <v>2025</v>
      </c>
      <c r="E87" s="88" t="s">
        <v>40</v>
      </c>
      <c r="F87" s="88" t="s">
        <v>150</v>
      </c>
      <c r="G87" s="89" t="s">
        <v>44</v>
      </c>
      <c r="H87" s="89" t="s">
        <v>44</v>
      </c>
      <c r="I87" s="89" t="s">
        <v>44</v>
      </c>
      <c r="J87" s="89" t="s">
        <v>44</v>
      </c>
      <c r="K87" s="90">
        <v>26740</v>
      </c>
    </row>
    <row r="88" ht="15.75" customHeight="1" spans="1:11">
      <c r="A88" s="87">
        <v>87</v>
      </c>
      <c r="B88" s="88" t="s">
        <v>28</v>
      </c>
      <c r="C88" s="88" t="s">
        <v>132</v>
      </c>
      <c r="D88" s="87">
        <v>2025</v>
      </c>
      <c r="E88" s="88" t="s">
        <v>40</v>
      </c>
      <c r="F88" s="88" t="s">
        <v>151</v>
      </c>
      <c r="G88" s="89" t="s">
        <v>44</v>
      </c>
      <c r="H88" s="89" t="s">
        <v>44</v>
      </c>
      <c r="I88" s="89" t="s">
        <v>44</v>
      </c>
      <c r="J88" s="89" t="s">
        <v>44</v>
      </c>
      <c r="K88" s="90">
        <v>4913062</v>
      </c>
    </row>
    <row r="89" ht="15.75" customHeight="1" spans="1:11">
      <c r="A89" s="87">
        <v>88</v>
      </c>
      <c r="B89" s="88" t="s">
        <v>28</v>
      </c>
      <c r="C89" s="88" t="s">
        <v>132</v>
      </c>
      <c r="D89" s="87">
        <v>2025</v>
      </c>
      <c r="E89" s="88" t="s">
        <v>40</v>
      </c>
      <c r="F89" s="88" t="s">
        <v>152</v>
      </c>
      <c r="G89" s="89" t="s">
        <v>44</v>
      </c>
      <c r="H89" s="89" t="s">
        <v>44</v>
      </c>
      <c r="I89" s="89" t="s">
        <v>44</v>
      </c>
      <c r="J89" s="89" t="s">
        <v>44</v>
      </c>
      <c r="K89" s="90">
        <v>435449</v>
      </c>
    </row>
    <row r="90" ht="15.75" customHeight="1" spans="1:11">
      <c r="A90" s="87">
        <v>89</v>
      </c>
      <c r="B90" s="88" t="s">
        <v>28</v>
      </c>
      <c r="C90" s="88" t="s">
        <v>132</v>
      </c>
      <c r="D90" s="87">
        <v>2025</v>
      </c>
      <c r="E90" s="88" t="s">
        <v>41</v>
      </c>
      <c r="F90" s="88" t="s">
        <v>150</v>
      </c>
      <c r="G90" s="89" t="s">
        <v>44</v>
      </c>
      <c r="H90" s="89" t="s">
        <v>44</v>
      </c>
      <c r="I90" s="89" t="s">
        <v>44</v>
      </c>
      <c r="J90" s="89" t="s">
        <v>44</v>
      </c>
      <c r="K90" s="90">
        <v>46291</v>
      </c>
    </row>
    <row r="91" ht="15.75" customHeight="1" spans="1:11">
      <c r="A91" s="87">
        <v>90</v>
      </c>
      <c r="B91" s="88" t="s">
        <v>28</v>
      </c>
      <c r="C91" s="88" t="s">
        <v>132</v>
      </c>
      <c r="D91" s="87">
        <v>2025</v>
      </c>
      <c r="E91" s="88" t="s">
        <v>41</v>
      </c>
      <c r="F91" s="88" t="s">
        <v>151</v>
      </c>
      <c r="G91" s="89" t="s">
        <v>44</v>
      </c>
      <c r="H91" s="89" t="s">
        <v>44</v>
      </c>
      <c r="I91" s="89" t="s">
        <v>44</v>
      </c>
      <c r="J91" s="89" t="s">
        <v>44</v>
      </c>
      <c r="K91" s="90">
        <v>4780314</v>
      </c>
    </row>
    <row r="92" ht="15.75" customHeight="1" spans="1:11">
      <c r="A92" s="87">
        <v>91</v>
      </c>
      <c r="B92" s="88" t="s">
        <v>28</v>
      </c>
      <c r="C92" s="88" t="s">
        <v>132</v>
      </c>
      <c r="D92" s="87">
        <v>2025</v>
      </c>
      <c r="E92" s="88" t="s">
        <v>41</v>
      </c>
      <c r="F92" s="88" t="s">
        <v>152</v>
      </c>
      <c r="G92" s="89" t="s">
        <v>44</v>
      </c>
      <c r="H92" s="89" t="s">
        <v>44</v>
      </c>
      <c r="I92" s="89" t="s">
        <v>44</v>
      </c>
      <c r="J92" s="89" t="s">
        <v>44</v>
      </c>
      <c r="K92" s="90">
        <v>342050</v>
      </c>
    </row>
    <row r="93" ht="15.75" customHeight="1" spans="1:11">
      <c r="A93" s="87">
        <v>92</v>
      </c>
      <c r="B93" s="88" t="s">
        <v>28</v>
      </c>
      <c r="C93" s="88" t="s">
        <v>132</v>
      </c>
      <c r="D93" s="87">
        <v>2025</v>
      </c>
      <c r="E93" s="88" t="s">
        <v>42</v>
      </c>
      <c r="F93" s="88" t="s">
        <v>150</v>
      </c>
      <c r="G93" s="89" t="s">
        <v>44</v>
      </c>
      <c r="H93" s="89" t="s">
        <v>44</v>
      </c>
      <c r="I93" s="89" t="s">
        <v>44</v>
      </c>
      <c r="J93" s="89" t="s">
        <v>44</v>
      </c>
      <c r="K93" s="90">
        <v>25365</v>
      </c>
    </row>
    <row r="94" ht="15.75" customHeight="1" spans="1:11">
      <c r="A94" s="87">
        <v>93</v>
      </c>
      <c r="B94" s="88" t="s">
        <v>28</v>
      </c>
      <c r="C94" s="88" t="s">
        <v>132</v>
      </c>
      <c r="D94" s="87">
        <v>2025</v>
      </c>
      <c r="E94" s="88" t="s">
        <v>42</v>
      </c>
      <c r="F94" s="88" t="s">
        <v>151</v>
      </c>
      <c r="G94" s="89" t="s">
        <v>44</v>
      </c>
      <c r="H94" s="89" t="s">
        <v>44</v>
      </c>
      <c r="I94" s="89" t="s">
        <v>44</v>
      </c>
      <c r="J94" s="89" t="s">
        <v>44</v>
      </c>
      <c r="K94" s="90">
        <v>5119228</v>
      </c>
    </row>
    <row r="95" ht="15.75" customHeight="1" spans="1:11">
      <c r="A95" s="87">
        <v>94</v>
      </c>
      <c r="B95" s="88" t="s">
        <v>28</v>
      </c>
      <c r="C95" s="88" t="s">
        <v>132</v>
      </c>
      <c r="D95" s="87">
        <v>2025</v>
      </c>
      <c r="E95" s="88" t="s">
        <v>42</v>
      </c>
      <c r="F95" s="88" t="s">
        <v>152</v>
      </c>
      <c r="G95" s="89" t="s">
        <v>44</v>
      </c>
      <c r="H95" s="89" t="s">
        <v>44</v>
      </c>
      <c r="I95" s="89" t="s">
        <v>44</v>
      </c>
      <c r="J95" s="89" t="s">
        <v>44</v>
      </c>
      <c r="K95" s="90">
        <v>417805</v>
      </c>
    </row>
    <row r="96" ht="15.75" customHeight="1" spans="1:11">
      <c r="A96" s="87">
        <v>95</v>
      </c>
      <c r="B96" s="88" t="s">
        <v>28</v>
      </c>
      <c r="C96" s="88" t="s">
        <v>132</v>
      </c>
      <c r="D96" s="87">
        <v>2025</v>
      </c>
      <c r="E96" s="88" t="s">
        <v>43</v>
      </c>
      <c r="F96" s="88" t="s">
        <v>150</v>
      </c>
      <c r="G96" s="89" t="s">
        <v>44</v>
      </c>
      <c r="H96" s="89" t="s">
        <v>44</v>
      </c>
      <c r="I96" s="89" t="s">
        <v>44</v>
      </c>
      <c r="J96" s="89" t="s">
        <v>44</v>
      </c>
      <c r="K96" s="90">
        <v>15558</v>
      </c>
    </row>
    <row r="97" ht="15.75" customHeight="1" spans="1:11">
      <c r="A97" s="87">
        <v>96</v>
      </c>
      <c r="B97" s="88" t="s">
        <v>28</v>
      </c>
      <c r="C97" s="88" t="s">
        <v>132</v>
      </c>
      <c r="D97" s="87">
        <v>2025</v>
      </c>
      <c r="E97" s="88" t="s">
        <v>43</v>
      </c>
      <c r="F97" s="88" t="s">
        <v>151</v>
      </c>
      <c r="G97" s="89" t="s">
        <v>44</v>
      </c>
      <c r="H97" s="89" t="s">
        <v>44</v>
      </c>
      <c r="I97" s="89" t="s">
        <v>44</v>
      </c>
      <c r="J97" s="89" t="s">
        <v>44</v>
      </c>
      <c r="K97" s="90">
        <v>3956481</v>
      </c>
    </row>
    <row r="98" ht="15.75" customHeight="1" spans="1:11">
      <c r="A98" s="87">
        <v>97</v>
      </c>
      <c r="B98" s="88" t="s">
        <v>28</v>
      </c>
      <c r="C98" s="88" t="s">
        <v>132</v>
      </c>
      <c r="D98" s="87">
        <v>2025</v>
      </c>
      <c r="E98" s="88" t="s">
        <v>43</v>
      </c>
      <c r="F98" s="88" t="s">
        <v>152</v>
      </c>
      <c r="G98" s="89" t="s">
        <v>44</v>
      </c>
      <c r="H98" s="89" t="s">
        <v>44</v>
      </c>
      <c r="I98" s="89" t="s">
        <v>44</v>
      </c>
      <c r="J98" s="89" t="s">
        <v>44</v>
      </c>
      <c r="K98" s="90">
        <v>297584</v>
      </c>
    </row>
    <row r="99" ht="15.75" customHeight="1" spans="1:11">
      <c r="A99" s="87">
        <v>98</v>
      </c>
      <c r="B99" s="88" t="s">
        <v>28</v>
      </c>
      <c r="C99" s="88" t="s">
        <v>132</v>
      </c>
      <c r="D99" s="87">
        <v>2026</v>
      </c>
      <c r="E99" s="88" t="s">
        <v>31</v>
      </c>
      <c r="F99" s="88" t="s">
        <v>150</v>
      </c>
      <c r="G99" s="89" t="s">
        <v>44</v>
      </c>
      <c r="H99" s="89" t="s">
        <v>44</v>
      </c>
      <c r="I99" s="89" t="s">
        <v>44</v>
      </c>
      <c r="J99" s="89" t="s">
        <v>44</v>
      </c>
      <c r="K99" s="90">
        <v>21326</v>
      </c>
    </row>
    <row r="100" ht="15.75" customHeight="1" spans="1:11">
      <c r="A100" s="87">
        <v>99</v>
      </c>
      <c r="B100" s="88" t="s">
        <v>28</v>
      </c>
      <c r="C100" s="88" t="s">
        <v>132</v>
      </c>
      <c r="D100" s="87">
        <v>2026</v>
      </c>
      <c r="E100" s="88" t="s">
        <v>31</v>
      </c>
      <c r="F100" s="88" t="s">
        <v>151</v>
      </c>
      <c r="G100" s="89" t="s">
        <v>44</v>
      </c>
      <c r="H100" s="89" t="s">
        <v>44</v>
      </c>
      <c r="I100" s="89" t="s">
        <v>44</v>
      </c>
      <c r="J100" s="89" t="s">
        <v>44</v>
      </c>
      <c r="K100" s="90">
        <v>3160828</v>
      </c>
    </row>
    <row r="101" ht="15.75" customHeight="1" spans="1:11">
      <c r="A101" s="87">
        <v>100</v>
      </c>
      <c r="B101" s="88" t="s">
        <v>28</v>
      </c>
      <c r="C101" s="88" t="s">
        <v>132</v>
      </c>
      <c r="D101" s="87">
        <v>2026</v>
      </c>
      <c r="E101" s="88" t="s">
        <v>31</v>
      </c>
      <c r="F101" s="88" t="s">
        <v>152</v>
      </c>
      <c r="G101" s="89" t="s">
        <v>44</v>
      </c>
      <c r="H101" s="89" t="s">
        <v>44</v>
      </c>
      <c r="I101" s="89" t="s">
        <v>44</v>
      </c>
      <c r="J101" s="89" t="s">
        <v>44</v>
      </c>
      <c r="K101" s="90">
        <v>351634</v>
      </c>
    </row>
    <row r="102" ht="15.75" customHeight="1" spans="1:11">
      <c r="A102" s="87">
        <v>101</v>
      </c>
      <c r="B102" s="88" t="s">
        <v>28</v>
      </c>
      <c r="C102" s="88" t="s">
        <v>132</v>
      </c>
      <c r="D102" s="87">
        <v>2026</v>
      </c>
      <c r="E102" s="88" t="s">
        <v>33</v>
      </c>
      <c r="F102" s="88" t="s">
        <v>151</v>
      </c>
      <c r="G102" s="89" t="s">
        <v>44</v>
      </c>
      <c r="H102" s="89" t="s">
        <v>44</v>
      </c>
      <c r="I102" s="89" t="s">
        <v>44</v>
      </c>
      <c r="J102" s="89" t="s">
        <v>44</v>
      </c>
      <c r="K102" s="90">
        <v>4638303</v>
      </c>
    </row>
    <row r="103" ht="15.75" customHeight="1" spans="1:11">
      <c r="A103" s="87">
        <v>102</v>
      </c>
      <c r="B103" s="88" t="s">
        <v>28</v>
      </c>
      <c r="C103" s="88" t="s">
        <v>132</v>
      </c>
      <c r="D103" s="87">
        <v>2026</v>
      </c>
      <c r="E103" s="88" t="s">
        <v>33</v>
      </c>
      <c r="F103" s="88" t="s">
        <v>152</v>
      </c>
      <c r="G103" s="89" t="s">
        <v>44</v>
      </c>
      <c r="H103" s="89" t="s">
        <v>44</v>
      </c>
      <c r="I103" s="89" t="s">
        <v>44</v>
      </c>
      <c r="J103" s="89" t="s">
        <v>44</v>
      </c>
      <c r="K103" s="90">
        <v>542217</v>
      </c>
    </row>
    <row r="104" ht="15.75" customHeight="1" spans="1:11">
      <c r="A104" s="87">
        <v>103</v>
      </c>
      <c r="B104" s="88" t="s">
        <v>28</v>
      </c>
      <c r="C104" s="88" t="s">
        <v>132</v>
      </c>
      <c r="D104" s="87">
        <v>2026</v>
      </c>
      <c r="E104" s="88" t="s">
        <v>33</v>
      </c>
      <c r="F104" s="88" t="s">
        <v>150</v>
      </c>
      <c r="G104" s="89" t="s">
        <v>44</v>
      </c>
      <c r="H104" s="89" t="s">
        <v>44</v>
      </c>
      <c r="I104" s="89" t="s">
        <v>44</v>
      </c>
      <c r="J104" s="89" t="s">
        <v>44</v>
      </c>
      <c r="K104" s="90">
        <v>35160</v>
      </c>
    </row>
    <row r="105" ht="15.75" customHeight="1" spans="1:11">
      <c r="A105" s="87">
        <v>104</v>
      </c>
      <c r="B105" s="88" t="s">
        <v>28</v>
      </c>
      <c r="C105" s="88" t="s">
        <v>132</v>
      </c>
      <c r="D105" s="87">
        <v>2026</v>
      </c>
      <c r="E105" s="88" t="s">
        <v>34</v>
      </c>
      <c r="F105" s="88" t="s">
        <v>152</v>
      </c>
      <c r="G105" s="89" t="s">
        <v>44</v>
      </c>
      <c r="H105" s="89" t="s">
        <v>44</v>
      </c>
      <c r="I105" s="89" t="s">
        <v>44</v>
      </c>
      <c r="J105" s="89" t="s">
        <v>44</v>
      </c>
      <c r="K105" s="90">
        <v>597956</v>
      </c>
    </row>
    <row r="106" ht="15.75" customHeight="1" spans="1:11">
      <c r="A106" s="87">
        <v>105</v>
      </c>
      <c r="B106" s="88" t="s">
        <v>28</v>
      </c>
      <c r="C106" s="88" t="s">
        <v>132</v>
      </c>
      <c r="D106" s="87">
        <v>2026</v>
      </c>
      <c r="E106" s="88" t="s">
        <v>34</v>
      </c>
      <c r="F106" s="88" t="s">
        <v>150</v>
      </c>
      <c r="G106" s="89" t="s">
        <v>44</v>
      </c>
      <c r="H106" s="89" t="s">
        <v>44</v>
      </c>
      <c r="I106" s="89" t="s">
        <v>44</v>
      </c>
      <c r="J106" s="89" t="s">
        <v>44</v>
      </c>
      <c r="K106" s="90">
        <v>47035</v>
      </c>
    </row>
    <row r="107" ht="15.75" customHeight="1" spans="1:11">
      <c r="A107" s="87">
        <v>106</v>
      </c>
      <c r="B107" s="88" t="s">
        <v>28</v>
      </c>
      <c r="C107" s="88" t="s">
        <v>132</v>
      </c>
      <c r="D107" s="87">
        <v>2026</v>
      </c>
      <c r="E107" s="88" t="s">
        <v>34</v>
      </c>
      <c r="F107" s="88" t="s">
        <v>151</v>
      </c>
      <c r="G107" s="89" t="s">
        <v>44</v>
      </c>
      <c r="H107" s="89" t="s">
        <v>44</v>
      </c>
      <c r="I107" s="89" t="s">
        <v>44</v>
      </c>
      <c r="J107" s="89" t="s">
        <v>44</v>
      </c>
      <c r="K107" s="90">
        <v>5053855</v>
      </c>
    </row>
    <row r="108" ht="15.75" customHeight="1" spans="1:11">
      <c r="A108" s="87">
        <v>107</v>
      </c>
      <c r="B108" s="88" t="s">
        <v>46</v>
      </c>
      <c r="C108" s="88" t="s">
        <v>47</v>
      </c>
      <c r="D108" s="87">
        <v>2024</v>
      </c>
      <c r="E108" s="88" t="s">
        <v>31</v>
      </c>
      <c r="F108" s="88" t="s">
        <v>150</v>
      </c>
      <c r="G108" s="89" t="s">
        <v>44</v>
      </c>
      <c r="H108" s="89" t="s">
        <v>44</v>
      </c>
      <c r="I108" s="89" t="s">
        <v>44</v>
      </c>
      <c r="J108" s="89" t="s">
        <v>44</v>
      </c>
      <c r="K108" s="90">
        <v>52812</v>
      </c>
    </row>
    <row r="109" ht="15.75" customHeight="1" spans="1:11">
      <c r="A109" s="87">
        <v>108</v>
      </c>
      <c r="B109" s="88" t="s">
        <v>46</v>
      </c>
      <c r="C109" s="88" t="s">
        <v>47</v>
      </c>
      <c r="D109" s="87">
        <v>2024</v>
      </c>
      <c r="E109" s="88" t="s">
        <v>31</v>
      </c>
      <c r="F109" s="88" t="s">
        <v>151</v>
      </c>
      <c r="G109" s="89" t="s">
        <v>44</v>
      </c>
      <c r="H109" s="89" t="s">
        <v>44</v>
      </c>
      <c r="I109" s="89" t="s">
        <v>44</v>
      </c>
      <c r="J109" s="89" t="s">
        <v>44</v>
      </c>
      <c r="K109" s="90">
        <v>20593948</v>
      </c>
    </row>
    <row r="110" ht="15.75" customHeight="1" spans="1:11">
      <c r="A110" s="87">
        <v>109</v>
      </c>
      <c r="B110" s="88" t="s">
        <v>46</v>
      </c>
      <c r="C110" s="88" t="s">
        <v>47</v>
      </c>
      <c r="D110" s="87">
        <v>2024</v>
      </c>
      <c r="E110" s="88" t="s">
        <v>31</v>
      </c>
      <c r="F110" s="88" t="s">
        <v>152</v>
      </c>
      <c r="G110" s="89" t="s">
        <v>44</v>
      </c>
      <c r="H110" s="89" t="s">
        <v>44</v>
      </c>
      <c r="I110" s="89" t="s">
        <v>44</v>
      </c>
      <c r="J110" s="89" t="s">
        <v>44</v>
      </c>
      <c r="K110" s="90">
        <v>336885</v>
      </c>
    </row>
    <row r="111" ht="15.75" customHeight="1" spans="1:11">
      <c r="A111" s="87">
        <v>110</v>
      </c>
      <c r="B111" s="88" t="s">
        <v>46</v>
      </c>
      <c r="C111" s="88" t="s">
        <v>47</v>
      </c>
      <c r="D111" s="87">
        <v>2024</v>
      </c>
      <c r="E111" s="88" t="s">
        <v>33</v>
      </c>
      <c r="F111" s="88" t="s">
        <v>150</v>
      </c>
      <c r="G111" s="89" t="s">
        <v>44</v>
      </c>
      <c r="H111" s="89" t="s">
        <v>44</v>
      </c>
      <c r="I111" s="89" t="s">
        <v>44</v>
      </c>
      <c r="J111" s="89" t="s">
        <v>44</v>
      </c>
      <c r="K111" s="90">
        <v>57209</v>
      </c>
    </row>
    <row r="112" ht="15.75" customHeight="1" spans="1:11">
      <c r="A112" s="87">
        <v>111</v>
      </c>
      <c r="B112" s="88" t="s">
        <v>46</v>
      </c>
      <c r="C112" s="88" t="s">
        <v>47</v>
      </c>
      <c r="D112" s="87">
        <v>2024</v>
      </c>
      <c r="E112" s="88" t="s">
        <v>33</v>
      </c>
      <c r="F112" s="88" t="s">
        <v>151</v>
      </c>
      <c r="G112" s="89" t="s">
        <v>44</v>
      </c>
      <c r="H112" s="89" t="s">
        <v>44</v>
      </c>
      <c r="I112" s="89" t="s">
        <v>44</v>
      </c>
      <c r="J112" s="89" t="s">
        <v>44</v>
      </c>
      <c r="K112" s="90">
        <v>29180982</v>
      </c>
    </row>
    <row r="113" ht="15.75" customHeight="1" spans="1:11">
      <c r="A113" s="87">
        <v>112</v>
      </c>
      <c r="B113" s="88" t="s">
        <v>46</v>
      </c>
      <c r="C113" s="88" t="s">
        <v>47</v>
      </c>
      <c r="D113" s="87">
        <v>2024</v>
      </c>
      <c r="E113" s="88" t="s">
        <v>33</v>
      </c>
      <c r="F113" s="88" t="s">
        <v>152</v>
      </c>
      <c r="G113" s="89" t="s">
        <v>44</v>
      </c>
      <c r="H113" s="89" t="s">
        <v>44</v>
      </c>
      <c r="I113" s="89" t="s">
        <v>44</v>
      </c>
      <c r="J113" s="89" t="s">
        <v>44</v>
      </c>
      <c r="K113" s="90">
        <v>298880</v>
      </c>
    </row>
    <row r="114" ht="15.75" customHeight="1" spans="1:11">
      <c r="A114" s="87">
        <v>113</v>
      </c>
      <c r="B114" s="88" t="s">
        <v>46</v>
      </c>
      <c r="C114" s="88" t="s">
        <v>47</v>
      </c>
      <c r="D114" s="87">
        <v>2024</v>
      </c>
      <c r="E114" s="88" t="s">
        <v>34</v>
      </c>
      <c r="F114" s="88" t="s">
        <v>150</v>
      </c>
      <c r="G114" s="89" t="s">
        <v>44</v>
      </c>
      <c r="H114" s="89" t="s">
        <v>44</v>
      </c>
      <c r="I114" s="89" t="s">
        <v>44</v>
      </c>
      <c r="J114" s="89" t="s">
        <v>44</v>
      </c>
      <c r="K114" s="90">
        <v>548349</v>
      </c>
    </row>
    <row r="115" ht="15.75" customHeight="1" spans="1:11">
      <c r="A115" s="87">
        <v>114</v>
      </c>
      <c r="B115" s="88" t="s">
        <v>46</v>
      </c>
      <c r="C115" s="88" t="s">
        <v>47</v>
      </c>
      <c r="D115" s="87">
        <v>2024</v>
      </c>
      <c r="E115" s="88" t="s">
        <v>34</v>
      </c>
      <c r="F115" s="88" t="s">
        <v>151</v>
      </c>
      <c r="G115" s="89" t="s">
        <v>44</v>
      </c>
      <c r="H115" s="89" t="s">
        <v>44</v>
      </c>
      <c r="I115" s="89" t="s">
        <v>44</v>
      </c>
      <c r="J115" s="89" t="s">
        <v>44</v>
      </c>
      <c r="K115" s="90">
        <v>25805867</v>
      </c>
    </row>
    <row r="116" ht="15.75" customHeight="1" spans="1:11">
      <c r="A116" s="87">
        <v>115</v>
      </c>
      <c r="B116" s="88" t="s">
        <v>46</v>
      </c>
      <c r="C116" s="88" t="s">
        <v>47</v>
      </c>
      <c r="D116" s="87">
        <v>2024</v>
      </c>
      <c r="E116" s="88" t="s">
        <v>34</v>
      </c>
      <c r="F116" s="88" t="s">
        <v>152</v>
      </c>
      <c r="G116" s="89" t="s">
        <v>44</v>
      </c>
      <c r="H116" s="89" t="s">
        <v>44</v>
      </c>
      <c r="I116" s="89" t="s">
        <v>44</v>
      </c>
      <c r="J116" s="89" t="s">
        <v>44</v>
      </c>
      <c r="K116" s="90">
        <v>189263</v>
      </c>
    </row>
    <row r="117" ht="15.75" customHeight="1" spans="1:11">
      <c r="A117" s="87">
        <v>116</v>
      </c>
      <c r="B117" s="88" t="s">
        <v>46</v>
      </c>
      <c r="C117" s="88" t="s">
        <v>47</v>
      </c>
      <c r="D117" s="87">
        <v>2024</v>
      </c>
      <c r="E117" s="88" t="s">
        <v>35</v>
      </c>
      <c r="F117" s="88" t="s">
        <v>150</v>
      </c>
      <c r="G117" s="89" t="s">
        <v>44</v>
      </c>
      <c r="H117" s="89" t="s">
        <v>44</v>
      </c>
      <c r="I117" s="89" t="s">
        <v>44</v>
      </c>
      <c r="J117" s="89" t="s">
        <v>44</v>
      </c>
      <c r="K117" s="90">
        <v>58505</v>
      </c>
    </row>
    <row r="118" ht="15.75" customHeight="1" spans="1:11">
      <c r="A118" s="87">
        <v>117</v>
      </c>
      <c r="B118" s="88" t="s">
        <v>46</v>
      </c>
      <c r="C118" s="88" t="s">
        <v>47</v>
      </c>
      <c r="D118" s="87">
        <v>2024</v>
      </c>
      <c r="E118" s="88" t="s">
        <v>35</v>
      </c>
      <c r="F118" s="88" t="s">
        <v>151</v>
      </c>
      <c r="G118" s="89" t="s">
        <v>44</v>
      </c>
      <c r="H118" s="89" t="s">
        <v>44</v>
      </c>
      <c r="I118" s="89" t="s">
        <v>44</v>
      </c>
      <c r="J118" s="89" t="s">
        <v>44</v>
      </c>
      <c r="K118" s="90">
        <v>19765651</v>
      </c>
    </row>
    <row r="119" ht="15.75" customHeight="1" spans="1:11">
      <c r="A119" s="87">
        <v>118</v>
      </c>
      <c r="B119" s="88" t="s">
        <v>46</v>
      </c>
      <c r="C119" s="88" t="s">
        <v>47</v>
      </c>
      <c r="D119" s="87">
        <v>2024</v>
      </c>
      <c r="E119" s="88" t="s">
        <v>35</v>
      </c>
      <c r="F119" s="88" t="s">
        <v>152</v>
      </c>
      <c r="G119" s="89" t="s">
        <v>44</v>
      </c>
      <c r="H119" s="89" t="s">
        <v>44</v>
      </c>
      <c r="I119" s="89" t="s">
        <v>44</v>
      </c>
      <c r="J119" s="89" t="s">
        <v>44</v>
      </c>
      <c r="K119" s="90">
        <v>203746</v>
      </c>
    </row>
    <row r="120" ht="15.75" customHeight="1" spans="1:11">
      <c r="A120" s="87">
        <v>119</v>
      </c>
      <c r="B120" s="88" t="s">
        <v>46</v>
      </c>
      <c r="C120" s="88" t="s">
        <v>47</v>
      </c>
      <c r="D120" s="87">
        <v>2024</v>
      </c>
      <c r="E120" s="88" t="s">
        <v>36</v>
      </c>
      <c r="F120" s="88" t="s">
        <v>150</v>
      </c>
      <c r="G120" s="89" t="s">
        <v>44</v>
      </c>
      <c r="H120" s="89" t="s">
        <v>44</v>
      </c>
      <c r="I120" s="89" t="s">
        <v>44</v>
      </c>
      <c r="J120" s="89" t="s">
        <v>44</v>
      </c>
      <c r="K120" s="90">
        <v>72180</v>
      </c>
    </row>
    <row r="121" ht="15.75" customHeight="1" spans="1:11">
      <c r="A121" s="87">
        <v>120</v>
      </c>
      <c r="B121" s="88" t="s">
        <v>46</v>
      </c>
      <c r="C121" s="88" t="s">
        <v>47</v>
      </c>
      <c r="D121" s="87">
        <v>2024</v>
      </c>
      <c r="E121" s="88" t="s">
        <v>36</v>
      </c>
      <c r="F121" s="88" t="s">
        <v>151</v>
      </c>
      <c r="G121" s="89" t="s">
        <v>44</v>
      </c>
      <c r="H121" s="89" t="s">
        <v>44</v>
      </c>
      <c r="I121" s="89" t="s">
        <v>44</v>
      </c>
      <c r="J121" s="89" t="s">
        <v>44</v>
      </c>
      <c r="K121" s="90">
        <v>27915710</v>
      </c>
    </row>
    <row r="122" ht="15.75" customHeight="1" spans="1:11">
      <c r="A122" s="87">
        <v>121</v>
      </c>
      <c r="B122" s="88" t="s">
        <v>46</v>
      </c>
      <c r="C122" s="88" t="s">
        <v>47</v>
      </c>
      <c r="D122" s="87">
        <v>2024</v>
      </c>
      <c r="E122" s="88" t="s">
        <v>36</v>
      </c>
      <c r="F122" s="88" t="s">
        <v>152</v>
      </c>
      <c r="G122" s="89" t="s">
        <v>44</v>
      </c>
      <c r="H122" s="89" t="s">
        <v>44</v>
      </c>
      <c r="I122" s="89" t="s">
        <v>44</v>
      </c>
      <c r="J122" s="89" t="s">
        <v>44</v>
      </c>
      <c r="K122" s="90">
        <v>300745</v>
      </c>
    </row>
    <row r="123" ht="15.75" customHeight="1" spans="1:11">
      <c r="A123" s="87">
        <v>122</v>
      </c>
      <c r="B123" s="88" t="s">
        <v>46</v>
      </c>
      <c r="C123" s="88" t="s">
        <v>47</v>
      </c>
      <c r="D123" s="87">
        <v>2024</v>
      </c>
      <c r="E123" s="88" t="s">
        <v>37</v>
      </c>
      <c r="F123" s="88" t="s">
        <v>150</v>
      </c>
      <c r="G123" s="89" t="s">
        <v>44</v>
      </c>
      <c r="H123" s="89" t="s">
        <v>44</v>
      </c>
      <c r="I123" s="89" t="s">
        <v>44</v>
      </c>
      <c r="J123" s="89" t="s">
        <v>44</v>
      </c>
      <c r="K123" s="90">
        <v>13348</v>
      </c>
    </row>
    <row r="124" ht="15.75" customHeight="1" spans="1:11">
      <c r="A124" s="87">
        <v>123</v>
      </c>
      <c r="B124" s="88" t="s">
        <v>46</v>
      </c>
      <c r="C124" s="88" t="s">
        <v>47</v>
      </c>
      <c r="D124" s="87">
        <v>2024</v>
      </c>
      <c r="E124" s="88" t="s">
        <v>37</v>
      </c>
      <c r="F124" s="88" t="s">
        <v>151</v>
      </c>
      <c r="G124" s="89" t="s">
        <v>44</v>
      </c>
      <c r="H124" s="89" t="s">
        <v>44</v>
      </c>
      <c r="I124" s="89" t="s">
        <v>44</v>
      </c>
      <c r="J124" s="89" t="s">
        <v>44</v>
      </c>
      <c r="K124" s="90">
        <v>15392532</v>
      </c>
    </row>
    <row r="125" ht="15.75" customHeight="1" spans="1:11">
      <c r="A125" s="87">
        <v>124</v>
      </c>
      <c r="B125" s="88" t="s">
        <v>46</v>
      </c>
      <c r="C125" s="88" t="s">
        <v>47</v>
      </c>
      <c r="D125" s="87">
        <v>2024</v>
      </c>
      <c r="E125" s="88" t="s">
        <v>37</v>
      </c>
      <c r="F125" s="88" t="s">
        <v>152</v>
      </c>
      <c r="G125" s="89" t="s">
        <v>44</v>
      </c>
      <c r="H125" s="89" t="s">
        <v>44</v>
      </c>
      <c r="I125" s="89" t="s">
        <v>44</v>
      </c>
      <c r="J125" s="89" t="s">
        <v>44</v>
      </c>
      <c r="K125" s="90">
        <v>185436</v>
      </c>
    </row>
    <row r="126" ht="15.75" customHeight="1" spans="1:11">
      <c r="A126" s="87">
        <v>125</v>
      </c>
      <c r="B126" s="88" t="s">
        <v>46</v>
      </c>
      <c r="C126" s="88" t="s">
        <v>47</v>
      </c>
      <c r="D126" s="87">
        <v>2024</v>
      </c>
      <c r="E126" s="88" t="s">
        <v>38</v>
      </c>
      <c r="F126" s="88" t="s">
        <v>150</v>
      </c>
      <c r="G126" s="89" t="s">
        <v>44</v>
      </c>
      <c r="H126" s="89" t="s">
        <v>44</v>
      </c>
      <c r="I126" s="89" t="s">
        <v>44</v>
      </c>
      <c r="J126" s="89" t="s">
        <v>44</v>
      </c>
      <c r="K126" s="90">
        <v>5850</v>
      </c>
    </row>
    <row r="127" ht="15.75" customHeight="1" spans="1:11">
      <c r="A127" s="87">
        <v>126</v>
      </c>
      <c r="B127" s="88" t="s">
        <v>46</v>
      </c>
      <c r="C127" s="88" t="s">
        <v>47</v>
      </c>
      <c r="D127" s="87">
        <v>2024</v>
      </c>
      <c r="E127" s="88" t="s">
        <v>38</v>
      </c>
      <c r="F127" s="88" t="s">
        <v>151</v>
      </c>
      <c r="G127" s="89" t="s">
        <v>44</v>
      </c>
      <c r="H127" s="89" t="s">
        <v>44</v>
      </c>
      <c r="I127" s="89" t="s">
        <v>44</v>
      </c>
      <c r="J127" s="89" t="s">
        <v>44</v>
      </c>
      <c r="K127" s="90">
        <v>14334262</v>
      </c>
    </row>
    <row r="128" ht="15.75" customHeight="1" spans="1:11">
      <c r="A128" s="87">
        <v>127</v>
      </c>
      <c r="B128" s="88" t="s">
        <v>46</v>
      </c>
      <c r="C128" s="88" t="s">
        <v>47</v>
      </c>
      <c r="D128" s="87">
        <v>2024</v>
      </c>
      <c r="E128" s="88" t="s">
        <v>38</v>
      </c>
      <c r="F128" s="88" t="s">
        <v>152</v>
      </c>
      <c r="G128" s="89" t="s">
        <v>44</v>
      </c>
      <c r="H128" s="89" t="s">
        <v>44</v>
      </c>
      <c r="I128" s="89" t="s">
        <v>44</v>
      </c>
      <c r="J128" s="89" t="s">
        <v>44</v>
      </c>
      <c r="K128" s="90">
        <v>194262</v>
      </c>
    </row>
    <row r="129" ht="15.75" customHeight="1" spans="1:11">
      <c r="A129" s="87">
        <v>128</v>
      </c>
      <c r="B129" s="88" t="s">
        <v>46</v>
      </c>
      <c r="C129" s="88" t="s">
        <v>47</v>
      </c>
      <c r="D129" s="87">
        <v>2024</v>
      </c>
      <c r="E129" s="88" t="s">
        <v>39</v>
      </c>
      <c r="F129" s="88" t="s">
        <v>150</v>
      </c>
      <c r="G129" s="89" t="s">
        <v>44</v>
      </c>
      <c r="H129" s="89" t="s">
        <v>44</v>
      </c>
      <c r="I129" s="89" t="s">
        <v>44</v>
      </c>
      <c r="J129" s="89" t="s">
        <v>44</v>
      </c>
      <c r="K129" s="90">
        <v>5697</v>
      </c>
    </row>
    <row r="130" ht="15.75" customHeight="1" spans="1:11">
      <c r="A130" s="87">
        <v>129</v>
      </c>
      <c r="B130" s="88" t="s">
        <v>46</v>
      </c>
      <c r="C130" s="88" t="s">
        <v>47</v>
      </c>
      <c r="D130" s="87">
        <v>2024</v>
      </c>
      <c r="E130" s="88" t="s">
        <v>39</v>
      </c>
      <c r="F130" s="88" t="s">
        <v>151</v>
      </c>
      <c r="G130" s="89" t="s">
        <v>44</v>
      </c>
      <c r="H130" s="89" t="s">
        <v>44</v>
      </c>
      <c r="I130" s="89" t="s">
        <v>44</v>
      </c>
      <c r="J130" s="89" t="s">
        <v>44</v>
      </c>
      <c r="K130" s="90">
        <v>13437546</v>
      </c>
    </row>
    <row r="131" ht="15.75" customHeight="1" spans="1:11">
      <c r="A131" s="87">
        <v>130</v>
      </c>
      <c r="B131" s="88" t="s">
        <v>46</v>
      </c>
      <c r="C131" s="88" t="s">
        <v>47</v>
      </c>
      <c r="D131" s="87">
        <v>2024</v>
      </c>
      <c r="E131" s="88" t="s">
        <v>39</v>
      </c>
      <c r="F131" s="88" t="s">
        <v>152</v>
      </c>
      <c r="G131" s="89" t="s">
        <v>44</v>
      </c>
      <c r="H131" s="89" t="s">
        <v>44</v>
      </c>
      <c r="I131" s="89" t="s">
        <v>44</v>
      </c>
      <c r="J131" s="89" t="s">
        <v>44</v>
      </c>
      <c r="K131" s="90">
        <v>185008</v>
      </c>
    </row>
    <row r="132" ht="15.75" customHeight="1" spans="1:11">
      <c r="A132" s="87">
        <v>131</v>
      </c>
      <c r="B132" s="88" t="s">
        <v>46</v>
      </c>
      <c r="C132" s="88" t="s">
        <v>47</v>
      </c>
      <c r="D132" s="87">
        <v>2024</v>
      </c>
      <c r="E132" s="88" t="s">
        <v>40</v>
      </c>
      <c r="F132" s="88" t="s">
        <v>150</v>
      </c>
      <c r="G132" s="89" t="s">
        <v>44</v>
      </c>
      <c r="H132" s="89" t="s">
        <v>44</v>
      </c>
      <c r="I132" s="89" t="s">
        <v>44</v>
      </c>
      <c r="J132" s="89" t="s">
        <v>44</v>
      </c>
      <c r="K132" s="90">
        <v>6301</v>
      </c>
    </row>
    <row r="133" ht="15.75" customHeight="1" spans="1:11">
      <c r="A133" s="87">
        <v>132</v>
      </c>
      <c r="B133" s="88" t="s">
        <v>46</v>
      </c>
      <c r="C133" s="88" t="s">
        <v>47</v>
      </c>
      <c r="D133" s="87">
        <v>2024</v>
      </c>
      <c r="E133" s="88" t="s">
        <v>40</v>
      </c>
      <c r="F133" s="88" t="s">
        <v>151</v>
      </c>
      <c r="G133" s="89" t="s">
        <v>44</v>
      </c>
      <c r="H133" s="89" t="s">
        <v>44</v>
      </c>
      <c r="I133" s="89" t="s">
        <v>44</v>
      </c>
      <c r="J133" s="89" t="s">
        <v>44</v>
      </c>
      <c r="K133" s="90">
        <v>14664081</v>
      </c>
    </row>
    <row r="134" ht="15.75" customHeight="1" spans="1:11">
      <c r="A134" s="87">
        <v>133</v>
      </c>
      <c r="B134" s="88" t="s">
        <v>46</v>
      </c>
      <c r="C134" s="88" t="s">
        <v>47</v>
      </c>
      <c r="D134" s="87">
        <v>2024</v>
      </c>
      <c r="E134" s="88" t="s">
        <v>40</v>
      </c>
      <c r="F134" s="88" t="s">
        <v>152</v>
      </c>
      <c r="G134" s="89" t="s">
        <v>44</v>
      </c>
      <c r="H134" s="89" t="s">
        <v>44</v>
      </c>
      <c r="I134" s="89" t="s">
        <v>44</v>
      </c>
      <c r="J134" s="89" t="s">
        <v>44</v>
      </c>
      <c r="K134" s="90">
        <v>227291</v>
      </c>
    </row>
    <row r="135" ht="15.75" customHeight="1" spans="1:11">
      <c r="A135" s="87">
        <v>134</v>
      </c>
      <c r="B135" s="88" t="s">
        <v>46</v>
      </c>
      <c r="C135" s="88" t="s">
        <v>47</v>
      </c>
      <c r="D135" s="87">
        <v>2024</v>
      </c>
      <c r="E135" s="88" t="s">
        <v>41</v>
      </c>
      <c r="F135" s="88" t="s">
        <v>150</v>
      </c>
      <c r="G135" s="89" t="s">
        <v>44</v>
      </c>
      <c r="H135" s="89" t="s">
        <v>44</v>
      </c>
      <c r="I135" s="89" t="s">
        <v>44</v>
      </c>
      <c r="J135" s="89" t="s">
        <v>44</v>
      </c>
      <c r="K135" s="90">
        <v>15955</v>
      </c>
    </row>
    <row r="136" ht="15.75" customHeight="1" spans="1:11">
      <c r="A136" s="87">
        <v>135</v>
      </c>
      <c r="B136" s="88" t="s">
        <v>46</v>
      </c>
      <c r="C136" s="88" t="s">
        <v>47</v>
      </c>
      <c r="D136" s="87">
        <v>2024</v>
      </c>
      <c r="E136" s="88" t="s">
        <v>41</v>
      </c>
      <c r="F136" s="88" t="s">
        <v>151</v>
      </c>
      <c r="G136" s="89" t="s">
        <v>44</v>
      </c>
      <c r="H136" s="89" t="s">
        <v>44</v>
      </c>
      <c r="I136" s="89" t="s">
        <v>44</v>
      </c>
      <c r="J136" s="89" t="s">
        <v>44</v>
      </c>
      <c r="K136" s="90">
        <v>13095022</v>
      </c>
    </row>
    <row r="137" ht="15.75" customHeight="1" spans="1:11">
      <c r="A137" s="87">
        <v>136</v>
      </c>
      <c r="B137" s="88" t="s">
        <v>46</v>
      </c>
      <c r="C137" s="88" t="s">
        <v>47</v>
      </c>
      <c r="D137" s="87">
        <v>2024</v>
      </c>
      <c r="E137" s="88" t="s">
        <v>41</v>
      </c>
      <c r="F137" s="88" t="s">
        <v>152</v>
      </c>
      <c r="G137" s="89" t="s">
        <v>44</v>
      </c>
      <c r="H137" s="89" t="s">
        <v>44</v>
      </c>
      <c r="I137" s="89" t="s">
        <v>44</v>
      </c>
      <c r="J137" s="89" t="s">
        <v>44</v>
      </c>
      <c r="K137" s="90">
        <v>197478</v>
      </c>
    </row>
    <row r="138" ht="15.75" customHeight="1" spans="1:11">
      <c r="A138" s="87">
        <v>137</v>
      </c>
      <c r="B138" s="88" t="s">
        <v>46</v>
      </c>
      <c r="C138" s="88" t="s">
        <v>47</v>
      </c>
      <c r="D138" s="87">
        <v>2024</v>
      </c>
      <c r="E138" s="88" t="s">
        <v>42</v>
      </c>
      <c r="F138" s="88" t="s">
        <v>150</v>
      </c>
      <c r="G138" s="89" t="s">
        <v>44</v>
      </c>
      <c r="H138" s="89" t="s">
        <v>44</v>
      </c>
      <c r="I138" s="89" t="s">
        <v>44</v>
      </c>
      <c r="J138" s="89" t="s">
        <v>44</v>
      </c>
      <c r="K138" s="90">
        <v>82075</v>
      </c>
    </row>
    <row r="139" ht="15.75" customHeight="1" spans="1:11">
      <c r="A139" s="87">
        <v>138</v>
      </c>
      <c r="B139" s="88" t="s">
        <v>46</v>
      </c>
      <c r="C139" s="88" t="s">
        <v>47</v>
      </c>
      <c r="D139" s="87">
        <v>2024</v>
      </c>
      <c r="E139" s="88" t="s">
        <v>42</v>
      </c>
      <c r="F139" s="88" t="s">
        <v>151</v>
      </c>
      <c r="G139" s="89" t="s">
        <v>44</v>
      </c>
      <c r="H139" s="89" t="s">
        <v>44</v>
      </c>
      <c r="I139" s="89" t="s">
        <v>44</v>
      </c>
      <c r="J139" s="89" t="s">
        <v>44</v>
      </c>
      <c r="K139" s="90">
        <v>17108045</v>
      </c>
    </row>
    <row r="140" ht="15.75" customHeight="1" spans="1:11">
      <c r="A140" s="87">
        <v>139</v>
      </c>
      <c r="B140" s="88" t="s">
        <v>46</v>
      </c>
      <c r="C140" s="88" t="s">
        <v>47</v>
      </c>
      <c r="D140" s="87">
        <v>2024</v>
      </c>
      <c r="E140" s="88" t="s">
        <v>42</v>
      </c>
      <c r="F140" s="88" t="s">
        <v>152</v>
      </c>
      <c r="G140" s="89" t="s">
        <v>44</v>
      </c>
      <c r="H140" s="89" t="s">
        <v>44</v>
      </c>
      <c r="I140" s="89" t="s">
        <v>44</v>
      </c>
      <c r="J140" s="89" t="s">
        <v>44</v>
      </c>
      <c r="K140" s="90">
        <v>333904</v>
      </c>
    </row>
    <row r="141" ht="15.75" customHeight="1" spans="1:11">
      <c r="A141" s="87">
        <v>140</v>
      </c>
      <c r="B141" s="88" t="s">
        <v>46</v>
      </c>
      <c r="C141" s="88" t="s">
        <v>47</v>
      </c>
      <c r="D141" s="87">
        <v>2024</v>
      </c>
      <c r="E141" s="88" t="s">
        <v>43</v>
      </c>
      <c r="F141" s="88" t="s">
        <v>150</v>
      </c>
      <c r="G141" s="89" t="s">
        <v>44</v>
      </c>
      <c r="H141" s="89" t="s">
        <v>44</v>
      </c>
      <c r="I141" s="89" t="s">
        <v>44</v>
      </c>
      <c r="J141" s="89" t="s">
        <v>44</v>
      </c>
      <c r="K141" s="90">
        <v>25690</v>
      </c>
    </row>
    <row r="142" ht="15.75" customHeight="1" spans="1:11">
      <c r="A142" s="87">
        <v>141</v>
      </c>
      <c r="B142" s="88" t="s">
        <v>46</v>
      </c>
      <c r="C142" s="88" t="s">
        <v>47</v>
      </c>
      <c r="D142" s="87">
        <v>2024</v>
      </c>
      <c r="E142" s="88" t="s">
        <v>43</v>
      </c>
      <c r="F142" s="88" t="s">
        <v>151</v>
      </c>
      <c r="G142" s="89" t="s">
        <v>44</v>
      </c>
      <c r="H142" s="89" t="s">
        <v>44</v>
      </c>
      <c r="I142" s="89" t="s">
        <v>44</v>
      </c>
      <c r="J142" s="89" t="s">
        <v>44</v>
      </c>
      <c r="K142" s="90">
        <v>11110904</v>
      </c>
    </row>
    <row r="143" ht="15.75" customHeight="1" spans="1:11">
      <c r="A143" s="87">
        <v>142</v>
      </c>
      <c r="B143" s="88" t="s">
        <v>46</v>
      </c>
      <c r="C143" s="88" t="s">
        <v>47</v>
      </c>
      <c r="D143" s="87">
        <v>2024</v>
      </c>
      <c r="E143" s="88" t="s">
        <v>43</v>
      </c>
      <c r="F143" s="88" t="s">
        <v>152</v>
      </c>
      <c r="G143" s="89" t="s">
        <v>44</v>
      </c>
      <c r="H143" s="89" t="s">
        <v>44</v>
      </c>
      <c r="I143" s="89" t="s">
        <v>44</v>
      </c>
      <c r="J143" s="89" t="s">
        <v>44</v>
      </c>
      <c r="K143" s="90">
        <v>189261</v>
      </c>
    </row>
    <row r="144" ht="15.75" customHeight="1" spans="1:11">
      <c r="A144" s="87">
        <v>143</v>
      </c>
      <c r="B144" s="88" t="s">
        <v>46</v>
      </c>
      <c r="C144" s="88" t="s">
        <v>47</v>
      </c>
      <c r="D144" s="87">
        <v>2025</v>
      </c>
      <c r="E144" s="88" t="s">
        <v>31</v>
      </c>
      <c r="F144" s="88" t="s">
        <v>150</v>
      </c>
      <c r="G144" s="89" t="s">
        <v>44</v>
      </c>
      <c r="H144" s="89" t="s">
        <v>44</v>
      </c>
      <c r="I144" s="89" t="s">
        <v>44</v>
      </c>
      <c r="J144" s="89" t="s">
        <v>44</v>
      </c>
      <c r="K144" s="90">
        <v>14347</v>
      </c>
    </row>
    <row r="145" ht="15.75" customHeight="1" spans="1:11">
      <c r="A145" s="87">
        <v>144</v>
      </c>
      <c r="B145" s="88" t="s">
        <v>46</v>
      </c>
      <c r="C145" s="88" t="s">
        <v>47</v>
      </c>
      <c r="D145" s="87">
        <v>2025</v>
      </c>
      <c r="E145" s="88" t="s">
        <v>31</v>
      </c>
      <c r="F145" s="88" t="s">
        <v>151</v>
      </c>
      <c r="G145" s="89" t="s">
        <v>44</v>
      </c>
      <c r="H145" s="89" t="s">
        <v>44</v>
      </c>
      <c r="I145" s="89" t="s">
        <v>44</v>
      </c>
      <c r="J145" s="89" t="s">
        <v>44</v>
      </c>
      <c r="K145" s="90">
        <v>5595303</v>
      </c>
    </row>
    <row r="146" ht="15.75" customHeight="1" spans="1:11">
      <c r="A146" s="87">
        <v>145</v>
      </c>
      <c r="B146" s="88" t="s">
        <v>46</v>
      </c>
      <c r="C146" s="88" t="s">
        <v>47</v>
      </c>
      <c r="D146" s="87">
        <v>2025</v>
      </c>
      <c r="E146" s="88" t="s">
        <v>31</v>
      </c>
      <c r="F146" s="88" t="s">
        <v>152</v>
      </c>
      <c r="G146" s="89" t="s">
        <v>44</v>
      </c>
      <c r="H146" s="89" t="s">
        <v>44</v>
      </c>
      <c r="I146" s="89" t="s">
        <v>44</v>
      </c>
      <c r="J146" s="89" t="s">
        <v>44</v>
      </c>
      <c r="K146" s="90">
        <v>118683</v>
      </c>
    </row>
    <row r="147" ht="15.75" customHeight="1" spans="1:11">
      <c r="A147" s="87">
        <v>146</v>
      </c>
      <c r="B147" s="88" t="s">
        <v>46</v>
      </c>
      <c r="C147" s="88" t="s">
        <v>47</v>
      </c>
      <c r="D147" s="87">
        <v>2025</v>
      </c>
      <c r="E147" s="88" t="s">
        <v>33</v>
      </c>
      <c r="F147" s="88" t="s">
        <v>150</v>
      </c>
      <c r="G147" s="89" t="s">
        <v>44</v>
      </c>
      <c r="H147" s="89" t="s">
        <v>44</v>
      </c>
      <c r="I147" s="89" t="s">
        <v>44</v>
      </c>
      <c r="J147" s="89" t="s">
        <v>44</v>
      </c>
      <c r="K147" s="90">
        <v>28875</v>
      </c>
    </row>
    <row r="148" ht="15.75" customHeight="1" spans="1:11">
      <c r="A148" s="87">
        <v>147</v>
      </c>
      <c r="B148" s="88" t="s">
        <v>46</v>
      </c>
      <c r="C148" s="88" t="s">
        <v>47</v>
      </c>
      <c r="D148" s="87">
        <v>2025</v>
      </c>
      <c r="E148" s="88" t="s">
        <v>33</v>
      </c>
      <c r="F148" s="88" t="s">
        <v>153</v>
      </c>
      <c r="G148" s="90">
        <v>13909</v>
      </c>
      <c r="H148" s="89">
        <v>1</v>
      </c>
      <c r="I148" s="89" t="s">
        <v>44</v>
      </c>
      <c r="J148" s="89" t="s">
        <v>44</v>
      </c>
      <c r="K148" s="90">
        <v>13909</v>
      </c>
    </row>
    <row r="149" ht="15.75" customHeight="1" spans="1:11">
      <c r="A149" s="87">
        <v>148</v>
      </c>
      <c r="B149" s="88" t="s">
        <v>46</v>
      </c>
      <c r="C149" s="88" t="s">
        <v>47</v>
      </c>
      <c r="D149" s="87">
        <v>2025</v>
      </c>
      <c r="E149" s="88" t="s">
        <v>33</v>
      </c>
      <c r="F149" s="88" t="s">
        <v>151</v>
      </c>
      <c r="G149" s="89" t="s">
        <v>44</v>
      </c>
      <c r="H149" s="89" t="s">
        <v>44</v>
      </c>
      <c r="I149" s="89" t="s">
        <v>44</v>
      </c>
      <c r="J149" s="89" t="s">
        <v>44</v>
      </c>
      <c r="K149" s="90">
        <v>5617731</v>
      </c>
    </row>
    <row r="150" ht="15.75" customHeight="1" spans="1:11">
      <c r="A150" s="87">
        <v>149</v>
      </c>
      <c r="B150" s="88" t="s">
        <v>46</v>
      </c>
      <c r="C150" s="88" t="s">
        <v>47</v>
      </c>
      <c r="D150" s="87">
        <v>2025</v>
      </c>
      <c r="E150" s="88" t="s">
        <v>33</v>
      </c>
      <c r="F150" s="88" t="s">
        <v>152</v>
      </c>
      <c r="G150" s="89" t="s">
        <v>44</v>
      </c>
      <c r="H150" s="89" t="s">
        <v>44</v>
      </c>
      <c r="I150" s="89" t="s">
        <v>44</v>
      </c>
      <c r="J150" s="89" t="s">
        <v>44</v>
      </c>
      <c r="K150" s="90">
        <v>129864</v>
      </c>
    </row>
    <row r="151" ht="15.75" customHeight="1" spans="1:11">
      <c r="A151" s="87">
        <v>150</v>
      </c>
      <c r="B151" s="88" t="s">
        <v>46</v>
      </c>
      <c r="C151" s="88" t="s">
        <v>47</v>
      </c>
      <c r="D151" s="87">
        <v>2025</v>
      </c>
      <c r="E151" s="88" t="s">
        <v>34</v>
      </c>
      <c r="F151" s="88" t="s">
        <v>150</v>
      </c>
      <c r="G151" s="89" t="s">
        <v>44</v>
      </c>
      <c r="H151" s="89" t="s">
        <v>44</v>
      </c>
      <c r="I151" s="89" t="s">
        <v>44</v>
      </c>
      <c r="J151" s="89" t="s">
        <v>44</v>
      </c>
      <c r="K151" s="90">
        <v>60149</v>
      </c>
    </row>
    <row r="152" ht="15.75" customHeight="1" spans="1:11">
      <c r="A152" s="87">
        <v>151</v>
      </c>
      <c r="B152" s="88" t="s">
        <v>46</v>
      </c>
      <c r="C152" s="88" t="s">
        <v>47</v>
      </c>
      <c r="D152" s="87">
        <v>2025</v>
      </c>
      <c r="E152" s="88" t="s">
        <v>34</v>
      </c>
      <c r="F152" s="88" t="s">
        <v>151</v>
      </c>
      <c r="G152" s="89" t="s">
        <v>44</v>
      </c>
      <c r="H152" s="89" t="s">
        <v>44</v>
      </c>
      <c r="I152" s="89" t="s">
        <v>44</v>
      </c>
      <c r="J152" s="89" t="s">
        <v>44</v>
      </c>
      <c r="K152" s="90">
        <v>6731807</v>
      </c>
    </row>
    <row r="153" ht="15.75" customHeight="1" spans="1:11">
      <c r="A153" s="87">
        <v>152</v>
      </c>
      <c r="B153" s="88" t="s">
        <v>46</v>
      </c>
      <c r="C153" s="88" t="s">
        <v>47</v>
      </c>
      <c r="D153" s="87">
        <v>2025</v>
      </c>
      <c r="E153" s="88" t="s">
        <v>34</v>
      </c>
      <c r="F153" s="88" t="s">
        <v>152</v>
      </c>
      <c r="G153" s="89" t="s">
        <v>44</v>
      </c>
      <c r="H153" s="89" t="s">
        <v>44</v>
      </c>
      <c r="I153" s="89" t="s">
        <v>44</v>
      </c>
      <c r="J153" s="89" t="s">
        <v>44</v>
      </c>
      <c r="K153" s="90">
        <v>75395</v>
      </c>
    </row>
    <row r="154" ht="15.75" customHeight="1" spans="1:11">
      <c r="A154" s="87">
        <v>153</v>
      </c>
      <c r="B154" s="88" t="s">
        <v>46</v>
      </c>
      <c r="C154" s="88" t="s">
        <v>47</v>
      </c>
      <c r="D154" s="87">
        <v>2025</v>
      </c>
      <c r="E154" s="88" t="s">
        <v>35</v>
      </c>
      <c r="F154" s="88" t="s">
        <v>150</v>
      </c>
      <c r="G154" s="89" t="s">
        <v>44</v>
      </c>
      <c r="H154" s="89" t="s">
        <v>44</v>
      </c>
      <c r="I154" s="89" t="s">
        <v>44</v>
      </c>
      <c r="J154" s="89" t="s">
        <v>44</v>
      </c>
      <c r="K154" s="90">
        <v>50568</v>
      </c>
    </row>
    <row r="155" ht="15.75" customHeight="1" spans="1:11">
      <c r="A155" s="87">
        <v>154</v>
      </c>
      <c r="B155" s="88" t="s">
        <v>46</v>
      </c>
      <c r="C155" s="88" t="s">
        <v>47</v>
      </c>
      <c r="D155" s="87">
        <v>2025</v>
      </c>
      <c r="E155" s="88" t="s">
        <v>35</v>
      </c>
      <c r="F155" s="88" t="s">
        <v>151</v>
      </c>
      <c r="G155" s="89" t="s">
        <v>44</v>
      </c>
      <c r="H155" s="89" t="s">
        <v>44</v>
      </c>
      <c r="I155" s="89" t="s">
        <v>44</v>
      </c>
      <c r="J155" s="89" t="s">
        <v>44</v>
      </c>
      <c r="K155" s="90">
        <v>4322547</v>
      </c>
    </row>
    <row r="156" ht="15.75" customHeight="1" spans="1:11">
      <c r="A156" s="87">
        <v>155</v>
      </c>
      <c r="B156" s="88" t="s">
        <v>46</v>
      </c>
      <c r="C156" s="88" t="s">
        <v>47</v>
      </c>
      <c r="D156" s="87">
        <v>2025</v>
      </c>
      <c r="E156" s="88" t="s">
        <v>35</v>
      </c>
      <c r="F156" s="88" t="s">
        <v>152</v>
      </c>
      <c r="G156" s="89" t="s">
        <v>44</v>
      </c>
      <c r="H156" s="89" t="s">
        <v>44</v>
      </c>
      <c r="I156" s="89" t="s">
        <v>44</v>
      </c>
      <c r="J156" s="89" t="s">
        <v>44</v>
      </c>
      <c r="K156" s="90">
        <v>75935</v>
      </c>
    </row>
    <row r="157" ht="15.75" customHeight="1" spans="1:11">
      <c r="A157" s="87">
        <v>156</v>
      </c>
      <c r="B157" s="88" t="s">
        <v>46</v>
      </c>
      <c r="C157" s="88" t="s">
        <v>47</v>
      </c>
      <c r="D157" s="87">
        <v>2025</v>
      </c>
      <c r="E157" s="88" t="s">
        <v>36</v>
      </c>
      <c r="F157" s="88" t="s">
        <v>150</v>
      </c>
      <c r="G157" s="89" t="s">
        <v>44</v>
      </c>
      <c r="H157" s="89" t="s">
        <v>44</v>
      </c>
      <c r="I157" s="89" t="s">
        <v>44</v>
      </c>
      <c r="J157" s="89" t="s">
        <v>44</v>
      </c>
      <c r="K157" s="90">
        <v>36380</v>
      </c>
    </row>
    <row r="158" ht="15.75" customHeight="1" spans="1:11">
      <c r="A158" s="87">
        <v>157</v>
      </c>
      <c r="B158" s="88" t="s">
        <v>46</v>
      </c>
      <c r="C158" s="88" t="s">
        <v>47</v>
      </c>
      <c r="D158" s="87">
        <v>2025</v>
      </c>
      <c r="E158" s="88" t="s">
        <v>36</v>
      </c>
      <c r="F158" s="88" t="s">
        <v>151</v>
      </c>
      <c r="G158" s="89" t="s">
        <v>44</v>
      </c>
      <c r="H158" s="89" t="s">
        <v>44</v>
      </c>
      <c r="I158" s="89" t="s">
        <v>44</v>
      </c>
      <c r="J158" s="89" t="s">
        <v>44</v>
      </c>
      <c r="K158" s="90">
        <v>4772250</v>
      </c>
    </row>
    <row r="159" ht="15.75" customHeight="1" spans="1:11">
      <c r="A159" s="87">
        <v>158</v>
      </c>
      <c r="B159" s="88" t="s">
        <v>46</v>
      </c>
      <c r="C159" s="88" t="s">
        <v>47</v>
      </c>
      <c r="D159" s="87">
        <v>2025</v>
      </c>
      <c r="E159" s="88" t="s">
        <v>36</v>
      </c>
      <c r="F159" s="88" t="s">
        <v>152</v>
      </c>
      <c r="G159" s="89" t="s">
        <v>44</v>
      </c>
      <c r="H159" s="89" t="s">
        <v>44</v>
      </c>
      <c r="I159" s="89" t="s">
        <v>44</v>
      </c>
      <c r="J159" s="89" t="s">
        <v>44</v>
      </c>
      <c r="K159" s="90">
        <v>75930</v>
      </c>
    </row>
    <row r="160" ht="15.75" customHeight="1" spans="1:11">
      <c r="A160" s="87">
        <v>159</v>
      </c>
      <c r="B160" s="88" t="s">
        <v>46</v>
      </c>
      <c r="C160" s="88" t="s">
        <v>47</v>
      </c>
      <c r="D160" s="87">
        <v>2025</v>
      </c>
      <c r="E160" s="88" t="s">
        <v>37</v>
      </c>
      <c r="F160" s="88" t="s">
        <v>150</v>
      </c>
      <c r="G160" s="89" t="s">
        <v>44</v>
      </c>
      <c r="H160" s="89" t="s">
        <v>44</v>
      </c>
      <c r="I160" s="89" t="s">
        <v>44</v>
      </c>
      <c r="J160" s="89" t="s">
        <v>44</v>
      </c>
      <c r="K160" s="90">
        <v>7501</v>
      </c>
    </row>
    <row r="161" ht="15.75" customHeight="1" spans="1:11">
      <c r="A161" s="87">
        <v>160</v>
      </c>
      <c r="B161" s="88" t="s">
        <v>46</v>
      </c>
      <c r="C161" s="88" t="s">
        <v>47</v>
      </c>
      <c r="D161" s="87">
        <v>2025</v>
      </c>
      <c r="E161" s="88" t="s">
        <v>37</v>
      </c>
      <c r="F161" s="88" t="s">
        <v>151</v>
      </c>
      <c r="G161" s="89" t="s">
        <v>44</v>
      </c>
      <c r="H161" s="89" t="s">
        <v>44</v>
      </c>
      <c r="I161" s="89" t="s">
        <v>44</v>
      </c>
      <c r="J161" s="89" t="s">
        <v>44</v>
      </c>
      <c r="K161" s="90">
        <v>3446240</v>
      </c>
    </row>
    <row r="162" ht="15.75" customHeight="1" spans="1:11">
      <c r="A162" s="87">
        <v>161</v>
      </c>
      <c r="B162" s="88" t="s">
        <v>46</v>
      </c>
      <c r="C162" s="88" t="s">
        <v>47</v>
      </c>
      <c r="D162" s="87">
        <v>2025</v>
      </c>
      <c r="E162" s="88" t="s">
        <v>37</v>
      </c>
      <c r="F162" s="88" t="s">
        <v>152</v>
      </c>
      <c r="G162" s="89" t="s">
        <v>44</v>
      </c>
      <c r="H162" s="89" t="s">
        <v>44</v>
      </c>
      <c r="I162" s="89" t="s">
        <v>44</v>
      </c>
      <c r="J162" s="89" t="s">
        <v>44</v>
      </c>
      <c r="K162" s="90">
        <v>53462</v>
      </c>
    </row>
    <row r="163" ht="15.75" customHeight="1" spans="1:11">
      <c r="A163" s="87">
        <v>162</v>
      </c>
      <c r="B163" s="88" t="s">
        <v>46</v>
      </c>
      <c r="C163" s="88" t="s">
        <v>47</v>
      </c>
      <c r="D163" s="87">
        <v>2025</v>
      </c>
      <c r="E163" s="88" t="s">
        <v>38</v>
      </c>
      <c r="F163" s="88" t="s">
        <v>150</v>
      </c>
      <c r="G163" s="89" t="s">
        <v>44</v>
      </c>
      <c r="H163" s="89" t="s">
        <v>44</v>
      </c>
      <c r="I163" s="89" t="s">
        <v>44</v>
      </c>
      <c r="J163" s="89" t="s">
        <v>44</v>
      </c>
      <c r="K163" s="90">
        <v>6222</v>
      </c>
    </row>
    <row r="164" ht="15.75" customHeight="1" spans="1:11">
      <c r="A164" s="87">
        <v>163</v>
      </c>
      <c r="B164" s="88" t="s">
        <v>46</v>
      </c>
      <c r="C164" s="88" t="s">
        <v>47</v>
      </c>
      <c r="D164" s="87">
        <v>2025</v>
      </c>
      <c r="E164" s="88" t="s">
        <v>38</v>
      </c>
      <c r="F164" s="88" t="s">
        <v>151</v>
      </c>
      <c r="G164" s="89" t="s">
        <v>44</v>
      </c>
      <c r="H164" s="89" t="s">
        <v>44</v>
      </c>
      <c r="I164" s="89" t="s">
        <v>44</v>
      </c>
      <c r="J164" s="89" t="s">
        <v>44</v>
      </c>
      <c r="K164" s="90">
        <v>4081782</v>
      </c>
    </row>
    <row r="165" ht="15.75" customHeight="1" spans="1:11">
      <c r="A165" s="87">
        <v>164</v>
      </c>
      <c r="B165" s="88" t="s">
        <v>46</v>
      </c>
      <c r="C165" s="88" t="s">
        <v>47</v>
      </c>
      <c r="D165" s="87">
        <v>2025</v>
      </c>
      <c r="E165" s="88" t="s">
        <v>38</v>
      </c>
      <c r="F165" s="88" t="s">
        <v>152</v>
      </c>
      <c r="G165" s="89" t="s">
        <v>44</v>
      </c>
      <c r="H165" s="89" t="s">
        <v>44</v>
      </c>
      <c r="I165" s="89" t="s">
        <v>44</v>
      </c>
      <c r="J165" s="89" t="s">
        <v>44</v>
      </c>
      <c r="K165" s="90">
        <v>90531</v>
      </c>
    </row>
    <row r="166" ht="15.75" customHeight="1" spans="1:11">
      <c r="A166" s="87">
        <v>165</v>
      </c>
      <c r="B166" s="88" t="s">
        <v>46</v>
      </c>
      <c r="C166" s="88" t="s">
        <v>47</v>
      </c>
      <c r="D166" s="87">
        <v>2025</v>
      </c>
      <c r="E166" s="88" t="s">
        <v>39</v>
      </c>
      <c r="F166" s="88" t="s">
        <v>150</v>
      </c>
      <c r="G166" s="89" t="s">
        <v>44</v>
      </c>
      <c r="H166" s="89" t="s">
        <v>44</v>
      </c>
      <c r="I166" s="89" t="s">
        <v>44</v>
      </c>
      <c r="J166" s="89" t="s">
        <v>44</v>
      </c>
      <c r="K166" s="90">
        <v>6288</v>
      </c>
    </row>
    <row r="167" ht="15.75" customHeight="1" spans="1:11">
      <c r="A167" s="87">
        <v>166</v>
      </c>
      <c r="B167" s="88" t="s">
        <v>46</v>
      </c>
      <c r="C167" s="88" t="s">
        <v>47</v>
      </c>
      <c r="D167" s="87">
        <v>2025</v>
      </c>
      <c r="E167" s="88" t="s">
        <v>39</v>
      </c>
      <c r="F167" s="88" t="s">
        <v>151</v>
      </c>
      <c r="G167" s="89" t="s">
        <v>44</v>
      </c>
      <c r="H167" s="89" t="s">
        <v>44</v>
      </c>
      <c r="I167" s="89" t="s">
        <v>44</v>
      </c>
      <c r="J167" s="89" t="s">
        <v>44</v>
      </c>
      <c r="K167" s="90">
        <v>5512819</v>
      </c>
    </row>
    <row r="168" ht="15.75" customHeight="1" spans="1:11">
      <c r="A168" s="87">
        <v>167</v>
      </c>
      <c r="B168" s="88" t="s">
        <v>46</v>
      </c>
      <c r="C168" s="88" t="s">
        <v>47</v>
      </c>
      <c r="D168" s="87">
        <v>2025</v>
      </c>
      <c r="E168" s="88" t="s">
        <v>39</v>
      </c>
      <c r="F168" s="88" t="s">
        <v>152</v>
      </c>
      <c r="G168" s="89" t="s">
        <v>44</v>
      </c>
      <c r="H168" s="89" t="s">
        <v>44</v>
      </c>
      <c r="I168" s="89" t="s">
        <v>44</v>
      </c>
      <c r="J168" s="89" t="s">
        <v>44</v>
      </c>
      <c r="K168" s="90">
        <v>130000</v>
      </c>
    </row>
    <row r="169" ht="15.75" customHeight="1" spans="1:11">
      <c r="A169" s="87">
        <v>168</v>
      </c>
      <c r="B169" s="88" t="s">
        <v>46</v>
      </c>
      <c r="C169" s="88" t="s">
        <v>47</v>
      </c>
      <c r="D169" s="87">
        <v>2025</v>
      </c>
      <c r="E169" s="88" t="s">
        <v>40</v>
      </c>
      <c r="F169" s="88" t="s">
        <v>150</v>
      </c>
      <c r="G169" s="89" t="s">
        <v>44</v>
      </c>
      <c r="H169" s="89" t="s">
        <v>44</v>
      </c>
      <c r="I169" s="89" t="s">
        <v>44</v>
      </c>
      <c r="J169" s="89" t="s">
        <v>44</v>
      </c>
      <c r="K169" s="90">
        <v>6073</v>
      </c>
    </row>
    <row r="170" ht="15.75" customHeight="1" spans="1:11">
      <c r="A170" s="87">
        <v>169</v>
      </c>
      <c r="B170" s="88" t="s">
        <v>46</v>
      </c>
      <c r="C170" s="88" t="s">
        <v>47</v>
      </c>
      <c r="D170" s="87">
        <v>2025</v>
      </c>
      <c r="E170" s="88" t="s">
        <v>40</v>
      </c>
      <c r="F170" s="88" t="s">
        <v>151</v>
      </c>
      <c r="G170" s="89" t="s">
        <v>44</v>
      </c>
      <c r="H170" s="89" t="s">
        <v>44</v>
      </c>
      <c r="I170" s="89" t="s">
        <v>44</v>
      </c>
      <c r="J170" s="89" t="s">
        <v>44</v>
      </c>
      <c r="K170" s="90">
        <v>5179038</v>
      </c>
    </row>
    <row r="171" ht="15.75" customHeight="1" spans="1:11">
      <c r="A171" s="87">
        <v>170</v>
      </c>
      <c r="B171" s="88" t="s">
        <v>46</v>
      </c>
      <c r="C171" s="88" t="s">
        <v>47</v>
      </c>
      <c r="D171" s="87">
        <v>2025</v>
      </c>
      <c r="E171" s="88" t="s">
        <v>40</v>
      </c>
      <c r="F171" s="88" t="s">
        <v>152</v>
      </c>
      <c r="G171" s="89" t="s">
        <v>44</v>
      </c>
      <c r="H171" s="89" t="s">
        <v>44</v>
      </c>
      <c r="I171" s="89" t="s">
        <v>44</v>
      </c>
      <c r="J171" s="89" t="s">
        <v>44</v>
      </c>
      <c r="K171" s="90">
        <v>150960</v>
      </c>
    </row>
    <row r="172" ht="15.75" customHeight="1" spans="1:11">
      <c r="A172" s="87">
        <v>171</v>
      </c>
      <c r="B172" s="88" t="s">
        <v>46</v>
      </c>
      <c r="C172" s="88" t="s">
        <v>47</v>
      </c>
      <c r="D172" s="87">
        <v>2025</v>
      </c>
      <c r="E172" s="88" t="s">
        <v>41</v>
      </c>
      <c r="F172" s="88" t="s">
        <v>150</v>
      </c>
      <c r="G172" s="89" t="s">
        <v>44</v>
      </c>
      <c r="H172" s="89" t="s">
        <v>44</v>
      </c>
      <c r="I172" s="89" t="s">
        <v>44</v>
      </c>
      <c r="J172" s="89" t="s">
        <v>44</v>
      </c>
      <c r="K172" s="90">
        <v>5355</v>
      </c>
    </row>
    <row r="173" ht="15.75" customHeight="1" spans="1:11">
      <c r="A173" s="87">
        <v>172</v>
      </c>
      <c r="B173" s="88" t="s">
        <v>46</v>
      </c>
      <c r="C173" s="88" t="s">
        <v>47</v>
      </c>
      <c r="D173" s="87">
        <v>2025</v>
      </c>
      <c r="E173" s="88" t="s">
        <v>41</v>
      </c>
      <c r="F173" s="88" t="s">
        <v>151</v>
      </c>
      <c r="G173" s="89" t="s">
        <v>44</v>
      </c>
      <c r="H173" s="89" t="s">
        <v>44</v>
      </c>
      <c r="I173" s="89" t="s">
        <v>44</v>
      </c>
      <c r="J173" s="89" t="s">
        <v>44</v>
      </c>
      <c r="K173" s="90">
        <v>6806532</v>
      </c>
    </row>
    <row r="174" ht="15.75" customHeight="1" spans="1:11">
      <c r="A174" s="87">
        <v>173</v>
      </c>
      <c r="B174" s="88" t="s">
        <v>46</v>
      </c>
      <c r="C174" s="88" t="s">
        <v>47</v>
      </c>
      <c r="D174" s="87">
        <v>2025</v>
      </c>
      <c r="E174" s="88" t="s">
        <v>41</v>
      </c>
      <c r="F174" s="88" t="s">
        <v>152</v>
      </c>
      <c r="G174" s="89" t="s">
        <v>44</v>
      </c>
      <c r="H174" s="89" t="s">
        <v>44</v>
      </c>
      <c r="I174" s="89" t="s">
        <v>44</v>
      </c>
      <c r="J174" s="89" t="s">
        <v>44</v>
      </c>
      <c r="K174" s="90">
        <v>244208</v>
      </c>
    </row>
    <row r="175" ht="15.75" customHeight="1" spans="1:11">
      <c r="A175" s="87">
        <v>174</v>
      </c>
      <c r="B175" s="88" t="s">
        <v>46</v>
      </c>
      <c r="C175" s="88" t="s">
        <v>47</v>
      </c>
      <c r="D175" s="87">
        <v>2025</v>
      </c>
      <c r="E175" s="88" t="s">
        <v>42</v>
      </c>
      <c r="F175" s="88" t="s">
        <v>150</v>
      </c>
      <c r="G175" s="89" t="s">
        <v>44</v>
      </c>
      <c r="H175" s="89" t="s">
        <v>44</v>
      </c>
      <c r="I175" s="89" t="s">
        <v>44</v>
      </c>
      <c r="J175" s="89" t="s">
        <v>44</v>
      </c>
      <c r="K175" s="90">
        <v>6218</v>
      </c>
    </row>
    <row r="176" ht="15.75" customHeight="1" spans="1:11">
      <c r="A176" s="87">
        <v>175</v>
      </c>
      <c r="B176" s="88" t="s">
        <v>46</v>
      </c>
      <c r="C176" s="88" t="s">
        <v>47</v>
      </c>
      <c r="D176" s="87">
        <v>2025</v>
      </c>
      <c r="E176" s="88" t="s">
        <v>42</v>
      </c>
      <c r="F176" s="88" t="s">
        <v>151</v>
      </c>
      <c r="G176" s="89" t="s">
        <v>44</v>
      </c>
      <c r="H176" s="89" t="s">
        <v>44</v>
      </c>
      <c r="I176" s="89" t="s">
        <v>44</v>
      </c>
      <c r="J176" s="89" t="s">
        <v>44</v>
      </c>
      <c r="K176" s="90">
        <v>6469365</v>
      </c>
    </row>
    <row r="177" ht="15.75" customHeight="1" spans="1:11">
      <c r="A177" s="87">
        <v>176</v>
      </c>
      <c r="B177" s="88" t="s">
        <v>46</v>
      </c>
      <c r="C177" s="88" t="s">
        <v>47</v>
      </c>
      <c r="D177" s="87">
        <v>2025</v>
      </c>
      <c r="E177" s="88" t="s">
        <v>42</v>
      </c>
      <c r="F177" s="88" t="s">
        <v>152</v>
      </c>
      <c r="G177" s="89" t="s">
        <v>44</v>
      </c>
      <c r="H177" s="89" t="s">
        <v>44</v>
      </c>
      <c r="I177" s="89" t="s">
        <v>44</v>
      </c>
      <c r="J177" s="89" t="s">
        <v>44</v>
      </c>
      <c r="K177" s="90">
        <v>205223</v>
      </c>
    </row>
    <row r="178" ht="15.75" customHeight="1" spans="1:11">
      <c r="A178" s="87">
        <v>177</v>
      </c>
      <c r="B178" s="88" t="s">
        <v>46</v>
      </c>
      <c r="C178" s="88" t="s">
        <v>47</v>
      </c>
      <c r="D178" s="87">
        <v>2025</v>
      </c>
      <c r="E178" s="88" t="s">
        <v>43</v>
      </c>
      <c r="F178" s="88" t="s">
        <v>150</v>
      </c>
      <c r="G178" s="89" t="s">
        <v>44</v>
      </c>
      <c r="H178" s="89" t="s">
        <v>44</v>
      </c>
      <c r="I178" s="89" t="s">
        <v>44</v>
      </c>
      <c r="J178" s="89" t="s">
        <v>44</v>
      </c>
      <c r="K178" s="90">
        <v>7522</v>
      </c>
    </row>
    <row r="179" ht="15.75" customHeight="1" spans="1:11">
      <c r="A179" s="87">
        <v>178</v>
      </c>
      <c r="B179" s="88" t="s">
        <v>46</v>
      </c>
      <c r="C179" s="88" t="s">
        <v>47</v>
      </c>
      <c r="D179" s="87">
        <v>2025</v>
      </c>
      <c r="E179" s="88" t="s">
        <v>43</v>
      </c>
      <c r="F179" s="88" t="s">
        <v>151</v>
      </c>
      <c r="G179" s="89" t="s">
        <v>44</v>
      </c>
      <c r="H179" s="89" t="s">
        <v>44</v>
      </c>
      <c r="I179" s="89" t="s">
        <v>44</v>
      </c>
      <c r="J179" s="89" t="s">
        <v>44</v>
      </c>
      <c r="K179" s="90">
        <v>4045880</v>
      </c>
    </row>
    <row r="180" ht="15.75" customHeight="1" spans="1:11">
      <c r="A180" s="87">
        <v>179</v>
      </c>
      <c r="B180" s="88" t="s">
        <v>46</v>
      </c>
      <c r="C180" s="88" t="s">
        <v>47</v>
      </c>
      <c r="D180" s="87">
        <v>2025</v>
      </c>
      <c r="E180" s="88" t="s">
        <v>43</v>
      </c>
      <c r="F180" s="88" t="s">
        <v>152</v>
      </c>
      <c r="G180" s="89" t="s">
        <v>44</v>
      </c>
      <c r="H180" s="89" t="s">
        <v>44</v>
      </c>
      <c r="I180" s="89" t="s">
        <v>44</v>
      </c>
      <c r="J180" s="89" t="s">
        <v>44</v>
      </c>
      <c r="K180" s="90">
        <v>130992</v>
      </c>
    </row>
    <row r="181" ht="15.75" customHeight="1" spans="1:11">
      <c r="A181" s="87">
        <v>180</v>
      </c>
      <c r="B181" s="88" t="s">
        <v>46</v>
      </c>
      <c r="C181" s="88" t="s">
        <v>47</v>
      </c>
      <c r="D181" s="87">
        <v>2026</v>
      </c>
      <c r="E181" s="88" t="s">
        <v>31</v>
      </c>
      <c r="F181" s="88" t="s">
        <v>150</v>
      </c>
      <c r="G181" s="89" t="s">
        <v>44</v>
      </c>
      <c r="H181" s="89" t="s">
        <v>44</v>
      </c>
      <c r="I181" s="89" t="s">
        <v>44</v>
      </c>
      <c r="J181" s="89" t="s">
        <v>44</v>
      </c>
      <c r="K181" s="90">
        <v>5673</v>
      </c>
    </row>
    <row r="182" ht="15.75" customHeight="1" spans="1:11">
      <c r="A182" s="87">
        <v>181</v>
      </c>
      <c r="B182" s="88" t="s">
        <v>46</v>
      </c>
      <c r="C182" s="88" t="s">
        <v>47</v>
      </c>
      <c r="D182" s="87">
        <v>2026</v>
      </c>
      <c r="E182" s="88" t="s">
        <v>31</v>
      </c>
      <c r="F182" s="88" t="s">
        <v>151</v>
      </c>
      <c r="G182" s="89" t="s">
        <v>44</v>
      </c>
      <c r="H182" s="89" t="s">
        <v>44</v>
      </c>
      <c r="I182" s="89" t="s">
        <v>44</v>
      </c>
      <c r="J182" s="89" t="s">
        <v>44</v>
      </c>
      <c r="K182" s="90">
        <v>4263434</v>
      </c>
    </row>
    <row r="183" ht="15.75" customHeight="1" spans="1:11">
      <c r="A183" s="87">
        <v>182</v>
      </c>
      <c r="B183" s="88" t="s">
        <v>46</v>
      </c>
      <c r="C183" s="88" t="s">
        <v>47</v>
      </c>
      <c r="D183" s="87">
        <v>2026</v>
      </c>
      <c r="E183" s="88" t="s">
        <v>31</v>
      </c>
      <c r="F183" s="88" t="s">
        <v>152</v>
      </c>
      <c r="G183" s="89" t="s">
        <v>44</v>
      </c>
      <c r="H183" s="89" t="s">
        <v>44</v>
      </c>
      <c r="I183" s="89" t="s">
        <v>44</v>
      </c>
      <c r="J183" s="89" t="s">
        <v>44</v>
      </c>
      <c r="K183" s="90">
        <v>126645</v>
      </c>
    </row>
    <row r="184" ht="15.75" customHeight="1" spans="1:11">
      <c r="A184" s="87">
        <v>183</v>
      </c>
      <c r="B184" s="88" t="s">
        <v>46</v>
      </c>
      <c r="C184" s="88" t="s">
        <v>47</v>
      </c>
      <c r="D184" s="87">
        <v>2026</v>
      </c>
      <c r="E184" s="88" t="s">
        <v>33</v>
      </c>
      <c r="F184" s="88" t="s">
        <v>151</v>
      </c>
      <c r="G184" s="89" t="s">
        <v>44</v>
      </c>
      <c r="H184" s="89" t="s">
        <v>44</v>
      </c>
      <c r="I184" s="89" t="s">
        <v>44</v>
      </c>
      <c r="J184" s="89" t="s">
        <v>44</v>
      </c>
      <c r="K184" s="90">
        <v>4313024</v>
      </c>
    </row>
    <row r="185" ht="15.75" customHeight="1" spans="1:11">
      <c r="A185" s="87">
        <v>184</v>
      </c>
      <c r="B185" s="88" t="s">
        <v>46</v>
      </c>
      <c r="C185" s="88" t="s">
        <v>47</v>
      </c>
      <c r="D185" s="87">
        <v>2026</v>
      </c>
      <c r="E185" s="88" t="s">
        <v>33</v>
      </c>
      <c r="F185" s="88" t="s">
        <v>152</v>
      </c>
      <c r="G185" s="89" t="s">
        <v>44</v>
      </c>
      <c r="H185" s="89" t="s">
        <v>44</v>
      </c>
      <c r="I185" s="89" t="s">
        <v>44</v>
      </c>
      <c r="J185" s="89" t="s">
        <v>44</v>
      </c>
      <c r="K185" s="90">
        <v>110016</v>
      </c>
    </row>
    <row r="186" ht="15.75" customHeight="1" spans="1:11">
      <c r="A186" s="87">
        <v>185</v>
      </c>
      <c r="B186" s="88" t="s">
        <v>46</v>
      </c>
      <c r="C186" s="88" t="s">
        <v>47</v>
      </c>
      <c r="D186" s="87">
        <v>2026</v>
      </c>
      <c r="E186" s="88" t="s">
        <v>33</v>
      </c>
      <c r="F186" s="88" t="s">
        <v>150</v>
      </c>
      <c r="G186" s="89" t="s">
        <v>44</v>
      </c>
      <c r="H186" s="89" t="s">
        <v>44</v>
      </c>
      <c r="I186" s="89" t="s">
        <v>44</v>
      </c>
      <c r="J186" s="89" t="s">
        <v>44</v>
      </c>
      <c r="K186" s="90">
        <v>7715</v>
      </c>
    </row>
    <row r="187" ht="15.75" customHeight="1" spans="1:11">
      <c r="A187" s="87">
        <v>186</v>
      </c>
      <c r="B187" s="88" t="s">
        <v>46</v>
      </c>
      <c r="C187" s="88" t="s">
        <v>47</v>
      </c>
      <c r="D187" s="87">
        <v>2026</v>
      </c>
      <c r="E187" s="88" t="s">
        <v>34</v>
      </c>
      <c r="F187" s="88" t="s">
        <v>152</v>
      </c>
      <c r="G187" s="89" t="s">
        <v>44</v>
      </c>
      <c r="H187" s="89" t="s">
        <v>44</v>
      </c>
      <c r="I187" s="89" t="s">
        <v>44</v>
      </c>
      <c r="J187" s="89" t="s">
        <v>44</v>
      </c>
      <c r="K187" s="90">
        <v>199539</v>
      </c>
    </row>
    <row r="188" ht="15.75" customHeight="1" spans="1:11">
      <c r="A188" s="87">
        <v>187</v>
      </c>
      <c r="B188" s="88" t="s">
        <v>46</v>
      </c>
      <c r="C188" s="88" t="s">
        <v>47</v>
      </c>
      <c r="D188" s="87">
        <v>2026</v>
      </c>
      <c r="E188" s="88" t="s">
        <v>34</v>
      </c>
      <c r="F188" s="88" t="s">
        <v>150</v>
      </c>
      <c r="G188" s="89" t="s">
        <v>44</v>
      </c>
      <c r="H188" s="89" t="s">
        <v>44</v>
      </c>
      <c r="I188" s="89" t="s">
        <v>44</v>
      </c>
      <c r="J188" s="89" t="s">
        <v>44</v>
      </c>
      <c r="K188" s="90">
        <v>16774</v>
      </c>
    </row>
    <row r="189" ht="15.75" customHeight="1" spans="1:11">
      <c r="A189" s="87">
        <v>188</v>
      </c>
      <c r="B189" s="88" t="s">
        <v>46</v>
      </c>
      <c r="C189" s="88" t="s">
        <v>47</v>
      </c>
      <c r="D189" s="87">
        <v>2026</v>
      </c>
      <c r="E189" s="88" t="s">
        <v>34</v>
      </c>
      <c r="F189" s="88" t="s">
        <v>151</v>
      </c>
      <c r="G189" s="89" t="s">
        <v>44</v>
      </c>
      <c r="H189" s="89" t="s">
        <v>44</v>
      </c>
      <c r="I189" s="89" t="s">
        <v>44</v>
      </c>
      <c r="J189" s="89" t="s">
        <v>44</v>
      </c>
      <c r="K189" s="90">
        <v>6767648</v>
      </c>
    </row>
    <row r="190" ht="15.75" customHeight="1" spans="1:11">
      <c r="A190" s="87">
        <v>189</v>
      </c>
      <c r="B190" s="88" t="s">
        <v>46</v>
      </c>
      <c r="C190" s="88" t="s">
        <v>133</v>
      </c>
      <c r="D190" s="87">
        <v>2024</v>
      </c>
      <c r="E190" s="88" t="s">
        <v>31</v>
      </c>
      <c r="F190" s="88" t="s">
        <v>150</v>
      </c>
      <c r="G190" s="89" t="s">
        <v>44</v>
      </c>
      <c r="H190" s="89" t="s">
        <v>44</v>
      </c>
      <c r="I190" s="89" t="s">
        <v>44</v>
      </c>
      <c r="J190" s="89" t="s">
        <v>44</v>
      </c>
      <c r="K190" s="89">
        <v>220</v>
      </c>
    </row>
    <row r="191" ht="15.75" customHeight="1" spans="1:11">
      <c r="A191" s="87">
        <v>190</v>
      </c>
      <c r="B191" s="88" t="s">
        <v>46</v>
      </c>
      <c r="C191" s="88" t="s">
        <v>133</v>
      </c>
      <c r="D191" s="87">
        <v>2024</v>
      </c>
      <c r="E191" s="88" t="s">
        <v>31</v>
      </c>
      <c r="F191" s="88" t="s">
        <v>151</v>
      </c>
      <c r="G191" s="89" t="s">
        <v>44</v>
      </c>
      <c r="H191" s="89" t="s">
        <v>44</v>
      </c>
      <c r="I191" s="89" t="s">
        <v>44</v>
      </c>
      <c r="J191" s="89" t="s">
        <v>44</v>
      </c>
      <c r="K191" s="90">
        <v>58943</v>
      </c>
    </row>
    <row r="192" ht="15.75" customHeight="1" spans="1:11">
      <c r="A192" s="87">
        <v>191</v>
      </c>
      <c r="B192" s="88" t="s">
        <v>46</v>
      </c>
      <c r="C192" s="88" t="s">
        <v>133</v>
      </c>
      <c r="D192" s="87">
        <v>2024</v>
      </c>
      <c r="E192" s="88" t="s">
        <v>31</v>
      </c>
      <c r="F192" s="88" t="s">
        <v>152</v>
      </c>
      <c r="G192" s="89" t="s">
        <v>44</v>
      </c>
      <c r="H192" s="89" t="s">
        <v>44</v>
      </c>
      <c r="I192" s="89" t="s">
        <v>44</v>
      </c>
      <c r="J192" s="89" t="s">
        <v>44</v>
      </c>
      <c r="K192" s="90">
        <v>2410</v>
      </c>
    </row>
    <row r="193" ht="15.75" customHeight="1" spans="1:11">
      <c r="A193" s="87">
        <v>192</v>
      </c>
      <c r="B193" s="88" t="s">
        <v>46</v>
      </c>
      <c r="C193" s="88" t="s">
        <v>133</v>
      </c>
      <c r="D193" s="87">
        <v>2024</v>
      </c>
      <c r="E193" s="88" t="s">
        <v>33</v>
      </c>
      <c r="F193" s="88" t="s">
        <v>150</v>
      </c>
      <c r="G193" s="89" t="s">
        <v>44</v>
      </c>
      <c r="H193" s="89" t="s">
        <v>44</v>
      </c>
      <c r="I193" s="89" t="s">
        <v>44</v>
      </c>
      <c r="J193" s="89" t="s">
        <v>44</v>
      </c>
      <c r="K193" s="89">
        <v>329</v>
      </c>
    </row>
    <row r="194" ht="15.75" customHeight="1" spans="1:11">
      <c r="A194" s="87">
        <v>193</v>
      </c>
      <c r="B194" s="88" t="s">
        <v>46</v>
      </c>
      <c r="C194" s="88" t="s">
        <v>133</v>
      </c>
      <c r="D194" s="87">
        <v>2024</v>
      </c>
      <c r="E194" s="88" t="s">
        <v>33</v>
      </c>
      <c r="F194" s="88" t="s">
        <v>151</v>
      </c>
      <c r="G194" s="89" t="s">
        <v>44</v>
      </c>
      <c r="H194" s="89" t="s">
        <v>44</v>
      </c>
      <c r="I194" s="89" t="s">
        <v>44</v>
      </c>
      <c r="J194" s="89" t="s">
        <v>44</v>
      </c>
      <c r="K194" s="90">
        <v>79873</v>
      </c>
    </row>
    <row r="195" ht="15.75" customHeight="1" spans="1:11">
      <c r="A195" s="87">
        <v>194</v>
      </c>
      <c r="B195" s="88" t="s">
        <v>46</v>
      </c>
      <c r="C195" s="88" t="s">
        <v>133</v>
      </c>
      <c r="D195" s="87">
        <v>2024</v>
      </c>
      <c r="E195" s="88" t="s">
        <v>33</v>
      </c>
      <c r="F195" s="88" t="s">
        <v>152</v>
      </c>
      <c r="G195" s="89" t="s">
        <v>44</v>
      </c>
      <c r="H195" s="89" t="s">
        <v>44</v>
      </c>
      <c r="I195" s="89" t="s">
        <v>44</v>
      </c>
      <c r="J195" s="89" t="s">
        <v>44</v>
      </c>
      <c r="K195" s="90">
        <v>2255</v>
      </c>
    </row>
    <row r="196" ht="15.75" customHeight="1" spans="1:11">
      <c r="A196" s="87">
        <v>195</v>
      </c>
      <c r="B196" s="88" t="s">
        <v>46</v>
      </c>
      <c r="C196" s="88" t="s">
        <v>133</v>
      </c>
      <c r="D196" s="87">
        <v>2024</v>
      </c>
      <c r="E196" s="88" t="s">
        <v>34</v>
      </c>
      <c r="F196" s="88" t="s">
        <v>150</v>
      </c>
      <c r="G196" s="89" t="s">
        <v>44</v>
      </c>
      <c r="H196" s="89" t="s">
        <v>44</v>
      </c>
      <c r="I196" s="89" t="s">
        <v>44</v>
      </c>
      <c r="J196" s="89" t="s">
        <v>44</v>
      </c>
      <c r="K196" s="89">
        <v>346</v>
      </c>
    </row>
    <row r="197" ht="15.75" customHeight="1" spans="1:11">
      <c r="A197" s="87">
        <v>196</v>
      </c>
      <c r="B197" s="88" t="s">
        <v>46</v>
      </c>
      <c r="C197" s="88" t="s">
        <v>133</v>
      </c>
      <c r="D197" s="87">
        <v>2024</v>
      </c>
      <c r="E197" s="88" t="s">
        <v>34</v>
      </c>
      <c r="F197" s="88" t="s">
        <v>151</v>
      </c>
      <c r="G197" s="89" t="s">
        <v>44</v>
      </c>
      <c r="H197" s="89" t="s">
        <v>44</v>
      </c>
      <c r="I197" s="89" t="s">
        <v>44</v>
      </c>
      <c r="J197" s="89" t="s">
        <v>44</v>
      </c>
      <c r="K197" s="90">
        <v>106601</v>
      </c>
    </row>
    <row r="198" ht="15.75" customHeight="1" spans="1:11">
      <c r="A198" s="87">
        <v>197</v>
      </c>
      <c r="B198" s="88" t="s">
        <v>46</v>
      </c>
      <c r="C198" s="88" t="s">
        <v>133</v>
      </c>
      <c r="D198" s="87">
        <v>2024</v>
      </c>
      <c r="E198" s="88" t="s">
        <v>34</v>
      </c>
      <c r="F198" s="88" t="s">
        <v>152</v>
      </c>
      <c r="G198" s="89" t="s">
        <v>44</v>
      </c>
      <c r="H198" s="89" t="s">
        <v>44</v>
      </c>
      <c r="I198" s="89" t="s">
        <v>44</v>
      </c>
      <c r="J198" s="89" t="s">
        <v>44</v>
      </c>
      <c r="K198" s="90">
        <v>2033</v>
      </c>
    </row>
    <row r="199" ht="15.75" customHeight="1" spans="1:11">
      <c r="A199" s="87">
        <v>198</v>
      </c>
      <c r="B199" s="88" t="s">
        <v>46</v>
      </c>
      <c r="C199" s="88" t="s">
        <v>133</v>
      </c>
      <c r="D199" s="87">
        <v>2024</v>
      </c>
      <c r="E199" s="88" t="s">
        <v>35</v>
      </c>
      <c r="F199" s="88" t="s">
        <v>150</v>
      </c>
      <c r="G199" s="89" t="s">
        <v>44</v>
      </c>
      <c r="H199" s="89" t="s">
        <v>44</v>
      </c>
      <c r="I199" s="89" t="s">
        <v>44</v>
      </c>
      <c r="J199" s="89" t="s">
        <v>44</v>
      </c>
      <c r="K199" s="90">
        <v>2820</v>
      </c>
    </row>
    <row r="200" ht="15.75" customHeight="1" spans="1:11">
      <c r="A200" s="87">
        <v>199</v>
      </c>
      <c r="B200" s="88" t="s">
        <v>46</v>
      </c>
      <c r="C200" s="88" t="s">
        <v>133</v>
      </c>
      <c r="D200" s="87">
        <v>2024</v>
      </c>
      <c r="E200" s="88" t="s">
        <v>35</v>
      </c>
      <c r="F200" s="88" t="s">
        <v>151</v>
      </c>
      <c r="G200" s="89" t="s">
        <v>44</v>
      </c>
      <c r="H200" s="89" t="s">
        <v>44</v>
      </c>
      <c r="I200" s="89" t="s">
        <v>44</v>
      </c>
      <c r="J200" s="89" t="s">
        <v>44</v>
      </c>
      <c r="K200" s="90">
        <v>72783</v>
      </c>
    </row>
    <row r="201" ht="15.75" customHeight="1" spans="1:11">
      <c r="A201" s="87">
        <v>200</v>
      </c>
      <c r="B201" s="88" t="s">
        <v>46</v>
      </c>
      <c r="C201" s="88" t="s">
        <v>133</v>
      </c>
      <c r="D201" s="87">
        <v>2024</v>
      </c>
      <c r="E201" s="88" t="s">
        <v>35</v>
      </c>
      <c r="F201" s="88" t="s">
        <v>152</v>
      </c>
      <c r="G201" s="89" t="s">
        <v>44</v>
      </c>
      <c r="H201" s="89" t="s">
        <v>44</v>
      </c>
      <c r="I201" s="89" t="s">
        <v>44</v>
      </c>
      <c r="J201" s="89" t="s">
        <v>44</v>
      </c>
      <c r="K201" s="90">
        <v>3691</v>
      </c>
    </row>
    <row r="202" ht="15.75" customHeight="1" spans="1:11">
      <c r="A202" s="87">
        <v>201</v>
      </c>
      <c r="B202" s="88" t="s">
        <v>46</v>
      </c>
      <c r="C202" s="88" t="s">
        <v>133</v>
      </c>
      <c r="D202" s="87">
        <v>2024</v>
      </c>
      <c r="E202" s="88" t="s">
        <v>36</v>
      </c>
      <c r="F202" s="88" t="s">
        <v>150</v>
      </c>
      <c r="G202" s="89" t="s">
        <v>44</v>
      </c>
      <c r="H202" s="89" t="s">
        <v>44</v>
      </c>
      <c r="I202" s="89" t="s">
        <v>44</v>
      </c>
      <c r="J202" s="89" t="s">
        <v>44</v>
      </c>
      <c r="K202" s="90">
        <v>2096</v>
      </c>
    </row>
    <row r="203" ht="15.75" customHeight="1" spans="1:11">
      <c r="A203" s="87">
        <v>202</v>
      </c>
      <c r="B203" s="88" t="s">
        <v>46</v>
      </c>
      <c r="C203" s="88" t="s">
        <v>133</v>
      </c>
      <c r="D203" s="87">
        <v>2024</v>
      </c>
      <c r="E203" s="88" t="s">
        <v>36</v>
      </c>
      <c r="F203" s="88" t="s">
        <v>151</v>
      </c>
      <c r="G203" s="89" t="s">
        <v>44</v>
      </c>
      <c r="H203" s="89" t="s">
        <v>44</v>
      </c>
      <c r="I203" s="89" t="s">
        <v>44</v>
      </c>
      <c r="J203" s="89" t="s">
        <v>44</v>
      </c>
      <c r="K203" s="90">
        <v>128155</v>
      </c>
    </row>
    <row r="204" ht="15.75" customHeight="1" spans="1:11">
      <c r="A204" s="87">
        <v>203</v>
      </c>
      <c r="B204" s="88" t="s">
        <v>46</v>
      </c>
      <c r="C204" s="88" t="s">
        <v>133</v>
      </c>
      <c r="D204" s="87">
        <v>2024</v>
      </c>
      <c r="E204" s="88" t="s">
        <v>36</v>
      </c>
      <c r="F204" s="88" t="s">
        <v>152</v>
      </c>
      <c r="G204" s="89" t="s">
        <v>44</v>
      </c>
      <c r="H204" s="89" t="s">
        <v>44</v>
      </c>
      <c r="I204" s="89" t="s">
        <v>44</v>
      </c>
      <c r="J204" s="89" t="s">
        <v>44</v>
      </c>
      <c r="K204" s="90">
        <v>9710</v>
      </c>
    </row>
    <row r="205" ht="15.75" customHeight="1" spans="1:11">
      <c r="A205" s="87">
        <v>204</v>
      </c>
      <c r="B205" s="88" t="s">
        <v>46</v>
      </c>
      <c r="C205" s="88" t="s">
        <v>133</v>
      </c>
      <c r="D205" s="87">
        <v>2024</v>
      </c>
      <c r="E205" s="88" t="s">
        <v>37</v>
      </c>
      <c r="F205" s="88" t="s">
        <v>150</v>
      </c>
      <c r="G205" s="89" t="s">
        <v>44</v>
      </c>
      <c r="H205" s="89" t="s">
        <v>44</v>
      </c>
      <c r="I205" s="89" t="s">
        <v>44</v>
      </c>
      <c r="J205" s="89" t="s">
        <v>44</v>
      </c>
      <c r="K205" s="90">
        <v>2649</v>
      </c>
    </row>
    <row r="206" ht="15.75" customHeight="1" spans="1:11">
      <c r="A206" s="87">
        <v>205</v>
      </c>
      <c r="B206" s="88" t="s">
        <v>46</v>
      </c>
      <c r="C206" s="88" t="s">
        <v>133</v>
      </c>
      <c r="D206" s="87">
        <v>2024</v>
      </c>
      <c r="E206" s="88" t="s">
        <v>37</v>
      </c>
      <c r="F206" s="88" t="s">
        <v>151</v>
      </c>
      <c r="G206" s="89" t="s">
        <v>44</v>
      </c>
      <c r="H206" s="89" t="s">
        <v>44</v>
      </c>
      <c r="I206" s="89" t="s">
        <v>44</v>
      </c>
      <c r="J206" s="89" t="s">
        <v>44</v>
      </c>
      <c r="K206" s="90">
        <v>112487</v>
      </c>
    </row>
    <row r="207" ht="15.75" customHeight="1" spans="1:11">
      <c r="A207" s="87">
        <v>206</v>
      </c>
      <c r="B207" s="88" t="s">
        <v>46</v>
      </c>
      <c r="C207" s="88" t="s">
        <v>133</v>
      </c>
      <c r="D207" s="87">
        <v>2024</v>
      </c>
      <c r="E207" s="88" t="s">
        <v>37</v>
      </c>
      <c r="F207" s="88" t="s">
        <v>152</v>
      </c>
      <c r="G207" s="89" t="s">
        <v>44</v>
      </c>
      <c r="H207" s="89" t="s">
        <v>44</v>
      </c>
      <c r="I207" s="89" t="s">
        <v>44</v>
      </c>
      <c r="J207" s="89" t="s">
        <v>44</v>
      </c>
      <c r="K207" s="90">
        <v>4815</v>
      </c>
    </row>
    <row r="208" ht="15.75" customHeight="1" spans="1:11">
      <c r="A208" s="87">
        <v>207</v>
      </c>
      <c r="B208" s="88" t="s">
        <v>46</v>
      </c>
      <c r="C208" s="88" t="s">
        <v>133</v>
      </c>
      <c r="D208" s="87">
        <v>2024</v>
      </c>
      <c r="E208" s="88" t="s">
        <v>38</v>
      </c>
      <c r="F208" s="88" t="s">
        <v>150</v>
      </c>
      <c r="G208" s="89" t="s">
        <v>44</v>
      </c>
      <c r="H208" s="89" t="s">
        <v>44</v>
      </c>
      <c r="I208" s="89" t="s">
        <v>44</v>
      </c>
      <c r="J208" s="89" t="s">
        <v>44</v>
      </c>
      <c r="K208" s="90">
        <v>2358</v>
      </c>
    </row>
    <row r="209" ht="15.75" customHeight="1" spans="1:11">
      <c r="A209" s="87">
        <v>208</v>
      </c>
      <c r="B209" s="88" t="s">
        <v>46</v>
      </c>
      <c r="C209" s="88" t="s">
        <v>133</v>
      </c>
      <c r="D209" s="87">
        <v>2024</v>
      </c>
      <c r="E209" s="88" t="s">
        <v>38</v>
      </c>
      <c r="F209" s="88" t="s">
        <v>151</v>
      </c>
      <c r="G209" s="89" t="s">
        <v>44</v>
      </c>
      <c r="H209" s="89" t="s">
        <v>44</v>
      </c>
      <c r="I209" s="89" t="s">
        <v>44</v>
      </c>
      <c r="J209" s="89" t="s">
        <v>44</v>
      </c>
      <c r="K209" s="90">
        <v>108950</v>
      </c>
    </row>
    <row r="210" ht="15.75" customHeight="1" spans="1:11">
      <c r="A210" s="87">
        <v>209</v>
      </c>
      <c r="B210" s="88" t="s">
        <v>46</v>
      </c>
      <c r="C210" s="88" t="s">
        <v>133</v>
      </c>
      <c r="D210" s="87">
        <v>2024</v>
      </c>
      <c r="E210" s="88" t="s">
        <v>38</v>
      </c>
      <c r="F210" s="88" t="s">
        <v>152</v>
      </c>
      <c r="G210" s="89" t="s">
        <v>44</v>
      </c>
      <c r="H210" s="89" t="s">
        <v>44</v>
      </c>
      <c r="I210" s="89" t="s">
        <v>44</v>
      </c>
      <c r="J210" s="89" t="s">
        <v>44</v>
      </c>
      <c r="K210" s="90">
        <v>3593</v>
      </c>
    </row>
    <row r="211" ht="15.75" customHeight="1" spans="1:11">
      <c r="A211" s="87">
        <v>210</v>
      </c>
      <c r="B211" s="88" t="s">
        <v>46</v>
      </c>
      <c r="C211" s="88" t="s">
        <v>133</v>
      </c>
      <c r="D211" s="87">
        <v>2024</v>
      </c>
      <c r="E211" s="88" t="s">
        <v>39</v>
      </c>
      <c r="F211" s="88" t="s">
        <v>150</v>
      </c>
      <c r="G211" s="89" t="s">
        <v>44</v>
      </c>
      <c r="H211" s="89" t="s">
        <v>44</v>
      </c>
      <c r="I211" s="89" t="s">
        <v>44</v>
      </c>
      <c r="J211" s="89" t="s">
        <v>44</v>
      </c>
      <c r="K211" s="90">
        <v>7245</v>
      </c>
    </row>
    <row r="212" ht="15.75" customHeight="1" spans="1:11">
      <c r="A212" s="87">
        <v>211</v>
      </c>
      <c r="B212" s="88" t="s">
        <v>46</v>
      </c>
      <c r="C212" s="88" t="s">
        <v>133</v>
      </c>
      <c r="D212" s="87">
        <v>2024</v>
      </c>
      <c r="E212" s="88" t="s">
        <v>39</v>
      </c>
      <c r="F212" s="88" t="s">
        <v>151</v>
      </c>
      <c r="G212" s="89" t="s">
        <v>44</v>
      </c>
      <c r="H212" s="89" t="s">
        <v>44</v>
      </c>
      <c r="I212" s="89" t="s">
        <v>44</v>
      </c>
      <c r="J212" s="89" t="s">
        <v>44</v>
      </c>
      <c r="K212" s="90">
        <v>163370</v>
      </c>
    </row>
    <row r="213" ht="15.75" customHeight="1" spans="1:11">
      <c r="A213" s="87">
        <v>212</v>
      </c>
      <c r="B213" s="88" t="s">
        <v>46</v>
      </c>
      <c r="C213" s="88" t="s">
        <v>133</v>
      </c>
      <c r="D213" s="87">
        <v>2024</v>
      </c>
      <c r="E213" s="88" t="s">
        <v>39</v>
      </c>
      <c r="F213" s="88" t="s">
        <v>152</v>
      </c>
      <c r="G213" s="89" t="s">
        <v>44</v>
      </c>
      <c r="H213" s="89" t="s">
        <v>44</v>
      </c>
      <c r="I213" s="89" t="s">
        <v>44</v>
      </c>
      <c r="J213" s="89" t="s">
        <v>44</v>
      </c>
      <c r="K213" s="90">
        <v>4227</v>
      </c>
    </row>
    <row r="214" ht="15.75" customHeight="1" spans="1:11">
      <c r="A214" s="87">
        <v>213</v>
      </c>
      <c r="B214" s="88" t="s">
        <v>46</v>
      </c>
      <c r="C214" s="88" t="s">
        <v>133</v>
      </c>
      <c r="D214" s="87">
        <v>2024</v>
      </c>
      <c r="E214" s="88" t="s">
        <v>40</v>
      </c>
      <c r="F214" s="88" t="s">
        <v>150</v>
      </c>
      <c r="G214" s="89" t="s">
        <v>44</v>
      </c>
      <c r="H214" s="89" t="s">
        <v>44</v>
      </c>
      <c r="I214" s="89" t="s">
        <v>44</v>
      </c>
      <c r="J214" s="89" t="s">
        <v>44</v>
      </c>
      <c r="K214" s="90">
        <v>3296</v>
      </c>
    </row>
    <row r="215" ht="15.75" customHeight="1" spans="1:11">
      <c r="A215" s="87">
        <v>214</v>
      </c>
      <c r="B215" s="88" t="s">
        <v>46</v>
      </c>
      <c r="C215" s="88" t="s">
        <v>133</v>
      </c>
      <c r="D215" s="87">
        <v>2024</v>
      </c>
      <c r="E215" s="88" t="s">
        <v>40</v>
      </c>
      <c r="F215" s="88" t="s">
        <v>151</v>
      </c>
      <c r="G215" s="89" t="s">
        <v>44</v>
      </c>
      <c r="H215" s="89" t="s">
        <v>44</v>
      </c>
      <c r="I215" s="89" t="s">
        <v>44</v>
      </c>
      <c r="J215" s="89" t="s">
        <v>44</v>
      </c>
      <c r="K215" s="90">
        <v>115738</v>
      </c>
    </row>
    <row r="216" ht="15.75" customHeight="1" spans="1:11">
      <c r="A216" s="87">
        <v>215</v>
      </c>
      <c r="B216" s="88" t="s">
        <v>46</v>
      </c>
      <c r="C216" s="88" t="s">
        <v>133</v>
      </c>
      <c r="D216" s="87">
        <v>2024</v>
      </c>
      <c r="E216" s="88" t="s">
        <v>40</v>
      </c>
      <c r="F216" s="88" t="s">
        <v>152</v>
      </c>
      <c r="G216" s="89" t="s">
        <v>44</v>
      </c>
      <c r="H216" s="89" t="s">
        <v>44</v>
      </c>
      <c r="I216" s="89" t="s">
        <v>44</v>
      </c>
      <c r="J216" s="89" t="s">
        <v>44</v>
      </c>
      <c r="K216" s="90">
        <v>5158</v>
      </c>
    </row>
    <row r="217" ht="15.75" customHeight="1" spans="1:11">
      <c r="A217" s="87">
        <v>216</v>
      </c>
      <c r="B217" s="88" t="s">
        <v>46</v>
      </c>
      <c r="C217" s="88" t="s">
        <v>133</v>
      </c>
      <c r="D217" s="87">
        <v>2024</v>
      </c>
      <c r="E217" s="88" t="s">
        <v>41</v>
      </c>
      <c r="F217" s="88" t="s">
        <v>150</v>
      </c>
      <c r="G217" s="89" t="s">
        <v>44</v>
      </c>
      <c r="H217" s="89" t="s">
        <v>44</v>
      </c>
      <c r="I217" s="89" t="s">
        <v>44</v>
      </c>
      <c r="J217" s="89" t="s">
        <v>44</v>
      </c>
      <c r="K217" s="90">
        <v>2699</v>
      </c>
    </row>
    <row r="218" ht="15.75" customHeight="1" spans="1:11">
      <c r="A218" s="87">
        <v>217</v>
      </c>
      <c r="B218" s="88" t="s">
        <v>46</v>
      </c>
      <c r="C218" s="88" t="s">
        <v>133</v>
      </c>
      <c r="D218" s="87">
        <v>2024</v>
      </c>
      <c r="E218" s="88" t="s">
        <v>41</v>
      </c>
      <c r="F218" s="88" t="s">
        <v>151</v>
      </c>
      <c r="G218" s="89" t="s">
        <v>44</v>
      </c>
      <c r="H218" s="89" t="s">
        <v>44</v>
      </c>
      <c r="I218" s="89" t="s">
        <v>44</v>
      </c>
      <c r="J218" s="89" t="s">
        <v>44</v>
      </c>
      <c r="K218" s="90">
        <v>853182</v>
      </c>
    </row>
    <row r="219" ht="15.75" customHeight="1" spans="1:11">
      <c r="A219" s="87">
        <v>218</v>
      </c>
      <c r="B219" s="88" t="s">
        <v>46</v>
      </c>
      <c r="C219" s="88" t="s">
        <v>133</v>
      </c>
      <c r="D219" s="87">
        <v>2024</v>
      </c>
      <c r="E219" s="88" t="s">
        <v>41</v>
      </c>
      <c r="F219" s="88" t="s">
        <v>152</v>
      </c>
      <c r="G219" s="89" t="s">
        <v>44</v>
      </c>
      <c r="H219" s="89" t="s">
        <v>44</v>
      </c>
      <c r="I219" s="89" t="s">
        <v>44</v>
      </c>
      <c r="J219" s="89" t="s">
        <v>44</v>
      </c>
      <c r="K219" s="90">
        <v>24261</v>
      </c>
    </row>
    <row r="220" ht="15.75" customHeight="1" spans="1:11">
      <c r="A220" s="87">
        <v>219</v>
      </c>
      <c r="B220" s="88" t="s">
        <v>46</v>
      </c>
      <c r="C220" s="88" t="s">
        <v>133</v>
      </c>
      <c r="D220" s="87">
        <v>2024</v>
      </c>
      <c r="E220" s="88" t="s">
        <v>42</v>
      </c>
      <c r="F220" s="88" t="s">
        <v>150</v>
      </c>
      <c r="G220" s="89" t="s">
        <v>44</v>
      </c>
      <c r="H220" s="89" t="s">
        <v>44</v>
      </c>
      <c r="I220" s="89" t="s">
        <v>44</v>
      </c>
      <c r="J220" s="89" t="s">
        <v>44</v>
      </c>
      <c r="K220" s="90">
        <v>2439</v>
      </c>
    </row>
    <row r="221" ht="15.75" customHeight="1" spans="1:11">
      <c r="A221" s="87">
        <v>220</v>
      </c>
      <c r="B221" s="88" t="s">
        <v>46</v>
      </c>
      <c r="C221" s="88" t="s">
        <v>133</v>
      </c>
      <c r="D221" s="87">
        <v>2024</v>
      </c>
      <c r="E221" s="88" t="s">
        <v>42</v>
      </c>
      <c r="F221" s="88" t="s">
        <v>151</v>
      </c>
      <c r="G221" s="89" t="s">
        <v>44</v>
      </c>
      <c r="H221" s="89" t="s">
        <v>44</v>
      </c>
      <c r="I221" s="89" t="s">
        <v>44</v>
      </c>
      <c r="J221" s="89" t="s">
        <v>44</v>
      </c>
      <c r="K221" s="90">
        <v>264568</v>
      </c>
    </row>
    <row r="222" ht="15.75" customHeight="1" spans="1:11">
      <c r="A222" s="87">
        <v>221</v>
      </c>
      <c r="B222" s="88" t="s">
        <v>46</v>
      </c>
      <c r="C222" s="88" t="s">
        <v>133</v>
      </c>
      <c r="D222" s="87">
        <v>2024</v>
      </c>
      <c r="E222" s="88" t="s">
        <v>42</v>
      </c>
      <c r="F222" s="88" t="s">
        <v>152</v>
      </c>
      <c r="G222" s="89" t="s">
        <v>44</v>
      </c>
      <c r="H222" s="89" t="s">
        <v>44</v>
      </c>
      <c r="I222" s="89" t="s">
        <v>44</v>
      </c>
      <c r="J222" s="89" t="s">
        <v>44</v>
      </c>
      <c r="K222" s="90">
        <v>10947</v>
      </c>
    </row>
    <row r="223" ht="15.75" customHeight="1" spans="1:11">
      <c r="A223" s="87">
        <v>222</v>
      </c>
      <c r="B223" s="88" t="s">
        <v>46</v>
      </c>
      <c r="C223" s="88" t="s">
        <v>133</v>
      </c>
      <c r="D223" s="87">
        <v>2024</v>
      </c>
      <c r="E223" s="88" t="s">
        <v>43</v>
      </c>
      <c r="F223" s="88" t="s">
        <v>150</v>
      </c>
      <c r="G223" s="89" t="s">
        <v>44</v>
      </c>
      <c r="H223" s="89" t="s">
        <v>44</v>
      </c>
      <c r="I223" s="89" t="s">
        <v>44</v>
      </c>
      <c r="J223" s="89" t="s">
        <v>44</v>
      </c>
      <c r="K223" s="90">
        <v>4550</v>
      </c>
    </row>
    <row r="224" ht="15.75" customHeight="1" spans="1:11">
      <c r="A224" s="87">
        <v>223</v>
      </c>
      <c r="B224" s="88" t="s">
        <v>46</v>
      </c>
      <c r="C224" s="88" t="s">
        <v>133</v>
      </c>
      <c r="D224" s="87">
        <v>2024</v>
      </c>
      <c r="E224" s="88" t="s">
        <v>43</v>
      </c>
      <c r="F224" s="88" t="s">
        <v>151</v>
      </c>
      <c r="G224" s="89" t="s">
        <v>44</v>
      </c>
      <c r="H224" s="89" t="s">
        <v>44</v>
      </c>
      <c r="I224" s="89" t="s">
        <v>44</v>
      </c>
      <c r="J224" s="89" t="s">
        <v>44</v>
      </c>
      <c r="K224" s="90">
        <v>85775</v>
      </c>
    </row>
    <row r="225" ht="15.75" customHeight="1" spans="1:11">
      <c r="A225" s="87">
        <v>224</v>
      </c>
      <c r="B225" s="88" t="s">
        <v>46</v>
      </c>
      <c r="C225" s="88" t="s">
        <v>133</v>
      </c>
      <c r="D225" s="87">
        <v>2024</v>
      </c>
      <c r="E225" s="88" t="s">
        <v>43</v>
      </c>
      <c r="F225" s="88" t="s">
        <v>152</v>
      </c>
      <c r="G225" s="89" t="s">
        <v>44</v>
      </c>
      <c r="H225" s="89" t="s">
        <v>44</v>
      </c>
      <c r="I225" s="89" t="s">
        <v>44</v>
      </c>
      <c r="J225" s="89" t="s">
        <v>44</v>
      </c>
      <c r="K225" s="90">
        <v>4481</v>
      </c>
    </row>
    <row r="226" ht="15.75" customHeight="1" spans="1:11">
      <c r="A226" s="87">
        <v>225</v>
      </c>
      <c r="B226" s="88" t="s">
        <v>46</v>
      </c>
      <c r="C226" s="88" t="s">
        <v>133</v>
      </c>
      <c r="D226" s="87">
        <v>2025</v>
      </c>
      <c r="E226" s="88" t="s">
        <v>31</v>
      </c>
      <c r="F226" s="88" t="s">
        <v>150</v>
      </c>
      <c r="G226" s="89" t="s">
        <v>44</v>
      </c>
      <c r="H226" s="89" t="s">
        <v>44</v>
      </c>
      <c r="I226" s="89" t="s">
        <v>44</v>
      </c>
      <c r="J226" s="89" t="s">
        <v>44</v>
      </c>
      <c r="K226" s="89">
        <v>8</v>
      </c>
    </row>
    <row r="227" ht="15.75" customHeight="1" spans="1:11">
      <c r="A227" s="87">
        <v>226</v>
      </c>
      <c r="B227" s="88" t="s">
        <v>46</v>
      </c>
      <c r="C227" s="88" t="s">
        <v>133</v>
      </c>
      <c r="D227" s="87">
        <v>2025</v>
      </c>
      <c r="E227" s="88" t="s">
        <v>31</v>
      </c>
      <c r="F227" s="88" t="s">
        <v>150</v>
      </c>
      <c r="G227" s="89" t="s">
        <v>44</v>
      </c>
      <c r="H227" s="89" t="s">
        <v>44</v>
      </c>
      <c r="I227" s="89" t="s">
        <v>44</v>
      </c>
      <c r="J227" s="89" t="s">
        <v>44</v>
      </c>
      <c r="K227" s="90">
        <v>1500</v>
      </c>
    </row>
    <row r="228" ht="15.75" customHeight="1" spans="1:11">
      <c r="A228" s="87">
        <v>227</v>
      </c>
      <c r="B228" s="88" t="s">
        <v>46</v>
      </c>
      <c r="C228" s="88" t="s">
        <v>133</v>
      </c>
      <c r="D228" s="87">
        <v>2025</v>
      </c>
      <c r="E228" s="88" t="s">
        <v>31</v>
      </c>
      <c r="F228" s="88" t="s">
        <v>152</v>
      </c>
      <c r="G228" s="89" t="s">
        <v>44</v>
      </c>
      <c r="H228" s="89" t="s">
        <v>44</v>
      </c>
      <c r="I228" s="89" t="s">
        <v>44</v>
      </c>
      <c r="J228" s="89" t="s">
        <v>44</v>
      </c>
      <c r="K228" s="90">
        <v>8851</v>
      </c>
    </row>
    <row r="229" ht="15.75" customHeight="1" spans="1:11">
      <c r="A229" s="87">
        <v>228</v>
      </c>
      <c r="B229" s="88" t="s">
        <v>46</v>
      </c>
      <c r="C229" s="88" t="s">
        <v>133</v>
      </c>
      <c r="D229" s="87">
        <v>2025</v>
      </c>
      <c r="E229" s="88" t="s">
        <v>33</v>
      </c>
      <c r="F229" s="88" t="s">
        <v>150</v>
      </c>
      <c r="G229" s="89" t="s">
        <v>44</v>
      </c>
      <c r="H229" s="89" t="s">
        <v>44</v>
      </c>
      <c r="I229" s="89" t="s">
        <v>44</v>
      </c>
      <c r="J229" s="89" t="s">
        <v>44</v>
      </c>
      <c r="K229" s="90">
        <v>1298</v>
      </c>
    </row>
    <row r="230" ht="15.75" customHeight="1" spans="1:11">
      <c r="A230" s="87">
        <v>229</v>
      </c>
      <c r="B230" s="88" t="s">
        <v>46</v>
      </c>
      <c r="C230" s="88" t="s">
        <v>133</v>
      </c>
      <c r="D230" s="87">
        <v>2025</v>
      </c>
      <c r="E230" s="88" t="s">
        <v>33</v>
      </c>
      <c r="F230" s="88" t="s">
        <v>151</v>
      </c>
      <c r="G230" s="89" t="s">
        <v>44</v>
      </c>
      <c r="H230" s="89" t="s">
        <v>44</v>
      </c>
      <c r="I230" s="89" t="s">
        <v>44</v>
      </c>
      <c r="J230" s="89" t="s">
        <v>44</v>
      </c>
      <c r="K230" s="90">
        <v>59615</v>
      </c>
    </row>
    <row r="231" ht="15.75" customHeight="1" spans="1:11">
      <c r="A231" s="87">
        <v>230</v>
      </c>
      <c r="B231" s="88" t="s">
        <v>46</v>
      </c>
      <c r="C231" s="88" t="s">
        <v>133</v>
      </c>
      <c r="D231" s="87">
        <v>2025</v>
      </c>
      <c r="E231" s="88" t="s">
        <v>33</v>
      </c>
      <c r="F231" s="88" t="s">
        <v>152</v>
      </c>
      <c r="G231" s="89" t="s">
        <v>44</v>
      </c>
      <c r="H231" s="89" t="s">
        <v>44</v>
      </c>
      <c r="I231" s="89" t="s">
        <v>44</v>
      </c>
      <c r="J231" s="89" t="s">
        <v>44</v>
      </c>
      <c r="K231" s="90">
        <v>2866</v>
      </c>
    </row>
    <row r="232" ht="15.75" customHeight="1" spans="1:11">
      <c r="A232" s="87">
        <v>231</v>
      </c>
      <c r="B232" s="88" t="s">
        <v>46</v>
      </c>
      <c r="C232" s="88" t="s">
        <v>133</v>
      </c>
      <c r="D232" s="87">
        <v>2025</v>
      </c>
      <c r="E232" s="88" t="s">
        <v>34</v>
      </c>
      <c r="F232" s="88" t="s">
        <v>150</v>
      </c>
      <c r="G232" s="89" t="s">
        <v>44</v>
      </c>
      <c r="H232" s="89" t="s">
        <v>44</v>
      </c>
      <c r="I232" s="89" t="s">
        <v>44</v>
      </c>
      <c r="J232" s="89" t="s">
        <v>44</v>
      </c>
      <c r="K232" s="90">
        <v>1230</v>
      </c>
    </row>
    <row r="233" ht="15.75" customHeight="1" spans="1:11">
      <c r="A233" s="87">
        <v>232</v>
      </c>
      <c r="B233" s="88" t="s">
        <v>46</v>
      </c>
      <c r="C233" s="88" t="s">
        <v>133</v>
      </c>
      <c r="D233" s="87">
        <v>2025</v>
      </c>
      <c r="E233" s="88" t="s">
        <v>34</v>
      </c>
      <c r="F233" s="88" t="s">
        <v>151</v>
      </c>
      <c r="G233" s="89" t="s">
        <v>44</v>
      </c>
      <c r="H233" s="89" t="s">
        <v>44</v>
      </c>
      <c r="I233" s="89" t="s">
        <v>44</v>
      </c>
      <c r="J233" s="89" t="s">
        <v>44</v>
      </c>
      <c r="K233" s="90">
        <v>87840</v>
      </c>
    </row>
    <row r="234" ht="15.75" customHeight="1" spans="1:11">
      <c r="A234" s="87">
        <v>233</v>
      </c>
      <c r="B234" s="88" t="s">
        <v>46</v>
      </c>
      <c r="C234" s="88" t="s">
        <v>133</v>
      </c>
      <c r="D234" s="87">
        <v>2025</v>
      </c>
      <c r="E234" s="88" t="s">
        <v>34</v>
      </c>
      <c r="F234" s="88" t="s">
        <v>152</v>
      </c>
      <c r="G234" s="89" t="s">
        <v>44</v>
      </c>
      <c r="H234" s="89" t="s">
        <v>44</v>
      </c>
      <c r="I234" s="89" t="s">
        <v>44</v>
      </c>
      <c r="J234" s="89" t="s">
        <v>44</v>
      </c>
      <c r="K234" s="90">
        <v>2729</v>
      </c>
    </row>
    <row r="235" ht="15.75" customHeight="1" spans="1:11">
      <c r="A235" s="87">
        <v>234</v>
      </c>
      <c r="B235" s="88" t="s">
        <v>46</v>
      </c>
      <c r="C235" s="88" t="s">
        <v>133</v>
      </c>
      <c r="D235" s="87">
        <v>2025</v>
      </c>
      <c r="E235" s="88" t="s">
        <v>35</v>
      </c>
      <c r="F235" s="88" t="s">
        <v>150</v>
      </c>
      <c r="G235" s="89" t="s">
        <v>44</v>
      </c>
      <c r="H235" s="89" t="s">
        <v>44</v>
      </c>
      <c r="I235" s="89" t="s">
        <v>44</v>
      </c>
      <c r="J235" s="89" t="s">
        <v>44</v>
      </c>
      <c r="K235" s="90">
        <v>1085</v>
      </c>
    </row>
    <row r="236" ht="15.75" customHeight="1" spans="1:11">
      <c r="A236" s="87">
        <v>235</v>
      </c>
      <c r="B236" s="88" t="s">
        <v>46</v>
      </c>
      <c r="C236" s="88" t="s">
        <v>133</v>
      </c>
      <c r="D236" s="87">
        <v>2025</v>
      </c>
      <c r="E236" s="88" t="s">
        <v>35</v>
      </c>
      <c r="F236" s="88" t="s">
        <v>151</v>
      </c>
      <c r="G236" s="89" t="s">
        <v>44</v>
      </c>
      <c r="H236" s="89" t="s">
        <v>44</v>
      </c>
      <c r="I236" s="89" t="s">
        <v>44</v>
      </c>
      <c r="J236" s="89" t="s">
        <v>44</v>
      </c>
      <c r="K236" s="90">
        <v>42489</v>
      </c>
    </row>
    <row r="237" ht="15.75" customHeight="1" spans="1:11">
      <c r="A237" s="87">
        <v>236</v>
      </c>
      <c r="B237" s="88" t="s">
        <v>46</v>
      </c>
      <c r="C237" s="88" t="s">
        <v>133</v>
      </c>
      <c r="D237" s="87">
        <v>2025</v>
      </c>
      <c r="E237" s="88" t="s">
        <v>35</v>
      </c>
      <c r="F237" s="88" t="s">
        <v>152</v>
      </c>
      <c r="G237" s="89" t="s">
        <v>44</v>
      </c>
      <c r="H237" s="89" t="s">
        <v>44</v>
      </c>
      <c r="I237" s="89" t="s">
        <v>44</v>
      </c>
      <c r="J237" s="89" t="s">
        <v>44</v>
      </c>
      <c r="K237" s="90">
        <v>5161</v>
      </c>
    </row>
    <row r="238" ht="15.75" customHeight="1" spans="1:11">
      <c r="A238" s="87">
        <v>237</v>
      </c>
      <c r="B238" s="88" t="s">
        <v>46</v>
      </c>
      <c r="C238" s="88" t="s">
        <v>133</v>
      </c>
      <c r="D238" s="87">
        <v>2025</v>
      </c>
      <c r="E238" s="88" t="s">
        <v>36</v>
      </c>
      <c r="F238" s="88" t="s">
        <v>150</v>
      </c>
      <c r="G238" s="89" t="s">
        <v>44</v>
      </c>
      <c r="H238" s="89" t="s">
        <v>44</v>
      </c>
      <c r="I238" s="89" t="s">
        <v>44</v>
      </c>
      <c r="J238" s="89" t="s">
        <v>44</v>
      </c>
      <c r="K238" s="89">
        <v>800</v>
      </c>
    </row>
    <row r="239" ht="15.75" customHeight="1" spans="1:11">
      <c r="A239" s="87">
        <v>238</v>
      </c>
      <c r="B239" s="88" t="s">
        <v>46</v>
      </c>
      <c r="C239" s="88" t="s">
        <v>133</v>
      </c>
      <c r="D239" s="87">
        <v>2025</v>
      </c>
      <c r="E239" s="88" t="s">
        <v>36</v>
      </c>
      <c r="F239" s="88" t="s">
        <v>151</v>
      </c>
      <c r="G239" s="89" t="s">
        <v>44</v>
      </c>
      <c r="H239" s="89" t="s">
        <v>44</v>
      </c>
      <c r="I239" s="89" t="s">
        <v>44</v>
      </c>
      <c r="J239" s="89" t="s">
        <v>44</v>
      </c>
      <c r="K239" s="90">
        <v>35436</v>
      </c>
    </row>
    <row r="240" ht="15.75" customHeight="1" spans="1:11">
      <c r="A240" s="87">
        <v>239</v>
      </c>
      <c r="B240" s="88" t="s">
        <v>46</v>
      </c>
      <c r="C240" s="88" t="s">
        <v>133</v>
      </c>
      <c r="D240" s="87">
        <v>2025</v>
      </c>
      <c r="E240" s="88" t="s">
        <v>36</v>
      </c>
      <c r="F240" s="88" t="s">
        <v>152</v>
      </c>
      <c r="G240" s="89" t="s">
        <v>44</v>
      </c>
      <c r="H240" s="89" t="s">
        <v>44</v>
      </c>
      <c r="I240" s="89" t="s">
        <v>44</v>
      </c>
      <c r="J240" s="89" t="s">
        <v>44</v>
      </c>
      <c r="K240" s="90">
        <v>2473</v>
      </c>
    </row>
    <row r="241" ht="15.75" customHeight="1" spans="1:11">
      <c r="A241" s="87">
        <v>240</v>
      </c>
      <c r="B241" s="88" t="s">
        <v>46</v>
      </c>
      <c r="C241" s="88" t="s">
        <v>133</v>
      </c>
      <c r="D241" s="87">
        <v>2025</v>
      </c>
      <c r="E241" s="88" t="s">
        <v>37</v>
      </c>
      <c r="F241" s="88" t="s">
        <v>150</v>
      </c>
      <c r="G241" s="89" t="s">
        <v>44</v>
      </c>
      <c r="H241" s="89" t="s">
        <v>44</v>
      </c>
      <c r="I241" s="89" t="s">
        <v>44</v>
      </c>
      <c r="J241" s="89" t="s">
        <v>44</v>
      </c>
      <c r="K241" s="90">
        <v>1148</v>
      </c>
    </row>
    <row r="242" ht="15.75" customHeight="1" spans="1:11">
      <c r="A242" s="87">
        <v>241</v>
      </c>
      <c r="B242" s="88" t="s">
        <v>46</v>
      </c>
      <c r="C242" s="88" t="s">
        <v>133</v>
      </c>
      <c r="D242" s="87">
        <v>2025</v>
      </c>
      <c r="E242" s="88" t="s">
        <v>37</v>
      </c>
      <c r="F242" s="88" t="s">
        <v>151</v>
      </c>
      <c r="G242" s="89" t="s">
        <v>44</v>
      </c>
      <c r="H242" s="89" t="s">
        <v>44</v>
      </c>
      <c r="I242" s="89" t="s">
        <v>44</v>
      </c>
      <c r="J242" s="89" t="s">
        <v>44</v>
      </c>
      <c r="K242" s="90">
        <v>36665</v>
      </c>
    </row>
    <row r="243" ht="15.75" customHeight="1" spans="1:11">
      <c r="A243" s="87">
        <v>242</v>
      </c>
      <c r="B243" s="88" t="s">
        <v>46</v>
      </c>
      <c r="C243" s="88" t="s">
        <v>133</v>
      </c>
      <c r="D243" s="87">
        <v>2025</v>
      </c>
      <c r="E243" s="88" t="s">
        <v>37</v>
      </c>
      <c r="F243" s="88" t="s">
        <v>152</v>
      </c>
      <c r="G243" s="89" t="s">
        <v>44</v>
      </c>
      <c r="H243" s="89" t="s">
        <v>44</v>
      </c>
      <c r="I243" s="89" t="s">
        <v>44</v>
      </c>
      <c r="J243" s="89" t="s">
        <v>44</v>
      </c>
      <c r="K243" s="90">
        <v>2243</v>
      </c>
    </row>
    <row r="244" ht="15.75" customHeight="1" spans="1:11">
      <c r="A244" s="87">
        <v>243</v>
      </c>
      <c r="B244" s="88" t="s">
        <v>46</v>
      </c>
      <c r="C244" s="88" t="s">
        <v>133</v>
      </c>
      <c r="D244" s="87">
        <v>2025</v>
      </c>
      <c r="E244" s="88" t="s">
        <v>38</v>
      </c>
      <c r="F244" s="88" t="s">
        <v>150</v>
      </c>
      <c r="G244" s="89" t="s">
        <v>44</v>
      </c>
      <c r="H244" s="89" t="s">
        <v>44</v>
      </c>
      <c r="I244" s="89" t="s">
        <v>44</v>
      </c>
      <c r="J244" s="89" t="s">
        <v>44</v>
      </c>
      <c r="K244" s="90">
        <v>1269</v>
      </c>
    </row>
    <row r="245" ht="15.75" customHeight="1" spans="1:11">
      <c r="A245" s="87">
        <v>244</v>
      </c>
      <c r="B245" s="88" t="s">
        <v>46</v>
      </c>
      <c r="C245" s="88" t="s">
        <v>133</v>
      </c>
      <c r="D245" s="87">
        <v>2025</v>
      </c>
      <c r="E245" s="88" t="s">
        <v>38</v>
      </c>
      <c r="F245" s="88" t="s">
        <v>151</v>
      </c>
      <c r="G245" s="89" t="s">
        <v>44</v>
      </c>
      <c r="H245" s="89" t="s">
        <v>44</v>
      </c>
      <c r="I245" s="89" t="s">
        <v>44</v>
      </c>
      <c r="J245" s="89" t="s">
        <v>44</v>
      </c>
      <c r="K245" s="90">
        <v>39649</v>
      </c>
    </row>
    <row r="246" ht="15.75" customHeight="1" spans="1:11">
      <c r="A246" s="87">
        <v>245</v>
      </c>
      <c r="B246" s="88" t="s">
        <v>46</v>
      </c>
      <c r="C246" s="88" t="s">
        <v>133</v>
      </c>
      <c r="D246" s="87">
        <v>2025</v>
      </c>
      <c r="E246" s="88" t="s">
        <v>38</v>
      </c>
      <c r="F246" s="88" t="s">
        <v>152</v>
      </c>
      <c r="G246" s="89" t="s">
        <v>44</v>
      </c>
      <c r="H246" s="89" t="s">
        <v>44</v>
      </c>
      <c r="I246" s="89" t="s">
        <v>44</v>
      </c>
      <c r="J246" s="89" t="s">
        <v>44</v>
      </c>
      <c r="K246" s="90">
        <v>1971</v>
      </c>
    </row>
    <row r="247" ht="15.75" customHeight="1" spans="1:11">
      <c r="A247" s="87">
        <v>246</v>
      </c>
      <c r="B247" s="88" t="s">
        <v>46</v>
      </c>
      <c r="C247" s="88" t="s">
        <v>133</v>
      </c>
      <c r="D247" s="87">
        <v>2025</v>
      </c>
      <c r="E247" s="88" t="s">
        <v>39</v>
      </c>
      <c r="F247" s="88" t="s">
        <v>150</v>
      </c>
      <c r="G247" s="89" t="s">
        <v>44</v>
      </c>
      <c r="H247" s="89" t="s">
        <v>44</v>
      </c>
      <c r="I247" s="89" t="s">
        <v>44</v>
      </c>
      <c r="J247" s="89" t="s">
        <v>44</v>
      </c>
      <c r="K247" s="89">
        <v>622</v>
      </c>
    </row>
    <row r="248" ht="15.75" customHeight="1" spans="1:11">
      <c r="A248" s="87">
        <v>247</v>
      </c>
      <c r="B248" s="88" t="s">
        <v>46</v>
      </c>
      <c r="C248" s="88" t="s">
        <v>133</v>
      </c>
      <c r="D248" s="87">
        <v>2025</v>
      </c>
      <c r="E248" s="88" t="s">
        <v>39</v>
      </c>
      <c r="F248" s="88" t="s">
        <v>151</v>
      </c>
      <c r="G248" s="89" t="s">
        <v>44</v>
      </c>
      <c r="H248" s="89" t="s">
        <v>44</v>
      </c>
      <c r="I248" s="89" t="s">
        <v>44</v>
      </c>
      <c r="J248" s="89" t="s">
        <v>44</v>
      </c>
      <c r="K248" s="90">
        <v>2364807</v>
      </c>
    </row>
    <row r="249" ht="15.75" customHeight="1" spans="1:11">
      <c r="A249" s="87">
        <v>248</v>
      </c>
      <c r="B249" s="88" t="s">
        <v>46</v>
      </c>
      <c r="C249" s="88" t="s">
        <v>133</v>
      </c>
      <c r="D249" s="87">
        <v>2025</v>
      </c>
      <c r="E249" s="88" t="s">
        <v>39</v>
      </c>
      <c r="F249" s="88" t="s">
        <v>152</v>
      </c>
      <c r="G249" s="89" t="s">
        <v>44</v>
      </c>
      <c r="H249" s="89" t="s">
        <v>44</v>
      </c>
      <c r="I249" s="89" t="s">
        <v>44</v>
      </c>
      <c r="J249" s="89" t="s">
        <v>44</v>
      </c>
      <c r="K249" s="90">
        <v>65358</v>
      </c>
    </row>
    <row r="250" ht="15.75" customHeight="1" spans="1:11">
      <c r="A250" s="87">
        <v>249</v>
      </c>
      <c r="B250" s="88" t="s">
        <v>46</v>
      </c>
      <c r="C250" s="88" t="s">
        <v>133</v>
      </c>
      <c r="D250" s="87">
        <v>2025</v>
      </c>
      <c r="E250" s="88" t="s">
        <v>40</v>
      </c>
      <c r="F250" s="88" t="s">
        <v>150</v>
      </c>
      <c r="G250" s="89" t="s">
        <v>44</v>
      </c>
      <c r="H250" s="89" t="s">
        <v>44</v>
      </c>
      <c r="I250" s="89" t="s">
        <v>44</v>
      </c>
      <c r="J250" s="89" t="s">
        <v>44</v>
      </c>
      <c r="K250" s="90">
        <v>3250</v>
      </c>
    </row>
    <row r="251" ht="15.75" customHeight="1" spans="1:11">
      <c r="A251" s="87">
        <v>250</v>
      </c>
      <c r="B251" s="88" t="s">
        <v>46</v>
      </c>
      <c r="C251" s="88" t="s">
        <v>133</v>
      </c>
      <c r="D251" s="87">
        <v>2025</v>
      </c>
      <c r="E251" s="88" t="s">
        <v>40</v>
      </c>
      <c r="F251" s="88" t="s">
        <v>151</v>
      </c>
      <c r="G251" s="89" t="s">
        <v>44</v>
      </c>
      <c r="H251" s="89" t="s">
        <v>44</v>
      </c>
      <c r="I251" s="89" t="s">
        <v>44</v>
      </c>
      <c r="J251" s="89" t="s">
        <v>44</v>
      </c>
      <c r="K251" s="90">
        <v>19299929</v>
      </c>
    </row>
    <row r="252" ht="15.75" customHeight="1" spans="1:11">
      <c r="A252" s="87">
        <v>251</v>
      </c>
      <c r="B252" s="88" t="s">
        <v>46</v>
      </c>
      <c r="C252" s="88" t="s">
        <v>133</v>
      </c>
      <c r="D252" s="87">
        <v>2025</v>
      </c>
      <c r="E252" s="88" t="s">
        <v>40</v>
      </c>
      <c r="F252" s="88" t="s">
        <v>152</v>
      </c>
      <c r="G252" s="89" t="s">
        <v>44</v>
      </c>
      <c r="H252" s="89" t="s">
        <v>44</v>
      </c>
      <c r="I252" s="89" t="s">
        <v>44</v>
      </c>
      <c r="J252" s="89" t="s">
        <v>44</v>
      </c>
      <c r="K252" s="90">
        <v>830359</v>
      </c>
    </row>
    <row r="253" ht="15.75" customHeight="1" spans="1:11">
      <c r="A253" s="87">
        <v>252</v>
      </c>
      <c r="B253" s="88" t="s">
        <v>46</v>
      </c>
      <c r="C253" s="88" t="s">
        <v>133</v>
      </c>
      <c r="D253" s="87">
        <v>2025</v>
      </c>
      <c r="E253" s="88" t="s">
        <v>41</v>
      </c>
      <c r="F253" s="88" t="s">
        <v>150</v>
      </c>
      <c r="G253" s="89" t="s">
        <v>44</v>
      </c>
      <c r="H253" s="89" t="s">
        <v>44</v>
      </c>
      <c r="I253" s="89" t="s">
        <v>44</v>
      </c>
      <c r="J253" s="89" t="s">
        <v>44</v>
      </c>
      <c r="K253" s="90">
        <v>4230</v>
      </c>
    </row>
    <row r="254" ht="15.75" customHeight="1" spans="1:11">
      <c r="A254" s="87">
        <v>253</v>
      </c>
      <c r="B254" s="88" t="s">
        <v>46</v>
      </c>
      <c r="C254" s="88" t="s">
        <v>133</v>
      </c>
      <c r="D254" s="87">
        <v>2025</v>
      </c>
      <c r="E254" s="88" t="s">
        <v>41</v>
      </c>
      <c r="F254" s="88" t="s">
        <v>151</v>
      </c>
      <c r="G254" s="89" t="s">
        <v>44</v>
      </c>
      <c r="H254" s="89" t="s">
        <v>44</v>
      </c>
      <c r="I254" s="89" t="s">
        <v>44</v>
      </c>
      <c r="J254" s="89" t="s">
        <v>44</v>
      </c>
      <c r="K254" s="90">
        <v>4272681</v>
      </c>
    </row>
    <row r="255" ht="15.75" customHeight="1" spans="1:11">
      <c r="A255" s="87">
        <v>254</v>
      </c>
      <c r="B255" s="88" t="s">
        <v>46</v>
      </c>
      <c r="C255" s="88" t="s">
        <v>133</v>
      </c>
      <c r="D255" s="87">
        <v>2025</v>
      </c>
      <c r="E255" s="88" t="s">
        <v>41</v>
      </c>
      <c r="F255" s="88" t="s">
        <v>152</v>
      </c>
      <c r="G255" s="89" t="s">
        <v>44</v>
      </c>
      <c r="H255" s="89" t="s">
        <v>44</v>
      </c>
      <c r="I255" s="89" t="s">
        <v>44</v>
      </c>
      <c r="J255" s="89" t="s">
        <v>44</v>
      </c>
      <c r="K255" s="90">
        <v>223112</v>
      </c>
    </row>
    <row r="256" ht="15.75" customHeight="1" spans="1:11">
      <c r="A256" s="87">
        <v>255</v>
      </c>
      <c r="B256" s="88" t="s">
        <v>46</v>
      </c>
      <c r="C256" s="88" t="s">
        <v>133</v>
      </c>
      <c r="D256" s="87">
        <v>2025</v>
      </c>
      <c r="E256" s="88" t="s">
        <v>42</v>
      </c>
      <c r="F256" s="88" t="s">
        <v>150</v>
      </c>
      <c r="G256" s="89" t="s">
        <v>44</v>
      </c>
      <c r="H256" s="89" t="s">
        <v>44</v>
      </c>
      <c r="I256" s="89" t="s">
        <v>44</v>
      </c>
      <c r="J256" s="89" t="s">
        <v>44</v>
      </c>
      <c r="K256" s="89">
        <v>346</v>
      </c>
    </row>
    <row r="257" ht="15.75" customHeight="1" spans="1:11">
      <c r="A257" s="87">
        <v>256</v>
      </c>
      <c r="B257" s="88" t="s">
        <v>46</v>
      </c>
      <c r="C257" s="88" t="s">
        <v>133</v>
      </c>
      <c r="D257" s="87">
        <v>2025</v>
      </c>
      <c r="E257" s="88" t="s">
        <v>42</v>
      </c>
      <c r="F257" s="88" t="s">
        <v>151</v>
      </c>
      <c r="G257" s="89" t="s">
        <v>44</v>
      </c>
      <c r="H257" s="89" t="s">
        <v>44</v>
      </c>
      <c r="I257" s="89" t="s">
        <v>44</v>
      </c>
      <c r="J257" s="89" t="s">
        <v>44</v>
      </c>
      <c r="K257" s="90">
        <v>3399540</v>
      </c>
    </row>
    <row r="258" ht="15.75" customHeight="1" spans="1:11">
      <c r="A258" s="87">
        <v>257</v>
      </c>
      <c r="B258" s="88" t="s">
        <v>46</v>
      </c>
      <c r="C258" s="88" t="s">
        <v>133</v>
      </c>
      <c r="D258" s="87">
        <v>2025</v>
      </c>
      <c r="E258" s="88" t="s">
        <v>42</v>
      </c>
      <c r="F258" s="88" t="s">
        <v>152</v>
      </c>
      <c r="G258" s="89" t="s">
        <v>44</v>
      </c>
      <c r="H258" s="89" t="s">
        <v>44</v>
      </c>
      <c r="I258" s="89" t="s">
        <v>44</v>
      </c>
      <c r="J258" s="89" t="s">
        <v>44</v>
      </c>
      <c r="K258" s="90">
        <v>155867</v>
      </c>
    </row>
    <row r="259" ht="15.75" customHeight="1" spans="1:11">
      <c r="A259" s="87">
        <v>258</v>
      </c>
      <c r="B259" s="88" t="s">
        <v>46</v>
      </c>
      <c r="C259" s="88" t="s">
        <v>133</v>
      </c>
      <c r="D259" s="87">
        <v>2025</v>
      </c>
      <c r="E259" s="88" t="s">
        <v>43</v>
      </c>
      <c r="F259" s="88" t="s">
        <v>150</v>
      </c>
      <c r="G259" s="89" t="s">
        <v>44</v>
      </c>
      <c r="H259" s="89" t="s">
        <v>44</v>
      </c>
      <c r="I259" s="89" t="s">
        <v>44</v>
      </c>
      <c r="J259" s="89" t="s">
        <v>44</v>
      </c>
      <c r="K259" s="89">
        <v>418</v>
      </c>
    </row>
    <row r="260" ht="15.75" customHeight="1" spans="1:11">
      <c r="A260" s="87">
        <v>259</v>
      </c>
      <c r="B260" s="88" t="s">
        <v>46</v>
      </c>
      <c r="C260" s="88" t="s">
        <v>133</v>
      </c>
      <c r="D260" s="87">
        <v>2025</v>
      </c>
      <c r="E260" s="88" t="s">
        <v>43</v>
      </c>
      <c r="F260" s="88" t="s">
        <v>151</v>
      </c>
      <c r="G260" s="89" t="s">
        <v>44</v>
      </c>
      <c r="H260" s="89" t="s">
        <v>44</v>
      </c>
      <c r="I260" s="89" t="s">
        <v>44</v>
      </c>
      <c r="J260" s="89" t="s">
        <v>44</v>
      </c>
      <c r="K260" s="90">
        <v>5625959</v>
      </c>
    </row>
    <row r="261" ht="15.75" customHeight="1" spans="1:11">
      <c r="A261" s="87">
        <v>260</v>
      </c>
      <c r="B261" s="88" t="s">
        <v>46</v>
      </c>
      <c r="C261" s="88" t="s">
        <v>133</v>
      </c>
      <c r="D261" s="87">
        <v>2025</v>
      </c>
      <c r="E261" s="88" t="s">
        <v>43</v>
      </c>
      <c r="F261" s="88" t="s">
        <v>152</v>
      </c>
      <c r="G261" s="89" t="s">
        <v>44</v>
      </c>
      <c r="H261" s="89" t="s">
        <v>44</v>
      </c>
      <c r="I261" s="89" t="s">
        <v>44</v>
      </c>
      <c r="J261" s="89" t="s">
        <v>44</v>
      </c>
      <c r="K261" s="90">
        <v>165319</v>
      </c>
    </row>
    <row r="262" ht="15.75" customHeight="1" spans="1:11">
      <c r="A262" s="87">
        <v>261</v>
      </c>
      <c r="B262" s="88" t="s">
        <v>46</v>
      </c>
      <c r="C262" s="88" t="s">
        <v>133</v>
      </c>
      <c r="D262" s="87">
        <v>2026</v>
      </c>
      <c r="E262" s="88" t="s">
        <v>31</v>
      </c>
      <c r="F262" s="88" t="s">
        <v>150</v>
      </c>
      <c r="G262" s="89" t="s">
        <v>44</v>
      </c>
      <c r="H262" s="89" t="s">
        <v>44</v>
      </c>
      <c r="I262" s="89" t="s">
        <v>44</v>
      </c>
      <c r="J262" s="89" t="s">
        <v>44</v>
      </c>
      <c r="K262" s="90">
        <v>2045</v>
      </c>
    </row>
    <row r="263" ht="15.75" customHeight="1" spans="1:11">
      <c r="A263" s="87">
        <v>262</v>
      </c>
      <c r="B263" s="88" t="s">
        <v>46</v>
      </c>
      <c r="C263" s="88" t="s">
        <v>133</v>
      </c>
      <c r="D263" s="87">
        <v>2026</v>
      </c>
      <c r="E263" s="88" t="s">
        <v>31</v>
      </c>
      <c r="F263" s="88" t="s">
        <v>151</v>
      </c>
      <c r="G263" s="89" t="s">
        <v>44</v>
      </c>
      <c r="H263" s="89" t="s">
        <v>44</v>
      </c>
      <c r="I263" s="89" t="s">
        <v>44</v>
      </c>
      <c r="J263" s="89" t="s">
        <v>44</v>
      </c>
      <c r="K263" s="90">
        <v>3025623</v>
      </c>
    </row>
    <row r="264" ht="15.75" customHeight="1" spans="1:11">
      <c r="A264" s="87">
        <v>263</v>
      </c>
      <c r="B264" s="88" t="s">
        <v>46</v>
      </c>
      <c r="C264" s="88" t="s">
        <v>133</v>
      </c>
      <c r="D264" s="87">
        <v>2026</v>
      </c>
      <c r="E264" s="88" t="s">
        <v>31</v>
      </c>
      <c r="F264" s="88" t="s">
        <v>152</v>
      </c>
      <c r="G264" s="89" t="s">
        <v>44</v>
      </c>
      <c r="H264" s="89" t="s">
        <v>44</v>
      </c>
      <c r="I264" s="89" t="s">
        <v>44</v>
      </c>
      <c r="J264" s="89" t="s">
        <v>44</v>
      </c>
      <c r="K264" s="90">
        <v>76854</v>
      </c>
    </row>
    <row r="265" ht="15.75" customHeight="1" spans="1:11">
      <c r="A265" s="87">
        <v>264</v>
      </c>
      <c r="B265" s="88" t="s">
        <v>46</v>
      </c>
      <c r="C265" s="88" t="s">
        <v>133</v>
      </c>
      <c r="D265" s="87">
        <v>2026</v>
      </c>
      <c r="E265" s="88" t="s">
        <v>33</v>
      </c>
      <c r="F265" s="88" t="s">
        <v>151</v>
      </c>
      <c r="G265" s="89" t="s">
        <v>44</v>
      </c>
      <c r="H265" s="89" t="s">
        <v>44</v>
      </c>
      <c r="I265" s="89" t="s">
        <v>44</v>
      </c>
      <c r="J265" s="89" t="s">
        <v>44</v>
      </c>
      <c r="K265" s="90">
        <v>6653481</v>
      </c>
    </row>
    <row r="266" ht="15.75" customHeight="1" spans="1:11">
      <c r="A266" s="87">
        <v>265</v>
      </c>
      <c r="B266" s="88" t="s">
        <v>46</v>
      </c>
      <c r="C266" s="88" t="s">
        <v>133</v>
      </c>
      <c r="D266" s="87">
        <v>2026</v>
      </c>
      <c r="E266" s="88" t="s">
        <v>33</v>
      </c>
      <c r="F266" s="88" t="s">
        <v>152</v>
      </c>
      <c r="G266" s="89" t="s">
        <v>44</v>
      </c>
      <c r="H266" s="89" t="s">
        <v>44</v>
      </c>
      <c r="I266" s="89" t="s">
        <v>44</v>
      </c>
      <c r="J266" s="89" t="s">
        <v>44</v>
      </c>
      <c r="K266" s="90">
        <v>217163</v>
      </c>
    </row>
    <row r="267" ht="15.75" customHeight="1" spans="1:11">
      <c r="A267" s="87">
        <v>266</v>
      </c>
      <c r="B267" s="88" t="s">
        <v>46</v>
      </c>
      <c r="C267" s="88" t="s">
        <v>133</v>
      </c>
      <c r="D267" s="87">
        <v>2026</v>
      </c>
      <c r="E267" s="88" t="s">
        <v>33</v>
      </c>
      <c r="F267" s="88" t="s">
        <v>150</v>
      </c>
      <c r="G267" s="89" t="s">
        <v>44</v>
      </c>
      <c r="H267" s="89" t="s">
        <v>44</v>
      </c>
      <c r="I267" s="89" t="s">
        <v>44</v>
      </c>
      <c r="J267" s="89" t="s">
        <v>44</v>
      </c>
      <c r="K267" s="90">
        <v>10447</v>
      </c>
    </row>
    <row r="268" ht="15.75" customHeight="1" spans="1:11">
      <c r="A268" s="87">
        <v>267</v>
      </c>
      <c r="B268" s="88" t="s">
        <v>46</v>
      </c>
      <c r="C268" s="88" t="s">
        <v>133</v>
      </c>
      <c r="D268" s="87">
        <v>2026</v>
      </c>
      <c r="E268" s="88" t="s">
        <v>34</v>
      </c>
      <c r="F268" s="88" t="s">
        <v>152</v>
      </c>
      <c r="G268" s="89" t="s">
        <v>44</v>
      </c>
      <c r="H268" s="89" t="s">
        <v>44</v>
      </c>
      <c r="I268" s="89" t="s">
        <v>44</v>
      </c>
      <c r="J268" s="89" t="s">
        <v>44</v>
      </c>
      <c r="K268" s="90">
        <v>299029</v>
      </c>
    </row>
    <row r="269" ht="15.75" customHeight="1" spans="1:11">
      <c r="A269" s="87">
        <v>268</v>
      </c>
      <c r="B269" s="88" t="s">
        <v>46</v>
      </c>
      <c r="C269" s="88" t="s">
        <v>133</v>
      </c>
      <c r="D269" s="87">
        <v>2026</v>
      </c>
      <c r="E269" s="88" t="s">
        <v>34</v>
      </c>
      <c r="F269" s="88" t="s">
        <v>150</v>
      </c>
      <c r="G269" s="89" t="s">
        <v>44</v>
      </c>
      <c r="H269" s="89" t="s">
        <v>44</v>
      </c>
      <c r="I269" s="89" t="s">
        <v>44</v>
      </c>
      <c r="J269" s="89" t="s">
        <v>44</v>
      </c>
      <c r="K269" s="89">
        <v>415</v>
      </c>
    </row>
    <row r="270" ht="15.75" customHeight="1" spans="1:11">
      <c r="A270" s="87">
        <v>269</v>
      </c>
      <c r="B270" s="88" t="s">
        <v>46</v>
      </c>
      <c r="C270" s="88" t="s">
        <v>133</v>
      </c>
      <c r="D270" s="87">
        <v>2026</v>
      </c>
      <c r="E270" s="88" t="s">
        <v>34</v>
      </c>
      <c r="F270" s="88" t="s">
        <v>151</v>
      </c>
      <c r="G270" s="89" t="s">
        <v>44</v>
      </c>
      <c r="H270" s="89" t="s">
        <v>44</v>
      </c>
      <c r="I270" s="89" t="s">
        <v>44</v>
      </c>
      <c r="J270" s="89" t="s">
        <v>44</v>
      </c>
      <c r="K270" s="90">
        <v>6130267</v>
      </c>
    </row>
    <row r="271" ht="15.75" customHeight="1" spans="1:11">
      <c r="A271" s="87">
        <v>270</v>
      </c>
      <c r="B271" s="88" t="s">
        <v>46</v>
      </c>
      <c r="C271" s="88" t="s">
        <v>134</v>
      </c>
      <c r="D271" s="87">
        <v>2024</v>
      </c>
      <c r="E271" s="88" t="s">
        <v>31</v>
      </c>
      <c r="F271" s="88" t="s">
        <v>151</v>
      </c>
      <c r="G271" s="89" t="s">
        <v>44</v>
      </c>
      <c r="H271" s="89" t="s">
        <v>44</v>
      </c>
      <c r="I271" s="89" t="s">
        <v>44</v>
      </c>
      <c r="J271" s="89" t="s">
        <v>44</v>
      </c>
      <c r="K271" s="90">
        <v>242162</v>
      </c>
    </row>
    <row r="272" ht="15.75" customHeight="1" spans="1:11">
      <c r="A272" s="87">
        <v>271</v>
      </c>
      <c r="B272" s="88" t="s">
        <v>46</v>
      </c>
      <c r="C272" s="88" t="s">
        <v>134</v>
      </c>
      <c r="D272" s="87">
        <v>2024</v>
      </c>
      <c r="E272" s="88" t="s">
        <v>31</v>
      </c>
      <c r="F272" s="88" t="s">
        <v>152</v>
      </c>
      <c r="G272" s="89" t="s">
        <v>44</v>
      </c>
      <c r="H272" s="89" t="s">
        <v>44</v>
      </c>
      <c r="I272" s="89" t="s">
        <v>44</v>
      </c>
      <c r="J272" s="89" t="s">
        <v>44</v>
      </c>
      <c r="K272" s="90">
        <v>7566</v>
      </c>
    </row>
    <row r="273" ht="15.75" customHeight="1" spans="1:11">
      <c r="A273" s="87">
        <v>272</v>
      </c>
      <c r="B273" s="88" t="s">
        <v>46</v>
      </c>
      <c r="C273" s="88" t="s">
        <v>134</v>
      </c>
      <c r="D273" s="87">
        <v>2024</v>
      </c>
      <c r="E273" s="88" t="s">
        <v>33</v>
      </c>
      <c r="F273" s="88" t="s">
        <v>151</v>
      </c>
      <c r="G273" s="89" t="s">
        <v>44</v>
      </c>
      <c r="H273" s="89" t="s">
        <v>44</v>
      </c>
      <c r="I273" s="89" t="s">
        <v>44</v>
      </c>
      <c r="J273" s="89" t="s">
        <v>44</v>
      </c>
      <c r="K273" s="90">
        <v>202365</v>
      </c>
    </row>
    <row r="274" ht="15.75" customHeight="1" spans="1:11">
      <c r="A274" s="87">
        <v>273</v>
      </c>
      <c r="B274" s="88" t="s">
        <v>46</v>
      </c>
      <c r="C274" s="88" t="s">
        <v>134</v>
      </c>
      <c r="D274" s="87">
        <v>2024</v>
      </c>
      <c r="E274" s="88" t="s">
        <v>33</v>
      </c>
      <c r="F274" s="88" t="s">
        <v>152</v>
      </c>
      <c r="G274" s="89" t="s">
        <v>44</v>
      </c>
      <c r="H274" s="89" t="s">
        <v>44</v>
      </c>
      <c r="I274" s="89" t="s">
        <v>44</v>
      </c>
      <c r="J274" s="89" t="s">
        <v>44</v>
      </c>
      <c r="K274" s="90">
        <v>5904</v>
      </c>
    </row>
    <row r="275" ht="15.75" customHeight="1" spans="1:11">
      <c r="A275" s="87">
        <v>274</v>
      </c>
      <c r="B275" s="88" t="s">
        <v>46</v>
      </c>
      <c r="C275" s="88" t="s">
        <v>134</v>
      </c>
      <c r="D275" s="87">
        <v>2024</v>
      </c>
      <c r="E275" s="88" t="s">
        <v>34</v>
      </c>
      <c r="F275" s="88" t="s">
        <v>151</v>
      </c>
      <c r="G275" s="89" t="s">
        <v>44</v>
      </c>
      <c r="H275" s="89" t="s">
        <v>44</v>
      </c>
      <c r="I275" s="89" t="s">
        <v>44</v>
      </c>
      <c r="J275" s="89" t="s">
        <v>44</v>
      </c>
      <c r="K275" s="90">
        <v>203975</v>
      </c>
    </row>
    <row r="276" ht="15.75" customHeight="1" spans="1:11">
      <c r="A276" s="87">
        <v>275</v>
      </c>
      <c r="B276" s="88" t="s">
        <v>46</v>
      </c>
      <c r="C276" s="88" t="s">
        <v>134</v>
      </c>
      <c r="D276" s="87">
        <v>2024</v>
      </c>
      <c r="E276" s="88" t="s">
        <v>34</v>
      </c>
      <c r="F276" s="88" t="s">
        <v>152</v>
      </c>
      <c r="G276" s="89" t="s">
        <v>44</v>
      </c>
      <c r="H276" s="89" t="s">
        <v>44</v>
      </c>
      <c r="I276" s="89" t="s">
        <v>44</v>
      </c>
      <c r="J276" s="89" t="s">
        <v>44</v>
      </c>
      <c r="K276" s="90">
        <v>3867</v>
      </c>
    </row>
    <row r="277" ht="15.75" customHeight="1" spans="1:11">
      <c r="A277" s="87">
        <v>276</v>
      </c>
      <c r="B277" s="88" t="s">
        <v>46</v>
      </c>
      <c r="C277" s="88" t="s">
        <v>134</v>
      </c>
      <c r="D277" s="87">
        <v>2024</v>
      </c>
      <c r="E277" s="88" t="s">
        <v>35</v>
      </c>
      <c r="F277" s="88" t="s">
        <v>151</v>
      </c>
      <c r="G277" s="89" t="s">
        <v>44</v>
      </c>
      <c r="H277" s="89" t="s">
        <v>44</v>
      </c>
      <c r="I277" s="89" t="s">
        <v>44</v>
      </c>
      <c r="J277" s="89" t="s">
        <v>44</v>
      </c>
      <c r="K277" s="90">
        <v>191442</v>
      </c>
    </row>
    <row r="278" ht="15.75" customHeight="1" spans="1:11">
      <c r="A278" s="87">
        <v>277</v>
      </c>
      <c r="B278" s="88" t="s">
        <v>46</v>
      </c>
      <c r="C278" s="88" t="s">
        <v>134</v>
      </c>
      <c r="D278" s="87">
        <v>2024</v>
      </c>
      <c r="E278" s="88" t="s">
        <v>35</v>
      </c>
      <c r="F278" s="88" t="s">
        <v>152</v>
      </c>
      <c r="G278" s="89" t="s">
        <v>44</v>
      </c>
      <c r="H278" s="89" t="s">
        <v>44</v>
      </c>
      <c r="I278" s="89" t="s">
        <v>44</v>
      </c>
      <c r="J278" s="89" t="s">
        <v>44</v>
      </c>
      <c r="K278" s="90">
        <v>5784</v>
      </c>
    </row>
    <row r="279" ht="15.75" customHeight="1" spans="1:11">
      <c r="A279" s="87">
        <v>278</v>
      </c>
      <c r="B279" s="88" t="s">
        <v>46</v>
      </c>
      <c r="C279" s="88" t="s">
        <v>134</v>
      </c>
      <c r="D279" s="87">
        <v>2024</v>
      </c>
      <c r="E279" s="88" t="s">
        <v>36</v>
      </c>
      <c r="F279" s="88" t="s">
        <v>150</v>
      </c>
      <c r="G279" s="89" t="s">
        <v>44</v>
      </c>
      <c r="H279" s="89" t="s">
        <v>44</v>
      </c>
      <c r="I279" s="89" t="s">
        <v>44</v>
      </c>
      <c r="J279" s="89" t="s">
        <v>44</v>
      </c>
      <c r="K279" s="89">
        <v>111</v>
      </c>
    </row>
    <row r="280" ht="15.75" customHeight="1" spans="1:11">
      <c r="A280" s="87">
        <v>279</v>
      </c>
      <c r="B280" s="88" t="s">
        <v>46</v>
      </c>
      <c r="C280" s="88" t="s">
        <v>134</v>
      </c>
      <c r="D280" s="87">
        <v>2024</v>
      </c>
      <c r="E280" s="88" t="s">
        <v>36</v>
      </c>
      <c r="F280" s="88" t="s">
        <v>151</v>
      </c>
      <c r="G280" s="89" t="s">
        <v>44</v>
      </c>
      <c r="H280" s="89" t="s">
        <v>44</v>
      </c>
      <c r="I280" s="89" t="s">
        <v>44</v>
      </c>
      <c r="J280" s="89" t="s">
        <v>44</v>
      </c>
      <c r="K280" s="90">
        <v>134910</v>
      </c>
    </row>
    <row r="281" ht="15.75" customHeight="1" spans="1:11">
      <c r="A281" s="87">
        <v>280</v>
      </c>
      <c r="B281" s="88" t="s">
        <v>46</v>
      </c>
      <c r="C281" s="88" t="s">
        <v>134</v>
      </c>
      <c r="D281" s="87">
        <v>2024</v>
      </c>
      <c r="E281" s="88" t="s">
        <v>36</v>
      </c>
      <c r="F281" s="88" t="s">
        <v>152</v>
      </c>
      <c r="G281" s="89" t="s">
        <v>44</v>
      </c>
      <c r="H281" s="89" t="s">
        <v>44</v>
      </c>
      <c r="I281" s="89" t="s">
        <v>44</v>
      </c>
      <c r="J281" s="89" t="s">
        <v>44</v>
      </c>
      <c r="K281" s="90">
        <v>3809</v>
      </c>
    </row>
    <row r="282" ht="15.75" customHeight="1" spans="1:11">
      <c r="A282" s="87">
        <v>281</v>
      </c>
      <c r="B282" s="88" t="s">
        <v>46</v>
      </c>
      <c r="C282" s="88" t="s">
        <v>134</v>
      </c>
      <c r="D282" s="87">
        <v>2024</v>
      </c>
      <c r="E282" s="88" t="s">
        <v>37</v>
      </c>
      <c r="F282" s="88" t="s">
        <v>150</v>
      </c>
      <c r="G282" s="89" t="s">
        <v>44</v>
      </c>
      <c r="H282" s="89" t="s">
        <v>44</v>
      </c>
      <c r="I282" s="89" t="s">
        <v>44</v>
      </c>
      <c r="J282" s="89" t="s">
        <v>44</v>
      </c>
      <c r="K282" s="89">
        <v>38</v>
      </c>
    </row>
    <row r="283" ht="15.75" customHeight="1" spans="1:11">
      <c r="A283" s="87">
        <v>282</v>
      </c>
      <c r="B283" s="88" t="s">
        <v>46</v>
      </c>
      <c r="C283" s="88" t="s">
        <v>134</v>
      </c>
      <c r="D283" s="87">
        <v>2024</v>
      </c>
      <c r="E283" s="88" t="s">
        <v>37</v>
      </c>
      <c r="F283" s="88" t="s">
        <v>151</v>
      </c>
      <c r="G283" s="89" t="s">
        <v>44</v>
      </c>
      <c r="H283" s="89" t="s">
        <v>44</v>
      </c>
      <c r="I283" s="89" t="s">
        <v>44</v>
      </c>
      <c r="J283" s="89" t="s">
        <v>44</v>
      </c>
      <c r="K283" s="90">
        <v>107400</v>
      </c>
    </row>
    <row r="284" ht="15.75" customHeight="1" spans="1:11">
      <c r="A284" s="87">
        <v>283</v>
      </c>
      <c r="B284" s="88" t="s">
        <v>46</v>
      </c>
      <c r="C284" s="88" t="s">
        <v>134</v>
      </c>
      <c r="D284" s="87">
        <v>2024</v>
      </c>
      <c r="E284" s="88" t="s">
        <v>37</v>
      </c>
      <c r="F284" s="88" t="s">
        <v>152</v>
      </c>
      <c r="G284" s="89" t="s">
        <v>44</v>
      </c>
      <c r="H284" s="89" t="s">
        <v>44</v>
      </c>
      <c r="I284" s="89" t="s">
        <v>44</v>
      </c>
      <c r="J284" s="89" t="s">
        <v>44</v>
      </c>
      <c r="K284" s="90">
        <v>2631</v>
      </c>
    </row>
    <row r="285" ht="15.75" customHeight="1" spans="1:11">
      <c r="A285" s="87">
        <v>284</v>
      </c>
      <c r="B285" s="88" t="s">
        <v>46</v>
      </c>
      <c r="C285" s="88" t="s">
        <v>134</v>
      </c>
      <c r="D285" s="87">
        <v>2024</v>
      </c>
      <c r="E285" s="88" t="s">
        <v>38</v>
      </c>
      <c r="F285" s="88" t="s">
        <v>150</v>
      </c>
      <c r="G285" s="89" t="s">
        <v>44</v>
      </c>
      <c r="H285" s="89" t="s">
        <v>44</v>
      </c>
      <c r="I285" s="89" t="s">
        <v>44</v>
      </c>
      <c r="J285" s="89" t="s">
        <v>44</v>
      </c>
      <c r="K285" s="89">
        <v>1</v>
      </c>
    </row>
    <row r="286" ht="15.75" customHeight="1" spans="1:11">
      <c r="A286" s="87">
        <v>285</v>
      </c>
      <c r="B286" s="88" t="s">
        <v>46</v>
      </c>
      <c r="C286" s="88" t="s">
        <v>134</v>
      </c>
      <c r="D286" s="87">
        <v>2024</v>
      </c>
      <c r="E286" s="88" t="s">
        <v>38</v>
      </c>
      <c r="F286" s="88" t="s">
        <v>151</v>
      </c>
      <c r="G286" s="89" t="s">
        <v>44</v>
      </c>
      <c r="H286" s="89" t="s">
        <v>44</v>
      </c>
      <c r="I286" s="89" t="s">
        <v>44</v>
      </c>
      <c r="J286" s="89" t="s">
        <v>44</v>
      </c>
      <c r="K286" s="90">
        <v>163017</v>
      </c>
    </row>
    <row r="287" ht="15.75" customHeight="1" spans="1:11">
      <c r="A287" s="87">
        <v>286</v>
      </c>
      <c r="B287" s="88" t="s">
        <v>46</v>
      </c>
      <c r="C287" s="88" t="s">
        <v>134</v>
      </c>
      <c r="D287" s="87">
        <v>2024</v>
      </c>
      <c r="E287" s="88" t="s">
        <v>38</v>
      </c>
      <c r="F287" s="88" t="s">
        <v>152</v>
      </c>
      <c r="G287" s="89" t="s">
        <v>44</v>
      </c>
      <c r="H287" s="89" t="s">
        <v>44</v>
      </c>
      <c r="I287" s="89" t="s">
        <v>44</v>
      </c>
      <c r="J287" s="89" t="s">
        <v>44</v>
      </c>
      <c r="K287" s="90">
        <v>2951</v>
      </c>
    </row>
    <row r="288" ht="15.75" customHeight="1" spans="1:11">
      <c r="A288" s="87">
        <v>287</v>
      </c>
      <c r="B288" s="88" t="s">
        <v>46</v>
      </c>
      <c r="C288" s="88" t="s">
        <v>134</v>
      </c>
      <c r="D288" s="87">
        <v>2024</v>
      </c>
      <c r="E288" s="88" t="s">
        <v>39</v>
      </c>
      <c r="F288" s="88" t="s">
        <v>150</v>
      </c>
      <c r="G288" s="89" t="s">
        <v>44</v>
      </c>
      <c r="H288" s="89" t="s">
        <v>44</v>
      </c>
      <c r="I288" s="89" t="s">
        <v>44</v>
      </c>
      <c r="J288" s="89" t="s">
        <v>44</v>
      </c>
      <c r="K288" s="89">
        <v>7</v>
      </c>
    </row>
    <row r="289" ht="15.75" customHeight="1" spans="1:11">
      <c r="A289" s="87">
        <v>288</v>
      </c>
      <c r="B289" s="88" t="s">
        <v>46</v>
      </c>
      <c r="C289" s="88" t="s">
        <v>134</v>
      </c>
      <c r="D289" s="87">
        <v>2024</v>
      </c>
      <c r="E289" s="88" t="s">
        <v>39</v>
      </c>
      <c r="F289" s="88" t="s">
        <v>151</v>
      </c>
      <c r="G289" s="89" t="s">
        <v>44</v>
      </c>
      <c r="H289" s="89" t="s">
        <v>44</v>
      </c>
      <c r="I289" s="89" t="s">
        <v>44</v>
      </c>
      <c r="J289" s="89" t="s">
        <v>44</v>
      </c>
      <c r="K289" s="90">
        <v>184625</v>
      </c>
    </row>
    <row r="290" ht="15.75" customHeight="1" spans="1:11">
      <c r="A290" s="87">
        <v>289</v>
      </c>
      <c r="B290" s="88" t="s">
        <v>46</v>
      </c>
      <c r="C290" s="88" t="s">
        <v>134</v>
      </c>
      <c r="D290" s="87">
        <v>2024</v>
      </c>
      <c r="E290" s="88" t="s">
        <v>39</v>
      </c>
      <c r="F290" s="88" t="s">
        <v>152</v>
      </c>
      <c r="G290" s="89" t="s">
        <v>44</v>
      </c>
      <c r="H290" s="89" t="s">
        <v>44</v>
      </c>
      <c r="I290" s="89" t="s">
        <v>44</v>
      </c>
      <c r="J290" s="89" t="s">
        <v>44</v>
      </c>
      <c r="K290" s="90">
        <v>3414</v>
      </c>
    </row>
    <row r="291" ht="15.75" customHeight="1" spans="1:11">
      <c r="A291" s="87">
        <v>290</v>
      </c>
      <c r="B291" s="88" t="s">
        <v>46</v>
      </c>
      <c r="C291" s="88" t="s">
        <v>134</v>
      </c>
      <c r="D291" s="87">
        <v>2024</v>
      </c>
      <c r="E291" s="88" t="s">
        <v>40</v>
      </c>
      <c r="F291" s="88" t="s">
        <v>150</v>
      </c>
      <c r="G291" s="89" t="s">
        <v>44</v>
      </c>
      <c r="H291" s="89" t="s">
        <v>44</v>
      </c>
      <c r="I291" s="89" t="s">
        <v>44</v>
      </c>
      <c r="J291" s="89" t="s">
        <v>44</v>
      </c>
      <c r="K291" s="89">
        <v>3</v>
      </c>
    </row>
    <row r="292" ht="15.75" customHeight="1" spans="1:11">
      <c r="A292" s="87">
        <v>291</v>
      </c>
      <c r="B292" s="88" t="s">
        <v>46</v>
      </c>
      <c r="C292" s="88" t="s">
        <v>134</v>
      </c>
      <c r="D292" s="87">
        <v>2024</v>
      </c>
      <c r="E292" s="88" t="s">
        <v>40</v>
      </c>
      <c r="F292" s="88" t="s">
        <v>151</v>
      </c>
      <c r="G292" s="89" t="s">
        <v>44</v>
      </c>
      <c r="H292" s="89" t="s">
        <v>44</v>
      </c>
      <c r="I292" s="89" t="s">
        <v>44</v>
      </c>
      <c r="J292" s="89" t="s">
        <v>44</v>
      </c>
      <c r="K292" s="90">
        <v>135928</v>
      </c>
    </row>
    <row r="293" ht="15.75" customHeight="1" spans="1:11">
      <c r="A293" s="87">
        <v>292</v>
      </c>
      <c r="B293" s="88" t="s">
        <v>46</v>
      </c>
      <c r="C293" s="88" t="s">
        <v>134</v>
      </c>
      <c r="D293" s="87">
        <v>2024</v>
      </c>
      <c r="E293" s="88" t="s">
        <v>40</v>
      </c>
      <c r="F293" s="88" t="s">
        <v>152</v>
      </c>
      <c r="G293" s="89" t="s">
        <v>44</v>
      </c>
      <c r="H293" s="89" t="s">
        <v>44</v>
      </c>
      <c r="I293" s="89" t="s">
        <v>44</v>
      </c>
      <c r="J293" s="89" t="s">
        <v>44</v>
      </c>
      <c r="K293" s="90">
        <v>2978</v>
      </c>
    </row>
    <row r="294" ht="15.75" customHeight="1" spans="1:11">
      <c r="A294" s="87">
        <v>293</v>
      </c>
      <c r="B294" s="88" t="s">
        <v>46</v>
      </c>
      <c r="C294" s="88" t="s">
        <v>134</v>
      </c>
      <c r="D294" s="87">
        <v>2024</v>
      </c>
      <c r="E294" s="88" t="s">
        <v>41</v>
      </c>
      <c r="F294" s="88" t="s">
        <v>150</v>
      </c>
      <c r="G294" s="89" t="s">
        <v>44</v>
      </c>
      <c r="H294" s="89" t="s">
        <v>44</v>
      </c>
      <c r="I294" s="89" t="s">
        <v>44</v>
      </c>
      <c r="J294" s="89" t="s">
        <v>44</v>
      </c>
      <c r="K294" s="89">
        <v>4</v>
      </c>
    </row>
    <row r="295" ht="15.75" customHeight="1" spans="1:11">
      <c r="A295" s="87">
        <v>294</v>
      </c>
      <c r="B295" s="88" t="s">
        <v>46</v>
      </c>
      <c r="C295" s="88" t="s">
        <v>134</v>
      </c>
      <c r="D295" s="87">
        <v>2024</v>
      </c>
      <c r="E295" s="88" t="s">
        <v>41</v>
      </c>
      <c r="F295" s="88" t="s">
        <v>151</v>
      </c>
      <c r="G295" s="89" t="s">
        <v>44</v>
      </c>
      <c r="H295" s="89" t="s">
        <v>44</v>
      </c>
      <c r="I295" s="89" t="s">
        <v>44</v>
      </c>
      <c r="J295" s="89" t="s">
        <v>44</v>
      </c>
      <c r="K295" s="90">
        <v>157498</v>
      </c>
    </row>
    <row r="296" ht="15.75" customHeight="1" spans="1:11">
      <c r="A296" s="87">
        <v>295</v>
      </c>
      <c r="B296" s="88" t="s">
        <v>46</v>
      </c>
      <c r="C296" s="88" t="s">
        <v>134</v>
      </c>
      <c r="D296" s="87">
        <v>2024</v>
      </c>
      <c r="E296" s="88" t="s">
        <v>41</v>
      </c>
      <c r="F296" s="88" t="s">
        <v>152</v>
      </c>
      <c r="G296" s="89" t="s">
        <v>44</v>
      </c>
      <c r="H296" s="89" t="s">
        <v>44</v>
      </c>
      <c r="I296" s="89" t="s">
        <v>44</v>
      </c>
      <c r="J296" s="89" t="s">
        <v>44</v>
      </c>
      <c r="K296" s="90">
        <v>5854</v>
      </c>
    </row>
    <row r="297" ht="15.75" customHeight="1" spans="1:11">
      <c r="A297" s="87">
        <v>296</v>
      </c>
      <c r="B297" s="88" t="s">
        <v>46</v>
      </c>
      <c r="C297" s="88" t="s">
        <v>134</v>
      </c>
      <c r="D297" s="87">
        <v>2024</v>
      </c>
      <c r="E297" s="88" t="s">
        <v>42</v>
      </c>
      <c r="F297" s="88" t="s">
        <v>150</v>
      </c>
      <c r="G297" s="89" t="s">
        <v>44</v>
      </c>
      <c r="H297" s="89" t="s">
        <v>44</v>
      </c>
      <c r="I297" s="89" t="s">
        <v>44</v>
      </c>
      <c r="J297" s="89" t="s">
        <v>44</v>
      </c>
      <c r="K297" s="89">
        <v>48</v>
      </c>
    </row>
    <row r="298" ht="15.75" customHeight="1" spans="1:11">
      <c r="A298" s="87">
        <v>297</v>
      </c>
      <c r="B298" s="88" t="s">
        <v>46</v>
      </c>
      <c r="C298" s="88" t="s">
        <v>134</v>
      </c>
      <c r="D298" s="87">
        <v>2024</v>
      </c>
      <c r="E298" s="88" t="s">
        <v>42</v>
      </c>
      <c r="F298" s="88" t="s">
        <v>151</v>
      </c>
      <c r="G298" s="89" t="s">
        <v>44</v>
      </c>
      <c r="H298" s="89" t="s">
        <v>44</v>
      </c>
      <c r="I298" s="89" t="s">
        <v>44</v>
      </c>
      <c r="J298" s="89" t="s">
        <v>44</v>
      </c>
      <c r="K298" s="90">
        <v>421035</v>
      </c>
    </row>
    <row r="299" ht="15.75" customHeight="1" spans="1:11">
      <c r="A299" s="87">
        <v>298</v>
      </c>
      <c r="B299" s="88" t="s">
        <v>46</v>
      </c>
      <c r="C299" s="88" t="s">
        <v>134</v>
      </c>
      <c r="D299" s="87">
        <v>2024</v>
      </c>
      <c r="E299" s="88" t="s">
        <v>42</v>
      </c>
      <c r="F299" s="88" t="s">
        <v>152</v>
      </c>
      <c r="G299" s="89" t="s">
        <v>44</v>
      </c>
      <c r="H299" s="89" t="s">
        <v>44</v>
      </c>
      <c r="I299" s="89" t="s">
        <v>44</v>
      </c>
      <c r="J299" s="89" t="s">
        <v>44</v>
      </c>
      <c r="K299" s="90">
        <v>7807</v>
      </c>
    </row>
    <row r="300" ht="15.75" customHeight="1" spans="1:11">
      <c r="A300" s="87">
        <v>299</v>
      </c>
      <c r="B300" s="88" t="s">
        <v>46</v>
      </c>
      <c r="C300" s="88" t="s">
        <v>134</v>
      </c>
      <c r="D300" s="87">
        <v>2024</v>
      </c>
      <c r="E300" s="88" t="s">
        <v>43</v>
      </c>
      <c r="F300" s="88" t="s">
        <v>150</v>
      </c>
      <c r="G300" s="89" t="s">
        <v>44</v>
      </c>
      <c r="H300" s="89" t="s">
        <v>44</v>
      </c>
      <c r="I300" s="89" t="s">
        <v>44</v>
      </c>
      <c r="J300" s="89" t="s">
        <v>44</v>
      </c>
      <c r="K300" s="89">
        <v>42</v>
      </c>
    </row>
    <row r="301" ht="15.75" customHeight="1" spans="1:11">
      <c r="A301" s="87">
        <v>300</v>
      </c>
      <c r="B301" s="88" t="s">
        <v>46</v>
      </c>
      <c r="C301" s="88" t="s">
        <v>134</v>
      </c>
      <c r="D301" s="87">
        <v>2024</v>
      </c>
      <c r="E301" s="88" t="s">
        <v>43</v>
      </c>
      <c r="F301" s="88" t="s">
        <v>151</v>
      </c>
      <c r="G301" s="89" t="s">
        <v>44</v>
      </c>
      <c r="H301" s="89" t="s">
        <v>44</v>
      </c>
      <c r="I301" s="89" t="s">
        <v>44</v>
      </c>
      <c r="J301" s="89" t="s">
        <v>44</v>
      </c>
      <c r="K301" s="90">
        <v>252810</v>
      </c>
    </row>
    <row r="302" ht="15.75" customHeight="1" spans="1:11">
      <c r="A302" s="87">
        <v>301</v>
      </c>
      <c r="B302" s="88" t="s">
        <v>46</v>
      </c>
      <c r="C302" s="88" t="s">
        <v>134</v>
      </c>
      <c r="D302" s="87">
        <v>2024</v>
      </c>
      <c r="E302" s="88" t="s">
        <v>43</v>
      </c>
      <c r="F302" s="88" t="s">
        <v>152</v>
      </c>
      <c r="G302" s="89" t="s">
        <v>44</v>
      </c>
      <c r="H302" s="89" t="s">
        <v>44</v>
      </c>
      <c r="I302" s="89" t="s">
        <v>44</v>
      </c>
      <c r="J302" s="89" t="s">
        <v>44</v>
      </c>
      <c r="K302" s="90">
        <v>4293</v>
      </c>
    </row>
    <row r="303" ht="15.75" customHeight="1" spans="1:11">
      <c r="A303" s="87">
        <v>302</v>
      </c>
      <c r="B303" s="88" t="s">
        <v>46</v>
      </c>
      <c r="C303" s="88" t="s">
        <v>134</v>
      </c>
      <c r="D303" s="87">
        <v>2025</v>
      </c>
      <c r="E303" s="88" t="s">
        <v>31</v>
      </c>
      <c r="F303" s="88" t="s">
        <v>150</v>
      </c>
      <c r="G303" s="89" t="s">
        <v>44</v>
      </c>
      <c r="H303" s="89" t="s">
        <v>44</v>
      </c>
      <c r="I303" s="89" t="s">
        <v>44</v>
      </c>
      <c r="J303" s="89" t="s">
        <v>44</v>
      </c>
      <c r="K303" s="89">
        <v>8</v>
      </c>
    </row>
    <row r="304" ht="15.75" customHeight="1" spans="1:11">
      <c r="A304" s="87">
        <v>303</v>
      </c>
      <c r="B304" s="88" t="s">
        <v>46</v>
      </c>
      <c r="C304" s="88" t="s">
        <v>134</v>
      </c>
      <c r="D304" s="87">
        <v>2025</v>
      </c>
      <c r="E304" s="88" t="s">
        <v>31</v>
      </c>
      <c r="F304" s="88" t="s">
        <v>151</v>
      </c>
      <c r="G304" s="89" t="s">
        <v>44</v>
      </c>
      <c r="H304" s="89" t="s">
        <v>44</v>
      </c>
      <c r="I304" s="89" t="s">
        <v>44</v>
      </c>
      <c r="J304" s="89" t="s">
        <v>44</v>
      </c>
      <c r="K304" s="90">
        <v>118403</v>
      </c>
    </row>
    <row r="305" ht="15.75" customHeight="1" spans="1:11">
      <c r="A305" s="87">
        <v>304</v>
      </c>
      <c r="B305" s="88" t="s">
        <v>46</v>
      </c>
      <c r="C305" s="88" t="s">
        <v>134</v>
      </c>
      <c r="D305" s="87">
        <v>2025</v>
      </c>
      <c r="E305" s="88" t="s">
        <v>31</v>
      </c>
      <c r="F305" s="88" t="s">
        <v>152</v>
      </c>
      <c r="G305" s="89" t="s">
        <v>44</v>
      </c>
      <c r="H305" s="89" t="s">
        <v>44</v>
      </c>
      <c r="I305" s="89" t="s">
        <v>44</v>
      </c>
      <c r="J305" s="89" t="s">
        <v>44</v>
      </c>
      <c r="K305" s="90">
        <v>4782</v>
      </c>
    </row>
    <row r="306" ht="15.75" customHeight="1" spans="1:11">
      <c r="A306" s="87">
        <v>305</v>
      </c>
      <c r="B306" s="88" t="s">
        <v>46</v>
      </c>
      <c r="C306" s="88" t="s">
        <v>134</v>
      </c>
      <c r="D306" s="87">
        <v>2025</v>
      </c>
      <c r="E306" s="88" t="s">
        <v>33</v>
      </c>
      <c r="F306" s="88" t="s">
        <v>150</v>
      </c>
      <c r="G306" s="89" t="s">
        <v>44</v>
      </c>
      <c r="H306" s="89" t="s">
        <v>44</v>
      </c>
      <c r="I306" s="89" t="s">
        <v>44</v>
      </c>
      <c r="J306" s="89" t="s">
        <v>44</v>
      </c>
      <c r="K306" s="89">
        <v>1</v>
      </c>
    </row>
    <row r="307" ht="15.75" customHeight="1" spans="1:11">
      <c r="A307" s="87">
        <v>306</v>
      </c>
      <c r="B307" s="88" t="s">
        <v>46</v>
      </c>
      <c r="C307" s="88" t="s">
        <v>134</v>
      </c>
      <c r="D307" s="87">
        <v>2025</v>
      </c>
      <c r="E307" s="88" t="s">
        <v>33</v>
      </c>
      <c r="F307" s="88" t="s">
        <v>151</v>
      </c>
      <c r="G307" s="89" t="s">
        <v>44</v>
      </c>
      <c r="H307" s="89" t="s">
        <v>44</v>
      </c>
      <c r="I307" s="89" t="s">
        <v>44</v>
      </c>
      <c r="J307" s="89" t="s">
        <v>44</v>
      </c>
      <c r="K307" s="90">
        <v>135779</v>
      </c>
    </row>
    <row r="308" ht="15.75" customHeight="1" spans="1:11">
      <c r="A308" s="87">
        <v>307</v>
      </c>
      <c r="B308" s="88" t="s">
        <v>46</v>
      </c>
      <c r="C308" s="88" t="s">
        <v>134</v>
      </c>
      <c r="D308" s="87">
        <v>2025</v>
      </c>
      <c r="E308" s="88" t="s">
        <v>33</v>
      </c>
      <c r="F308" s="88" t="s">
        <v>152</v>
      </c>
      <c r="G308" s="89" t="s">
        <v>44</v>
      </c>
      <c r="H308" s="89" t="s">
        <v>44</v>
      </c>
      <c r="I308" s="89" t="s">
        <v>44</v>
      </c>
      <c r="J308" s="89" t="s">
        <v>44</v>
      </c>
      <c r="K308" s="90">
        <v>4494</v>
      </c>
    </row>
    <row r="309" ht="15.75" customHeight="1" spans="1:11">
      <c r="A309" s="87">
        <v>308</v>
      </c>
      <c r="B309" s="88" t="s">
        <v>46</v>
      </c>
      <c r="C309" s="88" t="s">
        <v>134</v>
      </c>
      <c r="D309" s="87">
        <v>2025</v>
      </c>
      <c r="E309" s="88" t="s">
        <v>34</v>
      </c>
      <c r="F309" s="88" t="s">
        <v>150</v>
      </c>
      <c r="G309" s="89" t="s">
        <v>44</v>
      </c>
      <c r="H309" s="89" t="s">
        <v>44</v>
      </c>
      <c r="I309" s="89" t="s">
        <v>44</v>
      </c>
      <c r="J309" s="89" t="s">
        <v>44</v>
      </c>
      <c r="K309" s="89">
        <v>2</v>
      </c>
    </row>
    <row r="310" ht="15.75" customHeight="1" spans="1:11">
      <c r="A310" s="87">
        <v>309</v>
      </c>
      <c r="B310" s="88" t="s">
        <v>46</v>
      </c>
      <c r="C310" s="88" t="s">
        <v>134</v>
      </c>
      <c r="D310" s="87">
        <v>2025</v>
      </c>
      <c r="E310" s="88" t="s">
        <v>34</v>
      </c>
      <c r="F310" s="88" t="s">
        <v>151</v>
      </c>
      <c r="G310" s="89" t="s">
        <v>44</v>
      </c>
      <c r="H310" s="89" t="s">
        <v>44</v>
      </c>
      <c r="I310" s="89" t="s">
        <v>44</v>
      </c>
      <c r="J310" s="89" t="s">
        <v>44</v>
      </c>
      <c r="K310" s="90">
        <v>121228</v>
      </c>
    </row>
    <row r="311" ht="15.75" customHeight="1" spans="1:11">
      <c r="A311" s="87">
        <v>310</v>
      </c>
      <c r="B311" s="88" t="s">
        <v>46</v>
      </c>
      <c r="C311" s="88" t="s">
        <v>134</v>
      </c>
      <c r="D311" s="87">
        <v>2025</v>
      </c>
      <c r="E311" s="88" t="s">
        <v>34</v>
      </c>
      <c r="F311" s="88" t="s">
        <v>152</v>
      </c>
      <c r="G311" s="89" t="s">
        <v>44</v>
      </c>
      <c r="H311" s="89" t="s">
        <v>44</v>
      </c>
      <c r="I311" s="89" t="s">
        <v>44</v>
      </c>
      <c r="J311" s="89" t="s">
        <v>44</v>
      </c>
      <c r="K311" s="90">
        <v>2553</v>
      </c>
    </row>
    <row r="312" ht="15.75" customHeight="1" spans="1:11">
      <c r="A312" s="87">
        <v>311</v>
      </c>
      <c r="B312" s="88" t="s">
        <v>46</v>
      </c>
      <c r="C312" s="88" t="s">
        <v>134</v>
      </c>
      <c r="D312" s="87">
        <v>2025</v>
      </c>
      <c r="E312" s="88" t="s">
        <v>35</v>
      </c>
      <c r="F312" s="88" t="s">
        <v>150</v>
      </c>
      <c r="G312" s="89" t="s">
        <v>44</v>
      </c>
      <c r="H312" s="89" t="s">
        <v>44</v>
      </c>
      <c r="I312" s="89" t="s">
        <v>44</v>
      </c>
      <c r="J312" s="89" t="s">
        <v>44</v>
      </c>
      <c r="K312" s="89">
        <v>1</v>
      </c>
    </row>
    <row r="313" ht="15.75" customHeight="1" spans="1:11">
      <c r="A313" s="87">
        <v>312</v>
      </c>
      <c r="B313" s="88" t="s">
        <v>46</v>
      </c>
      <c r="C313" s="88" t="s">
        <v>134</v>
      </c>
      <c r="D313" s="87">
        <v>2025</v>
      </c>
      <c r="E313" s="88" t="s">
        <v>35</v>
      </c>
      <c r="F313" s="88" t="s">
        <v>151</v>
      </c>
      <c r="G313" s="89" t="s">
        <v>44</v>
      </c>
      <c r="H313" s="89" t="s">
        <v>44</v>
      </c>
      <c r="I313" s="89" t="s">
        <v>44</v>
      </c>
      <c r="J313" s="89" t="s">
        <v>44</v>
      </c>
      <c r="K313" s="90">
        <v>55968</v>
      </c>
    </row>
    <row r="314" ht="15.75" customHeight="1" spans="1:11">
      <c r="A314" s="87">
        <v>313</v>
      </c>
      <c r="B314" s="88" t="s">
        <v>46</v>
      </c>
      <c r="C314" s="88" t="s">
        <v>134</v>
      </c>
      <c r="D314" s="87">
        <v>2025</v>
      </c>
      <c r="E314" s="88" t="s">
        <v>35</v>
      </c>
      <c r="F314" s="88" t="s">
        <v>152</v>
      </c>
      <c r="G314" s="89" t="s">
        <v>44</v>
      </c>
      <c r="H314" s="89" t="s">
        <v>44</v>
      </c>
      <c r="I314" s="89" t="s">
        <v>44</v>
      </c>
      <c r="J314" s="89" t="s">
        <v>44</v>
      </c>
      <c r="K314" s="90">
        <v>2446</v>
      </c>
    </row>
    <row r="315" ht="15.75" customHeight="1" spans="1:11">
      <c r="A315" s="87">
        <v>314</v>
      </c>
      <c r="B315" s="88" t="s">
        <v>46</v>
      </c>
      <c r="C315" s="88" t="s">
        <v>134</v>
      </c>
      <c r="D315" s="87">
        <v>2025</v>
      </c>
      <c r="E315" s="88" t="s">
        <v>36</v>
      </c>
      <c r="F315" s="88" t="s">
        <v>151</v>
      </c>
      <c r="G315" s="89" t="s">
        <v>44</v>
      </c>
      <c r="H315" s="89" t="s">
        <v>44</v>
      </c>
      <c r="I315" s="89" t="s">
        <v>44</v>
      </c>
      <c r="J315" s="89" t="s">
        <v>44</v>
      </c>
      <c r="K315" s="90">
        <v>149159</v>
      </c>
    </row>
    <row r="316" ht="15.75" customHeight="1" spans="1:11">
      <c r="A316" s="87">
        <v>315</v>
      </c>
      <c r="B316" s="88" t="s">
        <v>46</v>
      </c>
      <c r="C316" s="88" t="s">
        <v>134</v>
      </c>
      <c r="D316" s="87">
        <v>2025</v>
      </c>
      <c r="E316" s="88" t="s">
        <v>36</v>
      </c>
      <c r="F316" s="88" t="s">
        <v>152</v>
      </c>
      <c r="G316" s="89" t="s">
        <v>44</v>
      </c>
      <c r="H316" s="89" t="s">
        <v>44</v>
      </c>
      <c r="I316" s="89" t="s">
        <v>44</v>
      </c>
      <c r="J316" s="89" t="s">
        <v>44</v>
      </c>
      <c r="K316" s="90">
        <v>3811</v>
      </c>
    </row>
    <row r="317" ht="15.75" customHeight="1" spans="1:11">
      <c r="A317" s="87">
        <v>316</v>
      </c>
      <c r="B317" s="88" t="s">
        <v>46</v>
      </c>
      <c r="C317" s="88" t="s">
        <v>134</v>
      </c>
      <c r="D317" s="87">
        <v>2025</v>
      </c>
      <c r="E317" s="88" t="s">
        <v>37</v>
      </c>
      <c r="F317" s="88" t="s">
        <v>151</v>
      </c>
      <c r="G317" s="89" t="s">
        <v>44</v>
      </c>
      <c r="H317" s="89" t="s">
        <v>44</v>
      </c>
      <c r="I317" s="89" t="s">
        <v>44</v>
      </c>
      <c r="J317" s="89" t="s">
        <v>44</v>
      </c>
      <c r="K317" s="90">
        <v>273266</v>
      </c>
    </row>
    <row r="318" ht="15.75" customHeight="1" spans="1:11">
      <c r="A318" s="87">
        <v>317</v>
      </c>
      <c r="B318" s="88" t="s">
        <v>46</v>
      </c>
      <c r="C318" s="88" t="s">
        <v>134</v>
      </c>
      <c r="D318" s="87">
        <v>2025</v>
      </c>
      <c r="E318" s="88" t="s">
        <v>37</v>
      </c>
      <c r="F318" s="88" t="s">
        <v>152</v>
      </c>
      <c r="G318" s="89" t="s">
        <v>44</v>
      </c>
      <c r="H318" s="89" t="s">
        <v>44</v>
      </c>
      <c r="I318" s="89" t="s">
        <v>44</v>
      </c>
      <c r="J318" s="89" t="s">
        <v>44</v>
      </c>
      <c r="K318" s="90">
        <v>10959</v>
      </c>
    </row>
    <row r="319" ht="15.75" customHeight="1" spans="1:11">
      <c r="A319" s="87">
        <v>318</v>
      </c>
      <c r="B319" s="88" t="s">
        <v>46</v>
      </c>
      <c r="C319" s="88" t="s">
        <v>134</v>
      </c>
      <c r="D319" s="87">
        <v>2025</v>
      </c>
      <c r="E319" s="88" t="s">
        <v>38</v>
      </c>
      <c r="F319" s="88" t="s">
        <v>150</v>
      </c>
      <c r="G319" s="89" t="s">
        <v>44</v>
      </c>
      <c r="H319" s="89" t="s">
        <v>44</v>
      </c>
      <c r="I319" s="89" t="s">
        <v>44</v>
      </c>
      <c r="J319" s="89" t="s">
        <v>44</v>
      </c>
      <c r="K319" s="89" t="s">
        <v>44</v>
      </c>
    </row>
    <row r="320" ht="15.75" customHeight="1" spans="1:11">
      <c r="A320" s="87">
        <v>319</v>
      </c>
      <c r="B320" s="88" t="s">
        <v>46</v>
      </c>
      <c r="C320" s="88" t="s">
        <v>134</v>
      </c>
      <c r="D320" s="87">
        <v>2025</v>
      </c>
      <c r="E320" s="88" t="s">
        <v>38</v>
      </c>
      <c r="F320" s="88" t="s">
        <v>151</v>
      </c>
      <c r="G320" s="89" t="s">
        <v>44</v>
      </c>
      <c r="H320" s="89" t="s">
        <v>44</v>
      </c>
      <c r="I320" s="89" t="s">
        <v>44</v>
      </c>
      <c r="J320" s="89" t="s">
        <v>44</v>
      </c>
      <c r="K320" s="90">
        <v>491274</v>
      </c>
    </row>
    <row r="321" ht="15.75" customHeight="1" spans="1:11">
      <c r="A321" s="87">
        <v>320</v>
      </c>
      <c r="B321" s="88" t="s">
        <v>46</v>
      </c>
      <c r="C321" s="88" t="s">
        <v>134</v>
      </c>
      <c r="D321" s="87">
        <v>2025</v>
      </c>
      <c r="E321" s="88" t="s">
        <v>38</v>
      </c>
      <c r="F321" s="88" t="s">
        <v>152</v>
      </c>
      <c r="G321" s="89" t="s">
        <v>44</v>
      </c>
      <c r="H321" s="89" t="s">
        <v>44</v>
      </c>
      <c r="I321" s="89" t="s">
        <v>44</v>
      </c>
      <c r="J321" s="89" t="s">
        <v>44</v>
      </c>
      <c r="K321" s="90">
        <v>12862</v>
      </c>
    </row>
    <row r="322" ht="15.75" customHeight="1" spans="1:11">
      <c r="A322" s="87">
        <v>321</v>
      </c>
      <c r="B322" s="88" t="s">
        <v>46</v>
      </c>
      <c r="C322" s="88" t="s">
        <v>134</v>
      </c>
      <c r="D322" s="87">
        <v>2025</v>
      </c>
      <c r="E322" s="88" t="s">
        <v>39</v>
      </c>
      <c r="F322" s="88" t="s">
        <v>150</v>
      </c>
      <c r="G322" s="89" t="s">
        <v>44</v>
      </c>
      <c r="H322" s="89" t="s">
        <v>44</v>
      </c>
      <c r="I322" s="89" t="s">
        <v>44</v>
      </c>
      <c r="J322" s="89" t="s">
        <v>44</v>
      </c>
      <c r="K322" s="90">
        <v>7087</v>
      </c>
    </row>
    <row r="323" ht="15.75" customHeight="1" spans="1:11">
      <c r="A323" s="87">
        <v>322</v>
      </c>
      <c r="B323" s="88" t="s">
        <v>46</v>
      </c>
      <c r="C323" s="88" t="s">
        <v>134</v>
      </c>
      <c r="D323" s="87">
        <v>2025</v>
      </c>
      <c r="E323" s="88" t="s">
        <v>39</v>
      </c>
      <c r="F323" s="88" t="s">
        <v>151</v>
      </c>
      <c r="G323" s="89" t="s">
        <v>44</v>
      </c>
      <c r="H323" s="89" t="s">
        <v>44</v>
      </c>
      <c r="I323" s="89" t="s">
        <v>44</v>
      </c>
      <c r="J323" s="89" t="s">
        <v>44</v>
      </c>
      <c r="K323" s="90">
        <v>2967262</v>
      </c>
    </row>
    <row r="324" ht="15.75" customHeight="1" spans="1:11">
      <c r="A324" s="87">
        <v>323</v>
      </c>
      <c r="B324" s="88" t="s">
        <v>46</v>
      </c>
      <c r="C324" s="88" t="s">
        <v>134</v>
      </c>
      <c r="D324" s="87">
        <v>2025</v>
      </c>
      <c r="E324" s="88" t="s">
        <v>39</v>
      </c>
      <c r="F324" s="88" t="s">
        <v>152</v>
      </c>
      <c r="G324" s="89" t="s">
        <v>44</v>
      </c>
      <c r="H324" s="89" t="s">
        <v>44</v>
      </c>
      <c r="I324" s="89" t="s">
        <v>44</v>
      </c>
      <c r="J324" s="89" t="s">
        <v>44</v>
      </c>
      <c r="K324" s="90">
        <v>162558</v>
      </c>
    </row>
    <row r="325" ht="15.75" customHeight="1" spans="1:11">
      <c r="A325" s="87">
        <v>324</v>
      </c>
      <c r="B325" s="88" t="s">
        <v>46</v>
      </c>
      <c r="C325" s="88" t="s">
        <v>134</v>
      </c>
      <c r="D325" s="87">
        <v>2025</v>
      </c>
      <c r="E325" s="88" t="s">
        <v>40</v>
      </c>
      <c r="F325" s="88" t="s">
        <v>150</v>
      </c>
      <c r="G325" s="89" t="s">
        <v>44</v>
      </c>
      <c r="H325" s="89" t="s">
        <v>44</v>
      </c>
      <c r="I325" s="89" t="s">
        <v>44</v>
      </c>
      <c r="J325" s="89" t="s">
        <v>44</v>
      </c>
      <c r="K325" s="90">
        <v>2507</v>
      </c>
    </row>
    <row r="326" ht="15.75" customHeight="1" spans="1:11">
      <c r="A326" s="87">
        <v>325</v>
      </c>
      <c r="B326" s="88" t="s">
        <v>46</v>
      </c>
      <c r="C326" s="88" t="s">
        <v>134</v>
      </c>
      <c r="D326" s="87">
        <v>2025</v>
      </c>
      <c r="E326" s="88" t="s">
        <v>40</v>
      </c>
      <c r="F326" s="88" t="s">
        <v>151</v>
      </c>
      <c r="G326" s="89" t="s">
        <v>44</v>
      </c>
      <c r="H326" s="89" t="s">
        <v>44</v>
      </c>
      <c r="I326" s="89" t="s">
        <v>44</v>
      </c>
      <c r="J326" s="89" t="s">
        <v>44</v>
      </c>
      <c r="K326" s="90">
        <v>871104</v>
      </c>
    </row>
    <row r="327" ht="15.75" customHeight="1" spans="1:11">
      <c r="A327" s="87">
        <v>326</v>
      </c>
      <c r="B327" s="88" t="s">
        <v>46</v>
      </c>
      <c r="C327" s="88" t="s">
        <v>134</v>
      </c>
      <c r="D327" s="87">
        <v>2025</v>
      </c>
      <c r="E327" s="88" t="s">
        <v>40</v>
      </c>
      <c r="F327" s="88" t="s">
        <v>152</v>
      </c>
      <c r="G327" s="89" t="s">
        <v>44</v>
      </c>
      <c r="H327" s="89" t="s">
        <v>44</v>
      </c>
      <c r="I327" s="89" t="s">
        <v>44</v>
      </c>
      <c r="J327" s="89" t="s">
        <v>44</v>
      </c>
      <c r="K327" s="90">
        <v>26656</v>
      </c>
    </row>
    <row r="328" ht="15.75" customHeight="1" spans="1:11">
      <c r="A328" s="87">
        <v>327</v>
      </c>
      <c r="B328" s="88" t="s">
        <v>46</v>
      </c>
      <c r="C328" s="88" t="s">
        <v>134</v>
      </c>
      <c r="D328" s="87">
        <v>2025</v>
      </c>
      <c r="E328" s="88" t="s">
        <v>41</v>
      </c>
      <c r="F328" s="88" t="s">
        <v>150</v>
      </c>
      <c r="G328" s="89" t="s">
        <v>44</v>
      </c>
      <c r="H328" s="89" t="s">
        <v>44</v>
      </c>
      <c r="I328" s="89" t="s">
        <v>44</v>
      </c>
      <c r="J328" s="89" t="s">
        <v>44</v>
      </c>
      <c r="K328" s="90">
        <v>1629</v>
      </c>
    </row>
    <row r="329" ht="15.75" customHeight="1" spans="1:11">
      <c r="A329" s="87">
        <v>328</v>
      </c>
      <c r="B329" s="88" t="s">
        <v>46</v>
      </c>
      <c r="C329" s="88" t="s">
        <v>134</v>
      </c>
      <c r="D329" s="87">
        <v>2025</v>
      </c>
      <c r="E329" s="88" t="s">
        <v>41</v>
      </c>
      <c r="F329" s="88" t="s">
        <v>151</v>
      </c>
      <c r="G329" s="89" t="s">
        <v>44</v>
      </c>
      <c r="H329" s="89" t="s">
        <v>44</v>
      </c>
      <c r="I329" s="89" t="s">
        <v>44</v>
      </c>
      <c r="J329" s="89" t="s">
        <v>44</v>
      </c>
      <c r="K329" s="90">
        <v>580949</v>
      </c>
    </row>
    <row r="330" ht="15.75" customHeight="1" spans="1:11">
      <c r="A330" s="87">
        <v>329</v>
      </c>
      <c r="B330" s="88" t="s">
        <v>46</v>
      </c>
      <c r="C330" s="88" t="s">
        <v>134</v>
      </c>
      <c r="D330" s="87">
        <v>2025</v>
      </c>
      <c r="E330" s="88" t="s">
        <v>41</v>
      </c>
      <c r="F330" s="88" t="s">
        <v>152</v>
      </c>
      <c r="G330" s="89" t="s">
        <v>44</v>
      </c>
      <c r="H330" s="89" t="s">
        <v>44</v>
      </c>
      <c r="I330" s="89" t="s">
        <v>44</v>
      </c>
      <c r="J330" s="89" t="s">
        <v>44</v>
      </c>
      <c r="K330" s="90">
        <v>28321</v>
      </c>
    </row>
    <row r="331" ht="15.75" customHeight="1" spans="1:11">
      <c r="A331" s="87">
        <v>330</v>
      </c>
      <c r="B331" s="88" t="s">
        <v>46</v>
      </c>
      <c r="C331" s="88" t="s">
        <v>134</v>
      </c>
      <c r="D331" s="87">
        <v>2025</v>
      </c>
      <c r="E331" s="88" t="s">
        <v>42</v>
      </c>
      <c r="F331" s="88" t="s">
        <v>150</v>
      </c>
      <c r="G331" s="89" t="s">
        <v>44</v>
      </c>
      <c r="H331" s="89" t="s">
        <v>44</v>
      </c>
      <c r="I331" s="89" t="s">
        <v>44</v>
      </c>
      <c r="J331" s="89" t="s">
        <v>44</v>
      </c>
      <c r="K331" s="89">
        <v>181</v>
      </c>
    </row>
    <row r="332" ht="15.75" customHeight="1" spans="1:11">
      <c r="A332" s="87">
        <v>331</v>
      </c>
      <c r="B332" s="88" t="s">
        <v>46</v>
      </c>
      <c r="C332" s="88" t="s">
        <v>134</v>
      </c>
      <c r="D332" s="87">
        <v>2025</v>
      </c>
      <c r="E332" s="88" t="s">
        <v>42</v>
      </c>
      <c r="F332" s="88" t="s">
        <v>151</v>
      </c>
      <c r="G332" s="89" t="s">
        <v>44</v>
      </c>
      <c r="H332" s="89" t="s">
        <v>44</v>
      </c>
      <c r="I332" s="89" t="s">
        <v>44</v>
      </c>
      <c r="J332" s="89" t="s">
        <v>44</v>
      </c>
      <c r="K332" s="90">
        <v>945381</v>
      </c>
    </row>
    <row r="333" ht="15.75" customHeight="1" spans="1:11">
      <c r="A333" s="87">
        <v>332</v>
      </c>
      <c r="B333" s="88" t="s">
        <v>46</v>
      </c>
      <c r="C333" s="88" t="s">
        <v>134</v>
      </c>
      <c r="D333" s="87">
        <v>2025</v>
      </c>
      <c r="E333" s="88" t="s">
        <v>42</v>
      </c>
      <c r="F333" s="88" t="s">
        <v>152</v>
      </c>
      <c r="G333" s="89" t="s">
        <v>44</v>
      </c>
      <c r="H333" s="89" t="s">
        <v>44</v>
      </c>
      <c r="I333" s="89" t="s">
        <v>44</v>
      </c>
      <c r="J333" s="89" t="s">
        <v>44</v>
      </c>
      <c r="K333" s="90">
        <v>23742</v>
      </c>
    </row>
    <row r="334" ht="15.75" customHeight="1" spans="1:11">
      <c r="A334" s="87">
        <v>333</v>
      </c>
      <c r="B334" s="88" t="s">
        <v>46</v>
      </c>
      <c r="C334" s="88" t="s">
        <v>134</v>
      </c>
      <c r="D334" s="87">
        <v>2025</v>
      </c>
      <c r="E334" s="88" t="s">
        <v>43</v>
      </c>
      <c r="F334" s="88" t="s">
        <v>150</v>
      </c>
      <c r="G334" s="89" t="s">
        <v>44</v>
      </c>
      <c r="H334" s="89" t="s">
        <v>44</v>
      </c>
      <c r="I334" s="89" t="s">
        <v>44</v>
      </c>
      <c r="J334" s="89" t="s">
        <v>44</v>
      </c>
      <c r="K334" s="89">
        <v>65</v>
      </c>
    </row>
    <row r="335" ht="15.75" customHeight="1" spans="1:11">
      <c r="A335" s="87">
        <v>334</v>
      </c>
      <c r="B335" s="88" t="s">
        <v>46</v>
      </c>
      <c r="C335" s="88" t="s">
        <v>134</v>
      </c>
      <c r="D335" s="87">
        <v>2025</v>
      </c>
      <c r="E335" s="88" t="s">
        <v>43</v>
      </c>
      <c r="F335" s="88" t="s">
        <v>151</v>
      </c>
      <c r="G335" s="89" t="s">
        <v>44</v>
      </c>
      <c r="H335" s="89" t="s">
        <v>44</v>
      </c>
      <c r="I335" s="89" t="s">
        <v>44</v>
      </c>
      <c r="J335" s="89" t="s">
        <v>44</v>
      </c>
      <c r="K335" s="90">
        <v>354833</v>
      </c>
    </row>
    <row r="336" ht="15.75" customHeight="1" spans="1:11">
      <c r="A336" s="87">
        <v>335</v>
      </c>
      <c r="B336" s="88" t="s">
        <v>46</v>
      </c>
      <c r="C336" s="88" t="s">
        <v>134</v>
      </c>
      <c r="D336" s="87">
        <v>2025</v>
      </c>
      <c r="E336" s="88" t="s">
        <v>43</v>
      </c>
      <c r="F336" s="88" t="s">
        <v>152</v>
      </c>
      <c r="G336" s="89" t="s">
        <v>44</v>
      </c>
      <c r="H336" s="89" t="s">
        <v>44</v>
      </c>
      <c r="I336" s="89" t="s">
        <v>44</v>
      </c>
      <c r="J336" s="89" t="s">
        <v>44</v>
      </c>
      <c r="K336" s="90">
        <v>10618</v>
      </c>
    </row>
    <row r="337" ht="15.75" customHeight="1" spans="1:11">
      <c r="A337" s="87">
        <v>336</v>
      </c>
      <c r="B337" s="88" t="s">
        <v>46</v>
      </c>
      <c r="C337" s="88" t="s">
        <v>134</v>
      </c>
      <c r="D337" s="87">
        <v>2026</v>
      </c>
      <c r="E337" s="88" t="s">
        <v>31</v>
      </c>
      <c r="F337" s="88" t="s">
        <v>150</v>
      </c>
      <c r="G337" s="89" t="s">
        <v>44</v>
      </c>
      <c r="H337" s="89" t="s">
        <v>44</v>
      </c>
      <c r="I337" s="89" t="s">
        <v>44</v>
      </c>
      <c r="J337" s="89" t="s">
        <v>44</v>
      </c>
      <c r="K337" s="90">
        <v>3001</v>
      </c>
    </row>
    <row r="338" ht="15.75" customHeight="1" spans="1:11">
      <c r="A338" s="87">
        <v>337</v>
      </c>
      <c r="B338" s="88" t="s">
        <v>46</v>
      </c>
      <c r="C338" s="88" t="s">
        <v>134</v>
      </c>
      <c r="D338" s="87">
        <v>2026</v>
      </c>
      <c r="E338" s="88" t="s">
        <v>31</v>
      </c>
      <c r="F338" s="88" t="s">
        <v>151</v>
      </c>
      <c r="G338" s="89" t="s">
        <v>44</v>
      </c>
      <c r="H338" s="89" t="s">
        <v>44</v>
      </c>
      <c r="I338" s="89" t="s">
        <v>44</v>
      </c>
      <c r="J338" s="89" t="s">
        <v>44</v>
      </c>
      <c r="K338" s="90">
        <v>895934</v>
      </c>
    </row>
    <row r="339" ht="15.75" customHeight="1" spans="1:11">
      <c r="A339" s="87">
        <v>338</v>
      </c>
      <c r="B339" s="88" t="s">
        <v>46</v>
      </c>
      <c r="C339" s="88" t="s">
        <v>134</v>
      </c>
      <c r="D339" s="87">
        <v>2026</v>
      </c>
      <c r="E339" s="88" t="s">
        <v>31</v>
      </c>
      <c r="F339" s="88" t="s">
        <v>152</v>
      </c>
      <c r="G339" s="89" t="s">
        <v>44</v>
      </c>
      <c r="H339" s="89" t="s">
        <v>44</v>
      </c>
      <c r="I339" s="89" t="s">
        <v>44</v>
      </c>
      <c r="J339" s="89" t="s">
        <v>44</v>
      </c>
      <c r="K339" s="90">
        <v>59093</v>
      </c>
    </row>
    <row r="340" ht="15.75" customHeight="1" spans="1:11">
      <c r="A340" s="87">
        <v>339</v>
      </c>
      <c r="B340" s="88" t="s">
        <v>46</v>
      </c>
      <c r="C340" s="88" t="s">
        <v>134</v>
      </c>
      <c r="D340" s="87">
        <v>2026</v>
      </c>
      <c r="E340" s="88" t="s">
        <v>33</v>
      </c>
      <c r="F340" s="88" t="s">
        <v>151</v>
      </c>
      <c r="G340" s="89" t="s">
        <v>44</v>
      </c>
      <c r="H340" s="89" t="s">
        <v>44</v>
      </c>
      <c r="I340" s="89" t="s">
        <v>44</v>
      </c>
      <c r="J340" s="89" t="s">
        <v>44</v>
      </c>
      <c r="K340" s="90">
        <v>514523</v>
      </c>
    </row>
    <row r="341" ht="15.75" customHeight="1" spans="1:11">
      <c r="A341" s="87">
        <v>340</v>
      </c>
      <c r="B341" s="88" t="s">
        <v>46</v>
      </c>
      <c r="C341" s="88" t="s">
        <v>134</v>
      </c>
      <c r="D341" s="87">
        <v>2026</v>
      </c>
      <c r="E341" s="88" t="s">
        <v>33</v>
      </c>
      <c r="F341" s="88" t="s">
        <v>152</v>
      </c>
      <c r="G341" s="89" t="s">
        <v>44</v>
      </c>
      <c r="H341" s="89" t="s">
        <v>44</v>
      </c>
      <c r="I341" s="89" t="s">
        <v>44</v>
      </c>
      <c r="J341" s="89" t="s">
        <v>44</v>
      </c>
      <c r="K341" s="90">
        <v>20522</v>
      </c>
    </row>
    <row r="342" ht="15.75" customHeight="1" spans="1:11">
      <c r="A342" s="87">
        <v>341</v>
      </c>
      <c r="B342" s="88" t="s">
        <v>46</v>
      </c>
      <c r="C342" s="88" t="s">
        <v>134</v>
      </c>
      <c r="D342" s="87">
        <v>2026</v>
      </c>
      <c r="E342" s="88" t="s">
        <v>33</v>
      </c>
      <c r="F342" s="88" t="s">
        <v>150</v>
      </c>
      <c r="G342" s="89" t="s">
        <v>44</v>
      </c>
      <c r="H342" s="89" t="s">
        <v>44</v>
      </c>
      <c r="I342" s="89" t="s">
        <v>44</v>
      </c>
      <c r="J342" s="89" t="s">
        <v>44</v>
      </c>
      <c r="K342" s="90">
        <v>3959</v>
      </c>
    </row>
    <row r="343" ht="15.75" customHeight="1" spans="1:11">
      <c r="A343" s="87">
        <v>342</v>
      </c>
      <c r="B343" s="88" t="s">
        <v>46</v>
      </c>
      <c r="C343" s="88" t="s">
        <v>134</v>
      </c>
      <c r="D343" s="87">
        <v>2026</v>
      </c>
      <c r="E343" s="88" t="s">
        <v>34</v>
      </c>
      <c r="F343" s="88" t="s">
        <v>152</v>
      </c>
      <c r="G343" s="89" t="s">
        <v>44</v>
      </c>
      <c r="H343" s="89" t="s">
        <v>44</v>
      </c>
      <c r="I343" s="89" t="s">
        <v>44</v>
      </c>
      <c r="J343" s="89" t="s">
        <v>44</v>
      </c>
      <c r="K343" s="90">
        <v>32687</v>
      </c>
    </row>
    <row r="344" ht="15.75" customHeight="1" spans="1:11">
      <c r="A344" s="87">
        <v>343</v>
      </c>
      <c r="B344" s="88" t="s">
        <v>46</v>
      </c>
      <c r="C344" s="88" t="s">
        <v>134</v>
      </c>
      <c r="D344" s="87">
        <v>2026</v>
      </c>
      <c r="E344" s="88" t="s">
        <v>34</v>
      </c>
      <c r="F344" s="88" t="s">
        <v>150</v>
      </c>
      <c r="G344" s="89" t="s">
        <v>44</v>
      </c>
      <c r="H344" s="89" t="s">
        <v>44</v>
      </c>
      <c r="I344" s="89" t="s">
        <v>44</v>
      </c>
      <c r="J344" s="89" t="s">
        <v>44</v>
      </c>
      <c r="K344" s="89">
        <v>76</v>
      </c>
    </row>
    <row r="345" ht="15.75" customHeight="1" spans="1:11">
      <c r="A345" s="87">
        <v>344</v>
      </c>
      <c r="B345" s="88" t="s">
        <v>46</v>
      </c>
      <c r="C345" s="88" t="s">
        <v>134</v>
      </c>
      <c r="D345" s="87">
        <v>2026</v>
      </c>
      <c r="E345" s="88" t="s">
        <v>34</v>
      </c>
      <c r="F345" s="88" t="s">
        <v>151</v>
      </c>
      <c r="G345" s="89" t="s">
        <v>44</v>
      </c>
      <c r="H345" s="89" t="s">
        <v>44</v>
      </c>
      <c r="I345" s="89" t="s">
        <v>44</v>
      </c>
      <c r="J345" s="89" t="s">
        <v>44</v>
      </c>
      <c r="K345" s="90">
        <v>1254164</v>
      </c>
    </row>
    <row r="346" ht="15.75" customHeight="1" spans="1:11">
      <c r="A346" s="87">
        <v>345</v>
      </c>
      <c r="B346" s="88" t="s">
        <v>46</v>
      </c>
      <c r="C346" s="88" t="s">
        <v>135</v>
      </c>
      <c r="D346" s="87">
        <v>2024</v>
      </c>
      <c r="E346" s="88" t="s">
        <v>31</v>
      </c>
      <c r="F346" s="88" t="s">
        <v>150</v>
      </c>
      <c r="G346" s="89" t="s">
        <v>44</v>
      </c>
      <c r="H346" s="89" t="s">
        <v>44</v>
      </c>
      <c r="I346" s="89" t="s">
        <v>44</v>
      </c>
      <c r="J346" s="89" t="s">
        <v>44</v>
      </c>
      <c r="K346" s="89">
        <v>30</v>
      </c>
    </row>
    <row r="347" ht="15.75" customHeight="1" spans="1:11">
      <c r="A347" s="87">
        <v>346</v>
      </c>
      <c r="B347" s="88" t="s">
        <v>46</v>
      </c>
      <c r="C347" s="88" t="s">
        <v>135</v>
      </c>
      <c r="D347" s="87">
        <v>2024</v>
      </c>
      <c r="E347" s="88" t="s">
        <v>31</v>
      </c>
      <c r="F347" s="88" t="s">
        <v>151</v>
      </c>
      <c r="G347" s="89" t="s">
        <v>44</v>
      </c>
      <c r="H347" s="89" t="s">
        <v>44</v>
      </c>
      <c r="I347" s="89" t="s">
        <v>44</v>
      </c>
      <c r="J347" s="89" t="s">
        <v>44</v>
      </c>
      <c r="K347" s="90">
        <v>43097</v>
      </c>
    </row>
    <row r="348" ht="15.75" customHeight="1" spans="1:11">
      <c r="A348" s="87">
        <v>347</v>
      </c>
      <c r="B348" s="88" t="s">
        <v>46</v>
      </c>
      <c r="C348" s="88" t="s">
        <v>135</v>
      </c>
      <c r="D348" s="87">
        <v>2024</v>
      </c>
      <c r="E348" s="88" t="s">
        <v>31</v>
      </c>
      <c r="F348" s="88" t="s">
        <v>152</v>
      </c>
      <c r="G348" s="89" t="s">
        <v>44</v>
      </c>
      <c r="H348" s="89" t="s">
        <v>44</v>
      </c>
      <c r="I348" s="89" t="s">
        <v>44</v>
      </c>
      <c r="J348" s="89" t="s">
        <v>44</v>
      </c>
      <c r="K348" s="89">
        <v>561</v>
      </c>
    </row>
    <row r="349" ht="15.75" customHeight="1" spans="1:11">
      <c r="A349" s="87">
        <v>348</v>
      </c>
      <c r="B349" s="88" t="s">
        <v>46</v>
      </c>
      <c r="C349" s="88" t="s">
        <v>135</v>
      </c>
      <c r="D349" s="87">
        <v>2024</v>
      </c>
      <c r="E349" s="88" t="s">
        <v>33</v>
      </c>
      <c r="F349" s="88" t="s">
        <v>150</v>
      </c>
      <c r="G349" s="89" t="s">
        <v>44</v>
      </c>
      <c r="H349" s="89" t="s">
        <v>44</v>
      </c>
      <c r="I349" s="89" t="s">
        <v>44</v>
      </c>
      <c r="J349" s="89" t="s">
        <v>44</v>
      </c>
      <c r="K349" s="89">
        <v>14</v>
      </c>
    </row>
    <row r="350" ht="15.75" customHeight="1" spans="1:11">
      <c r="A350" s="87">
        <v>349</v>
      </c>
      <c r="B350" s="88" t="s">
        <v>46</v>
      </c>
      <c r="C350" s="88" t="s">
        <v>135</v>
      </c>
      <c r="D350" s="87">
        <v>2024</v>
      </c>
      <c r="E350" s="88" t="s">
        <v>33</v>
      </c>
      <c r="F350" s="88" t="s">
        <v>151</v>
      </c>
      <c r="G350" s="89" t="s">
        <v>44</v>
      </c>
      <c r="H350" s="89" t="s">
        <v>44</v>
      </c>
      <c r="I350" s="89" t="s">
        <v>44</v>
      </c>
      <c r="J350" s="89" t="s">
        <v>44</v>
      </c>
      <c r="K350" s="90">
        <v>46469</v>
      </c>
    </row>
    <row r="351" ht="15.75" customHeight="1" spans="1:11">
      <c r="A351" s="87">
        <v>350</v>
      </c>
      <c r="B351" s="88" t="s">
        <v>46</v>
      </c>
      <c r="C351" s="88" t="s">
        <v>135</v>
      </c>
      <c r="D351" s="87">
        <v>2024</v>
      </c>
      <c r="E351" s="88" t="s">
        <v>33</v>
      </c>
      <c r="F351" s="88" t="s">
        <v>152</v>
      </c>
      <c r="G351" s="89" t="s">
        <v>44</v>
      </c>
      <c r="H351" s="89" t="s">
        <v>44</v>
      </c>
      <c r="I351" s="89" t="s">
        <v>44</v>
      </c>
      <c r="J351" s="89" t="s">
        <v>44</v>
      </c>
      <c r="K351" s="89">
        <v>804</v>
      </c>
    </row>
    <row r="352" ht="15.75" customHeight="1" spans="1:11">
      <c r="A352" s="87">
        <v>351</v>
      </c>
      <c r="B352" s="88" t="s">
        <v>46</v>
      </c>
      <c r="C352" s="88" t="s">
        <v>135</v>
      </c>
      <c r="D352" s="87">
        <v>2024</v>
      </c>
      <c r="E352" s="88" t="s">
        <v>34</v>
      </c>
      <c r="F352" s="88" t="s">
        <v>150</v>
      </c>
      <c r="G352" s="89" t="s">
        <v>44</v>
      </c>
      <c r="H352" s="89" t="s">
        <v>44</v>
      </c>
      <c r="I352" s="89" t="s">
        <v>44</v>
      </c>
      <c r="J352" s="89" t="s">
        <v>44</v>
      </c>
      <c r="K352" s="89">
        <v>56</v>
      </c>
    </row>
    <row r="353" ht="15.75" customHeight="1" spans="1:11">
      <c r="A353" s="87">
        <v>352</v>
      </c>
      <c r="B353" s="88" t="s">
        <v>46</v>
      </c>
      <c r="C353" s="88" t="s">
        <v>135</v>
      </c>
      <c r="D353" s="87">
        <v>2024</v>
      </c>
      <c r="E353" s="88" t="s">
        <v>34</v>
      </c>
      <c r="F353" s="88" t="s">
        <v>151</v>
      </c>
      <c r="G353" s="89" t="s">
        <v>44</v>
      </c>
      <c r="H353" s="89" t="s">
        <v>44</v>
      </c>
      <c r="I353" s="89" t="s">
        <v>44</v>
      </c>
      <c r="J353" s="89" t="s">
        <v>44</v>
      </c>
      <c r="K353" s="90">
        <v>79741</v>
      </c>
    </row>
    <row r="354" ht="15.75" customHeight="1" spans="1:11">
      <c r="A354" s="87">
        <v>353</v>
      </c>
      <c r="B354" s="88" t="s">
        <v>46</v>
      </c>
      <c r="C354" s="88" t="s">
        <v>135</v>
      </c>
      <c r="D354" s="87">
        <v>2024</v>
      </c>
      <c r="E354" s="88" t="s">
        <v>34</v>
      </c>
      <c r="F354" s="88" t="s">
        <v>152</v>
      </c>
      <c r="G354" s="89" t="s">
        <v>44</v>
      </c>
      <c r="H354" s="89" t="s">
        <v>44</v>
      </c>
      <c r="I354" s="89" t="s">
        <v>44</v>
      </c>
      <c r="J354" s="89" t="s">
        <v>44</v>
      </c>
      <c r="K354" s="89">
        <v>746</v>
      </c>
    </row>
    <row r="355" ht="15.75" customHeight="1" spans="1:11">
      <c r="A355" s="87">
        <v>354</v>
      </c>
      <c r="B355" s="88" t="s">
        <v>46</v>
      </c>
      <c r="C355" s="88" t="s">
        <v>135</v>
      </c>
      <c r="D355" s="87">
        <v>2024</v>
      </c>
      <c r="E355" s="88" t="s">
        <v>35</v>
      </c>
      <c r="F355" s="88" t="s">
        <v>150</v>
      </c>
      <c r="G355" s="89" t="s">
        <v>44</v>
      </c>
      <c r="H355" s="89" t="s">
        <v>44</v>
      </c>
      <c r="I355" s="89" t="s">
        <v>44</v>
      </c>
      <c r="J355" s="89" t="s">
        <v>44</v>
      </c>
      <c r="K355" s="89">
        <v>28</v>
      </c>
    </row>
    <row r="356" ht="15.75" customHeight="1" spans="1:11">
      <c r="A356" s="87">
        <v>355</v>
      </c>
      <c r="B356" s="88" t="s">
        <v>46</v>
      </c>
      <c r="C356" s="88" t="s">
        <v>135</v>
      </c>
      <c r="D356" s="87">
        <v>2024</v>
      </c>
      <c r="E356" s="88" t="s">
        <v>35</v>
      </c>
      <c r="F356" s="88" t="s">
        <v>151</v>
      </c>
      <c r="G356" s="89" t="s">
        <v>44</v>
      </c>
      <c r="H356" s="89" t="s">
        <v>44</v>
      </c>
      <c r="I356" s="89" t="s">
        <v>44</v>
      </c>
      <c r="J356" s="89" t="s">
        <v>44</v>
      </c>
      <c r="K356" s="90">
        <v>64630</v>
      </c>
    </row>
    <row r="357" ht="15.75" customHeight="1" spans="1:11">
      <c r="A357" s="87">
        <v>356</v>
      </c>
      <c r="B357" s="88" t="s">
        <v>46</v>
      </c>
      <c r="C357" s="88" t="s">
        <v>135</v>
      </c>
      <c r="D357" s="87">
        <v>2024</v>
      </c>
      <c r="E357" s="88" t="s">
        <v>35</v>
      </c>
      <c r="F357" s="88" t="s">
        <v>152</v>
      </c>
      <c r="G357" s="89" t="s">
        <v>44</v>
      </c>
      <c r="H357" s="89" t="s">
        <v>44</v>
      </c>
      <c r="I357" s="89" t="s">
        <v>44</v>
      </c>
      <c r="J357" s="89" t="s">
        <v>44</v>
      </c>
      <c r="K357" s="90">
        <v>1347</v>
      </c>
    </row>
    <row r="358" ht="15.75" customHeight="1" spans="1:11">
      <c r="A358" s="87">
        <v>357</v>
      </c>
      <c r="B358" s="88" t="s">
        <v>46</v>
      </c>
      <c r="C358" s="88" t="s">
        <v>135</v>
      </c>
      <c r="D358" s="87">
        <v>2024</v>
      </c>
      <c r="E358" s="88" t="s">
        <v>36</v>
      </c>
      <c r="F358" s="88" t="s">
        <v>150</v>
      </c>
      <c r="G358" s="89" t="s">
        <v>44</v>
      </c>
      <c r="H358" s="89" t="s">
        <v>44</v>
      </c>
      <c r="I358" s="89" t="s">
        <v>44</v>
      </c>
      <c r="J358" s="89" t="s">
        <v>44</v>
      </c>
      <c r="K358" s="89">
        <v>206</v>
      </c>
    </row>
    <row r="359" ht="15.75" customHeight="1" spans="1:11">
      <c r="A359" s="87">
        <v>358</v>
      </c>
      <c r="B359" s="88" t="s">
        <v>46</v>
      </c>
      <c r="C359" s="88" t="s">
        <v>135</v>
      </c>
      <c r="D359" s="87">
        <v>2024</v>
      </c>
      <c r="E359" s="88" t="s">
        <v>36</v>
      </c>
      <c r="F359" s="88" t="s">
        <v>151</v>
      </c>
      <c r="G359" s="89" t="s">
        <v>44</v>
      </c>
      <c r="H359" s="89" t="s">
        <v>44</v>
      </c>
      <c r="I359" s="89" t="s">
        <v>44</v>
      </c>
      <c r="J359" s="89" t="s">
        <v>44</v>
      </c>
      <c r="K359" s="90">
        <v>161514</v>
      </c>
    </row>
    <row r="360" ht="15.75" customHeight="1" spans="1:11">
      <c r="A360" s="87">
        <v>359</v>
      </c>
      <c r="B360" s="88" t="s">
        <v>46</v>
      </c>
      <c r="C360" s="88" t="s">
        <v>135</v>
      </c>
      <c r="D360" s="87">
        <v>2024</v>
      </c>
      <c r="E360" s="88" t="s">
        <v>36</v>
      </c>
      <c r="F360" s="88" t="s">
        <v>152</v>
      </c>
      <c r="G360" s="89" t="s">
        <v>44</v>
      </c>
      <c r="H360" s="89" t="s">
        <v>44</v>
      </c>
      <c r="I360" s="89" t="s">
        <v>44</v>
      </c>
      <c r="J360" s="89" t="s">
        <v>44</v>
      </c>
      <c r="K360" s="90">
        <v>5275</v>
      </c>
    </row>
    <row r="361" ht="15.75" customHeight="1" spans="1:11">
      <c r="A361" s="87">
        <v>360</v>
      </c>
      <c r="B361" s="88" t="s">
        <v>46</v>
      </c>
      <c r="C361" s="88" t="s">
        <v>135</v>
      </c>
      <c r="D361" s="87">
        <v>2024</v>
      </c>
      <c r="E361" s="88" t="s">
        <v>37</v>
      </c>
      <c r="F361" s="88" t="s">
        <v>150</v>
      </c>
      <c r="G361" s="89" t="s">
        <v>44</v>
      </c>
      <c r="H361" s="89" t="s">
        <v>44</v>
      </c>
      <c r="I361" s="89" t="s">
        <v>44</v>
      </c>
      <c r="J361" s="89" t="s">
        <v>44</v>
      </c>
      <c r="K361" s="89">
        <v>64</v>
      </c>
    </row>
    <row r="362" ht="15.75" customHeight="1" spans="1:11">
      <c r="A362" s="87">
        <v>361</v>
      </c>
      <c r="B362" s="88" t="s">
        <v>46</v>
      </c>
      <c r="C362" s="88" t="s">
        <v>135</v>
      </c>
      <c r="D362" s="87">
        <v>2024</v>
      </c>
      <c r="E362" s="88" t="s">
        <v>37</v>
      </c>
      <c r="F362" s="88" t="s">
        <v>151</v>
      </c>
      <c r="G362" s="89" t="s">
        <v>44</v>
      </c>
      <c r="H362" s="89" t="s">
        <v>44</v>
      </c>
      <c r="I362" s="89" t="s">
        <v>44</v>
      </c>
      <c r="J362" s="89" t="s">
        <v>44</v>
      </c>
      <c r="K362" s="90">
        <v>574614</v>
      </c>
    </row>
    <row r="363" ht="15.75" customHeight="1" spans="1:11">
      <c r="A363" s="87">
        <v>362</v>
      </c>
      <c r="B363" s="88" t="s">
        <v>46</v>
      </c>
      <c r="C363" s="88" t="s">
        <v>135</v>
      </c>
      <c r="D363" s="87">
        <v>2024</v>
      </c>
      <c r="E363" s="88" t="s">
        <v>37</v>
      </c>
      <c r="F363" s="88" t="s">
        <v>152</v>
      </c>
      <c r="G363" s="89" t="s">
        <v>44</v>
      </c>
      <c r="H363" s="89" t="s">
        <v>44</v>
      </c>
      <c r="I363" s="89" t="s">
        <v>44</v>
      </c>
      <c r="J363" s="89" t="s">
        <v>44</v>
      </c>
      <c r="K363" s="90">
        <v>6712</v>
      </c>
    </row>
    <row r="364" ht="15.75" customHeight="1" spans="1:11">
      <c r="A364" s="87">
        <v>363</v>
      </c>
      <c r="B364" s="88" t="s">
        <v>46</v>
      </c>
      <c r="C364" s="88" t="s">
        <v>135</v>
      </c>
      <c r="D364" s="87">
        <v>2024</v>
      </c>
      <c r="E364" s="88" t="s">
        <v>38</v>
      </c>
      <c r="F364" s="88" t="s">
        <v>150</v>
      </c>
      <c r="G364" s="89" t="s">
        <v>44</v>
      </c>
      <c r="H364" s="89" t="s">
        <v>44</v>
      </c>
      <c r="I364" s="89" t="s">
        <v>44</v>
      </c>
      <c r="J364" s="89" t="s">
        <v>44</v>
      </c>
      <c r="K364" s="89">
        <v>100</v>
      </c>
    </row>
    <row r="365" ht="15.75" customHeight="1" spans="1:11">
      <c r="A365" s="87">
        <v>364</v>
      </c>
      <c r="B365" s="88" t="s">
        <v>46</v>
      </c>
      <c r="C365" s="88" t="s">
        <v>135</v>
      </c>
      <c r="D365" s="87">
        <v>2024</v>
      </c>
      <c r="E365" s="88" t="s">
        <v>38</v>
      </c>
      <c r="F365" s="88" t="s">
        <v>151</v>
      </c>
      <c r="G365" s="89" t="s">
        <v>44</v>
      </c>
      <c r="H365" s="89" t="s">
        <v>44</v>
      </c>
      <c r="I365" s="89" t="s">
        <v>44</v>
      </c>
      <c r="J365" s="89" t="s">
        <v>44</v>
      </c>
      <c r="K365" s="90">
        <v>547254</v>
      </c>
    </row>
    <row r="366" ht="15.75" customHeight="1" spans="1:11">
      <c r="A366" s="87">
        <v>365</v>
      </c>
      <c r="B366" s="88" t="s">
        <v>46</v>
      </c>
      <c r="C366" s="88" t="s">
        <v>135</v>
      </c>
      <c r="D366" s="87">
        <v>2024</v>
      </c>
      <c r="E366" s="88" t="s">
        <v>38</v>
      </c>
      <c r="F366" s="88" t="s">
        <v>152</v>
      </c>
      <c r="G366" s="89" t="s">
        <v>44</v>
      </c>
      <c r="H366" s="89" t="s">
        <v>44</v>
      </c>
      <c r="I366" s="89" t="s">
        <v>44</v>
      </c>
      <c r="J366" s="89" t="s">
        <v>44</v>
      </c>
      <c r="K366" s="90">
        <v>9960</v>
      </c>
    </row>
    <row r="367" ht="15.75" customHeight="1" spans="1:11">
      <c r="A367" s="87">
        <v>366</v>
      </c>
      <c r="B367" s="88" t="s">
        <v>46</v>
      </c>
      <c r="C367" s="88" t="s">
        <v>135</v>
      </c>
      <c r="D367" s="87">
        <v>2024</v>
      </c>
      <c r="E367" s="88" t="s">
        <v>39</v>
      </c>
      <c r="F367" s="88" t="s">
        <v>150</v>
      </c>
      <c r="G367" s="89" t="s">
        <v>44</v>
      </c>
      <c r="H367" s="89" t="s">
        <v>44</v>
      </c>
      <c r="I367" s="89" t="s">
        <v>44</v>
      </c>
      <c r="J367" s="89" t="s">
        <v>44</v>
      </c>
      <c r="K367" s="89">
        <v>55</v>
      </c>
    </row>
    <row r="368" ht="15.75" customHeight="1" spans="1:11">
      <c r="A368" s="87">
        <v>367</v>
      </c>
      <c r="B368" s="88" t="s">
        <v>46</v>
      </c>
      <c r="C368" s="88" t="s">
        <v>135</v>
      </c>
      <c r="D368" s="87">
        <v>2024</v>
      </c>
      <c r="E368" s="88" t="s">
        <v>39</v>
      </c>
      <c r="F368" s="88" t="s">
        <v>151</v>
      </c>
      <c r="G368" s="89" t="s">
        <v>44</v>
      </c>
      <c r="H368" s="89" t="s">
        <v>44</v>
      </c>
      <c r="I368" s="89" t="s">
        <v>44</v>
      </c>
      <c r="J368" s="89" t="s">
        <v>44</v>
      </c>
      <c r="K368" s="90">
        <v>1771176</v>
      </c>
    </row>
    <row r="369" ht="15.75" customHeight="1" spans="1:11">
      <c r="A369" s="87">
        <v>368</v>
      </c>
      <c r="B369" s="88" t="s">
        <v>46</v>
      </c>
      <c r="C369" s="88" t="s">
        <v>135</v>
      </c>
      <c r="D369" s="87">
        <v>2024</v>
      </c>
      <c r="E369" s="88" t="s">
        <v>39</v>
      </c>
      <c r="F369" s="88" t="s">
        <v>152</v>
      </c>
      <c r="G369" s="89" t="s">
        <v>44</v>
      </c>
      <c r="H369" s="89" t="s">
        <v>44</v>
      </c>
      <c r="I369" s="89" t="s">
        <v>44</v>
      </c>
      <c r="J369" s="89" t="s">
        <v>44</v>
      </c>
      <c r="K369" s="90">
        <v>63010</v>
      </c>
    </row>
    <row r="370" ht="15.75" customHeight="1" spans="1:11">
      <c r="A370" s="87">
        <v>369</v>
      </c>
      <c r="B370" s="88" t="s">
        <v>46</v>
      </c>
      <c r="C370" s="88" t="s">
        <v>135</v>
      </c>
      <c r="D370" s="87">
        <v>2024</v>
      </c>
      <c r="E370" s="88" t="s">
        <v>40</v>
      </c>
      <c r="F370" s="88" t="s">
        <v>150</v>
      </c>
      <c r="G370" s="89" t="s">
        <v>44</v>
      </c>
      <c r="H370" s="89" t="s">
        <v>44</v>
      </c>
      <c r="I370" s="89" t="s">
        <v>44</v>
      </c>
      <c r="J370" s="89" t="s">
        <v>44</v>
      </c>
      <c r="K370" s="89">
        <v>220</v>
      </c>
    </row>
    <row r="371" ht="15.75" customHeight="1" spans="1:11">
      <c r="A371" s="87">
        <v>370</v>
      </c>
      <c r="B371" s="88" t="s">
        <v>46</v>
      </c>
      <c r="C371" s="88" t="s">
        <v>135</v>
      </c>
      <c r="D371" s="87">
        <v>2024</v>
      </c>
      <c r="E371" s="88" t="s">
        <v>40</v>
      </c>
      <c r="F371" s="88" t="s">
        <v>151</v>
      </c>
      <c r="G371" s="89" t="s">
        <v>44</v>
      </c>
      <c r="H371" s="89" t="s">
        <v>44</v>
      </c>
      <c r="I371" s="89" t="s">
        <v>44</v>
      </c>
      <c r="J371" s="89" t="s">
        <v>44</v>
      </c>
      <c r="K371" s="90">
        <v>3813227</v>
      </c>
    </row>
    <row r="372" ht="15.75" customHeight="1" spans="1:11">
      <c r="A372" s="87">
        <v>371</v>
      </c>
      <c r="B372" s="88" t="s">
        <v>46</v>
      </c>
      <c r="C372" s="88" t="s">
        <v>135</v>
      </c>
      <c r="D372" s="87">
        <v>2024</v>
      </c>
      <c r="E372" s="88" t="s">
        <v>40</v>
      </c>
      <c r="F372" s="88" t="s">
        <v>152</v>
      </c>
      <c r="G372" s="89" t="s">
        <v>44</v>
      </c>
      <c r="H372" s="89" t="s">
        <v>44</v>
      </c>
      <c r="I372" s="89" t="s">
        <v>44</v>
      </c>
      <c r="J372" s="89" t="s">
        <v>44</v>
      </c>
      <c r="K372" s="90">
        <v>320022</v>
      </c>
    </row>
    <row r="373" ht="15.75" customHeight="1" spans="1:11">
      <c r="A373" s="87">
        <v>372</v>
      </c>
      <c r="B373" s="88" t="s">
        <v>46</v>
      </c>
      <c r="C373" s="88" t="s">
        <v>135</v>
      </c>
      <c r="D373" s="87">
        <v>2024</v>
      </c>
      <c r="E373" s="88" t="s">
        <v>41</v>
      </c>
      <c r="F373" s="88" t="s">
        <v>150</v>
      </c>
      <c r="G373" s="89" t="s">
        <v>44</v>
      </c>
      <c r="H373" s="89" t="s">
        <v>44</v>
      </c>
      <c r="I373" s="89" t="s">
        <v>44</v>
      </c>
      <c r="J373" s="89" t="s">
        <v>44</v>
      </c>
      <c r="K373" s="89">
        <v>47</v>
      </c>
    </row>
    <row r="374" ht="15.75" customHeight="1" spans="1:11">
      <c r="A374" s="87">
        <v>373</v>
      </c>
      <c r="B374" s="88" t="s">
        <v>46</v>
      </c>
      <c r="C374" s="88" t="s">
        <v>135</v>
      </c>
      <c r="D374" s="87">
        <v>2024</v>
      </c>
      <c r="E374" s="88" t="s">
        <v>41</v>
      </c>
      <c r="F374" s="88" t="s">
        <v>151</v>
      </c>
      <c r="G374" s="89" t="s">
        <v>44</v>
      </c>
      <c r="H374" s="89" t="s">
        <v>44</v>
      </c>
      <c r="I374" s="89" t="s">
        <v>44</v>
      </c>
      <c r="J374" s="89" t="s">
        <v>44</v>
      </c>
      <c r="K374" s="90">
        <v>60164</v>
      </c>
    </row>
    <row r="375" ht="15.75" customHeight="1" spans="1:11">
      <c r="A375" s="87">
        <v>374</v>
      </c>
      <c r="B375" s="88" t="s">
        <v>46</v>
      </c>
      <c r="C375" s="88" t="s">
        <v>135</v>
      </c>
      <c r="D375" s="87">
        <v>2024</v>
      </c>
      <c r="E375" s="88" t="s">
        <v>41</v>
      </c>
      <c r="F375" s="88" t="s">
        <v>152</v>
      </c>
      <c r="G375" s="89" t="s">
        <v>44</v>
      </c>
      <c r="H375" s="89" t="s">
        <v>44</v>
      </c>
      <c r="I375" s="89" t="s">
        <v>44</v>
      </c>
      <c r="J375" s="89" t="s">
        <v>44</v>
      </c>
      <c r="K375" s="90">
        <v>1578</v>
      </c>
    </row>
    <row r="376" ht="15.75" customHeight="1" spans="1:11">
      <c r="A376" s="87">
        <v>375</v>
      </c>
      <c r="B376" s="88" t="s">
        <v>46</v>
      </c>
      <c r="C376" s="88" t="s">
        <v>135</v>
      </c>
      <c r="D376" s="87">
        <v>2024</v>
      </c>
      <c r="E376" s="88" t="s">
        <v>42</v>
      </c>
      <c r="F376" s="88" t="s">
        <v>150</v>
      </c>
      <c r="G376" s="89" t="s">
        <v>44</v>
      </c>
      <c r="H376" s="89" t="s">
        <v>44</v>
      </c>
      <c r="I376" s="89" t="s">
        <v>44</v>
      </c>
      <c r="J376" s="89" t="s">
        <v>44</v>
      </c>
      <c r="K376" s="89">
        <v>225</v>
      </c>
    </row>
    <row r="377" ht="15.75" customHeight="1" spans="1:11">
      <c r="A377" s="87">
        <v>376</v>
      </c>
      <c r="B377" s="88" t="s">
        <v>46</v>
      </c>
      <c r="C377" s="88" t="s">
        <v>135</v>
      </c>
      <c r="D377" s="87">
        <v>2024</v>
      </c>
      <c r="E377" s="88" t="s">
        <v>42</v>
      </c>
      <c r="F377" s="88" t="s">
        <v>151</v>
      </c>
      <c r="G377" s="89" t="s">
        <v>44</v>
      </c>
      <c r="H377" s="89" t="s">
        <v>44</v>
      </c>
      <c r="I377" s="89" t="s">
        <v>44</v>
      </c>
      <c r="J377" s="89" t="s">
        <v>44</v>
      </c>
      <c r="K377" s="90">
        <v>2154526</v>
      </c>
    </row>
    <row r="378" ht="15.75" customHeight="1" spans="1:11">
      <c r="A378" s="87">
        <v>377</v>
      </c>
      <c r="B378" s="88" t="s">
        <v>46</v>
      </c>
      <c r="C378" s="88" t="s">
        <v>135</v>
      </c>
      <c r="D378" s="87">
        <v>2024</v>
      </c>
      <c r="E378" s="88" t="s">
        <v>42</v>
      </c>
      <c r="F378" s="88" t="s">
        <v>152</v>
      </c>
      <c r="G378" s="89" t="s">
        <v>44</v>
      </c>
      <c r="H378" s="89" t="s">
        <v>44</v>
      </c>
      <c r="I378" s="89" t="s">
        <v>44</v>
      </c>
      <c r="J378" s="89" t="s">
        <v>44</v>
      </c>
      <c r="K378" s="90">
        <v>108955</v>
      </c>
    </row>
    <row r="379" ht="15.75" customHeight="1" spans="1:11">
      <c r="A379" s="87">
        <v>378</v>
      </c>
      <c r="B379" s="88" t="s">
        <v>46</v>
      </c>
      <c r="C379" s="88" t="s">
        <v>135</v>
      </c>
      <c r="D379" s="87">
        <v>2024</v>
      </c>
      <c r="E379" s="88" t="s">
        <v>43</v>
      </c>
      <c r="F379" s="88" t="s">
        <v>150</v>
      </c>
      <c r="G379" s="89" t="s">
        <v>44</v>
      </c>
      <c r="H379" s="89" t="s">
        <v>44</v>
      </c>
      <c r="I379" s="89" t="s">
        <v>44</v>
      </c>
      <c r="J379" s="89" t="s">
        <v>44</v>
      </c>
      <c r="K379" s="89">
        <v>141</v>
      </c>
    </row>
    <row r="380" ht="15.75" customHeight="1" spans="1:11">
      <c r="A380" s="87">
        <v>379</v>
      </c>
      <c r="B380" s="88" t="s">
        <v>46</v>
      </c>
      <c r="C380" s="88" t="s">
        <v>135</v>
      </c>
      <c r="D380" s="87">
        <v>2024</v>
      </c>
      <c r="E380" s="88" t="s">
        <v>43</v>
      </c>
      <c r="F380" s="88" t="s">
        <v>151</v>
      </c>
      <c r="G380" s="89" t="s">
        <v>44</v>
      </c>
      <c r="H380" s="89" t="s">
        <v>44</v>
      </c>
      <c r="I380" s="89" t="s">
        <v>44</v>
      </c>
      <c r="J380" s="89" t="s">
        <v>44</v>
      </c>
      <c r="K380" s="90">
        <v>2503529</v>
      </c>
    </row>
    <row r="381" ht="15.75" customHeight="1" spans="1:11">
      <c r="A381" s="87">
        <v>380</v>
      </c>
      <c r="B381" s="88" t="s">
        <v>46</v>
      </c>
      <c r="C381" s="88" t="s">
        <v>135</v>
      </c>
      <c r="D381" s="87">
        <v>2024</v>
      </c>
      <c r="E381" s="88" t="s">
        <v>43</v>
      </c>
      <c r="F381" s="88" t="s">
        <v>152</v>
      </c>
      <c r="G381" s="89" t="s">
        <v>44</v>
      </c>
      <c r="H381" s="89" t="s">
        <v>44</v>
      </c>
      <c r="I381" s="89" t="s">
        <v>44</v>
      </c>
      <c r="J381" s="89" t="s">
        <v>44</v>
      </c>
      <c r="K381" s="90">
        <v>168673</v>
      </c>
    </row>
    <row r="382" ht="15.75" customHeight="1" spans="1:11">
      <c r="A382" s="87">
        <v>381</v>
      </c>
      <c r="B382" s="88" t="s">
        <v>46</v>
      </c>
      <c r="C382" s="88" t="s">
        <v>135</v>
      </c>
      <c r="D382" s="87">
        <v>2025</v>
      </c>
      <c r="E382" s="88" t="s">
        <v>31</v>
      </c>
      <c r="F382" s="88" t="s">
        <v>150</v>
      </c>
      <c r="G382" s="89" t="s">
        <v>44</v>
      </c>
      <c r="H382" s="89" t="s">
        <v>44</v>
      </c>
      <c r="I382" s="89" t="s">
        <v>44</v>
      </c>
      <c r="J382" s="89" t="s">
        <v>44</v>
      </c>
      <c r="K382" s="89">
        <v>225</v>
      </c>
    </row>
    <row r="383" ht="15.75" customHeight="1" spans="1:11">
      <c r="A383" s="87">
        <v>382</v>
      </c>
      <c r="B383" s="88" t="s">
        <v>46</v>
      </c>
      <c r="C383" s="88" t="s">
        <v>135</v>
      </c>
      <c r="D383" s="87">
        <v>2025</v>
      </c>
      <c r="E383" s="88" t="s">
        <v>31</v>
      </c>
      <c r="F383" s="88" t="s">
        <v>153</v>
      </c>
      <c r="G383" s="90">
        <v>34869</v>
      </c>
      <c r="H383" s="89">
        <v>1</v>
      </c>
      <c r="I383" s="89" t="s">
        <v>44</v>
      </c>
      <c r="J383" s="89" t="s">
        <v>44</v>
      </c>
      <c r="K383" s="90">
        <v>34869</v>
      </c>
    </row>
    <row r="384" ht="15.75" customHeight="1" spans="1:11">
      <c r="A384" s="87">
        <v>383</v>
      </c>
      <c r="B384" s="88" t="s">
        <v>46</v>
      </c>
      <c r="C384" s="88" t="s">
        <v>135</v>
      </c>
      <c r="D384" s="87">
        <v>2025</v>
      </c>
      <c r="E384" s="88" t="s">
        <v>31</v>
      </c>
      <c r="F384" s="88" t="s">
        <v>151</v>
      </c>
      <c r="G384" s="89" t="s">
        <v>44</v>
      </c>
      <c r="H384" s="89" t="s">
        <v>44</v>
      </c>
      <c r="I384" s="89" t="s">
        <v>44</v>
      </c>
      <c r="J384" s="89" t="s">
        <v>44</v>
      </c>
      <c r="K384" s="90">
        <v>3165549</v>
      </c>
    </row>
    <row r="385" ht="15.75" customHeight="1" spans="1:11">
      <c r="A385" s="87">
        <v>384</v>
      </c>
      <c r="B385" s="88" t="s">
        <v>46</v>
      </c>
      <c r="C385" s="88" t="s">
        <v>135</v>
      </c>
      <c r="D385" s="87">
        <v>2025</v>
      </c>
      <c r="E385" s="88" t="s">
        <v>31</v>
      </c>
      <c r="F385" s="88" t="s">
        <v>152</v>
      </c>
      <c r="G385" s="89" t="s">
        <v>44</v>
      </c>
      <c r="H385" s="89" t="s">
        <v>44</v>
      </c>
      <c r="I385" s="89" t="s">
        <v>44</v>
      </c>
      <c r="J385" s="89" t="s">
        <v>44</v>
      </c>
      <c r="K385" s="90">
        <v>296559</v>
      </c>
    </row>
    <row r="386" ht="15.75" customHeight="1" spans="1:11">
      <c r="A386" s="87">
        <v>385</v>
      </c>
      <c r="B386" s="88" t="s">
        <v>46</v>
      </c>
      <c r="C386" s="88" t="s">
        <v>135</v>
      </c>
      <c r="D386" s="87">
        <v>2025</v>
      </c>
      <c r="E386" s="88" t="s">
        <v>33</v>
      </c>
      <c r="F386" s="88" t="s">
        <v>150</v>
      </c>
      <c r="G386" s="89" t="s">
        <v>44</v>
      </c>
      <c r="H386" s="89" t="s">
        <v>44</v>
      </c>
      <c r="I386" s="89" t="s">
        <v>44</v>
      </c>
      <c r="J386" s="89" t="s">
        <v>44</v>
      </c>
      <c r="K386" s="89">
        <v>39</v>
      </c>
    </row>
    <row r="387" ht="15.75" customHeight="1" spans="1:11">
      <c r="A387" s="87">
        <v>386</v>
      </c>
      <c r="B387" s="88" t="s">
        <v>46</v>
      </c>
      <c r="C387" s="88" t="s">
        <v>135</v>
      </c>
      <c r="D387" s="87">
        <v>2025</v>
      </c>
      <c r="E387" s="88" t="s">
        <v>33</v>
      </c>
      <c r="F387" s="88" t="s">
        <v>151</v>
      </c>
      <c r="G387" s="89" t="s">
        <v>44</v>
      </c>
      <c r="H387" s="89" t="s">
        <v>44</v>
      </c>
      <c r="I387" s="89" t="s">
        <v>44</v>
      </c>
      <c r="J387" s="89" t="s">
        <v>44</v>
      </c>
      <c r="K387" s="90">
        <v>781968</v>
      </c>
    </row>
    <row r="388" ht="15.75" customHeight="1" spans="1:11">
      <c r="A388" s="87">
        <v>387</v>
      </c>
      <c r="B388" s="88" t="s">
        <v>46</v>
      </c>
      <c r="C388" s="88" t="s">
        <v>135</v>
      </c>
      <c r="D388" s="87">
        <v>2025</v>
      </c>
      <c r="E388" s="88" t="s">
        <v>33</v>
      </c>
      <c r="F388" s="88" t="s">
        <v>152</v>
      </c>
      <c r="G388" s="89" t="s">
        <v>44</v>
      </c>
      <c r="H388" s="89" t="s">
        <v>44</v>
      </c>
      <c r="I388" s="89" t="s">
        <v>44</v>
      </c>
      <c r="J388" s="89" t="s">
        <v>44</v>
      </c>
      <c r="K388" s="90">
        <v>75938</v>
      </c>
    </row>
    <row r="389" ht="15.75" customHeight="1" spans="1:11">
      <c r="A389" s="87">
        <v>388</v>
      </c>
      <c r="B389" s="88" t="s">
        <v>46</v>
      </c>
      <c r="C389" s="88" t="s">
        <v>135</v>
      </c>
      <c r="D389" s="87">
        <v>2025</v>
      </c>
      <c r="E389" s="88" t="s">
        <v>34</v>
      </c>
      <c r="F389" s="88" t="s">
        <v>150</v>
      </c>
      <c r="G389" s="89" t="s">
        <v>44</v>
      </c>
      <c r="H389" s="89" t="s">
        <v>44</v>
      </c>
      <c r="I389" s="89" t="s">
        <v>44</v>
      </c>
      <c r="J389" s="89" t="s">
        <v>44</v>
      </c>
      <c r="K389" s="89">
        <v>54</v>
      </c>
    </row>
    <row r="390" ht="15.75" customHeight="1" spans="1:11">
      <c r="A390" s="87">
        <v>389</v>
      </c>
      <c r="B390" s="88" t="s">
        <v>46</v>
      </c>
      <c r="C390" s="88" t="s">
        <v>135</v>
      </c>
      <c r="D390" s="87">
        <v>2025</v>
      </c>
      <c r="E390" s="88" t="s">
        <v>34</v>
      </c>
      <c r="F390" s="88" t="s">
        <v>151</v>
      </c>
      <c r="G390" s="89" t="s">
        <v>44</v>
      </c>
      <c r="H390" s="89" t="s">
        <v>44</v>
      </c>
      <c r="I390" s="89" t="s">
        <v>44</v>
      </c>
      <c r="J390" s="89" t="s">
        <v>44</v>
      </c>
      <c r="K390" s="90">
        <v>1039655</v>
      </c>
    </row>
    <row r="391" ht="15.75" customHeight="1" spans="1:11">
      <c r="A391" s="87">
        <v>390</v>
      </c>
      <c r="B391" s="88" t="s">
        <v>46</v>
      </c>
      <c r="C391" s="88" t="s">
        <v>135</v>
      </c>
      <c r="D391" s="87">
        <v>2025</v>
      </c>
      <c r="E391" s="88" t="s">
        <v>34</v>
      </c>
      <c r="F391" s="88" t="s">
        <v>152</v>
      </c>
      <c r="G391" s="89" t="s">
        <v>44</v>
      </c>
      <c r="H391" s="89" t="s">
        <v>44</v>
      </c>
      <c r="I391" s="89" t="s">
        <v>44</v>
      </c>
      <c r="J391" s="89" t="s">
        <v>44</v>
      </c>
      <c r="K391" s="90">
        <v>84260</v>
      </c>
    </row>
    <row r="392" ht="15.75" customHeight="1" spans="1:11">
      <c r="A392" s="87">
        <v>391</v>
      </c>
      <c r="B392" s="88" t="s">
        <v>46</v>
      </c>
      <c r="C392" s="88" t="s">
        <v>135</v>
      </c>
      <c r="D392" s="87">
        <v>2025</v>
      </c>
      <c r="E392" s="88" t="s">
        <v>35</v>
      </c>
      <c r="F392" s="88" t="s">
        <v>150</v>
      </c>
      <c r="G392" s="89" t="s">
        <v>44</v>
      </c>
      <c r="H392" s="89" t="s">
        <v>44</v>
      </c>
      <c r="I392" s="89" t="s">
        <v>44</v>
      </c>
      <c r="J392" s="89" t="s">
        <v>44</v>
      </c>
      <c r="K392" s="89">
        <v>70</v>
      </c>
    </row>
    <row r="393" ht="15.75" customHeight="1" spans="1:11">
      <c r="A393" s="87">
        <v>392</v>
      </c>
      <c r="B393" s="88" t="s">
        <v>46</v>
      </c>
      <c r="C393" s="88" t="s">
        <v>135</v>
      </c>
      <c r="D393" s="87">
        <v>2025</v>
      </c>
      <c r="E393" s="88" t="s">
        <v>35</v>
      </c>
      <c r="F393" s="88" t="s">
        <v>151</v>
      </c>
      <c r="G393" s="89" t="s">
        <v>44</v>
      </c>
      <c r="H393" s="89" t="s">
        <v>44</v>
      </c>
      <c r="I393" s="89" t="s">
        <v>44</v>
      </c>
      <c r="J393" s="89" t="s">
        <v>44</v>
      </c>
      <c r="K393" s="90">
        <v>1352565</v>
      </c>
    </row>
    <row r="394" ht="15.75" customHeight="1" spans="1:11">
      <c r="A394" s="87">
        <v>393</v>
      </c>
      <c r="B394" s="88" t="s">
        <v>46</v>
      </c>
      <c r="C394" s="88" t="s">
        <v>135</v>
      </c>
      <c r="D394" s="87">
        <v>2025</v>
      </c>
      <c r="E394" s="88" t="s">
        <v>35</v>
      </c>
      <c r="F394" s="88" t="s">
        <v>152</v>
      </c>
      <c r="G394" s="89" t="s">
        <v>44</v>
      </c>
      <c r="H394" s="89" t="s">
        <v>44</v>
      </c>
      <c r="I394" s="89" t="s">
        <v>44</v>
      </c>
      <c r="J394" s="89" t="s">
        <v>44</v>
      </c>
      <c r="K394" s="90">
        <v>99943</v>
      </c>
    </row>
    <row r="395" ht="15.75" customHeight="1" spans="1:11">
      <c r="A395" s="87">
        <v>394</v>
      </c>
      <c r="B395" s="88" t="s">
        <v>46</v>
      </c>
      <c r="C395" s="88" t="s">
        <v>135</v>
      </c>
      <c r="D395" s="87">
        <v>2025</v>
      </c>
      <c r="E395" s="88" t="s">
        <v>36</v>
      </c>
      <c r="F395" s="88" t="s">
        <v>150</v>
      </c>
      <c r="G395" s="89" t="s">
        <v>44</v>
      </c>
      <c r="H395" s="89" t="s">
        <v>44</v>
      </c>
      <c r="I395" s="89" t="s">
        <v>44</v>
      </c>
      <c r="J395" s="89" t="s">
        <v>44</v>
      </c>
      <c r="K395" s="89">
        <v>42</v>
      </c>
    </row>
    <row r="396" ht="15.75" customHeight="1" spans="1:11">
      <c r="A396" s="87">
        <v>395</v>
      </c>
      <c r="B396" s="88" t="s">
        <v>46</v>
      </c>
      <c r="C396" s="88" t="s">
        <v>135</v>
      </c>
      <c r="D396" s="87">
        <v>2025</v>
      </c>
      <c r="E396" s="88" t="s">
        <v>36</v>
      </c>
      <c r="F396" s="88" t="s">
        <v>151</v>
      </c>
      <c r="G396" s="89" t="s">
        <v>44</v>
      </c>
      <c r="H396" s="89" t="s">
        <v>44</v>
      </c>
      <c r="I396" s="89" t="s">
        <v>44</v>
      </c>
      <c r="J396" s="89" t="s">
        <v>44</v>
      </c>
      <c r="K396" s="90">
        <v>1735194</v>
      </c>
    </row>
    <row r="397" ht="15.75" customHeight="1" spans="1:11">
      <c r="A397" s="87">
        <v>396</v>
      </c>
      <c r="B397" s="88" t="s">
        <v>46</v>
      </c>
      <c r="C397" s="88" t="s">
        <v>135</v>
      </c>
      <c r="D397" s="87">
        <v>2025</v>
      </c>
      <c r="E397" s="88" t="s">
        <v>36</v>
      </c>
      <c r="F397" s="88" t="s">
        <v>152</v>
      </c>
      <c r="G397" s="89" t="s">
        <v>44</v>
      </c>
      <c r="H397" s="89" t="s">
        <v>44</v>
      </c>
      <c r="I397" s="89" t="s">
        <v>44</v>
      </c>
      <c r="J397" s="89" t="s">
        <v>44</v>
      </c>
      <c r="K397" s="90">
        <v>130736</v>
      </c>
    </row>
    <row r="398" ht="15.75" customHeight="1" spans="1:11">
      <c r="A398" s="87">
        <v>397</v>
      </c>
      <c r="B398" s="88" t="s">
        <v>46</v>
      </c>
      <c r="C398" s="88" t="s">
        <v>135</v>
      </c>
      <c r="D398" s="87">
        <v>2025</v>
      </c>
      <c r="E398" s="88" t="s">
        <v>37</v>
      </c>
      <c r="F398" s="88" t="s">
        <v>150</v>
      </c>
      <c r="G398" s="89" t="s">
        <v>44</v>
      </c>
      <c r="H398" s="89" t="s">
        <v>44</v>
      </c>
      <c r="I398" s="89" t="s">
        <v>44</v>
      </c>
      <c r="J398" s="89" t="s">
        <v>44</v>
      </c>
      <c r="K398" s="89">
        <v>32</v>
      </c>
    </row>
    <row r="399" ht="15.75" customHeight="1" spans="1:11">
      <c r="A399" s="87">
        <v>398</v>
      </c>
      <c r="B399" s="88" t="s">
        <v>46</v>
      </c>
      <c r="C399" s="88" t="s">
        <v>135</v>
      </c>
      <c r="D399" s="87">
        <v>2025</v>
      </c>
      <c r="E399" s="88" t="s">
        <v>37</v>
      </c>
      <c r="F399" s="88" t="s">
        <v>151</v>
      </c>
      <c r="G399" s="89" t="s">
        <v>44</v>
      </c>
      <c r="H399" s="89" t="s">
        <v>44</v>
      </c>
      <c r="I399" s="89" t="s">
        <v>44</v>
      </c>
      <c r="J399" s="89" t="s">
        <v>44</v>
      </c>
      <c r="K399" s="90">
        <v>39548</v>
      </c>
    </row>
    <row r="400" ht="15.75" customHeight="1" spans="1:11">
      <c r="A400" s="87">
        <v>399</v>
      </c>
      <c r="B400" s="88" t="s">
        <v>46</v>
      </c>
      <c r="C400" s="88" t="s">
        <v>135</v>
      </c>
      <c r="D400" s="87">
        <v>2025</v>
      </c>
      <c r="E400" s="88" t="s">
        <v>37</v>
      </c>
      <c r="F400" s="88" t="s">
        <v>152</v>
      </c>
      <c r="G400" s="89" t="s">
        <v>44</v>
      </c>
      <c r="H400" s="89" t="s">
        <v>44</v>
      </c>
      <c r="I400" s="89" t="s">
        <v>44</v>
      </c>
      <c r="J400" s="89" t="s">
        <v>44</v>
      </c>
      <c r="K400" s="90">
        <v>2139</v>
      </c>
    </row>
    <row r="401" ht="15.75" customHeight="1" spans="1:11">
      <c r="A401" s="87">
        <v>400</v>
      </c>
      <c r="B401" s="88" t="s">
        <v>46</v>
      </c>
      <c r="C401" s="88" t="s">
        <v>135</v>
      </c>
      <c r="D401" s="87">
        <v>2025</v>
      </c>
      <c r="E401" s="88" t="s">
        <v>38</v>
      </c>
      <c r="F401" s="88" t="s">
        <v>150</v>
      </c>
      <c r="G401" s="89" t="s">
        <v>44</v>
      </c>
      <c r="H401" s="89" t="s">
        <v>44</v>
      </c>
      <c r="I401" s="89" t="s">
        <v>44</v>
      </c>
      <c r="J401" s="89" t="s">
        <v>44</v>
      </c>
      <c r="K401" s="89">
        <v>47</v>
      </c>
    </row>
    <row r="402" ht="15.75" customHeight="1" spans="1:11">
      <c r="A402" s="87">
        <v>401</v>
      </c>
      <c r="B402" s="88" t="s">
        <v>46</v>
      </c>
      <c r="C402" s="88" t="s">
        <v>135</v>
      </c>
      <c r="D402" s="87">
        <v>2025</v>
      </c>
      <c r="E402" s="88" t="s">
        <v>38</v>
      </c>
      <c r="F402" s="88" t="s">
        <v>151</v>
      </c>
      <c r="G402" s="89" t="s">
        <v>44</v>
      </c>
      <c r="H402" s="89" t="s">
        <v>44</v>
      </c>
      <c r="I402" s="89" t="s">
        <v>44</v>
      </c>
      <c r="J402" s="89" t="s">
        <v>44</v>
      </c>
      <c r="K402" s="90">
        <v>3114133</v>
      </c>
    </row>
    <row r="403" ht="15.75" customHeight="1" spans="1:11">
      <c r="A403" s="87">
        <v>402</v>
      </c>
      <c r="B403" s="88" t="s">
        <v>46</v>
      </c>
      <c r="C403" s="88" t="s">
        <v>135</v>
      </c>
      <c r="D403" s="87">
        <v>2025</v>
      </c>
      <c r="E403" s="88" t="s">
        <v>38</v>
      </c>
      <c r="F403" s="88" t="s">
        <v>152</v>
      </c>
      <c r="G403" s="89" t="s">
        <v>44</v>
      </c>
      <c r="H403" s="89" t="s">
        <v>44</v>
      </c>
      <c r="I403" s="89" t="s">
        <v>44</v>
      </c>
      <c r="J403" s="89" t="s">
        <v>44</v>
      </c>
      <c r="K403" s="90">
        <v>609253</v>
      </c>
    </row>
    <row r="404" ht="15.75" customHeight="1" spans="1:11">
      <c r="A404" s="87">
        <v>403</v>
      </c>
      <c r="B404" s="88" t="s">
        <v>46</v>
      </c>
      <c r="C404" s="88" t="s">
        <v>135</v>
      </c>
      <c r="D404" s="87">
        <v>2025</v>
      </c>
      <c r="E404" s="88" t="s">
        <v>39</v>
      </c>
      <c r="F404" s="88" t="s">
        <v>150</v>
      </c>
      <c r="G404" s="89" t="s">
        <v>44</v>
      </c>
      <c r="H404" s="89" t="s">
        <v>44</v>
      </c>
      <c r="I404" s="89" t="s">
        <v>44</v>
      </c>
      <c r="J404" s="89" t="s">
        <v>44</v>
      </c>
      <c r="K404" s="90">
        <v>18135</v>
      </c>
    </row>
    <row r="405" ht="15.75" customHeight="1" spans="1:11">
      <c r="A405" s="87">
        <v>404</v>
      </c>
      <c r="B405" s="88" t="s">
        <v>46</v>
      </c>
      <c r="C405" s="88" t="s">
        <v>135</v>
      </c>
      <c r="D405" s="87">
        <v>2025</v>
      </c>
      <c r="E405" s="88" t="s">
        <v>39</v>
      </c>
      <c r="F405" s="88" t="s">
        <v>151</v>
      </c>
      <c r="G405" s="89" t="s">
        <v>44</v>
      </c>
      <c r="H405" s="89" t="s">
        <v>44</v>
      </c>
      <c r="I405" s="89" t="s">
        <v>44</v>
      </c>
      <c r="J405" s="89" t="s">
        <v>44</v>
      </c>
      <c r="K405" s="90">
        <v>9914446</v>
      </c>
    </row>
    <row r="406" ht="15.75" customHeight="1" spans="1:11">
      <c r="A406" s="87">
        <v>405</v>
      </c>
      <c r="B406" s="88" t="s">
        <v>46</v>
      </c>
      <c r="C406" s="88" t="s">
        <v>135</v>
      </c>
      <c r="D406" s="87">
        <v>2025</v>
      </c>
      <c r="E406" s="88" t="s">
        <v>39</v>
      </c>
      <c r="F406" s="88" t="s">
        <v>152</v>
      </c>
      <c r="G406" s="89" t="s">
        <v>44</v>
      </c>
      <c r="H406" s="89" t="s">
        <v>44</v>
      </c>
      <c r="I406" s="89" t="s">
        <v>44</v>
      </c>
      <c r="J406" s="89" t="s">
        <v>44</v>
      </c>
      <c r="K406" s="90">
        <v>716817</v>
      </c>
    </row>
    <row r="407" ht="15.75" customHeight="1" spans="1:11">
      <c r="A407" s="87">
        <v>406</v>
      </c>
      <c r="B407" s="88" t="s">
        <v>46</v>
      </c>
      <c r="C407" s="88" t="s">
        <v>135</v>
      </c>
      <c r="D407" s="87">
        <v>2025</v>
      </c>
      <c r="E407" s="88" t="s">
        <v>40</v>
      </c>
      <c r="F407" s="88" t="s">
        <v>150</v>
      </c>
      <c r="G407" s="89" t="s">
        <v>44</v>
      </c>
      <c r="H407" s="89" t="s">
        <v>44</v>
      </c>
      <c r="I407" s="89" t="s">
        <v>44</v>
      </c>
      <c r="J407" s="89" t="s">
        <v>44</v>
      </c>
      <c r="K407" s="90">
        <v>8096</v>
      </c>
    </row>
    <row r="408" ht="15.75" customHeight="1" spans="1:11">
      <c r="A408" s="87">
        <v>407</v>
      </c>
      <c r="B408" s="88" t="s">
        <v>46</v>
      </c>
      <c r="C408" s="88" t="s">
        <v>135</v>
      </c>
      <c r="D408" s="87">
        <v>2025</v>
      </c>
      <c r="E408" s="88" t="s">
        <v>40</v>
      </c>
      <c r="F408" s="88" t="s">
        <v>151</v>
      </c>
      <c r="G408" s="89" t="s">
        <v>44</v>
      </c>
      <c r="H408" s="89" t="s">
        <v>44</v>
      </c>
      <c r="I408" s="89" t="s">
        <v>44</v>
      </c>
      <c r="J408" s="89" t="s">
        <v>44</v>
      </c>
      <c r="K408" s="90">
        <v>5445524</v>
      </c>
    </row>
    <row r="409" ht="15.75" customHeight="1" spans="1:11">
      <c r="A409" s="87">
        <v>408</v>
      </c>
      <c r="B409" s="88" t="s">
        <v>46</v>
      </c>
      <c r="C409" s="88" t="s">
        <v>135</v>
      </c>
      <c r="D409" s="87">
        <v>2025</v>
      </c>
      <c r="E409" s="88" t="s">
        <v>40</v>
      </c>
      <c r="F409" s="88" t="s">
        <v>152</v>
      </c>
      <c r="G409" s="89" t="s">
        <v>44</v>
      </c>
      <c r="H409" s="89" t="s">
        <v>44</v>
      </c>
      <c r="I409" s="89" t="s">
        <v>44</v>
      </c>
      <c r="J409" s="89" t="s">
        <v>44</v>
      </c>
      <c r="K409" s="90">
        <v>310202</v>
      </c>
    </row>
    <row r="410" ht="15.75" customHeight="1" spans="1:11">
      <c r="A410" s="87">
        <v>409</v>
      </c>
      <c r="B410" s="88" t="s">
        <v>46</v>
      </c>
      <c r="C410" s="88" t="s">
        <v>135</v>
      </c>
      <c r="D410" s="87">
        <v>2025</v>
      </c>
      <c r="E410" s="88" t="s">
        <v>41</v>
      </c>
      <c r="F410" s="88" t="s">
        <v>150</v>
      </c>
      <c r="G410" s="89" t="s">
        <v>44</v>
      </c>
      <c r="H410" s="89" t="s">
        <v>44</v>
      </c>
      <c r="I410" s="89" t="s">
        <v>44</v>
      </c>
      <c r="J410" s="89" t="s">
        <v>44</v>
      </c>
      <c r="K410" s="90">
        <v>14671</v>
      </c>
    </row>
    <row r="411" ht="15.75" customHeight="1" spans="1:11">
      <c r="A411" s="87">
        <v>410</v>
      </c>
      <c r="B411" s="88" t="s">
        <v>46</v>
      </c>
      <c r="C411" s="88" t="s">
        <v>135</v>
      </c>
      <c r="D411" s="87">
        <v>2025</v>
      </c>
      <c r="E411" s="88" t="s">
        <v>41</v>
      </c>
      <c r="F411" s="88" t="s">
        <v>151</v>
      </c>
      <c r="G411" s="89" t="s">
        <v>44</v>
      </c>
      <c r="H411" s="89" t="s">
        <v>44</v>
      </c>
      <c r="I411" s="89" t="s">
        <v>44</v>
      </c>
      <c r="J411" s="89" t="s">
        <v>44</v>
      </c>
      <c r="K411" s="90">
        <v>5096938</v>
      </c>
    </row>
    <row r="412" ht="15.75" customHeight="1" spans="1:11">
      <c r="A412" s="87">
        <v>411</v>
      </c>
      <c r="B412" s="88" t="s">
        <v>46</v>
      </c>
      <c r="C412" s="88" t="s">
        <v>135</v>
      </c>
      <c r="D412" s="87">
        <v>2025</v>
      </c>
      <c r="E412" s="88" t="s">
        <v>41</v>
      </c>
      <c r="F412" s="88" t="s">
        <v>152</v>
      </c>
      <c r="G412" s="89" t="s">
        <v>44</v>
      </c>
      <c r="H412" s="89" t="s">
        <v>44</v>
      </c>
      <c r="I412" s="89" t="s">
        <v>44</v>
      </c>
      <c r="J412" s="89" t="s">
        <v>44</v>
      </c>
      <c r="K412" s="90">
        <v>323436</v>
      </c>
    </row>
    <row r="413" ht="15.75" customHeight="1" spans="1:11">
      <c r="A413" s="87">
        <v>412</v>
      </c>
      <c r="B413" s="88" t="s">
        <v>46</v>
      </c>
      <c r="C413" s="88" t="s">
        <v>135</v>
      </c>
      <c r="D413" s="87">
        <v>2025</v>
      </c>
      <c r="E413" s="88" t="s">
        <v>42</v>
      </c>
      <c r="F413" s="88" t="s">
        <v>150</v>
      </c>
      <c r="G413" s="89" t="s">
        <v>44</v>
      </c>
      <c r="H413" s="89" t="s">
        <v>44</v>
      </c>
      <c r="I413" s="89" t="s">
        <v>44</v>
      </c>
      <c r="J413" s="89" t="s">
        <v>44</v>
      </c>
      <c r="K413" s="89">
        <v>163</v>
      </c>
    </row>
    <row r="414" ht="15.75" customHeight="1" spans="1:11">
      <c r="A414" s="87">
        <v>413</v>
      </c>
      <c r="B414" s="88" t="s">
        <v>46</v>
      </c>
      <c r="C414" s="88" t="s">
        <v>135</v>
      </c>
      <c r="D414" s="87">
        <v>2025</v>
      </c>
      <c r="E414" s="88" t="s">
        <v>42</v>
      </c>
      <c r="F414" s="88" t="s">
        <v>151</v>
      </c>
      <c r="G414" s="89" t="s">
        <v>44</v>
      </c>
      <c r="H414" s="89" t="s">
        <v>44</v>
      </c>
      <c r="I414" s="89" t="s">
        <v>44</v>
      </c>
      <c r="J414" s="89" t="s">
        <v>44</v>
      </c>
      <c r="K414" s="90">
        <v>1167719</v>
      </c>
    </row>
    <row r="415" ht="15.75" customHeight="1" spans="1:11">
      <c r="A415" s="87">
        <v>414</v>
      </c>
      <c r="B415" s="88" t="s">
        <v>46</v>
      </c>
      <c r="C415" s="88" t="s">
        <v>135</v>
      </c>
      <c r="D415" s="87">
        <v>2025</v>
      </c>
      <c r="E415" s="88" t="s">
        <v>42</v>
      </c>
      <c r="F415" s="88" t="s">
        <v>152</v>
      </c>
      <c r="G415" s="89" t="s">
        <v>44</v>
      </c>
      <c r="H415" s="89" t="s">
        <v>44</v>
      </c>
      <c r="I415" s="89" t="s">
        <v>44</v>
      </c>
      <c r="J415" s="89" t="s">
        <v>44</v>
      </c>
      <c r="K415" s="90">
        <v>96263</v>
      </c>
    </row>
    <row r="416" ht="15.75" customHeight="1" spans="1:11">
      <c r="A416" s="87">
        <v>415</v>
      </c>
      <c r="B416" s="88" t="s">
        <v>46</v>
      </c>
      <c r="C416" s="88" t="s">
        <v>135</v>
      </c>
      <c r="D416" s="87">
        <v>2025</v>
      </c>
      <c r="E416" s="88" t="s">
        <v>43</v>
      </c>
      <c r="F416" s="88" t="s">
        <v>150</v>
      </c>
      <c r="G416" s="89" t="s">
        <v>44</v>
      </c>
      <c r="H416" s="89" t="s">
        <v>44</v>
      </c>
      <c r="I416" s="89" t="s">
        <v>44</v>
      </c>
      <c r="J416" s="89" t="s">
        <v>44</v>
      </c>
      <c r="K416" s="89">
        <v>231</v>
      </c>
    </row>
    <row r="417" ht="15.75" customHeight="1" spans="1:11">
      <c r="A417" s="87">
        <v>416</v>
      </c>
      <c r="B417" s="88" t="s">
        <v>46</v>
      </c>
      <c r="C417" s="88" t="s">
        <v>135</v>
      </c>
      <c r="D417" s="87">
        <v>2025</v>
      </c>
      <c r="E417" s="88" t="s">
        <v>43</v>
      </c>
      <c r="F417" s="88" t="s">
        <v>151</v>
      </c>
      <c r="G417" s="89" t="s">
        <v>44</v>
      </c>
      <c r="H417" s="89" t="s">
        <v>44</v>
      </c>
      <c r="I417" s="89" t="s">
        <v>44</v>
      </c>
      <c r="J417" s="89" t="s">
        <v>44</v>
      </c>
      <c r="K417" s="90">
        <v>2362194</v>
      </c>
    </row>
    <row r="418" ht="15.75" customHeight="1" spans="1:11">
      <c r="A418" s="87">
        <v>417</v>
      </c>
      <c r="B418" s="88" t="s">
        <v>46</v>
      </c>
      <c r="C418" s="88" t="s">
        <v>135</v>
      </c>
      <c r="D418" s="87">
        <v>2025</v>
      </c>
      <c r="E418" s="88" t="s">
        <v>43</v>
      </c>
      <c r="F418" s="88" t="s">
        <v>152</v>
      </c>
      <c r="G418" s="89" t="s">
        <v>44</v>
      </c>
      <c r="H418" s="89" t="s">
        <v>44</v>
      </c>
      <c r="I418" s="89" t="s">
        <v>44</v>
      </c>
      <c r="J418" s="89" t="s">
        <v>44</v>
      </c>
      <c r="K418" s="90">
        <v>71206</v>
      </c>
    </row>
    <row r="419" ht="15.75" customHeight="1" spans="1:11">
      <c r="A419" s="87">
        <v>418</v>
      </c>
      <c r="B419" s="88" t="s">
        <v>46</v>
      </c>
      <c r="C419" s="88" t="s">
        <v>135</v>
      </c>
      <c r="D419" s="87">
        <v>2026</v>
      </c>
      <c r="E419" s="88" t="s">
        <v>31</v>
      </c>
      <c r="F419" s="88" t="s">
        <v>150</v>
      </c>
      <c r="G419" s="89" t="s">
        <v>44</v>
      </c>
      <c r="H419" s="89" t="s">
        <v>44</v>
      </c>
      <c r="I419" s="89" t="s">
        <v>44</v>
      </c>
      <c r="J419" s="89" t="s">
        <v>44</v>
      </c>
      <c r="K419" s="90">
        <v>11174</v>
      </c>
    </row>
    <row r="420" ht="15.75" customHeight="1" spans="1:11">
      <c r="A420" s="87">
        <v>419</v>
      </c>
      <c r="B420" s="88" t="s">
        <v>46</v>
      </c>
      <c r="C420" s="88" t="s">
        <v>135</v>
      </c>
      <c r="D420" s="87">
        <v>2026</v>
      </c>
      <c r="E420" s="88" t="s">
        <v>31</v>
      </c>
      <c r="F420" s="88" t="s">
        <v>151</v>
      </c>
      <c r="G420" s="89" t="s">
        <v>44</v>
      </c>
      <c r="H420" s="89" t="s">
        <v>44</v>
      </c>
      <c r="I420" s="89" t="s">
        <v>44</v>
      </c>
      <c r="J420" s="89" t="s">
        <v>44</v>
      </c>
      <c r="K420" s="90">
        <v>2681216</v>
      </c>
    </row>
    <row r="421" ht="15.75" customHeight="1" spans="1:11">
      <c r="A421" s="87">
        <v>420</v>
      </c>
      <c r="B421" s="88" t="s">
        <v>46</v>
      </c>
      <c r="C421" s="88" t="s">
        <v>135</v>
      </c>
      <c r="D421" s="87">
        <v>2026</v>
      </c>
      <c r="E421" s="88" t="s">
        <v>31</v>
      </c>
      <c r="F421" s="88" t="s">
        <v>152</v>
      </c>
      <c r="G421" s="89" t="s">
        <v>44</v>
      </c>
      <c r="H421" s="89" t="s">
        <v>44</v>
      </c>
      <c r="I421" s="89" t="s">
        <v>44</v>
      </c>
      <c r="J421" s="89" t="s">
        <v>44</v>
      </c>
      <c r="K421" s="90">
        <v>154258</v>
      </c>
    </row>
    <row r="422" ht="15.75" customHeight="1" spans="1:11">
      <c r="A422" s="87">
        <v>421</v>
      </c>
      <c r="B422" s="88" t="s">
        <v>46</v>
      </c>
      <c r="C422" s="88" t="s">
        <v>135</v>
      </c>
      <c r="D422" s="87">
        <v>2026</v>
      </c>
      <c r="E422" s="88" t="s">
        <v>33</v>
      </c>
      <c r="F422" s="88" t="s">
        <v>151</v>
      </c>
      <c r="G422" s="89" t="s">
        <v>44</v>
      </c>
      <c r="H422" s="89" t="s">
        <v>44</v>
      </c>
      <c r="I422" s="89" t="s">
        <v>44</v>
      </c>
      <c r="J422" s="89" t="s">
        <v>44</v>
      </c>
      <c r="K422" s="90">
        <v>2944305</v>
      </c>
    </row>
    <row r="423" ht="15.75" customHeight="1" spans="1:11">
      <c r="A423" s="87">
        <v>422</v>
      </c>
      <c r="B423" s="88" t="s">
        <v>46</v>
      </c>
      <c r="C423" s="88" t="s">
        <v>135</v>
      </c>
      <c r="D423" s="87">
        <v>2026</v>
      </c>
      <c r="E423" s="88" t="s">
        <v>33</v>
      </c>
      <c r="F423" s="88" t="s">
        <v>152</v>
      </c>
      <c r="G423" s="89" t="s">
        <v>44</v>
      </c>
      <c r="H423" s="89" t="s">
        <v>44</v>
      </c>
      <c r="I423" s="89" t="s">
        <v>44</v>
      </c>
      <c r="J423" s="89" t="s">
        <v>44</v>
      </c>
      <c r="K423" s="90">
        <v>104716</v>
      </c>
    </row>
    <row r="424" ht="15.75" customHeight="1" spans="1:11">
      <c r="A424" s="87">
        <v>423</v>
      </c>
      <c r="B424" s="88" t="s">
        <v>46</v>
      </c>
      <c r="C424" s="88" t="s">
        <v>135</v>
      </c>
      <c r="D424" s="87">
        <v>2026</v>
      </c>
      <c r="E424" s="88" t="s">
        <v>33</v>
      </c>
      <c r="F424" s="88" t="s">
        <v>150</v>
      </c>
      <c r="G424" s="89" t="s">
        <v>44</v>
      </c>
      <c r="H424" s="89" t="s">
        <v>44</v>
      </c>
      <c r="I424" s="89" t="s">
        <v>44</v>
      </c>
      <c r="J424" s="89" t="s">
        <v>44</v>
      </c>
      <c r="K424" s="90">
        <v>10041</v>
      </c>
    </row>
    <row r="425" ht="15.75" customHeight="1" spans="1:11">
      <c r="A425" s="87">
        <v>424</v>
      </c>
      <c r="B425" s="88" t="s">
        <v>46</v>
      </c>
      <c r="C425" s="88" t="s">
        <v>135</v>
      </c>
      <c r="D425" s="87">
        <v>2026</v>
      </c>
      <c r="E425" s="88" t="s">
        <v>34</v>
      </c>
      <c r="F425" s="88" t="s">
        <v>152</v>
      </c>
      <c r="G425" s="89" t="s">
        <v>44</v>
      </c>
      <c r="H425" s="89" t="s">
        <v>44</v>
      </c>
      <c r="I425" s="89" t="s">
        <v>44</v>
      </c>
      <c r="J425" s="89" t="s">
        <v>44</v>
      </c>
      <c r="K425" s="90">
        <v>280738</v>
      </c>
    </row>
    <row r="426" ht="15.75" customHeight="1" spans="1:11">
      <c r="A426" s="87">
        <v>425</v>
      </c>
      <c r="B426" s="88" t="s">
        <v>46</v>
      </c>
      <c r="C426" s="88" t="s">
        <v>135</v>
      </c>
      <c r="D426" s="87">
        <v>2026</v>
      </c>
      <c r="E426" s="88" t="s">
        <v>34</v>
      </c>
      <c r="F426" s="88" t="s">
        <v>150</v>
      </c>
      <c r="G426" s="89" t="s">
        <v>44</v>
      </c>
      <c r="H426" s="89" t="s">
        <v>44</v>
      </c>
      <c r="I426" s="89" t="s">
        <v>44</v>
      </c>
      <c r="J426" s="89" t="s">
        <v>44</v>
      </c>
      <c r="K426" s="89">
        <v>454</v>
      </c>
    </row>
    <row r="427" ht="15.75" customHeight="1" spans="1:11">
      <c r="A427" s="87">
        <v>426</v>
      </c>
      <c r="B427" s="88" t="s">
        <v>46</v>
      </c>
      <c r="C427" s="88" t="s">
        <v>135</v>
      </c>
      <c r="D427" s="87">
        <v>2026</v>
      </c>
      <c r="E427" s="88" t="s">
        <v>34</v>
      </c>
      <c r="F427" s="88" t="s">
        <v>151</v>
      </c>
      <c r="G427" s="89" t="s">
        <v>44</v>
      </c>
      <c r="H427" s="89" t="s">
        <v>44</v>
      </c>
      <c r="I427" s="89" t="s">
        <v>44</v>
      </c>
      <c r="J427" s="89" t="s">
        <v>44</v>
      </c>
      <c r="K427" s="90">
        <v>8197504</v>
      </c>
    </row>
    <row r="428" ht="15.75" customHeight="1" spans="1:11">
      <c r="A428" s="87">
        <v>427</v>
      </c>
      <c r="B428" s="88" t="s">
        <v>46</v>
      </c>
      <c r="C428" s="88" t="s">
        <v>156</v>
      </c>
      <c r="D428" s="87">
        <v>2024</v>
      </c>
      <c r="E428" s="88" t="s">
        <v>31</v>
      </c>
      <c r="F428" s="88" t="s">
        <v>151</v>
      </c>
      <c r="G428" s="89" t="s">
        <v>44</v>
      </c>
      <c r="H428" s="89" t="s">
        <v>44</v>
      </c>
      <c r="I428" s="89" t="s">
        <v>44</v>
      </c>
      <c r="J428" s="89" t="s">
        <v>44</v>
      </c>
      <c r="K428" s="90">
        <v>552888</v>
      </c>
    </row>
    <row r="429" ht="15.75" customHeight="1" spans="1:11">
      <c r="A429" s="87">
        <v>428</v>
      </c>
      <c r="B429" s="88" t="s">
        <v>46</v>
      </c>
      <c r="C429" s="88" t="s">
        <v>156</v>
      </c>
      <c r="D429" s="87">
        <v>2024</v>
      </c>
      <c r="E429" s="88" t="s">
        <v>31</v>
      </c>
      <c r="F429" s="88" t="s">
        <v>152</v>
      </c>
      <c r="G429" s="89" t="s">
        <v>44</v>
      </c>
      <c r="H429" s="89" t="s">
        <v>44</v>
      </c>
      <c r="I429" s="89" t="s">
        <v>44</v>
      </c>
      <c r="J429" s="89" t="s">
        <v>44</v>
      </c>
      <c r="K429" s="90">
        <v>4345</v>
      </c>
    </row>
    <row r="430" ht="15.75" customHeight="1" spans="1:11">
      <c r="A430" s="87">
        <v>429</v>
      </c>
      <c r="B430" s="88" t="s">
        <v>46</v>
      </c>
      <c r="C430" s="88" t="s">
        <v>156</v>
      </c>
      <c r="D430" s="87">
        <v>2024</v>
      </c>
      <c r="E430" s="88" t="s">
        <v>33</v>
      </c>
      <c r="F430" s="88" t="s">
        <v>151</v>
      </c>
      <c r="G430" s="89" t="s">
        <v>44</v>
      </c>
      <c r="H430" s="89" t="s">
        <v>44</v>
      </c>
      <c r="I430" s="89" t="s">
        <v>44</v>
      </c>
      <c r="J430" s="89" t="s">
        <v>44</v>
      </c>
      <c r="K430" s="90">
        <v>432793</v>
      </c>
    </row>
    <row r="431" ht="15.75" customHeight="1" spans="1:11">
      <c r="A431" s="87">
        <v>430</v>
      </c>
      <c r="B431" s="88" t="s">
        <v>46</v>
      </c>
      <c r="C431" s="88" t="s">
        <v>156</v>
      </c>
      <c r="D431" s="87">
        <v>2024</v>
      </c>
      <c r="E431" s="88" t="s">
        <v>33</v>
      </c>
      <c r="F431" s="88" t="s">
        <v>152</v>
      </c>
      <c r="G431" s="89" t="s">
        <v>44</v>
      </c>
      <c r="H431" s="89" t="s">
        <v>44</v>
      </c>
      <c r="I431" s="89" t="s">
        <v>44</v>
      </c>
      <c r="J431" s="89" t="s">
        <v>44</v>
      </c>
      <c r="K431" s="90">
        <v>3779</v>
      </c>
    </row>
    <row r="432" ht="15.75" customHeight="1" spans="1:11">
      <c r="A432" s="87">
        <v>431</v>
      </c>
      <c r="B432" s="88" t="s">
        <v>46</v>
      </c>
      <c r="C432" s="88" t="s">
        <v>156</v>
      </c>
      <c r="D432" s="87">
        <v>2024</v>
      </c>
      <c r="E432" s="88" t="s">
        <v>34</v>
      </c>
      <c r="F432" s="88" t="s">
        <v>151</v>
      </c>
      <c r="G432" s="89" t="s">
        <v>44</v>
      </c>
      <c r="H432" s="89" t="s">
        <v>44</v>
      </c>
      <c r="I432" s="89" t="s">
        <v>44</v>
      </c>
      <c r="J432" s="89" t="s">
        <v>44</v>
      </c>
      <c r="K432" s="90">
        <v>863559</v>
      </c>
    </row>
    <row r="433" ht="15.75" customHeight="1" spans="1:11">
      <c r="A433" s="87">
        <v>432</v>
      </c>
      <c r="B433" s="88" t="s">
        <v>46</v>
      </c>
      <c r="C433" s="88" t="s">
        <v>156</v>
      </c>
      <c r="D433" s="87">
        <v>2024</v>
      </c>
      <c r="E433" s="88" t="s">
        <v>34</v>
      </c>
      <c r="F433" s="88" t="s">
        <v>152</v>
      </c>
      <c r="G433" s="89" t="s">
        <v>44</v>
      </c>
      <c r="H433" s="89" t="s">
        <v>44</v>
      </c>
      <c r="I433" s="89" t="s">
        <v>44</v>
      </c>
      <c r="J433" s="89" t="s">
        <v>44</v>
      </c>
      <c r="K433" s="90">
        <v>5050</v>
      </c>
    </row>
    <row r="434" ht="15.75" customHeight="1" spans="1:11">
      <c r="A434" s="87">
        <v>433</v>
      </c>
      <c r="B434" s="88" t="s">
        <v>46</v>
      </c>
      <c r="C434" s="88" t="s">
        <v>156</v>
      </c>
      <c r="D434" s="87">
        <v>2024</v>
      </c>
      <c r="E434" s="88" t="s">
        <v>35</v>
      </c>
      <c r="F434" s="88" t="s">
        <v>151</v>
      </c>
      <c r="G434" s="89" t="s">
        <v>44</v>
      </c>
      <c r="H434" s="89" t="s">
        <v>44</v>
      </c>
      <c r="I434" s="89" t="s">
        <v>44</v>
      </c>
      <c r="J434" s="89" t="s">
        <v>44</v>
      </c>
      <c r="K434" s="90">
        <v>560573</v>
      </c>
    </row>
    <row r="435" ht="15.75" customHeight="1" spans="1:11">
      <c r="A435" s="87">
        <v>434</v>
      </c>
      <c r="B435" s="88" t="s">
        <v>46</v>
      </c>
      <c r="C435" s="88" t="s">
        <v>156</v>
      </c>
      <c r="D435" s="87">
        <v>2024</v>
      </c>
      <c r="E435" s="88" t="s">
        <v>35</v>
      </c>
      <c r="F435" s="88" t="s">
        <v>152</v>
      </c>
      <c r="G435" s="89" t="s">
        <v>44</v>
      </c>
      <c r="H435" s="89" t="s">
        <v>44</v>
      </c>
      <c r="I435" s="89" t="s">
        <v>44</v>
      </c>
      <c r="J435" s="89" t="s">
        <v>44</v>
      </c>
      <c r="K435" s="90">
        <v>5019</v>
      </c>
    </row>
    <row r="436" ht="15.75" customHeight="1" spans="1:11">
      <c r="A436" s="87">
        <v>435</v>
      </c>
      <c r="B436" s="88" t="s">
        <v>46</v>
      </c>
      <c r="C436" s="88" t="s">
        <v>156</v>
      </c>
      <c r="D436" s="87">
        <v>2024</v>
      </c>
      <c r="E436" s="88" t="s">
        <v>36</v>
      </c>
      <c r="F436" s="88" t="s">
        <v>150</v>
      </c>
      <c r="G436" s="89" t="s">
        <v>44</v>
      </c>
      <c r="H436" s="89" t="s">
        <v>44</v>
      </c>
      <c r="I436" s="89" t="s">
        <v>44</v>
      </c>
      <c r="J436" s="89" t="s">
        <v>44</v>
      </c>
      <c r="K436" s="89">
        <v>110</v>
      </c>
    </row>
    <row r="437" ht="15.75" customHeight="1" spans="1:11">
      <c r="A437" s="87">
        <v>436</v>
      </c>
      <c r="B437" s="88" t="s">
        <v>46</v>
      </c>
      <c r="C437" s="88" t="s">
        <v>156</v>
      </c>
      <c r="D437" s="87">
        <v>2024</v>
      </c>
      <c r="E437" s="88" t="s">
        <v>36</v>
      </c>
      <c r="F437" s="88" t="s">
        <v>151</v>
      </c>
      <c r="G437" s="89" t="s">
        <v>44</v>
      </c>
      <c r="H437" s="89" t="s">
        <v>44</v>
      </c>
      <c r="I437" s="89" t="s">
        <v>44</v>
      </c>
      <c r="J437" s="89" t="s">
        <v>44</v>
      </c>
      <c r="K437" s="90">
        <v>581773</v>
      </c>
    </row>
    <row r="438" ht="15.75" customHeight="1" spans="1:11">
      <c r="A438" s="87">
        <v>437</v>
      </c>
      <c r="B438" s="88" t="s">
        <v>46</v>
      </c>
      <c r="C438" s="88" t="s">
        <v>156</v>
      </c>
      <c r="D438" s="87">
        <v>2024</v>
      </c>
      <c r="E438" s="88" t="s">
        <v>36</v>
      </c>
      <c r="F438" s="88" t="s">
        <v>152</v>
      </c>
      <c r="G438" s="89" t="s">
        <v>44</v>
      </c>
      <c r="H438" s="89" t="s">
        <v>44</v>
      </c>
      <c r="I438" s="89" t="s">
        <v>44</v>
      </c>
      <c r="J438" s="89" t="s">
        <v>44</v>
      </c>
      <c r="K438" s="90">
        <v>3938</v>
      </c>
    </row>
    <row r="439" ht="15.75" customHeight="1" spans="1:11">
      <c r="A439" s="87">
        <v>438</v>
      </c>
      <c r="B439" s="88" t="s">
        <v>46</v>
      </c>
      <c r="C439" s="88" t="s">
        <v>156</v>
      </c>
      <c r="D439" s="87">
        <v>2024</v>
      </c>
      <c r="E439" s="88" t="s">
        <v>37</v>
      </c>
      <c r="F439" s="88" t="s">
        <v>150</v>
      </c>
      <c r="G439" s="89" t="s">
        <v>44</v>
      </c>
      <c r="H439" s="89" t="s">
        <v>44</v>
      </c>
      <c r="I439" s="89" t="s">
        <v>44</v>
      </c>
      <c r="J439" s="89" t="s">
        <v>44</v>
      </c>
      <c r="K439" s="89">
        <v>16</v>
      </c>
    </row>
    <row r="440" ht="15.75" customHeight="1" spans="1:11">
      <c r="A440" s="87">
        <v>439</v>
      </c>
      <c r="B440" s="88" t="s">
        <v>46</v>
      </c>
      <c r="C440" s="88" t="s">
        <v>156</v>
      </c>
      <c r="D440" s="87">
        <v>2024</v>
      </c>
      <c r="E440" s="88" t="s">
        <v>37</v>
      </c>
      <c r="F440" s="88" t="s">
        <v>151</v>
      </c>
      <c r="G440" s="89" t="s">
        <v>44</v>
      </c>
      <c r="H440" s="89" t="s">
        <v>44</v>
      </c>
      <c r="I440" s="89" t="s">
        <v>44</v>
      </c>
      <c r="J440" s="89" t="s">
        <v>44</v>
      </c>
      <c r="K440" s="90">
        <v>701783</v>
      </c>
    </row>
    <row r="441" ht="15.75" customHeight="1" spans="1:11">
      <c r="A441" s="87">
        <v>440</v>
      </c>
      <c r="B441" s="88" t="s">
        <v>46</v>
      </c>
      <c r="C441" s="88" t="s">
        <v>156</v>
      </c>
      <c r="D441" s="87">
        <v>2024</v>
      </c>
      <c r="E441" s="88" t="s">
        <v>37</v>
      </c>
      <c r="F441" s="88" t="s">
        <v>152</v>
      </c>
      <c r="G441" s="89" t="s">
        <v>44</v>
      </c>
      <c r="H441" s="89" t="s">
        <v>44</v>
      </c>
      <c r="I441" s="89" t="s">
        <v>44</v>
      </c>
      <c r="J441" s="89" t="s">
        <v>44</v>
      </c>
      <c r="K441" s="90">
        <v>4411</v>
      </c>
    </row>
    <row r="442" ht="15.75" customHeight="1" spans="1:11">
      <c r="A442" s="87">
        <v>441</v>
      </c>
      <c r="B442" s="88" t="s">
        <v>46</v>
      </c>
      <c r="C442" s="88" t="s">
        <v>156</v>
      </c>
      <c r="D442" s="87">
        <v>2024</v>
      </c>
      <c r="E442" s="88" t="s">
        <v>38</v>
      </c>
      <c r="F442" s="88" t="s">
        <v>150</v>
      </c>
      <c r="G442" s="89" t="s">
        <v>44</v>
      </c>
      <c r="H442" s="89" t="s">
        <v>44</v>
      </c>
      <c r="I442" s="89" t="s">
        <v>44</v>
      </c>
      <c r="J442" s="89" t="s">
        <v>44</v>
      </c>
      <c r="K442" s="89">
        <v>1</v>
      </c>
    </row>
    <row r="443" ht="15.75" customHeight="1" spans="1:11">
      <c r="A443" s="87">
        <v>442</v>
      </c>
      <c r="B443" s="88" t="s">
        <v>46</v>
      </c>
      <c r="C443" s="88" t="s">
        <v>156</v>
      </c>
      <c r="D443" s="87">
        <v>2024</v>
      </c>
      <c r="E443" s="88" t="s">
        <v>38</v>
      </c>
      <c r="F443" s="88" t="s">
        <v>151</v>
      </c>
      <c r="G443" s="89" t="s">
        <v>44</v>
      </c>
      <c r="H443" s="89" t="s">
        <v>44</v>
      </c>
      <c r="I443" s="89" t="s">
        <v>44</v>
      </c>
      <c r="J443" s="89" t="s">
        <v>44</v>
      </c>
      <c r="K443" s="90">
        <v>864681</v>
      </c>
    </row>
    <row r="444" ht="15.75" customHeight="1" spans="1:11">
      <c r="A444" s="87">
        <v>443</v>
      </c>
      <c r="B444" s="88" t="s">
        <v>46</v>
      </c>
      <c r="C444" s="88" t="s">
        <v>156</v>
      </c>
      <c r="D444" s="87">
        <v>2024</v>
      </c>
      <c r="E444" s="88" t="s">
        <v>38</v>
      </c>
      <c r="F444" s="88" t="s">
        <v>152</v>
      </c>
      <c r="G444" s="89" t="s">
        <v>44</v>
      </c>
      <c r="H444" s="89" t="s">
        <v>44</v>
      </c>
      <c r="I444" s="89" t="s">
        <v>44</v>
      </c>
      <c r="J444" s="89" t="s">
        <v>44</v>
      </c>
      <c r="K444" s="90">
        <v>4149</v>
      </c>
    </row>
    <row r="445" ht="15.75" customHeight="1" spans="1:11">
      <c r="A445" s="87">
        <v>444</v>
      </c>
      <c r="B445" s="88" t="s">
        <v>46</v>
      </c>
      <c r="C445" s="88" t="s">
        <v>156</v>
      </c>
      <c r="D445" s="87">
        <v>2024</v>
      </c>
      <c r="E445" s="88" t="s">
        <v>39</v>
      </c>
      <c r="F445" s="88" t="s">
        <v>150</v>
      </c>
      <c r="G445" s="89" t="s">
        <v>44</v>
      </c>
      <c r="H445" s="89" t="s">
        <v>44</v>
      </c>
      <c r="I445" s="89" t="s">
        <v>44</v>
      </c>
      <c r="J445" s="89" t="s">
        <v>44</v>
      </c>
      <c r="K445" s="89">
        <v>14</v>
      </c>
    </row>
    <row r="446" ht="15.75" customHeight="1" spans="1:11">
      <c r="A446" s="87">
        <v>445</v>
      </c>
      <c r="B446" s="88" t="s">
        <v>46</v>
      </c>
      <c r="C446" s="88" t="s">
        <v>156</v>
      </c>
      <c r="D446" s="87">
        <v>2024</v>
      </c>
      <c r="E446" s="88" t="s">
        <v>39</v>
      </c>
      <c r="F446" s="88" t="s">
        <v>151</v>
      </c>
      <c r="G446" s="89" t="s">
        <v>44</v>
      </c>
      <c r="H446" s="89" t="s">
        <v>44</v>
      </c>
      <c r="I446" s="89" t="s">
        <v>44</v>
      </c>
      <c r="J446" s="89" t="s">
        <v>44</v>
      </c>
      <c r="K446" s="90">
        <v>679067</v>
      </c>
    </row>
    <row r="447" ht="15.75" customHeight="1" spans="1:11">
      <c r="A447" s="87">
        <v>446</v>
      </c>
      <c r="B447" s="88" t="s">
        <v>46</v>
      </c>
      <c r="C447" s="88" t="s">
        <v>156</v>
      </c>
      <c r="D447" s="87">
        <v>2024</v>
      </c>
      <c r="E447" s="88" t="s">
        <v>39</v>
      </c>
      <c r="F447" s="88" t="s">
        <v>152</v>
      </c>
      <c r="G447" s="89" t="s">
        <v>44</v>
      </c>
      <c r="H447" s="89" t="s">
        <v>44</v>
      </c>
      <c r="I447" s="89" t="s">
        <v>44</v>
      </c>
      <c r="J447" s="89" t="s">
        <v>44</v>
      </c>
      <c r="K447" s="90">
        <v>2983</v>
      </c>
    </row>
    <row r="448" ht="15.75" customHeight="1" spans="1:11">
      <c r="A448" s="87">
        <v>447</v>
      </c>
      <c r="B448" s="88" t="s">
        <v>46</v>
      </c>
      <c r="C448" s="88" t="s">
        <v>156</v>
      </c>
      <c r="D448" s="87">
        <v>2024</v>
      </c>
      <c r="E448" s="88" t="s">
        <v>40</v>
      </c>
      <c r="F448" s="88" t="s">
        <v>150</v>
      </c>
      <c r="G448" s="89" t="s">
        <v>44</v>
      </c>
      <c r="H448" s="89" t="s">
        <v>44</v>
      </c>
      <c r="I448" s="89" t="s">
        <v>44</v>
      </c>
      <c r="J448" s="89" t="s">
        <v>44</v>
      </c>
      <c r="K448" s="89">
        <v>7</v>
      </c>
    </row>
    <row r="449" ht="15.75" customHeight="1" spans="1:11">
      <c r="A449" s="87">
        <v>448</v>
      </c>
      <c r="B449" s="88" t="s">
        <v>46</v>
      </c>
      <c r="C449" s="88" t="s">
        <v>156</v>
      </c>
      <c r="D449" s="87">
        <v>2024</v>
      </c>
      <c r="E449" s="88" t="s">
        <v>40</v>
      </c>
      <c r="F449" s="88" t="s">
        <v>151</v>
      </c>
      <c r="G449" s="89" t="s">
        <v>44</v>
      </c>
      <c r="H449" s="89" t="s">
        <v>44</v>
      </c>
      <c r="I449" s="89" t="s">
        <v>44</v>
      </c>
      <c r="J449" s="89" t="s">
        <v>44</v>
      </c>
      <c r="K449" s="90">
        <v>699251</v>
      </c>
    </row>
    <row r="450" ht="15.75" customHeight="1" spans="1:11">
      <c r="A450" s="87">
        <v>449</v>
      </c>
      <c r="B450" s="88" t="s">
        <v>46</v>
      </c>
      <c r="C450" s="88" t="s">
        <v>156</v>
      </c>
      <c r="D450" s="87">
        <v>2024</v>
      </c>
      <c r="E450" s="88" t="s">
        <v>40</v>
      </c>
      <c r="F450" s="88" t="s">
        <v>152</v>
      </c>
      <c r="G450" s="89" t="s">
        <v>44</v>
      </c>
      <c r="H450" s="89" t="s">
        <v>44</v>
      </c>
      <c r="I450" s="89" t="s">
        <v>44</v>
      </c>
      <c r="J450" s="89" t="s">
        <v>44</v>
      </c>
      <c r="K450" s="90">
        <v>2337</v>
      </c>
    </row>
    <row r="451" ht="15.75" customHeight="1" spans="1:11">
      <c r="A451" s="87">
        <v>450</v>
      </c>
      <c r="B451" s="88" t="s">
        <v>46</v>
      </c>
      <c r="C451" s="88" t="s">
        <v>156</v>
      </c>
      <c r="D451" s="87">
        <v>2024</v>
      </c>
      <c r="E451" s="88" t="s">
        <v>41</v>
      </c>
      <c r="F451" s="88" t="s">
        <v>150</v>
      </c>
      <c r="G451" s="89" t="s">
        <v>44</v>
      </c>
      <c r="H451" s="89" t="s">
        <v>44</v>
      </c>
      <c r="I451" s="89" t="s">
        <v>44</v>
      </c>
      <c r="J451" s="89" t="s">
        <v>44</v>
      </c>
      <c r="K451" s="89">
        <v>12</v>
      </c>
    </row>
    <row r="452" ht="15.75" customHeight="1" spans="1:11">
      <c r="A452" s="87">
        <v>451</v>
      </c>
      <c r="B452" s="88" t="s">
        <v>46</v>
      </c>
      <c r="C452" s="88" t="s">
        <v>156</v>
      </c>
      <c r="D452" s="87">
        <v>2024</v>
      </c>
      <c r="E452" s="88" t="s">
        <v>41</v>
      </c>
      <c r="F452" s="88" t="s">
        <v>151</v>
      </c>
      <c r="G452" s="89" t="s">
        <v>44</v>
      </c>
      <c r="H452" s="89" t="s">
        <v>44</v>
      </c>
      <c r="I452" s="89" t="s">
        <v>44</v>
      </c>
      <c r="J452" s="89" t="s">
        <v>44</v>
      </c>
      <c r="K452" s="90">
        <v>720037</v>
      </c>
    </row>
    <row r="453" ht="15.75" customHeight="1" spans="1:11">
      <c r="A453" s="87">
        <v>452</v>
      </c>
      <c r="B453" s="88" t="s">
        <v>46</v>
      </c>
      <c r="C453" s="88" t="s">
        <v>156</v>
      </c>
      <c r="D453" s="87">
        <v>2024</v>
      </c>
      <c r="E453" s="88" t="s">
        <v>41</v>
      </c>
      <c r="F453" s="88" t="s">
        <v>152</v>
      </c>
      <c r="G453" s="89" t="s">
        <v>44</v>
      </c>
      <c r="H453" s="89" t="s">
        <v>44</v>
      </c>
      <c r="I453" s="89" t="s">
        <v>44</v>
      </c>
      <c r="J453" s="89" t="s">
        <v>44</v>
      </c>
      <c r="K453" s="90">
        <v>5523</v>
      </c>
    </row>
    <row r="454" ht="15.75" customHeight="1" spans="1:11">
      <c r="A454" s="87">
        <v>453</v>
      </c>
      <c r="B454" s="88" t="s">
        <v>46</v>
      </c>
      <c r="C454" s="88" t="s">
        <v>156</v>
      </c>
      <c r="D454" s="87">
        <v>2024</v>
      </c>
      <c r="E454" s="88" t="s">
        <v>42</v>
      </c>
      <c r="F454" s="88" t="s">
        <v>150</v>
      </c>
      <c r="G454" s="89" t="s">
        <v>44</v>
      </c>
      <c r="H454" s="89" t="s">
        <v>44</v>
      </c>
      <c r="I454" s="89" t="s">
        <v>44</v>
      </c>
      <c r="J454" s="89" t="s">
        <v>44</v>
      </c>
      <c r="K454" s="89">
        <v>11</v>
      </c>
    </row>
    <row r="455" ht="15.75" customHeight="1" spans="1:11">
      <c r="A455" s="87">
        <v>454</v>
      </c>
      <c r="B455" s="88" t="s">
        <v>46</v>
      </c>
      <c r="C455" s="88" t="s">
        <v>156</v>
      </c>
      <c r="D455" s="87">
        <v>2024</v>
      </c>
      <c r="E455" s="88" t="s">
        <v>42</v>
      </c>
      <c r="F455" s="88" t="s">
        <v>151</v>
      </c>
      <c r="G455" s="89" t="s">
        <v>44</v>
      </c>
      <c r="H455" s="89" t="s">
        <v>44</v>
      </c>
      <c r="I455" s="89" t="s">
        <v>44</v>
      </c>
      <c r="J455" s="89" t="s">
        <v>44</v>
      </c>
      <c r="K455" s="90">
        <v>881124</v>
      </c>
    </row>
    <row r="456" ht="15.75" customHeight="1" spans="1:11">
      <c r="A456" s="87">
        <v>455</v>
      </c>
      <c r="B456" s="88" t="s">
        <v>46</v>
      </c>
      <c r="C456" s="88" t="s">
        <v>156</v>
      </c>
      <c r="D456" s="87">
        <v>2024</v>
      </c>
      <c r="E456" s="88" t="s">
        <v>42</v>
      </c>
      <c r="F456" s="88" t="s">
        <v>152</v>
      </c>
      <c r="G456" s="89" t="s">
        <v>44</v>
      </c>
      <c r="H456" s="89" t="s">
        <v>44</v>
      </c>
      <c r="I456" s="89" t="s">
        <v>44</v>
      </c>
      <c r="J456" s="89" t="s">
        <v>44</v>
      </c>
      <c r="K456" s="90">
        <v>5810</v>
      </c>
    </row>
    <row r="457" ht="15.75" customHeight="1" spans="1:11">
      <c r="A457" s="87">
        <v>456</v>
      </c>
      <c r="B457" s="88" t="s">
        <v>46</v>
      </c>
      <c r="C457" s="88" t="s">
        <v>156</v>
      </c>
      <c r="D457" s="87">
        <v>2024</v>
      </c>
      <c r="E457" s="88" t="s">
        <v>43</v>
      </c>
      <c r="F457" s="88" t="s">
        <v>150</v>
      </c>
      <c r="G457" s="89" t="s">
        <v>44</v>
      </c>
      <c r="H457" s="89" t="s">
        <v>44</v>
      </c>
      <c r="I457" s="89" t="s">
        <v>44</v>
      </c>
      <c r="J457" s="89" t="s">
        <v>44</v>
      </c>
      <c r="K457" s="89">
        <v>9</v>
      </c>
    </row>
    <row r="458" ht="15.75" customHeight="1" spans="1:11">
      <c r="A458" s="87">
        <v>457</v>
      </c>
      <c r="B458" s="88" t="s">
        <v>46</v>
      </c>
      <c r="C458" s="88" t="s">
        <v>156</v>
      </c>
      <c r="D458" s="87">
        <v>2024</v>
      </c>
      <c r="E458" s="88" t="s">
        <v>43</v>
      </c>
      <c r="F458" s="88" t="s">
        <v>151</v>
      </c>
      <c r="G458" s="89" t="s">
        <v>44</v>
      </c>
      <c r="H458" s="89" t="s">
        <v>44</v>
      </c>
      <c r="I458" s="89" t="s">
        <v>44</v>
      </c>
      <c r="J458" s="89" t="s">
        <v>44</v>
      </c>
      <c r="K458" s="90">
        <v>857940</v>
      </c>
    </row>
    <row r="459" ht="15.75" customHeight="1" spans="1:11">
      <c r="A459" s="87">
        <v>458</v>
      </c>
      <c r="B459" s="88" t="s">
        <v>46</v>
      </c>
      <c r="C459" s="88" t="s">
        <v>156</v>
      </c>
      <c r="D459" s="87">
        <v>2024</v>
      </c>
      <c r="E459" s="88" t="s">
        <v>43</v>
      </c>
      <c r="F459" s="88" t="s">
        <v>152</v>
      </c>
      <c r="G459" s="89" t="s">
        <v>44</v>
      </c>
      <c r="H459" s="89" t="s">
        <v>44</v>
      </c>
      <c r="I459" s="89" t="s">
        <v>44</v>
      </c>
      <c r="J459" s="89" t="s">
        <v>44</v>
      </c>
      <c r="K459" s="90">
        <v>6817</v>
      </c>
    </row>
    <row r="460" ht="15.75" customHeight="1" spans="1:11">
      <c r="A460" s="87">
        <v>459</v>
      </c>
      <c r="B460" s="88" t="s">
        <v>46</v>
      </c>
      <c r="C460" s="88" t="s">
        <v>156</v>
      </c>
      <c r="D460" s="87">
        <v>2025</v>
      </c>
      <c r="E460" s="88" t="s">
        <v>31</v>
      </c>
      <c r="F460" s="88" t="s">
        <v>150</v>
      </c>
      <c r="G460" s="89" t="s">
        <v>44</v>
      </c>
      <c r="H460" s="89" t="s">
        <v>44</v>
      </c>
      <c r="I460" s="89" t="s">
        <v>44</v>
      </c>
      <c r="J460" s="89" t="s">
        <v>44</v>
      </c>
      <c r="K460" s="89">
        <v>7</v>
      </c>
    </row>
    <row r="461" ht="15.75" customHeight="1" spans="1:11">
      <c r="A461" s="87">
        <v>460</v>
      </c>
      <c r="B461" s="88" t="s">
        <v>46</v>
      </c>
      <c r="C461" s="88" t="s">
        <v>156</v>
      </c>
      <c r="D461" s="87">
        <v>2025</v>
      </c>
      <c r="E461" s="88" t="s">
        <v>31</v>
      </c>
      <c r="F461" s="88" t="s">
        <v>151</v>
      </c>
      <c r="G461" s="89" t="s">
        <v>44</v>
      </c>
      <c r="H461" s="89" t="s">
        <v>44</v>
      </c>
      <c r="I461" s="89" t="s">
        <v>44</v>
      </c>
      <c r="J461" s="89" t="s">
        <v>44</v>
      </c>
      <c r="K461" s="90">
        <v>656747</v>
      </c>
    </row>
    <row r="462" ht="15.75" customHeight="1" spans="1:11">
      <c r="A462" s="87">
        <v>461</v>
      </c>
      <c r="B462" s="88" t="s">
        <v>46</v>
      </c>
      <c r="C462" s="88" t="s">
        <v>156</v>
      </c>
      <c r="D462" s="87">
        <v>2025</v>
      </c>
      <c r="E462" s="88" t="s">
        <v>31</v>
      </c>
      <c r="F462" s="88" t="s">
        <v>152</v>
      </c>
      <c r="G462" s="89" t="s">
        <v>44</v>
      </c>
      <c r="H462" s="89" t="s">
        <v>44</v>
      </c>
      <c r="I462" s="89" t="s">
        <v>44</v>
      </c>
      <c r="J462" s="89" t="s">
        <v>44</v>
      </c>
      <c r="K462" s="90">
        <v>4763</v>
      </c>
    </row>
    <row r="463" ht="15.75" customHeight="1" spans="1:11">
      <c r="A463" s="87">
        <v>462</v>
      </c>
      <c r="B463" s="88" t="s">
        <v>46</v>
      </c>
      <c r="C463" s="88" t="s">
        <v>156</v>
      </c>
      <c r="D463" s="87">
        <v>2025</v>
      </c>
      <c r="E463" s="88" t="s">
        <v>33</v>
      </c>
      <c r="F463" s="88" t="s">
        <v>150</v>
      </c>
      <c r="G463" s="89" t="s">
        <v>44</v>
      </c>
      <c r="H463" s="89" t="s">
        <v>44</v>
      </c>
      <c r="I463" s="89" t="s">
        <v>44</v>
      </c>
      <c r="J463" s="89" t="s">
        <v>44</v>
      </c>
      <c r="K463" s="89">
        <v>6</v>
      </c>
    </row>
    <row r="464" ht="15.75" customHeight="1" spans="1:11">
      <c r="A464" s="87">
        <v>463</v>
      </c>
      <c r="B464" s="88" t="s">
        <v>46</v>
      </c>
      <c r="C464" s="88" t="s">
        <v>156</v>
      </c>
      <c r="D464" s="87">
        <v>2025</v>
      </c>
      <c r="E464" s="88" t="s">
        <v>33</v>
      </c>
      <c r="F464" s="88" t="s">
        <v>151</v>
      </c>
      <c r="G464" s="89" t="s">
        <v>44</v>
      </c>
      <c r="H464" s="89" t="s">
        <v>44</v>
      </c>
      <c r="I464" s="89" t="s">
        <v>44</v>
      </c>
      <c r="J464" s="89" t="s">
        <v>44</v>
      </c>
      <c r="K464" s="90">
        <v>662958</v>
      </c>
    </row>
    <row r="465" ht="15.75" customHeight="1" spans="1:11">
      <c r="A465" s="87">
        <v>464</v>
      </c>
      <c r="B465" s="88" t="s">
        <v>46</v>
      </c>
      <c r="C465" s="88" t="s">
        <v>156</v>
      </c>
      <c r="D465" s="87">
        <v>2025</v>
      </c>
      <c r="E465" s="88" t="s">
        <v>33</v>
      </c>
      <c r="F465" s="88" t="s">
        <v>152</v>
      </c>
      <c r="G465" s="89" t="s">
        <v>44</v>
      </c>
      <c r="H465" s="89" t="s">
        <v>44</v>
      </c>
      <c r="I465" s="89" t="s">
        <v>44</v>
      </c>
      <c r="J465" s="89" t="s">
        <v>44</v>
      </c>
      <c r="K465" s="90">
        <v>4239</v>
      </c>
    </row>
    <row r="466" ht="15.75" customHeight="1" spans="1:11">
      <c r="A466" s="87">
        <v>465</v>
      </c>
      <c r="B466" s="88" t="s">
        <v>46</v>
      </c>
      <c r="C466" s="88" t="s">
        <v>156</v>
      </c>
      <c r="D466" s="87">
        <v>2025</v>
      </c>
      <c r="E466" s="88" t="s">
        <v>34</v>
      </c>
      <c r="F466" s="88" t="s">
        <v>150</v>
      </c>
      <c r="G466" s="89" t="s">
        <v>44</v>
      </c>
      <c r="H466" s="89" t="s">
        <v>44</v>
      </c>
      <c r="I466" s="89" t="s">
        <v>44</v>
      </c>
      <c r="J466" s="89" t="s">
        <v>44</v>
      </c>
      <c r="K466" s="89">
        <v>29</v>
      </c>
    </row>
    <row r="467" ht="15.75" customHeight="1" spans="1:11">
      <c r="A467" s="87">
        <v>466</v>
      </c>
      <c r="B467" s="88" t="s">
        <v>46</v>
      </c>
      <c r="C467" s="88" t="s">
        <v>156</v>
      </c>
      <c r="D467" s="87">
        <v>2025</v>
      </c>
      <c r="E467" s="88" t="s">
        <v>34</v>
      </c>
      <c r="F467" s="88" t="s">
        <v>151</v>
      </c>
      <c r="G467" s="89" t="s">
        <v>44</v>
      </c>
      <c r="H467" s="89" t="s">
        <v>44</v>
      </c>
      <c r="I467" s="89" t="s">
        <v>44</v>
      </c>
      <c r="J467" s="89" t="s">
        <v>44</v>
      </c>
      <c r="K467" s="90">
        <v>1344008</v>
      </c>
    </row>
    <row r="468" ht="15.75" customHeight="1" spans="1:11">
      <c r="A468" s="87">
        <v>467</v>
      </c>
      <c r="B468" s="88" t="s">
        <v>46</v>
      </c>
      <c r="C468" s="88" t="s">
        <v>156</v>
      </c>
      <c r="D468" s="87">
        <v>2025</v>
      </c>
      <c r="E468" s="88" t="s">
        <v>34</v>
      </c>
      <c r="F468" s="88" t="s">
        <v>152</v>
      </c>
      <c r="G468" s="89" t="s">
        <v>44</v>
      </c>
      <c r="H468" s="89" t="s">
        <v>44</v>
      </c>
      <c r="I468" s="89" t="s">
        <v>44</v>
      </c>
      <c r="J468" s="89" t="s">
        <v>44</v>
      </c>
      <c r="K468" s="90">
        <v>8256</v>
      </c>
    </row>
    <row r="469" ht="15.75" customHeight="1" spans="1:11">
      <c r="A469" s="87">
        <v>468</v>
      </c>
      <c r="B469" s="88" t="s">
        <v>46</v>
      </c>
      <c r="C469" s="88" t="s">
        <v>156</v>
      </c>
      <c r="D469" s="87">
        <v>2025</v>
      </c>
      <c r="E469" s="88" t="s">
        <v>35</v>
      </c>
      <c r="F469" s="88" t="s">
        <v>150</v>
      </c>
      <c r="G469" s="89" t="s">
        <v>44</v>
      </c>
      <c r="H469" s="89" t="s">
        <v>44</v>
      </c>
      <c r="I469" s="89" t="s">
        <v>44</v>
      </c>
      <c r="J469" s="89" t="s">
        <v>44</v>
      </c>
      <c r="K469" s="89">
        <v>8</v>
      </c>
    </row>
    <row r="470" ht="15.75" customHeight="1" spans="1:11">
      <c r="A470" s="87">
        <v>469</v>
      </c>
      <c r="B470" s="88" t="s">
        <v>46</v>
      </c>
      <c r="C470" s="88" t="s">
        <v>156</v>
      </c>
      <c r="D470" s="87">
        <v>2025</v>
      </c>
      <c r="E470" s="88" t="s">
        <v>35</v>
      </c>
      <c r="F470" s="88" t="s">
        <v>151</v>
      </c>
      <c r="G470" s="89" t="s">
        <v>44</v>
      </c>
      <c r="H470" s="89" t="s">
        <v>44</v>
      </c>
      <c r="I470" s="89" t="s">
        <v>44</v>
      </c>
      <c r="J470" s="89" t="s">
        <v>44</v>
      </c>
      <c r="K470" s="90">
        <v>533238</v>
      </c>
    </row>
    <row r="471" ht="15.75" customHeight="1" spans="1:11">
      <c r="A471" s="87">
        <v>470</v>
      </c>
      <c r="B471" s="88" t="s">
        <v>46</v>
      </c>
      <c r="C471" s="88" t="s">
        <v>156</v>
      </c>
      <c r="D471" s="87">
        <v>2025</v>
      </c>
      <c r="E471" s="88" t="s">
        <v>35</v>
      </c>
      <c r="F471" s="88" t="s">
        <v>152</v>
      </c>
      <c r="G471" s="89" t="s">
        <v>44</v>
      </c>
      <c r="H471" s="89" t="s">
        <v>44</v>
      </c>
      <c r="I471" s="89" t="s">
        <v>44</v>
      </c>
      <c r="J471" s="89" t="s">
        <v>44</v>
      </c>
      <c r="K471" s="90">
        <v>4607</v>
      </c>
    </row>
    <row r="472" ht="15.75" customHeight="1" spans="1:11">
      <c r="A472" s="87">
        <v>471</v>
      </c>
      <c r="B472" s="88" t="s">
        <v>46</v>
      </c>
      <c r="C472" s="88" t="s">
        <v>156</v>
      </c>
      <c r="D472" s="87">
        <v>2025</v>
      </c>
      <c r="E472" s="88" t="s">
        <v>36</v>
      </c>
      <c r="F472" s="88" t="s">
        <v>151</v>
      </c>
      <c r="G472" s="89" t="s">
        <v>44</v>
      </c>
      <c r="H472" s="89" t="s">
        <v>44</v>
      </c>
      <c r="I472" s="89" t="s">
        <v>44</v>
      </c>
      <c r="J472" s="89" t="s">
        <v>44</v>
      </c>
      <c r="K472" s="90">
        <v>618530</v>
      </c>
    </row>
    <row r="473" ht="15.75" customHeight="1" spans="1:11">
      <c r="A473" s="87">
        <v>472</v>
      </c>
      <c r="B473" s="88" t="s">
        <v>46</v>
      </c>
      <c r="C473" s="88" t="s">
        <v>156</v>
      </c>
      <c r="D473" s="87">
        <v>2025</v>
      </c>
      <c r="E473" s="88" t="s">
        <v>36</v>
      </c>
      <c r="F473" s="88" t="s">
        <v>152</v>
      </c>
      <c r="G473" s="89" t="s">
        <v>44</v>
      </c>
      <c r="H473" s="89" t="s">
        <v>44</v>
      </c>
      <c r="I473" s="89" t="s">
        <v>44</v>
      </c>
      <c r="J473" s="89" t="s">
        <v>44</v>
      </c>
      <c r="K473" s="90">
        <v>5431</v>
      </c>
    </row>
    <row r="474" ht="15.75" customHeight="1" spans="1:11">
      <c r="A474" s="87">
        <v>473</v>
      </c>
      <c r="B474" s="88" t="s">
        <v>46</v>
      </c>
      <c r="C474" s="88" t="s">
        <v>156</v>
      </c>
      <c r="D474" s="87">
        <v>2025</v>
      </c>
      <c r="E474" s="88" t="s">
        <v>37</v>
      </c>
      <c r="F474" s="88" t="s">
        <v>151</v>
      </c>
      <c r="G474" s="89" t="s">
        <v>44</v>
      </c>
      <c r="H474" s="89" t="s">
        <v>44</v>
      </c>
      <c r="I474" s="89" t="s">
        <v>44</v>
      </c>
      <c r="J474" s="89" t="s">
        <v>44</v>
      </c>
      <c r="K474" s="90">
        <v>739327</v>
      </c>
    </row>
    <row r="475" ht="15.75" customHeight="1" spans="1:11">
      <c r="A475" s="87">
        <v>474</v>
      </c>
      <c r="B475" s="88" t="s">
        <v>46</v>
      </c>
      <c r="C475" s="88" t="s">
        <v>156</v>
      </c>
      <c r="D475" s="87">
        <v>2025</v>
      </c>
      <c r="E475" s="88" t="s">
        <v>37</v>
      </c>
      <c r="F475" s="88" t="s">
        <v>152</v>
      </c>
      <c r="G475" s="89" t="s">
        <v>44</v>
      </c>
      <c r="H475" s="89" t="s">
        <v>44</v>
      </c>
      <c r="I475" s="89" t="s">
        <v>44</v>
      </c>
      <c r="J475" s="89" t="s">
        <v>44</v>
      </c>
      <c r="K475" s="90">
        <v>7047</v>
      </c>
    </row>
    <row r="476" ht="15.75" customHeight="1" spans="1:11">
      <c r="A476" s="87">
        <v>475</v>
      </c>
      <c r="B476" s="88" t="s">
        <v>46</v>
      </c>
      <c r="C476" s="88" t="s">
        <v>156</v>
      </c>
      <c r="D476" s="87">
        <v>2025</v>
      </c>
      <c r="E476" s="88" t="s">
        <v>38</v>
      </c>
      <c r="F476" s="88" t="s">
        <v>150</v>
      </c>
      <c r="G476" s="89" t="s">
        <v>44</v>
      </c>
      <c r="H476" s="89" t="s">
        <v>44</v>
      </c>
      <c r="I476" s="89" t="s">
        <v>44</v>
      </c>
      <c r="J476" s="89" t="s">
        <v>44</v>
      </c>
      <c r="K476" s="89">
        <v>1</v>
      </c>
    </row>
    <row r="477" ht="15.75" customHeight="1" spans="1:11">
      <c r="A477" s="87">
        <v>476</v>
      </c>
      <c r="B477" s="88" t="s">
        <v>46</v>
      </c>
      <c r="C477" s="88" t="s">
        <v>156</v>
      </c>
      <c r="D477" s="87">
        <v>2025</v>
      </c>
      <c r="E477" s="88" t="s">
        <v>38</v>
      </c>
      <c r="F477" s="88" t="s">
        <v>151</v>
      </c>
      <c r="G477" s="89" t="s">
        <v>44</v>
      </c>
      <c r="H477" s="89" t="s">
        <v>44</v>
      </c>
      <c r="I477" s="89" t="s">
        <v>44</v>
      </c>
      <c r="J477" s="89" t="s">
        <v>44</v>
      </c>
      <c r="K477" s="90">
        <v>839748</v>
      </c>
    </row>
    <row r="478" ht="15.75" customHeight="1" spans="1:11">
      <c r="A478" s="87">
        <v>477</v>
      </c>
      <c r="B478" s="88" t="s">
        <v>46</v>
      </c>
      <c r="C478" s="88" t="s">
        <v>156</v>
      </c>
      <c r="D478" s="87">
        <v>2025</v>
      </c>
      <c r="E478" s="88" t="s">
        <v>38</v>
      </c>
      <c r="F478" s="88" t="s">
        <v>152</v>
      </c>
      <c r="G478" s="89" t="s">
        <v>44</v>
      </c>
      <c r="H478" s="89" t="s">
        <v>44</v>
      </c>
      <c r="I478" s="89" t="s">
        <v>44</v>
      </c>
      <c r="J478" s="89" t="s">
        <v>44</v>
      </c>
      <c r="K478" s="90">
        <v>9924</v>
      </c>
    </row>
    <row r="479" ht="15.75" customHeight="1" spans="1:11">
      <c r="A479" s="87">
        <v>478</v>
      </c>
      <c r="B479" s="88" t="s">
        <v>46</v>
      </c>
      <c r="C479" s="88" t="s">
        <v>156</v>
      </c>
      <c r="D479" s="87">
        <v>2025</v>
      </c>
      <c r="E479" s="88" t="s">
        <v>39</v>
      </c>
      <c r="F479" s="88" t="s">
        <v>150</v>
      </c>
      <c r="G479" s="89" t="s">
        <v>44</v>
      </c>
      <c r="H479" s="89" t="s">
        <v>44</v>
      </c>
      <c r="I479" s="89" t="s">
        <v>44</v>
      </c>
      <c r="J479" s="89" t="s">
        <v>44</v>
      </c>
      <c r="K479" s="89">
        <v>734</v>
      </c>
    </row>
    <row r="480" ht="15.75" customHeight="1" spans="1:11">
      <c r="A480" s="87">
        <v>479</v>
      </c>
      <c r="B480" s="88" t="s">
        <v>46</v>
      </c>
      <c r="C480" s="88" t="s">
        <v>156</v>
      </c>
      <c r="D480" s="87">
        <v>2025</v>
      </c>
      <c r="E480" s="88" t="s">
        <v>39</v>
      </c>
      <c r="F480" s="88" t="s">
        <v>151</v>
      </c>
      <c r="G480" s="89" t="s">
        <v>44</v>
      </c>
      <c r="H480" s="89" t="s">
        <v>44</v>
      </c>
      <c r="I480" s="89" t="s">
        <v>44</v>
      </c>
      <c r="J480" s="89" t="s">
        <v>44</v>
      </c>
      <c r="K480" s="90">
        <v>934732</v>
      </c>
    </row>
    <row r="481" ht="15.75" customHeight="1" spans="1:11">
      <c r="A481" s="87">
        <v>480</v>
      </c>
      <c r="B481" s="88" t="s">
        <v>46</v>
      </c>
      <c r="C481" s="88" t="s">
        <v>156</v>
      </c>
      <c r="D481" s="87">
        <v>2025</v>
      </c>
      <c r="E481" s="88" t="s">
        <v>39</v>
      </c>
      <c r="F481" s="88" t="s">
        <v>152</v>
      </c>
      <c r="G481" s="89" t="s">
        <v>44</v>
      </c>
      <c r="H481" s="89" t="s">
        <v>44</v>
      </c>
      <c r="I481" s="89" t="s">
        <v>44</v>
      </c>
      <c r="J481" s="89" t="s">
        <v>44</v>
      </c>
      <c r="K481" s="90">
        <v>14520</v>
      </c>
    </row>
    <row r="482" ht="15.75" customHeight="1" spans="1:11">
      <c r="A482" s="87">
        <v>481</v>
      </c>
      <c r="B482" s="88" t="s">
        <v>46</v>
      </c>
      <c r="C482" s="88" t="s">
        <v>156</v>
      </c>
      <c r="D482" s="87">
        <v>2025</v>
      </c>
      <c r="E482" s="88" t="s">
        <v>40</v>
      </c>
      <c r="F482" s="88" t="s">
        <v>150</v>
      </c>
      <c r="G482" s="89" t="s">
        <v>44</v>
      </c>
      <c r="H482" s="89" t="s">
        <v>44</v>
      </c>
      <c r="I482" s="89" t="s">
        <v>44</v>
      </c>
      <c r="J482" s="89" t="s">
        <v>44</v>
      </c>
      <c r="K482" s="90">
        <v>3778</v>
      </c>
    </row>
    <row r="483" ht="15.75" customHeight="1" spans="1:11">
      <c r="A483" s="87">
        <v>482</v>
      </c>
      <c r="B483" s="88" t="s">
        <v>46</v>
      </c>
      <c r="C483" s="88" t="s">
        <v>156</v>
      </c>
      <c r="D483" s="87">
        <v>2025</v>
      </c>
      <c r="E483" s="88" t="s">
        <v>40</v>
      </c>
      <c r="F483" s="88" t="s">
        <v>155</v>
      </c>
      <c r="G483" s="90">
        <v>13824</v>
      </c>
      <c r="H483" s="89">
        <v>1</v>
      </c>
      <c r="I483" s="89" t="s">
        <v>44</v>
      </c>
      <c r="J483" s="89" t="s">
        <v>44</v>
      </c>
      <c r="K483" s="90">
        <v>13824</v>
      </c>
    </row>
    <row r="484" ht="15.75" customHeight="1" spans="1:11">
      <c r="A484" s="87">
        <v>483</v>
      </c>
      <c r="B484" s="88" t="s">
        <v>46</v>
      </c>
      <c r="C484" s="88" t="s">
        <v>156</v>
      </c>
      <c r="D484" s="87">
        <v>2025</v>
      </c>
      <c r="E484" s="88" t="s">
        <v>40</v>
      </c>
      <c r="F484" s="88" t="s">
        <v>151</v>
      </c>
      <c r="G484" s="89" t="s">
        <v>44</v>
      </c>
      <c r="H484" s="89" t="s">
        <v>44</v>
      </c>
      <c r="I484" s="89" t="s">
        <v>44</v>
      </c>
      <c r="J484" s="89" t="s">
        <v>44</v>
      </c>
      <c r="K484" s="90">
        <v>7597070</v>
      </c>
    </row>
    <row r="485" ht="15.75" customHeight="1" spans="1:11">
      <c r="A485" s="87">
        <v>484</v>
      </c>
      <c r="B485" s="88" t="s">
        <v>46</v>
      </c>
      <c r="C485" s="88" t="s">
        <v>156</v>
      </c>
      <c r="D485" s="87">
        <v>2025</v>
      </c>
      <c r="E485" s="88" t="s">
        <v>40</v>
      </c>
      <c r="F485" s="88" t="s">
        <v>152</v>
      </c>
      <c r="G485" s="89" t="s">
        <v>44</v>
      </c>
      <c r="H485" s="89" t="s">
        <v>44</v>
      </c>
      <c r="I485" s="89" t="s">
        <v>44</v>
      </c>
      <c r="J485" s="89" t="s">
        <v>44</v>
      </c>
      <c r="K485" s="90">
        <v>713578</v>
      </c>
    </row>
    <row r="486" ht="15.75" customHeight="1" spans="1:11">
      <c r="A486" s="87">
        <v>485</v>
      </c>
      <c r="B486" s="88" t="s">
        <v>46</v>
      </c>
      <c r="C486" s="88" t="s">
        <v>156</v>
      </c>
      <c r="D486" s="87">
        <v>2025</v>
      </c>
      <c r="E486" s="88" t="s">
        <v>41</v>
      </c>
      <c r="F486" s="88" t="s">
        <v>150</v>
      </c>
      <c r="G486" s="89" t="s">
        <v>44</v>
      </c>
      <c r="H486" s="89" t="s">
        <v>44</v>
      </c>
      <c r="I486" s="89" t="s">
        <v>44</v>
      </c>
      <c r="J486" s="89" t="s">
        <v>44</v>
      </c>
      <c r="K486" s="90">
        <v>13239</v>
      </c>
    </row>
    <row r="487" ht="15.75" customHeight="1" spans="1:11">
      <c r="A487" s="87">
        <v>486</v>
      </c>
      <c r="B487" s="88" t="s">
        <v>46</v>
      </c>
      <c r="C487" s="88" t="s">
        <v>156</v>
      </c>
      <c r="D487" s="87">
        <v>2025</v>
      </c>
      <c r="E487" s="88" t="s">
        <v>41</v>
      </c>
      <c r="F487" s="88" t="s">
        <v>151</v>
      </c>
      <c r="G487" s="89" t="s">
        <v>44</v>
      </c>
      <c r="H487" s="89" t="s">
        <v>44</v>
      </c>
      <c r="I487" s="89" t="s">
        <v>44</v>
      </c>
      <c r="J487" s="89" t="s">
        <v>44</v>
      </c>
      <c r="K487" s="90">
        <v>3261708</v>
      </c>
    </row>
    <row r="488" ht="15.75" customHeight="1" spans="1:11">
      <c r="A488" s="87">
        <v>487</v>
      </c>
      <c r="B488" s="88" t="s">
        <v>46</v>
      </c>
      <c r="C488" s="88" t="s">
        <v>156</v>
      </c>
      <c r="D488" s="87">
        <v>2025</v>
      </c>
      <c r="E488" s="88" t="s">
        <v>41</v>
      </c>
      <c r="F488" s="88" t="s">
        <v>152</v>
      </c>
      <c r="G488" s="89" t="s">
        <v>44</v>
      </c>
      <c r="H488" s="89" t="s">
        <v>44</v>
      </c>
      <c r="I488" s="89" t="s">
        <v>44</v>
      </c>
      <c r="J488" s="89" t="s">
        <v>44</v>
      </c>
      <c r="K488" s="90">
        <v>215132</v>
      </c>
    </row>
    <row r="489" ht="15.75" customHeight="1" spans="1:11">
      <c r="A489" s="87">
        <v>488</v>
      </c>
      <c r="B489" s="88" t="s">
        <v>46</v>
      </c>
      <c r="C489" s="88" t="s">
        <v>156</v>
      </c>
      <c r="D489" s="87">
        <v>2025</v>
      </c>
      <c r="E489" s="88" t="s">
        <v>42</v>
      </c>
      <c r="F489" s="88" t="s">
        <v>150</v>
      </c>
      <c r="G489" s="89" t="s">
        <v>44</v>
      </c>
      <c r="H489" s="89" t="s">
        <v>44</v>
      </c>
      <c r="I489" s="89" t="s">
        <v>44</v>
      </c>
      <c r="J489" s="89" t="s">
        <v>44</v>
      </c>
      <c r="K489" s="89">
        <v>49</v>
      </c>
    </row>
    <row r="490" ht="15.75" customHeight="1" spans="1:11">
      <c r="A490" s="87">
        <v>489</v>
      </c>
      <c r="B490" s="88" t="s">
        <v>46</v>
      </c>
      <c r="C490" s="88" t="s">
        <v>156</v>
      </c>
      <c r="D490" s="87">
        <v>2025</v>
      </c>
      <c r="E490" s="88" t="s">
        <v>42</v>
      </c>
      <c r="F490" s="88" t="s">
        <v>151</v>
      </c>
      <c r="G490" s="89" t="s">
        <v>44</v>
      </c>
      <c r="H490" s="89" t="s">
        <v>44</v>
      </c>
      <c r="I490" s="89" t="s">
        <v>44</v>
      </c>
      <c r="J490" s="89" t="s">
        <v>44</v>
      </c>
      <c r="K490" s="90">
        <v>3938382</v>
      </c>
    </row>
    <row r="491" ht="15.75" customHeight="1" spans="1:11">
      <c r="A491" s="87">
        <v>490</v>
      </c>
      <c r="B491" s="88" t="s">
        <v>46</v>
      </c>
      <c r="C491" s="88" t="s">
        <v>156</v>
      </c>
      <c r="D491" s="87">
        <v>2025</v>
      </c>
      <c r="E491" s="88" t="s">
        <v>42</v>
      </c>
      <c r="F491" s="88" t="s">
        <v>152</v>
      </c>
      <c r="G491" s="89" t="s">
        <v>44</v>
      </c>
      <c r="H491" s="89" t="s">
        <v>44</v>
      </c>
      <c r="I491" s="89" t="s">
        <v>44</v>
      </c>
      <c r="J491" s="89" t="s">
        <v>44</v>
      </c>
      <c r="K491" s="90">
        <v>117442</v>
      </c>
    </row>
    <row r="492" ht="15.75" customHeight="1" spans="1:11">
      <c r="A492" s="87">
        <v>491</v>
      </c>
      <c r="B492" s="88" t="s">
        <v>46</v>
      </c>
      <c r="C492" s="88" t="s">
        <v>156</v>
      </c>
      <c r="D492" s="87">
        <v>2025</v>
      </c>
      <c r="E492" s="88" t="s">
        <v>43</v>
      </c>
      <c r="F492" s="88" t="s">
        <v>150</v>
      </c>
      <c r="G492" s="89" t="s">
        <v>44</v>
      </c>
      <c r="H492" s="89" t="s">
        <v>44</v>
      </c>
      <c r="I492" s="89" t="s">
        <v>44</v>
      </c>
      <c r="J492" s="89" t="s">
        <v>44</v>
      </c>
      <c r="K492" s="89">
        <v>53</v>
      </c>
    </row>
    <row r="493" ht="15.75" customHeight="1" spans="1:11">
      <c r="A493" s="87">
        <v>492</v>
      </c>
      <c r="B493" s="88" t="s">
        <v>46</v>
      </c>
      <c r="C493" s="88" t="s">
        <v>156</v>
      </c>
      <c r="D493" s="87">
        <v>2025</v>
      </c>
      <c r="E493" s="88" t="s">
        <v>43</v>
      </c>
      <c r="F493" s="88" t="s">
        <v>151</v>
      </c>
      <c r="G493" s="89" t="s">
        <v>44</v>
      </c>
      <c r="H493" s="89" t="s">
        <v>44</v>
      </c>
      <c r="I493" s="89" t="s">
        <v>44</v>
      </c>
      <c r="J493" s="89" t="s">
        <v>44</v>
      </c>
      <c r="K493" s="90">
        <v>6591024</v>
      </c>
    </row>
    <row r="494" ht="15.75" customHeight="1" spans="1:11">
      <c r="A494" s="87">
        <v>493</v>
      </c>
      <c r="B494" s="88" t="s">
        <v>46</v>
      </c>
      <c r="C494" s="88" t="s">
        <v>156</v>
      </c>
      <c r="D494" s="87">
        <v>2025</v>
      </c>
      <c r="E494" s="88" t="s">
        <v>43</v>
      </c>
      <c r="F494" s="88" t="s">
        <v>152</v>
      </c>
      <c r="G494" s="89" t="s">
        <v>44</v>
      </c>
      <c r="H494" s="89" t="s">
        <v>44</v>
      </c>
      <c r="I494" s="89" t="s">
        <v>44</v>
      </c>
      <c r="J494" s="89" t="s">
        <v>44</v>
      </c>
      <c r="K494" s="90">
        <v>124502</v>
      </c>
    </row>
    <row r="495" ht="15.75" customHeight="1" spans="1:11">
      <c r="A495" s="87">
        <v>494</v>
      </c>
      <c r="B495" s="88" t="s">
        <v>46</v>
      </c>
      <c r="C495" s="88" t="s">
        <v>156</v>
      </c>
      <c r="D495" s="87">
        <v>2026</v>
      </c>
      <c r="E495" s="88" t="s">
        <v>31</v>
      </c>
      <c r="F495" s="88" t="s">
        <v>150</v>
      </c>
      <c r="G495" s="89" t="s">
        <v>44</v>
      </c>
      <c r="H495" s="89" t="s">
        <v>44</v>
      </c>
      <c r="I495" s="89" t="s">
        <v>44</v>
      </c>
      <c r="J495" s="89" t="s">
        <v>44</v>
      </c>
      <c r="K495" s="90">
        <v>6126</v>
      </c>
    </row>
    <row r="496" ht="15.75" customHeight="1" spans="1:11">
      <c r="A496" s="87">
        <v>495</v>
      </c>
      <c r="B496" s="88" t="s">
        <v>46</v>
      </c>
      <c r="C496" s="88" t="s">
        <v>156</v>
      </c>
      <c r="D496" s="87">
        <v>2026</v>
      </c>
      <c r="E496" s="88" t="s">
        <v>31</v>
      </c>
      <c r="F496" s="88" t="s">
        <v>151</v>
      </c>
      <c r="G496" s="89" t="s">
        <v>44</v>
      </c>
      <c r="H496" s="89" t="s">
        <v>44</v>
      </c>
      <c r="I496" s="89" t="s">
        <v>44</v>
      </c>
      <c r="J496" s="89" t="s">
        <v>44</v>
      </c>
      <c r="K496" s="90">
        <v>6413211</v>
      </c>
    </row>
    <row r="497" ht="15.75" customHeight="1" spans="1:11">
      <c r="A497" s="87">
        <v>496</v>
      </c>
      <c r="B497" s="88" t="s">
        <v>46</v>
      </c>
      <c r="C497" s="88" t="s">
        <v>156</v>
      </c>
      <c r="D497" s="87">
        <v>2026</v>
      </c>
      <c r="E497" s="88" t="s">
        <v>31</v>
      </c>
      <c r="F497" s="88" t="s">
        <v>152</v>
      </c>
      <c r="G497" s="89" t="s">
        <v>44</v>
      </c>
      <c r="H497" s="89" t="s">
        <v>44</v>
      </c>
      <c r="I497" s="89" t="s">
        <v>44</v>
      </c>
      <c r="J497" s="89" t="s">
        <v>44</v>
      </c>
      <c r="K497" s="90">
        <v>268874</v>
      </c>
    </row>
    <row r="498" ht="15.75" customHeight="1" spans="1:11">
      <c r="A498" s="87">
        <v>497</v>
      </c>
      <c r="B498" s="88" t="s">
        <v>46</v>
      </c>
      <c r="C498" s="88" t="s">
        <v>156</v>
      </c>
      <c r="D498" s="87">
        <v>2026</v>
      </c>
      <c r="E498" s="88" t="s">
        <v>33</v>
      </c>
      <c r="F498" s="88" t="s">
        <v>151</v>
      </c>
      <c r="G498" s="89" t="s">
        <v>44</v>
      </c>
      <c r="H498" s="89" t="s">
        <v>44</v>
      </c>
      <c r="I498" s="89" t="s">
        <v>44</v>
      </c>
      <c r="J498" s="89" t="s">
        <v>44</v>
      </c>
      <c r="K498" s="90">
        <v>8657022</v>
      </c>
    </row>
    <row r="499" ht="15.75" customHeight="1" spans="1:11">
      <c r="A499" s="87">
        <v>498</v>
      </c>
      <c r="B499" s="88" t="s">
        <v>46</v>
      </c>
      <c r="C499" s="88" t="s">
        <v>156</v>
      </c>
      <c r="D499" s="87">
        <v>2026</v>
      </c>
      <c r="E499" s="88" t="s">
        <v>33</v>
      </c>
      <c r="F499" s="88" t="s">
        <v>152</v>
      </c>
      <c r="G499" s="89" t="s">
        <v>44</v>
      </c>
      <c r="H499" s="89" t="s">
        <v>44</v>
      </c>
      <c r="I499" s="89" t="s">
        <v>44</v>
      </c>
      <c r="J499" s="89" t="s">
        <v>44</v>
      </c>
      <c r="K499" s="90">
        <v>353047</v>
      </c>
    </row>
    <row r="500" ht="15.75" customHeight="1" spans="1:11">
      <c r="A500" s="87">
        <v>499</v>
      </c>
      <c r="B500" s="88" t="s">
        <v>46</v>
      </c>
      <c r="C500" s="88" t="s">
        <v>156</v>
      </c>
      <c r="D500" s="87">
        <v>2026</v>
      </c>
      <c r="E500" s="88" t="s">
        <v>33</v>
      </c>
      <c r="F500" s="88" t="s">
        <v>150</v>
      </c>
      <c r="G500" s="89" t="s">
        <v>44</v>
      </c>
      <c r="H500" s="89" t="s">
        <v>44</v>
      </c>
      <c r="I500" s="89" t="s">
        <v>44</v>
      </c>
      <c r="J500" s="89" t="s">
        <v>44</v>
      </c>
      <c r="K500" s="90">
        <v>10075</v>
      </c>
    </row>
    <row r="501" ht="15.75" customHeight="1" spans="1:11">
      <c r="A501" s="87">
        <v>500</v>
      </c>
      <c r="B501" s="88" t="s">
        <v>46</v>
      </c>
      <c r="C501" s="88" t="s">
        <v>156</v>
      </c>
      <c r="D501" s="87">
        <v>2026</v>
      </c>
      <c r="E501" s="88" t="s">
        <v>34</v>
      </c>
      <c r="F501" s="88" t="s">
        <v>152</v>
      </c>
      <c r="G501" s="89" t="s">
        <v>44</v>
      </c>
      <c r="H501" s="89" t="s">
        <v>44</v>
      </c>
      <c r="I501" s="89" t="s">
        <v>44</v>
      </c>
      <c r="J501" s="89" t="s">
        <v>44</v>
      </c>
      <c r="K501" s="90">
        <v>764455</v>
      </c>
    </row>
    <row r="502" ht="15.75" customHeight="1" spans="1:11">
      <c r="A502" s="87">
        <v>501</v>
      </c>
      <c r="B502" s="88" t="s">
        <v>46</v>
      </c>
      <c r="C502" s="88" t="s">
        <v>156</v>
      </c>
      <c r="D502" s="87">
        <v>2026</v>
      </c>
      <c r="E502" s="88" t="s">
        <v>34</v>
      </c>
      <c r="F502" s="88" t="s">
        <v>150</v>
      </c>
      <c r="G502" s="89" t="s">
        <v>44</v>
      </c>
      <c r="H502" s="89" t="s">
        <v>44</v>
      </c>
      <c r="I502" s="89" t="s">
        <v>44</v>
      </c>
      <c r="J502" s="89" t="s">
        <v>44</v>
      </c>
      <c r="K502" s="89">
        <v>193</v>
      </c>
    </row>
    <row r="503" ht="15.75" customHeight="1" spans="1:11">
      <c r="A503" s="87">
        <v>502</v>
      </c>
      <c r="B503" s="88" t="s">
        <v>46</v>
      </c>
      <c r="C503" s="88" t="s">
        <v>156</v>
      </c>
      <c r="D503" s="87">
        <v>2026</v>
      </c>
      <c r="E503" s="88" t="s">
        <v>34</v>
      </c>
      <c r="F503" s="88" t="s">
        <v>151</v>
      </c>
      <c r="G503" s="89" t="s">
        <v>44</v>
      </c>
      <c r="H503" s="89" t="s">
        <v>44</v>
      </c>
      <c r="I503" s="89" t="s">
        <v>44</v>
      </c>
      <c r="J503" s="89" t="s">
        <v>44</v>
      </c>
      <c r="K503" s="90">
        <v>15541889</v>
      </c>
    </row>
    <row r="504" ht="15.75" customHeight="1" spans="1:11">
      <c r="A504" s="87">
        <v>503</v>
      </c>
      <c r="B504" s="88" t="s">
        <v>46</v>
      </c>
      <c r="C504" s="88" t="s">
        <v>137</v>
      </c>
      <c r="D504" s="87">
        <v>2024</v>
      </c>
      <c r="E504" s="88" t="s">
        <v>31</v>
      </c>
      <c r="F504" s="88" t="s">
        <v>150</v>
      </c>
      <c r="G504" s="89" t="s">
        <v>44</v>
      </c>
      <c r="H504" s="89" t="s">
        <v>44</v>
      </c>
      <c r="I504" s="89" t="s">
        <v>44</v>
      </c>
      <c r="J504" s="89" t="s">
        <v>44</v>
      </c>
      <c r="K504" s="89">
        <v>283</v>
      </c>
    </row>
    <row r="505" ht="15.75" customHeight="1" spans="1:11">
      <c r="A505" s="87">
        <v>504</v>
      </c>
      <c r="B505" s="88" t="s">
        <v>46</v>
      </c>
      <c r="C505" s="88" t="s">
        <v>137</v>
      </c>
      <c r="D505" s="87">
        <v>2024</v>
      </c>
      <c r="E505" s="88" t="s">
        <v>31</v>
      </c>
      <c r="F505" s="88" t="s">
        <v>151</v>
      </c>
      <c r="G505" s="89" t="s">
        <v>44</v>
      </c>
      <c r="H505" s="89" t="s">
        <v>44</v>
      </c>
      <c r="I505" s="89" t="s">
        <v>44</v>
      </c>
      <c r="J505" s="89" t="s">
        <v>44</v>
      </c>
      <c r="K505" s="90">
        <v>106536</v>
      </c>
    </row>
    <row r="506" ht="15.75" customHeight="1" spans="1:11">
      <c r="A506" s="87">
        <v>505</v>
      </c>
      <c r="B506" s="88" t="s">
        <v>46</v>
      </c>
      <c r="C506" s="88" t="s">
        <v>137</v>
      </c>
      <c r="D506" s="87">
        <v>2024</v>
      </c>
      <c r="E506" s="88" t="s">
        <v>31</v>
      </c>
      <c r="F506" s="88" t="s">
        <v>152</v>
      </c>
      <c r="G506" s="89" t="s">
        <v>44</v>
      </c>
      <c r="H506" s="89" t="s">
        <v>44</v>
      </c>
      <c r="I506" s="89" t="s">
        <v>44</v>
      </c>
      <c r="J506" s="89" t="s">
        <v>44</v>
      </c>
      <c r="K506" s="90">
        <v>1081</v>
      </c>
    </row>
    <row r="507" ht="15.75" customHeight="1" spans="1:11">
      <c r="A507" s="87">
        <v>506</v>
      </c>
      <c r="B507" s="88" t="s">
        <v>46</v>
      </c>
      <c r="C507" s="88" t="s">
        <v>137</v>
      </c>
      <c r="D507" s="87">
        <v>2024</v>
      </c>
      <c r="E507" s="88" t="s">
        <v>33</v>
      </c>
      <c r="F507" s="88" t="s">
        <v>150</v>
      </c>
      <c r="G507" s="89" t="s">
        <v>44</v>
      </c>
      <c r="H507" s="89" t="s">
        <v>44</v>
      </c>
      <c r="I507" s="89" t="s">
        <v>44</v>
      </c>
      <c r="J507" s="89" t="s">
        <v>44</v>
      </c>
      <c r="K507" s="90">
        <v>1453</v>
      </c>
    </row>
    <row r="508" ht="15.75" customHeight="1" spans="1:11">
      <c r="A508" s="87">
        <v>507</v>
      </c>
      <c r="B508" s="88" t="s">
        <v>46</v>
      </c>
      <c r="C508" s="88" t="s">
        <v>137</v>
      </c>
      <c r="D508" s="87">
        <v>2024</v>
      </c>
      <c r="E508" s="88" t="s">
        <v>33</v>
      </c>
      <c r="F508" s="88" t="s">
        <v>151</v>
      </c>
      <c r="G508" s="89" t="s">
        <v>44</v>
      </c>
      <c r="H508" s="89" t="s">
        <v>44</v>
      </c>
      <c r="I508" s="89" t="s">
        <v>44</v>
      </c>
      <c r="J508" s="89" t="s">
        <v>44</v>
      </c>
      <c r="K508" s="90">
        <v>381234</v>
      </c>
    </row>
    <row r="509" ht="15.75" customHeight="1" spans="1:11">
      <c r="A509" s="87">
        <v>508</v>
      </c>
      <c r="B509" s="88" t="s">
        <v>46</v>
      </c>
      <c r="C509" s="88" t="s">
        <v>137</v>
      </c>
      <c r="D509" s="87">
        <v>2024</v>
      </c>
      <c r="E509" s="88" t="s">
        <v>33</v>
      </c>
      <c r="F509" s="88" t="s">
        <v>152</v>
      </c>
      <c r="G509" s="89" t="s">
        <v>44</v>
      </c>
      <c r="H509" s="89" t="s">
        <v>44</v>
      </c>
      <c r="I509" s="89" t="s">
        <v>44</v>
      </c>
      <c r="J509" s="89" t="s">
        <v>44</v>
      </c>
      <c r="K509" s="90">
        <v>5995</v>
      </c>
    </row>
    <row r="510" ht="15.75" customHeight="1" spans="1:11">
      <c r="A510" s="87">
        <v>509</v>
      </c>
      <c r="B510" s="88" t="s">
        <v>46</v>
      </c>
      <c r="C510" s="88" t="s">
        <v>137</v>
      </c>
      <c r="D510" s="87">
        <v>2024</v>
      </c>
      <c r="E510" s="88" t="s">
        <v>34</v>
      </c>
      <c r="F510" s="88" t="s">
        <v>150</v>
      </c>
      <c r="G510" s="89" t="s">
        <v>44</v>
      </c>
      <c r="H510" s="89" t="s">
        <v>44</v>
      </c>
      <c r="I510" s="89" t="s">
        <v>44</v>
      </c>
      <c r="J510" s="89" t="s">
        <v>44</v>
      </c>
      <c r="K510" s="89">
        <v>621</v>
      </c>
    </row>
    <row r="511" ht="15.75" customHeight="1" spans="1:11">
      <c r="A511" s="87">
        <v>510</v>
      </c>
      <c r="B511" s="88" t="s">
        <v>46</v>
      </c>
      <c r="C511" s="88" t="s">
        <v>137</v>
      </c>
      <c r="D511" s="87">
        <v>2024</v>
      </c>
      <c r="E511" s="88" t="s">
        <v>34</v>
      </c>
      <c r="F511" s="88" t="s">
        <v>151</v>
      </c>
      <c r="G511" s="89" t="s">
        <v>44</v>
      </c>
      <c r="H511" s="89" t="s">
        <v>44</v>
      </c>
      <c r="I511" s="89" t="s">
        <v>44</v>
      </c>
      <c r="J511" s="89" t="s">
        <v>44</v>
      </c>
      <c r="K511" s="90">
        <v>269408</v>
      </c>
    </row>
    <row r="512" ht="15.75" customHeight="1" spans="1:11">
      <c r="A512" s="87">
        <v>511</v>
      </c>
      <c r="B512" s="88" t="s">
        <v>46</v>
      </c>
      <c r="C512" s="88" t="s">
        <v>137</v>
      </c>
      <c r="D512" s="87">
        <v>2024</v>
      </c>
      <c r="E512" s="88" t="s">
        <v>34</v>
      </c>
      <c r="F512" s="88" t="s">
        <v>152</v>
      </c>
      <c r="G512" s="89" t="s">
        <v>44</v>
      </c>
      <c r="H512" s="89" t="s">
        <v>44</v>
      </c>
      <c r="I512" s="89" t="s">
        <v>44</v>
      </c>
      <c r="J512" s="89" t="s">
        <v>44</v>
      </c>
      <c r="K512" s="90">
        <v>2494</v>
      </c>
    </row>
    <row r="513" ht="15.75" customHeight="1" spans="1:11">
      <c r="A513" s="87">
        <v>512</v>
      </c>
      <c r="B513" s="88" t="s">
        <v>46</v>
      </c>
      <c r="C513" s="88" t="s">
        <v>137</v>
      </c>
      <c r="D513" s="87">
        <v>2024</v>
      </c>
      <c r="E513" s="88" t="s">
        <v>35</v>
      </c>
      <c r="F513" s="88" t="s">
        <v>150</v>
      </c>
      <c r="G513" s="89" t="s">
        <v>44</v>
      </c>
      <c r="H513" s="89" t="s">
        <v>44</v>
      </c>
      <c r="I513" s="89" t="s">
        <v>44</v>
      </c>
      <c r="J513" s="89" t="s">
        <v>44</v>
      </c>
      <c r="K513" s="89">
        <v>117</v>
      </c>
    </row>
    <row r="514" ht="15.75" customHeight="1" spans="1:11">
      <c r="A514" s="87">
        <v>513</v>
      </c>
      <c r="B514" s="88" t="s">
        <v>46</v>
      </c>
      <c r="C514" s="88" t="s">
        <v>137</v>
      </c>
      <c r="D514" s="87">
        <v>2024</v>
      </c>
      <c r="E514" s="88" t="s">
        <v>35</v>
      </c>
      <c r="F514" s="88" t="s">
        <v>151</v>
      </c>
      <c r="G514" s="89" t="s">
        <v>44</v>
      </c>
      <c r="H514" s="89" t="s">
        <v>44</v>
      </c>
      <c r="I514" s="89" t="s">
        <v>44</v>
      </c>
      <c r="J514" s="89" t="s">
        <v>44</v>
      </c>
      <c r="K514" s="90">
        <v>160417</v>
      </c>
    </row>
    <row r="515" ht="15.75" customHeight="1" spans="1:11">
      <c r="A515" s="87">
        <v>514</v>
      </c>
      <c r="B515" s="88" t="s">
        <v>46</v>
      </c>
      <c r="C515" s="88" t="s">
        <v>137</v>
      </c>
      <c r="D515" s="87">
        <v>2024</v>
      </c>
      <c r="E515" s="88" t="s">
        <v>35</v>
      </c>
      <c r="F515" s="88" t="s">
        <v>152</v>
      </c>
      <c r="G515" s="89" t="s">
        <v>44</v>
      </c>
      <c r="H515" s="89" t="s">
        <v>44</v>
      </c>
      <c r="I515" s="89" t="s">
        <v>44</v>
      </c>
      <c r="J515" s="89" t="s">
        <v>44</v>
      </c>
      <c r="K515" s="90">
        <v>2468</v>
      </c>
    </row>
    <row r="516" ht="15.75" customHeight="1" spans="1:11">
      <c r="A516" s="87">
        <v>515</v>
      </c>
      <c r="B516" s="88" t="s">
        <v>46</v>
      </c>
      <c r="C516" s="88" t="s">
        <v>137</v>
      </c>
      <c r="D516" s="87">
        <v>2024</v>
      </c>
      <c r="E516" s="88" t="s">
        <v>36</v>
      </c>
      <c r="F516" s="88" t="s">
        <v>150</v>
      </c>
      <c r="G516" s="89" t="s">
        <v>44</v>
      </c>
      <c r="H516" s="89" t="s">
        <v>44</v>
      </c>
      <c r="I516" s="89" t="s">
        <v>44</v>
      </c>
      <c r="J516" s="89" t="s">
        <v>44</v>
      </c>
      <c r="K516" s="89">
        <v>976</v>
      </c>
    </row>
    <row r="517" ht="15.75" customHeight="1" spans="1:11">
      <c r="A517" s="87">
        <v>516</v>
      </c>
      <c r="B517" s="88" t="s">
        <v>46</v>
      </c>
      <c r="C517" s="88" t="s">
        <v>137</v>
      </c>
      <c r="D517" s="87">
        <v>2024</v>
      </c>
      <c r="E517" s="88" t="s">
        <v>36</v>
      </c>
      <c r="F517" s="88" t="s">
        <v>151</v>
      </c>
      <c r="G517" s="89" t="s">
        <v>44</v>
      </c>
      <c r="H517" s="89" t="s">
        <v>44</v>
      </c>
      <c r="I517" s="89" t="s">
        <v>44</v>
      </c>
      <c r="J517" s="89" t="s">
        <v>44</v>
      </c>
      <c r="K517" s="90">
        <v>837595</v>
      </c>
    </row>
    <row r="518" ht="15.75" customHeight="1" spans="1:11">
      <c r="A518" s="87">
        <v>517</v>
      </c>
      <c r="B518" s="88" t="s">
        <v>46</v>
      </c>
      <c r="C518" s="88" t="s">
        <v>137</v>
      </c>
      <c r="D518" s="87">
        <v>2024</v>
      </c>
      <c r="E518" s="88" t="s">
        <v>36</v>
      </c>
      <c r="F518" s="88" t="s">
        <v>152</v>
      </c>
      <c r="G518" s="89" t="s">
        <v>44</v>
      </c>
      <c r="H518" s="89" t="s">
        <v>44</v>
      </c>
      <c r="I518" s="89" t="s">
        <v>44</v>
      </c>
      <c r="J518" s="89" t="s">
        <v>44</v>
      </c>
      <c r="K518" s="90">
        <v>17293</v>
      </c>
    </row>
    <row r="519" ht="15.75" customHeight="1" spans="1:11">
      <c r="A519" s="87">
        <v>518</v>
      </c>
      <c r="B519" s="88" t="s">
        <v>46</v>
      </c>
      <c r="C519" s="88" t="s">
        <v>137</v>
      </c>
      <c r="D519" s="87">
        <v>2024</v>
      </c>
      <c r="E519" s="88" t="s">
        <v>37</v>
      </c>
      <c r="F519" s="88" t="s">
        <v>150</v>
      </c>
      <c r="G519" s="89" t="s">
        <v>44</v>
      </c>
      <c r="H519" s="89" t="s">
        <v>44</v>
      </c>
      <c r="I519" s="89" t="s">
        <v>44</v>
      </c>
      <c r="J519" s="89" t="s">
        <v>44</v>
      </c>
      <c r="K519" s="89">
        <v>28</v>
      </c>
    </row>
    <row r="520" ht="15.75" customHeight="1" spans="1:11">
      <c r="A520" s="87">
        <v>519</v>
      </c>
      <c r="B520" s="88" t="s">
        <v>46</v>
      </c>
      <c r="C520" s="88" t="s">
        <v>137</v>
      </c>
      <c r="D520" s="87">
        <v>2024</v>
      </c>
      <c r="E520" s="88" t="s">
        <v>37</v>
      </c>
      <c r="F520" s="88" t="s">
        <v>151</v>
      </c>
      <c r="G520" s="89" t="s">
        <v>44</v>
      </c>
      <c r="H520" s="89" t="s">
        <v>44</v>
      </c>
      <c r="I520" s="89" t="s">
        <v>44</v>
      </c>
      <c r="J520" s="89" t="s">
        <v>44</v>
      </c>
      <c r="K520" s="90">
        <v>276416</v>
      </c>
    </row>
    <row r="521" ht="15.75" customHeight="1" spans="1:11">
      <c r="A521" s="87">
        <v>520</v>
      </c>
      <c r="B521" s="88" t="s">
        <v>46</v>
      </c>
      <c r="C521" s="88" t="s">
        <v>137</v>
      </c>
      <c r="D521" s="87">
        <v>2024</v>
      </c>
      <c r="E521" s="88" t="s">
        <v>37</v>
      </c>
      <c r="F521" s="88" t="s">
        <v>152</v>
      </c>
      <c r="G521" s="89" t="s">
        <v>44</v>
      </c>
      <c r="H521" s="89" t="s">
        <v>44</v>
      </c>
      <c r="I521" s="89" t="s">
        <v>44</v>
      </c>
      <c r="J521" s="89" t="s">
        <v>44</v>
      </c>
      <c r="K521" s="90">
        <v>4424</v>
      </c>
    </row>
    <row r="522" ht="15.75" customHeight="1" spans="1:11">
      <c r="A522" s="87">
        <v>521</v>
      </c>
      <c r="B522" s="88" t="s">
        <v>46</v>
      </c>
      <c r="C522" s="88" t="s">
        <v>137</v>
      </c>
      <c r="D522" s="87">
        <v>2024</v>
      </c>
      <c r="E522" s="88" t="s">
        <v>38</v>
      </c>
      <c r="F522" s="88" t="s">
        <v>150</v>
      </c>
      <c r="G522" s="89" t="s">
        <v>44</v>
      </c>
      <c r="H522" s="89" t="s">
        <v>44</v>
      </c>
      <c r="I522" s="89" t="s">
        <v>44</v>
      </c>
      <c r="J522" s="89" t="s">
        <v>44</v>
      </c>
      <c r="K522" s="89">
        <v>33</v>
      </c>
    </row>
    <row r="523" ht="15.75" customHeight="1" spans="1:11">
      <c r="A523" s="87">
        <v>522</v>
      </c>
      <c r="B523" s="88" t="s">
        <v>46</v>
      </c>
      <c r="C523" s="88" t="s">
        <v>137</v>
      </c>
      <c r="D523" s="87">
        <v>2024</v>
      </c>
      <c r="E523" s="88" t="s">
        <v>38</v>
      </c>
      <c r="F523" s="88" t="s">
        <v>151</v>
      </c>
      <c r="G523" s="89" t="s">
        <v>44</v>
      </c>
      <c r="H523" s="89" t="s">
        <v>44</v>
      </c>
      <c r="I523" s="89" t="s">
        <v>44</v>
      </c>
      <c r="J523" s="89" t="s">
        <v>44</v>
      </c>
      <c r="K523" s="90">
        <v>257643</v>
      </c>
    </row>
    <row r="524" ht="15.75" customHeight="1" spans="1:11">
      <c r="A524" s="87">
        <v>523</v>
      </c>
      <c r="B524" s="88" t="s">
        <v>46</v>
      </c>
      <c r="C524" s="88" t="s">
        <v>137</v>
      </c>
      <c r="D524" s="87">
        <v>2024</v>
      </c>
      <c r="E524" s="88" t="s">
        <v>38</v>
      </c>
      <c r="F524" s="88" t="s">
        <v>152</v>
      </c>
      <c r="G524" s="89" t="s">
        <v>44</v>
      </c>
      <c r="H524" s="89" t="s">
        <v>44</v>
      </c>
      <c r="I524" s="89" t="s">
        <v>44</v>
      </c>
      <c r="J524" s="89" t="s">
        <v>44</v>
      </c>
      <c r="K524" s="90">
        <v>3792</v>
      </c>
    </row>
    <row r="525" ht="15.75" customHeight="1" spans="1:11">
      <c r="A525" s="87">
        <v>524</v>
      </c>
      <c r="B525" s="88" t="s">
        <v>46</v>
      </c>
      <c r="C525" s="88" t="s">
        <v>137</v>
      </c>
      <c r="D525" s="87">
        <v>2024</v>
      </c>
      <c r="E525" s="88" t="s">
        <v>39</v>
      </c>
      <c r="F525" s="88" t="s">
        <v>150</v>
      </c>
      <c r="G525" s="89" t="s">
        <v>44</v>
      </c>
      <c r="H525" s="89" t="s">
        <v>44</v>
      </c>
      <c r="I525" s="89" t="s">
        <v>44</v>
      </c>
      <c r="J525" s="89" t="s">
        <v>44</v>
      </c>
      <c r="K525" s="90">
        <v>2736</v>
      </c>
    </row>
    <row r="526" ht="15.75" customHeight="1" spans="1:11">
      <c r="A526" s="87">
        <v>525</v>
      </c>
      <c r="B526" s="88" t="s">
        <v>46</v>
      </c>
      <c r="C526" s="88" t="s">
        <v>137</v>
      </c>
      <c r="D526" s="87">
        <v>2024</v>
      </c>
      <c r="E526" s="88" t="s">
        <v>39</v>
      </c>
      <c r="F526" s="88" t="s">
        <v>151</v>
      </c>
      <c r="G526" s="89" t="s">
        <v>44</v>
      </c>
      <c r="H526" s="89" t="s">
        <v>44</v>
      </c>
      <c r="I526" s="89" t="s">
        <v>44</v>
      </c>
      <c r="J526" s="89" t="s">
        <v>44</v>
      </c>
      <c r="K526" s="90">
        <v>252399</v>
      </c>
    </row>
    <row r="527" ht="15.75" customHeight="1" spans="1:11">
      <c r="A527" s="87">
        <v>526</v>
      </c>
      <c r="B527" s="88" t="s">
        <v>46</v>
      </c>
      <c r="C527" s="88" t="s">
        <v>137</v>
      </c>
      <c r="D527" s="87">
        <v>2024</v>
      </c>
      <c r="E527" s="88" t="s">
        <v>39</v>
      </c>
      <c r="F527" s="88" t="s">
        <v>152</v>
      </c>
      <c r="G527" s="89" t="s">
        <v>44</v>
      </c>
      <c r="H527" s="89" t="s">
        <v>44</v>
      </c>
      <c r="I527" s="89" t="s">
        <v>44</v>
      </c>
      <c r="J527" s="89" t="s">
        <v>44</v>
      </c>
      <c r="K527" s="90">
        <v>3702</v>
      </c>
    </row>
    <row r="528" ht="15.75" customHeight="1" spans="1:11">
      <c r="A528" s="87">
        <v>527</v>
      </c>
      <c r="B528" s="88" t="s">
        <v>46</v>
      </c>
      <c r="C528" s="88" t="s">
        <v>137</v>
      </c>
      <c r="D528" s="87">
        <v>2024</v>
      </c>
      <c r="E528" s="88" t="s">
        <v>40</v>
      </c>
      <c r="F528" s="88" t="s">
        <v>150</v>
      </c>
      <c r="G528" s="89" t="s">
        <v>44</v>
      </c>
      <c r="H528" s="89" t="s">
        <v>44</v>
      </c>
      <c r="I528" s="89" t="s">
        <v>44</v>
      </c>
      <c r="J528" s="89" t="s">
        <v>44</v>
      </c>
      <c r="K528" s="90">
        <v>27677</v>
      </c>
    </row>
    <row r="529" ht="15.75" customHeight="1" spans="1:11">
      <c r="A529" s="87">
        <v>528</v>
      </c>
      <c r="B529" s="88" t="s">
        <v>46</v>
      </c>
      <c r="C529" s="88" t="s">
        <v>137</v>
      </c>
      <c r="D529" s="87">
        <v>2024</v>
      </c>
      <c r="E529" s="88" t="s">
        <v>40</v>
      </c>
      <c r="F529" s="88" t="s">
        <v>151</v>
      </c>
      <c r="G529" s="89" t="s">
        <v>44</v>
      </c>
      <c r="H529" s="89" t="s">
        <v>44</v>
      </c>
      <c r="I529" s="89" t="s">
        <v>44</v>
      </c>
      <c r="J529" s="89" t="s">
        <v>44</v>
      </c>
      <c r="K529" s="90">
        <v>209039</v>
      </c>
    </row>
    <row r="530" ht="15.75" customHeight="1" spans="1:11">
      <c r="A530" s="87">
        <v>529</v>
      </c>
      <c r="B530" s="88" t="s">
        <v>46</v>
      </c>
      <c r="C530" s="88" t="s">
        <v>137</v>
      </c>
      <c r="D530" s="87">
        <v>2024</v>
      </c>
      <c r="E530" s="88" t="s">
        <v>40</v>
      </c>
      <c r="F530" s="88" t="s">
        <v>152</v>
      </c>
      <c r="G530" s="89" t="s">
        <v>44</v>
      </c>
      <c r="H530" s="89" t="s">
        <v>44</v>
      </c>
      <c r="I530" s="89" t="s">
        <v>44</v>
      </c>
      <c r="J530" s="89" t="s">
        <v>44</v>
      </c>
      <c r="K530" s="90">
        <v>4485</v>
      </c>
    </row>
    <row r="531" ht="15.75" customHeight="1" spans="1:11">
      <c r="A531" s="87">
        <v>530</v>
      </c>
      <c r="B531" s="88" t="s">
        <v>46</v>
      </c>
      <c r="C531" s="88" t="s">
        <v>137</v>
      </c>
      <c r="D531" s="87">
        <v>2024</v>
      </c>
      <c r="E531" s="88" t="s">
        <v>41</v>
      </c>
      <c r="F531" s="88" t="s">
        <v>150</v>
      </c>
      <c r="G531" s="89" t="s">
        <v>44</v>
      </c>
      <c r="H531" s="89" t="s">
        <v>44</v>
      </c>
      <c r="I531" s="89" t="s">
        <v>44</v>
      </c>
      <c r="J531" s="89" t="s">
        <v>44</v>
      </c>
      <c r="K531" s="90">
        <v>2389</v>
      </c>
    </row>
    <row r="532" ht="15.75" customHeight="1" spans="1:11">
      <c r="A532" s="87">
        <v>531</v>
      </c>
      <c r="B532" s="88" t="s">
        <v>46</v>
      </c>
      <c r="C532" s="88" t="s">
        <v>137</v>
      </c>
      <c r="D532" s="87">
        <v>2024</v>
      </c>
      <c r="E532" s="88" t="s">
        <v>41</v>
      </c>
      <c r="F532" s="88" t="s">
        <v>151</v>
      </c>
      <c r="G532" s="89" t="s">
        <v>44</v>
      </c>
      <c r="H532" s="89" t="s">
        <v>44</v>
      </c>
      <c r="I532" s="89" t="s">
        <v>44</v>
      </c>
      <c r="J532" s="89" t="s">
        <v>44</v>
      </c>
      <c r="K532" s="90">
        <v>146562</v>
      </c>
    </row>
    <row r="533" ht="15.75" customHeight="1" spans="1:11">
      <c r="A533" s="87">
        <v>532</v>
      </c>
      <c r="B533" s="88" t="s">
        <v>46</v>
      </c>
      <c r="C533" s="88" t="s">
        <v>137</v>
      </c>
      <c r="D533" s="87">
        <v>2024</v>
      </c>
      <c r="E533" s="88" t="s">
        <v>41</v>
      </c>
      <c r="F533" s="88" t="s">
        <v>152</v>
      </c>
      <c r="G533" s="89" t="s">
        <v>44</v>
      </c>
      <c r="H533" s="89" t="s">
        <v>44</v>
      </c>
      <c r="I533" s="89" t="s">
        <v>44</v>
      </c>
      <c r="J533" s="89" t="s">
        <v>44</v>
      </c>
      <c r="K533" s="90">
        <v>2339</v>
      </c>
    </row>
    <row r="534" ht="15.75" customHeight="1" spans="1:11">
      <c r="A534" s="87">
        <v>533</v>
      </c>
      <c r="B534" s="88" t="s">
        <v>46</v>
      </c>
      <c r="C534" s="88" t="s">
        <v>137</v>
      </c>
      <c r="D534" s="87">
        <v>2024</v>
      </c>
      <c r="E534" s="88" t="s">
        <v>42</v>
      </c>
      <c r="F534" s="88" t="s">
        <v>150</v>
      </c>
      <c r="G534" s="89" t="s">
        <v>44</v>
      </c>
      <c r="H534" s="89" t="s">
        <v>44</v>
      </c>
      <c r="I534" s="89" t="s">
        <v>44</v>
      </c>
      <c r="J534" s="89" t="s">
        <v>44</v>
      </c>
      <c r="K534" s="90">
        <v>3604</v>
      </c>
    </row>
    <row r="535" ht="15.75" customHeight="1" spans="1:11">
      <c r="A535" s="87">
        <v>534</v>
      </c>
      <c r="B535" s="88" t="s">
        <v>46</v>
      </c>
      <c r="C535" s="88" t="s">
        <v>137</v>
      </c>
      <c r="D535" s="87">
        <v>2024</v>
      </c>
      <c r="E535" s="88" t="s">
        <v>42</v>
      </c>
      <c r="F535" s="88" t="s">
        <v>151</v>
      </c>
      <c r="G535" s="89" t="s">
        <v>44</v>
      </c>
      <c r="H535" s="89" t="s">
        <v>44</v>
      </c>
      <c r="I535" s="89" t="s">
        <v>44</v>
      </c>
      <c r="J535" s="89" t="s">
        <v>44</v>
      </c>
      <c r="K535" s="90">
        <v>174342</v>
      </c>
    </row>
    <row r="536" ht="15.75" customHeight="1" spans="1:11">
      <c r="A536" s="87">
        <v>535</v>
      </c>
      <c r="B536" s="88" t="s">
        <v>46</v>
      </c>
      <c r="C536" s="88" t="s">
        <v>137</v>
      </c>
      <c r="D536" s="87">
        <v>2024</v>
      </c>
      <c r="E536" s="88" t="s">
        <v>42</v>
      </c>
      <c r="F536" s="88" t="s">
        <v>152</v>
      </c>
      <c r="G536" s="89" t="s">
        <v>44</v>
      </c>
      <c r="H536" s="89" t="s">
        <v>44</v>
      </c>
      <c r="I536" s="89" t="s">
        <v>44</v>
      </c>
      <c r="J536" s="89" t="s">
        <v>44</v>
      </c>
      <c r="K536" s="90">
        <v>2763</v>
      </c>
    </row>
    <row r="537" ht="15.75" customHeight="1" spans="1:11">
      <c r="A537" s="87">
        <v>536</v>
      </c>
      <c r="B537" s="88" t="s">
        <v>46</v>
      </c>
      <c r="C537" s="88" t="s">
        <v>137</v>
      </c>
      <c r="D537" s="87">
        <v>2024</v>
      </c>
      <c r="E537" s="88" t="s">
        <v>43</v>
      </c>
      <c r="F537" s="88" t="s">
        <v>150</v>
      </c>
      <c r="G537" s="89" t="s">
        <v>44</v>
      </c>
      <c r="H537" s="89" t="s">
        <v>44</v>
      </c>
      <c r="I537" s="89" t="s">
        <v>44</v>
      </c>
      <c r="J537" s="89" t="s">
        <v>44</v>
      </c>
      <c r="K537" s="90">
        <v>14689</v>
      </c>
    </row>
    <row r="538" ht="15.75" customHeight="1" spans="1:11">
      <c r="A538" s="87">
        <v>537</v>
      </c>
      <c r="B538" s="88" t="s">
        <v>46</v>
      </c>
      <c r="C538" s="88" t="s">
        <v>137</v>
      </c>
      <c r="D538" s="87">
        <v>2024</v>
      </c>
      <c r="E538" s="88" t="s">
        <v>43</v>
      </c>
      <c r="F538" s="88" t="s">
        <v>151</v>
      </c>
      <c r="G538" s="89" t="s">
        <v>44</v>
      </c>
      <c r="H538" s="89" t="s">
        <v>44</v>
      </c>
      <c r="I538" s="89" t="s">
        <v>44</v>
      </c>
      <c r="J538" s="89" t="s">
        <v>44</v>
      </c>
      <c r="K538" s="90">
        <v>295167</v>
      </c>
    </row>
    <row r="539" ht="15.75" customHeight="1" spans="1:11">
      <c r="A539" s="87">
        <v>538</v>
      </c>
      <c r="B539" s="88" t="s">
        <v>46</v>
      </c>
      <c r="C539" s="88" t="s">
        <v>137</v>
      </c>
      <c r="D539" s="87">
        <v>2024</v>
      </c>
      <c r="E539" s="88" t="s">
        <v>43</v>
      </c>
      <c r="F539" s="88" t="s">
        <v>152</v>
      </c>
      <c r="G539" s="89" t="s">
        <v>44</v>
      </c>
      <c r="H539" s="89" t="s">
        <v>44</v>
      </c>
      <c r="I539" s="89" t="s">
        <v>44</v>
      </c>
      <c r="J539" s="89" t="s">
        <v>44</v>
      </c>
      <c r="K539" s="90">
        <v>3228</v>
      </c>
    </row>
    <row r="540" ht="15.75" customHeight="1" spans="1:11">
      <c r="A540" s="87">
        <v>539</v>
      </c>
      <c r="B540" s="88" t="s">
        <v>46</v>
      </c>
      <c r="C540" s="88" t="s">
        <v>137</v>
      </c>
      <c r="D540" s="87">
        <v>2025</v>
      </c>
      <c r="E540" s="88" t="s">
        <v>31</v>
      </c>
      <c r="F540" s="88" t="s">
        <v>150</v>
      </c>
      <c r="G540" s="89" t="s">
        <v>44</v>
      </c>
      <c r="H540" s="89" t="s">
        <v>44</v>
      </c>
      <c r="I540" s="89" t="s">
        <v>44</v>
      </c>
      <c r="J540" s="89" t="s">
        <v>44</v>
      </c>
      <c r="K540" s="90">
        <v>3237</v>
      </c>
    </row>
    <row r="541" ht="15.75" customHeight="1" spans="1:11">
      <c r="A541" s="87">
        <v>540</v>
      </c>
      <c r="B541" s="88" t="s">
        <v>46</v>
      </c>
      <c r="C541" s="88" t="s">
        <v>137</v>
      </c>
      <c r="D541" s="87">
        <v>2025</v>
      </c>
      <c r="E541" s="88" t="s">
        <v>31</v>
      </c>
      <c r="F541" s="88" t="s">
        <v>151</v>
      </c>
      <c r="G541" s="89" t="s">
        <v>44</v>
      </c>
      <c r="H541" s="89" t="s">
        <v>44</v>
      </c>
      <c r="I541" s="89" t="s">
        <v>44</v>
      </c>
      <c r="J541" s="89" t="s">
        <v>44</v>
      </c>
      <c r="K541" s="90">
        <v>133396</v>
      </c>
    </row>
    <row r="542" ht="15.75" customHeight="1" spans="1:11">
      <c r="A542" s="87">
        <v>541</v>
      </c>
      <c r="B542" s="88" t="s">
        <v>46</v>
      </c>
      <c r="C542" s="88" t="s">
        <v>137</v>
      </c>
      <c r="D542" s="87">
        <v>2025</v>
      </c>
      <c r="E542" s="88" t="s">
        <v>31</v>
      </c>
      <c r="F542" s="88" t="s">
        <v>152</v>
      </c>
      <c r="G542" s="89" t="s">
        <v>44</v>
      </c>
      <c r="H542" s="89" t="s">
        <v>44</v>
      </c>
      <c r="I542" s="89" t="s">
        <v>44</v>
      </c>
      <c r="J542" s="89" t="s">
        <v>44</v>
      </c>
      <c r="K542" s="90">
        <v>2505</v>
      </c>
    </row>
    <row r="543" ht="15.75" customHeight="1" spans="1:11">
      <c r="A543" s="87">
        <v>542</v>
      </c>
      <c r="B543" s="88" t="s">
        <v>46</v>
      </c>
      <c r="C543" s="88" t="s">
        <v>137</v>
      </c>
      <c r="D543" s="87">
        <v>2025</v>
      </c>
      <c r="E543" s="88" t="s">
        <v>33</v>
      </c>
      <c r="F543" s="88" t="s">
        <v>150</v>
      </c>
      <c r="G543" s="89" t="s">
        <v>44</v>
      </c>
      <c r="H543" s="89" t="s">
        <v>44</v>
      </c>
      <c r="I543" s="89" t="s">
        <v>44</v>
      </c>
      <c r="J543" s="89" t="s">
        <v>44</v>
      </c>
      <c r="K543" s="89">
        <v>813</v>
      </c>
    </row>
    <row r="544" ht="15.75" customHeight="1" spans="1:11">
      <c r="A544" s="87">
        <v>543</v>
      </c>
      <c r="B544" s="88" t="s">
        <v>46</v>
      </c>
      <c r="C544" s="88" t="s">
        <v>137</v>
      </c>
      <c r="D544" s="87">
        <v>2025</v>
      </c>
      <c r="E544" s="88" t="s">
        <v>33</v>
      </c>
      <c r="F544" s="88" t="s">
        <v>151</v>
      </c>
      <c r="G544" s="89" t="s">
        <v>44</v>
      </c>
      <c r="H544" s="89" t="s">
        <v>44</v>
      </c>
      <c r="I544" s="89" t="s">
        <v>44</v>
      </c>
      <c r="J544" s="89" t="s">
        <v>44</v>
      </c>
      <c r="K544" s="90">
        <v>100160</v>
      </c>
    </row>
    <row r="545" ht="15.75" customHeight="1" spans="1:11">
      <c r="A545" s="87">
        <v>544</v>
      </c>
      <c r="B545" s="88" t="s">
        <v>46</v>
      </c>
      <c r="C545" s="88" t="s">
        <v>137</v>
      </c>
      <c r="D545" s="87">
        <v>2025</v>
      </c>
      <c r="E545" s="88" t="s">
        <v>33</v>
      </c>
      <c r="F545" s="88" t="s">
        <v>152</v>
      </c>
      <c r="G545" s="89" t="s">
        <v>44</v>
      </c>
      <c r="H545" s="89" t="s">
        <v>44</v>
      </c>
      <c r="I545" s="89" t="s">
        <v>44</v>
      </c>
      <c r="J545" s="89" t="s">
        <v>44</v>
      </c>
      <c r="K545" s="90">
        <v>2087</v>
      </c>
    </row>
    <row r="546" ht="15.75" customHeight="1" spans="1:11">
      <c r="A546" s="87">
        <v>545</v>
      </c>
      <c r="B546" s="88" t="s">
        <v>46</v>
      </c>
      <c r="C546" s="88" t="s">
        <v>137</v>
      </c>
      <c r="D546" s="87">
        <v>2025</v>
      </c>
      <c r="E546" s="88" t="s">
        <v>34</v>
      </c>
      <c r="F546" s="88" t="s">
        <v>150</v>
      </c>
      <c r="G546" s="89" t="s">
        <v>44</v>
      </c>
      <c r="H546" s="89" t="s">
        <v>44</v>
      </c>
      <c r="I546" s="89" t="s">
        <v>44</v>
      </c>
      <c r="J546" s="89" t="s">
        <v>44</v>
      </c>
      <c r="K546" s="89">
        <v>289</v>
      </c>
    </row>
    <row r="547" ht="15.75" customHeight="1" spans="1:11">
      <c r="A547" s="87">
        <v>546</v>
      </c>
      <c r="B547" s="88" t="s">
        <v>46</v>
      </c>
      <c r="C547" s="88" t="s">
        <v>137</v>
      </c>
      <c r="D547" s="87">
        <v>2025</v>
      </c>
      <c r="E547" s="88" t="s">
        <v>34</v>
      </c>
      <c r="F547" s="88" t="s">
        <v>151</v>
      </c>
      <c r="G547" s="89" t="s">
        <v>44</v>
      </c>
      <c r="H547" s="89" t="s">
        <v>44</v>
      </c>
      <c r="I547" s="89" t="s">
        <v>44</v>
      </c>
      <c r="J547" s="89" t="s">
        <v>44</v>
      </c>
      <c r="K547" s="90">
        <v>86848</v>
      </c>
    </row>
    <row r="548" ht="15.75" customHeight="1" spans="1:11">
      <c r="A548" s="87">
        <v>547</v>
      </c>
      <c r="B548" s="88" t="s">
        <v>46</v>
      </c>
      <c r="C548" s="88" t="s">
        <v>137</v>
      </c>
      <c r="D548" s="87">
        <v>2025</v>
      </c>
      <c r="E548" s="88" t="s">
        <v>34</v>
      </c>
      <c r="F548" s="88" t="s">
        <v>152</v>
      </c>
      <c r="G548" s="89" t="s">
        <v>44</v>
      </c>
      <c r="H548" s="89" t="s">
        <v>44</v>
      </c>
      <c r="I548" s="89" t="s">
        <v>44</v>
      </c>
      <c r="J548" s="89" t="s">
        <v>44</v>
      </c>
      <c r="K548" s="90">
        <v>1392</v>
      </c>
    </row>
    <row r="549" ht="15.75" customHeight="1" spans="1:11">
      <c r="A549" s="87">
        <v>548</v>
      </c>
      <c r="B549" s="88" t="s">
        <v>46</v>
      </c>
      <c r="C549" s="88" t="s">
        <v>137</v>
      </c>
      <c r="D549" s="87">
        <v>2025</v>
      </c>
      <c r="E549" s="88" t="s">
        <v>35</v>
      </c>
      <c r="F549" s="88" t="s">
        <v>150</v>
      </c>
      <c r="G549" s="89" t="s">
        <v>44</v>
      </c>
      <c r="H549" s="89" t="s">
        <v>44</v>
      </c>
      <c r="I549" s="89" t="s">
        <v>44</v>
      </c>
      <c r="J549" s="89" t="s">
        <v>44</v>
      </c>
      <c r="K549" s="89">
        <v>101</v>
      </c>
    </row>
    <row r="550" ht="15.75" customHeight="1" spans="1:11">
      <c r="A550" s="87">
        <v>549</v>
      </c>
      <c r="B550" s="88" t="s">
        <v>46</v>
      </c>
      <c r="C550" s="88" t="s">
        <v>137</v>
      </c>
      <c r="D550" s="87">
        <v>2025</v>
      </c>
      <c r="E550" s="88" t="s">
        <v>35</v>
      </c>
      <c r="F550" s="88" t="s">
        <v>151</v>
      </c>
      <c r="G550" s="89" t="s">
        <v>44</v>
      </c>
      <c r="H550" s="89" t="s">
        <v>44</v>
      </c>
      <c r="I550" s="89" t="s">
        <v>44</v>
      </c>
      <c r="J550" s="89" t="s">
        <v>44</v>
      </c>
      <c r="K550" s="90">
        <v>55984</v>
      </c>
    </row>
    <row r="551" ht="15.75" customHeight="1" spans="1:11">
      <c r="A551" s="87">
        <v>550</v>
      </c>
      <c r="B551" s="88" t="s">
        <v>46</v>
      </c>
      <c r="C551" s="88" t="s">
        <v>137</v>
      </c>
      <c r="D551" s="87">
        <v>2025</v>
      </c>
      <c r="E551" s="88" t="s">
        <v>35</v>
      </c>
      <c r="F551" s="88" t="s">
        <v>152</v>
      </c>
      <c r="G551" s="89" t="s">
        <v>44</v>
      </c>
      <c r="H551" s="89" t="s">
        <v>44</v>
      </c>
      <c r="I551" s="89" t="s">
        <v>44</v>
      </c>
      <c r="J551" s="89" t="s">
        <v>44</v>
      </c>
      <c r="K551" s="90">
        <v>1160</v>
      </c>
    </row>
    <row r="552" ht="15.75" customHeight="1" spans="1:11">
      <c r="A552" s="87">
        <v>551</v>
      </c>
      <c r="B552" s="88" t="s">
        <v>46</v>
      </c>
      <c r="C552" s="88" t="s">
        <v>137</v>
      </c>
      <c r="D552" s="87">
        <v>2025</v>
      </c>
      <c r="E552" s="88" t="s">
        <v>36</v>
      </c>
      <c r="F552" s="88" t="s">
        <v>150</v>
      </c>
      <c r="G552" s="89" t="s">
        <v>44</v>
      </c>
      <c r="H552" s="89" t="s">
        <v>44</v>
      </c>
      <c r="I552" s="89" t="s">
        <v>44</v>
      </c>
      <c r="J552" s="89" t="s">
        <v>44</v>
      </c>
      <c r="K552" s="89">
        <v>81</v>
      </c>
    </row>
    <row r="553" ht="15.75" customHeight="1" spans="1:11">
      <c r="A553" s="87">
        <v>552</v>
      </c>
      <c r="B553" s="88" t="s">
        <v>46</v>
      </c>
      <c r="C553" s="88" t="s">
        <v>137</v>
      </c>
      <c r="D553" s="87">
        <v>2025</v>
      </c>
      <c r="E553" s="88" t="s">
        <v>36</v>
      </c>
      <c r="F553" s="88" t="s">
        <v>151</v>
      </c>
      <c r="G553" s="89" t="s">
        <v>44</v>
      </c>
      <c r="H553" s="89" t="s">
        <v>44</v>
      </c>
      <c r="I553" s="89" t="s">
        <v>44</v>
      </c>
      <c r="J553" s="89" t="s">
        <v>44</v>
      </c>
      <c r="K553" s="90">
        <v>120716</v>
      </c>
    </row>
    <row r="554" ht="15.75" customHeight="1" spans="1:11">
      <c r="A554" s="87">
        <v>553</v>
      </c>
      <c r="B554" s="88" t="s">
        <v>46</v>
      </c>
      <c r="C554" s="88" t="s">
        <v>137</v>
      </c>
      <c r="D554" s="87">
        <v>2025</v>
      </c>
      <c r="E554" s="88" t="s">
        <v>36</v>
      </c>
      <c r="F554" s="88" t="s">
        <v>152</v>
      </c>
      <c r="G554" s="89" t="s">
        <v>44</v>
      </c>
      <c r="H554" s="89" t="s">
        <v>44</v>
      </c>
      <c r="I554" s="89" t="s">
        <v>44</v>
      </c>
      <c r="J554" s="89" t="s">
        <v>44</v>
      </c>
      <c r="K554" s="90">
        <v>2951</v>
      </c>
    </row>
    <row r="555" ht="15.75" customHeight="1" spans="1:11">
      <c r="A555" s="87">
        <v>554</v>
      </c>
      <c r="B555" s="88" t="s">
        <v>46</v>
      </c>
      <c r="C555" s="88" t="s">
        <v>137</v>
      </c>
      <c r="D555" s="87">
        <v>2025</v>
      </c>
      <c r="E555" s="88" t="s">
        <v>37</v>
      </c>
      <c r="F555" s="88" t="s">
        <v>150</v>
      </c>
      <c r="G555" s="89" t="s">
        <v>44</v>
      </c>
      <c r="H555" s="89" t="s">
        <v>44</v>
      </c>
      <c r="I555" s="89" t="s">
        <v>44</v>
      </c>
      <c r="J555" s="89" t="s">
        <v>44</v>
      </c>
      <c r="K555" s="89">
        <v>74</v>
      </c>
    </row>
    <row r="556" ht="15.75" customHeight="1" spans="1:11">
      <c r="A556" s="87">
        <v>555</v>
      </c>
      <c r="B556" s="88" t="s">
        <v>46</v>
      </c>
      <c r="C556" s="88" t="s">
        <v>137</v>
      </c>
      <c r="D556" s="87">
        <v>2025</v>
      </c>
      <c r="E556" s="88" t="s">
        <v>37</v>
      </c>
      <c r="F556" s="88" t="s">
        <v>151</v>
      </c>
      <c r="G556" s="89" t="s">
        <v>44</v>
      </c>
      <c r="H556" s="89" t="s">
        <v>44</v>
      </c>
      <c r="I556" s="89" t="s">
        <v>44</v>
      </c>
      <c r="J556" s="89" t="s">
        <v>44</v>
      </c>
      <c r="K556" s="90">
        <v>110761</v>
      </c>
    </row>
    <row r="557" ht="15.75" customHeight="1" spans="1:11">
      <c r="A557" s="87">
        <v>556</v>
      </c>
      <c r="B557" s="88" t="s">
        <v>46</v>
      </c>
      <c r="C557" s="88" t="s">
        <v>137</v>
      </c>
      <c r="D557" s="87">
        <v>2025</v>
      </c>
      <c r="E557" s="88" t="s">
        <v>37</v>
      </c>
      <c r="F557" s="88" t="s">
        <v>152</v>
      </c>
      <c r="G557" s="89" t="s">
        <v>44</v>
      </c>
      <c r="H557" s="89" t="s">
        <v>44</v>
      </c>
      <c r="I557" s="89" t="s">
        <v>44</v>
      </c>
      <c r="J557" s="89" t="s">
        <v>44</v>
      </c>
      <c r="K557" s="90">
        <v>3163</v>
      </c>
    </row>
    <row r="558" ht="15.75" customHeight="1" spans="1:11">
      <c r="A558" s="87">
        <v>557</v>
      </c>
      <c r="B558" s="88" t="s">
        <v>46</v>
      </c>
      <c r="C558" s="88" t="s">
        <v>137</v>
      </c>
      <c r="D558" s="87">
        <v>2025</v>
      </c>
      <c r="E558" s="88" t="s">
        <v>38</v>
      </c>
      <c r="F558" s="88" t="s">
        <v>150</v>
      </c>
      <c r="G558" s="89" t="s">
        <v>44</v>
      </c>
      <c r="H558" s="89" t="s">
        <v>44</v>
      </c>
      <c r="I558" s="89" t="s">
        <v>44</v>
      </c>
      <c r="J558" s="89" t="s">
        <v>44</v>
      </c>
      <c r="K558" s="89">
        <v>55</v>
      </c>
    </row>
    <row r="559" ht="15.75" customHeight="1" spans="1:11">
      <c r="A559" s="87">
        <v>558</v>
      </c>
      <c r="B559" s="88" t="s">
        <v>46</v>
      </c>
      <c r="C559" s="88" t="s">
        <v>137</v>
      </c>
      <c r="D559" s="87">
        <v>2025</v>
      </c>
      <c r="E559" s="88" t="s">
        <v>38</v>
      </c>
      <c r="F559" s="88" t="s">
        <v>151</v>
      </c>
      <c r="G559" s="89" t="s">
        <v>44</v>
      </c>
      <c r="H559" s="89" t="s">
        <v>44</v>
      </c>
      <c r="I559" s="89" t="s">
        <v>44</v>
      </c>
      <c r="J559" s="89" t="s">
        <v>44</v>
      </c>
      <c r="K559" s="90">
        <v>838506</v>
      </c>
    </row>
    <row r="560" ht="15.75" customHeight="1" spans="1:11">
      <c r="A560" s="87">
        <v>559</v>
      </c>
      <c r="B560" s="88" t="s">
        <v>46</v>
      </c>
      <c r="C560" s="88" t="s">
        <v>137</v>
      </c>
      <c r="D560" s="87">
        <v>2025</v>
      </c>
      <c r="E560" s="88" t="s">
        <v>38</v>
      </c>
      <c r="F560" s="88" t="s">
        <v>152</v>
      </c>
      <c r="G560" s="89" t="s">
        <v>44</v>
      </c>
      <c r="H560" s="89" t="s">
        <v>44</v>
      </c>
      <c r="I560" s="89" t="s">
        <v>44</v>
      </c>
      <c r="J560" s="89" t="s">
        <v>44</v>
      </c>
      <c r="K560" s="90">
        <v>73236</v>
      </c>
    </row>
    <row r="561" ht="15.75" customHeight="1" spans="1:11">
      <c r="A561" s="87">
        <v>560</v>
      </c>
      <c r="B561" s="88" t="s">
        <v>46</v>
      </c>
      <c r="C561" s="88" t="s">
        <v>137</v>
      </c>
      <c r="D561" s="87">
        <v>2025</v>
      </c>
      <c r="E561" s="88" t="s">
        <v>39</v>
      </c>
      <c r="F561" s="88" t="s">
        <v>150</v>
      </c>
      <c r="G561" s="89" t="s">
        <v>44</v>
      </c>
      <c r="H561" s="89" t="s">
        <v>44</v>
      </c>
      <c r="I561" s="89" t="s">
        <v>44</v>
      </c>
      <c r="J561" s="89" t="s">
        <v>44</v>
      </c>
      <c r="K561" s="90">
        <v>2443</v>
      </c>
    </row>
    <row r="562" ht="15.75" customHeight="1" spans="1:11">
      <c r="A562" s="87">
        <v>561</v>
      </c>
      <c r="B562" s="88" t="s">
        <v>46</v>
      </c>
      <c r="C562" s="88" t="s">
        <v>137</v>
      </c>
      <c r="D562" s="87">
        <v>2025</v>
      </c>
      <c r="E562" s="88" t="s">
        <v>39</v>
      </c>
      <c r="F562" s="88" t="s">
        <v>151</v>
      </c>
      <c r="G562" s="89" t="s">
        <v>44</v>
      </c>
      <c r="H562" s="89" t="s">
        <v>44</v>
      </c>
      <c r="I562" s="89" t="s">
        <v>44</v>
      </c>
      <c r="J562" s="89" t="s">
        <v>44</v>
      </c>
      <c r="K562" s="90">
        <v>1512232</v>
      </c>
    </row>
    <row r="563" ht="15.75" customHeight="1" spans="1:11">
      <c r="A563" s="87">
        <v>562</v>
      </c>
      <c r="B563" s="88" t="s">
        <v>46</v>
      </c>
      <c r="C563" s="88" t="s">
        <v>137</v>
      </c>
      <c r="D563" s="87">
        <v>2025</v>
      </c>
      <c r="E563" s="88" t="s">
        <v>39</v>
      </c>
      <c r="F563" s="88" t="s">
        <v>152</v>
      </c>
      <c r="G563" s="89" t="s">
        <v>44</v>
      </c>
      <c r="H563" s="89" t="s">
        <v>44</v>
      </c>
      <c r="I563" s="89" t="s">
        <v>44</v>
      </c>
      <c r="J563" s="89" t="s">
        <v>44</v>
      </c>
      <c r="K563" s="90">
        <v>72956</v>
      </c>
    </row>
    <row r="564" ht="15.75" customHeight="1" spans="1:11">
      <c r="A564" s="87">
        <v>563</v>
      </c>
      <c r="B564" s="88" t="s">
        <v>46</v>
      </c>
      <c r="C564" s="88" t="s">
        <v>137</v>
      </c>
      <c r="D564" s="87">
        <v>2025</v>
      </c>
      <c r="E564" s="88" t="s">
        <v>40</v>
      </c>
      <c r="F564" s="88" t="s">
        <v>150</v>
      </c>
      <c r="G564" s="89" t="s">
        <v>44</v>
      </c>
      <c r="H564" s="89" t="s">
        <v>44</v>
      </c>
      <c r="I564" s="89" t="s">
        <v>44</v>
      </c>
      <c r="J564" s="89" t="s">
        <v>44</v>
      </c>
      <c r="K564" s="90">
        <v>4963</v>
      </c>
    </row>
    <row r="565" ht="15.75" customHeight="1" spans="1:11">
      <c r="A565" s="87">
        <v>564</v>
      </c>
      <c r="B565" s="88" t="s">
        <v>46</v>
      </c>
      <c r="C565" s="88" t="s">
        <v>137</v>
      </c>
      <c r="D565" s="87">
        <v>2025</v>
      </c>
      <c r="E565" s="88" t="s">
        <v>40</v>
      </c>
      <c r="F565" s="88" t="s">
        <v>151</v>
      </c>
      <c r="G565" s="89" t="s">
        <v>44</v>
      </c>
      <c r="H565" s="89" t="s">
        <v>44</v>
      </c>
      <c r="I565" s="89" t="s">
        <v>44</v>
      </c>
      <c r="J565" s="89" t="s">
        <v>44</v>
      </c>
      <c r="K565" s="90">
        <v>1016746</v>
      </c>
    </row>
    <row r="566" ht="15.75" customHeight="1" spans="1:11">
      <c r="A566" s="87">
        <v>565</v>
      </c>
      <c r="B566" s="88" t="s">
        <v>46</v>
      </c>
      <c r="C566" s="88" t="s">
        <v>137</v>
      </c>
      <c r="D566" s="87">
        <v>2025</v>
      </c>
      <c r="E566" s="88" t="s">
        <v>40</v>
      </c>
      <c r="F566" s="88" t="s">
        <v>152</v>
      </c>
      <c r="G566" s="89" t="s">
        <v>44</v>
      </c>
      <c r="H566" s="89" t="s">
        <v>44</v>
      </c>
      <c r="I566" s="89" t="s">
        <v>44</v>
      </c>
      <c r="J566" s="89" t="s">
        <v>44</v>
      </c>
      <c r="K566" s="90">
        <v>94899</v>
      </c>
    </row>
    <row r="567" ht="15.75" customHeight="1" spans="1:11">
      <c r="A567" s="87">
        <v>566</v>
      </c>
      <c r="B567" s="88" t="s">
        <v>46</v>
      </c>
      <c r="C567" s="88" t="s">
        <v>137</v>
      </c>
      <c r="D567" s="87">
        <v>2025</v>
      </c>
      <c r="E567" s="88" t="s">
        <v>41</v>
      </c>
      <c r="F567" s="88" t="s">
        <v>149</v>
      </c>
      <c r="G567" s="89" t="s">
        <v>44</v>
      </c>
      <c r="H567" s="89">
        <v>1</v>
      </c>
      <c r="I567" s="90">
        <v>18436</v>
      </c>
      <c r="J567" s="89">
        <v>1</v>
      </c>
      <c r="K567" s="89">
        <v>996</v>
      </c>
    </row>
    <row r="568" ht="15.75" customHeight="1" spans="1:11">
      <c r="A568" s="87">
        <v>567</v>
      </c>
      <c r="B568" s="88" t="s">
        <v>46</v>
      </c>
      <c r="C568" s="88" t="s">
        <v>137</v>
      </c>
      <c r="D568" s="87">
        <v>2025</v>
      </c>
      <c r="E568" s="88" t="s">
        <v>41</v>
      </c>
      <c r="F568" s="88" t="s">
        <v>150</v>
      </c>
      <c r="G568" s="89" t="s">
        <v>44</v>
      </c>
      <c r="H568" s="89" t="s">
        <v>44</v>
      </c>
      <c r="I568" s="89" t="s">
        <v>44</v>
      </c>
      <c r="J568" s="89" t="s">
        <v>44</v>
      </c>
      <c r="K568" s="90">
        <v>33342</v>
      </c>
    </row>
    <row r="569" ht="15.75" customHeight="1" spans="1:11">
      <c r="A569" s="87">
        <v>568</v>
      </c>
      <c r="B569" s="88" t="s">
        <v>46</v>
      </c>
      <c r="C569" s="88" t="s">
        <v>137</v>
      </c>
      <c r="D569" s="87">
        <v>2025</v>
      </c>
      <c r="E569" s="88" t="s">
        <v>41</v>
      </c>
      <c r="F569" s="88" t="s">
        <v>151</v>
      </c>
      <c r="G569" s="89" t="s">
        <v>44</v>
      </c>
      <c r="H569" s="89" t="s">
        <v>44</v>
      </c>
      <c r="I569" s="89" t="s">
        <v>44</v>
      </c>
      <c r="J569" s="89" t="s">
        <v>44</v>
      </c>
      <c r="K569" s="90">
        <v>8865553</v>
      </c>
    </row>
    <row r="570" ht="15.75" customHeight="1" spans="1:11">
      <c r="A570" s="87">
        <v>569</v>
      </c>
      <c r="B570" s="88" t="s">
        <v>46</v>
      </c>
      <c r="C570" s="88" t="s">
        <v>137</v>
      </c>
      <c r="D570" s="87">
        <v>2025</v>
      </c>
      <c r="E570" s="88" t="s">
        <v>41</v>
      </c>
      <c r="F570" s="88" t="s">
        <v>152</v>
      </c>
      <c r="G570" s="89" t="s">
        <v>44</v>
      </c>
      <c r="H570" s="89" t="s">
        <v>44</v>
      </c>
      <c r="I570" s="89" t="s">
        <v>44</v>
      </c>
      <c r="J570" s="89" t="s">
        <v>44</v>
      </c>
      <c r="K570" s="90">
        <v>447029</v>
      </c>
    </row>
    <row r="571" ht="15.75" customHeight="1" spans="1:11">
      <c r="A571" s="87">
        <v>570</v>
      </c>
      <c r="B571" s="88" t="s">
        <v>46</v>
      </c>
      <c r="C571" s="88" t="s">
        <v>137</v>
      </c>
      <c r="D571" s="87">
        <v>2025</v>
      </c>
      <c r="E571" s="88" t="s">
        <v>42</v>
      </c>
      <c r="F571" s="88" t="s">
        <v>150</v>
      </c>
      <c r="G571" s="89" t="s">
        <v>44</v>
      </c>
      <c r="H571" s="89" t="s">
        <v>44</v>
      </c>
      <c r="I571" s="89" t="s">
        <v>44</v>
      </c>
      <c r="J571" s="89" t="s">
        <v>44</v>
      </c>
      <c r="K571" s="90">
        <v>5790</v>
      </c>
    </row>
    <row r="572" ht="15.75" customHeight="1" spans="1:11">
      <c r="A572" s="87">
        <v>571</v>
      </c>
      <c r="B572" s="88" t="s">
        <v>46</v>
      </c>
      <c r="C572" s="88" t="s">
        <v>137</v>
      </c>
      <c r="D572" s="87">
        <v>2025</v>
      </c>
      <c r="E572" s="88" t="s">
        <v>42</v>
      </c>
      <c r="F572" s="88" t="s">
        <v>151</v>
      </c>
      <c r="G572" s="89" t="s">
        <v>44</v>
      </c>
      <c r="H572" s="89" t="s">
        <v>44</v>
      </c>
      <c r="I572" s="89" t="s">
        <v>44</v>
      </c>
      <c r="J572" s="89" t="s">
        <v>44</v>
      </c>
      <c r="K572" s="90">
        <v>16371213</v>
      </c>
    </row>
    <row r="573" ht="15.75" customHeight="1" spans="1:11">
      <c r="A573" s="87">
        <v>572</v>
      </c>
      <c r="B573" s="88" t="s">
        <v>46</v>
      </c>
      <c r="C573" s="88" t="s">
        <v>137</v>
      </c>
      <c r="D573" s="87">
        <v>2025</v>
      </c>
      <c r="E573" s="88" t="s">
        <v>42</v>
      </c>
      <c r="F573" s="88" t="s">
        <v>152</v>
      </c>
      <c r="G573" s="89" t="s">
        <v>44</v>
      </c>
      <c r="H573" s="89" t="s">
        <v>44</v>
      </c>
      <c r="I573" s="89" t="s">
        <v>44</v>
      </c>
      <c r="J573" s="89" t="s">
        <v>44</v>
      </c>
      <c r="K573" s="90">
        <v>722374</v>
      </c>
    </row>
    <row r="574" ht="15.75" customHeight="1" spans="1:11">
      <c r="A574" s="87">
        <v>573</v>
      </c>
      <c r="B574" s="88" t="s">
        <v>46</v>
      </c>
      <c r="C574" s="88" t="s">
        <v>137</v>
      </c>
      <c r="D574" s="87">
        <v>2025</v>
      </c>
      <c r="E574" s="88" t="s">
        <v>43</v>
      </c>
      <c r="F574" s="88" t="s">
        <v>150</v>
      </c>
      <c r="G574" s="89" t="s">
        <v>44</v>
      </c>
      <c r="H574" s="89" t="s">
        <v>44</v>
      </c>
      <c r="I574" s="89" t="s">
        <v>44</v>
      </c>
      <c r="J574" s="89" t="s">
        <v>44</v>
      </c>
      <c r="K574" s="90">
        <v>20790</v>
      </c>
    </row>
    <row r="575" ht="15.75" customHeight="1" spans="1:11">
      <c r="A575" s="87">
        <v>574</v>
      </c>
      <c r="B575" s="88" t="s">
        <v>46</v>
      </c>
      <c r="C575" s="88" t="s">
        <v>137</v>
      </c>
      <c r="D575" s="87">
        <v>2025</v>
      </c>
      <c r="E575" s="88" t="s">
        <v>43</v>
      </c>
      <c r="F575" s="88" t="s">
        <v>151</v>
      </c>
      <c r="G575" s="89" t="s">
        <v>44</v>
      </c>
      <c r="H575" s="89" t="s">
        <v>44</v>
      </c>
      <c r="I575" s="89" t="s">
        <v>44</v>
      </c>
      <c r="J575" s="89" t="s">
        <v>44</v>
      </c>
      <c r="K575" s="90">
        <v>38123120</v>
      </c>
    </row>
    <row r="576" ht="15.75" customHeight="1" spans="1:11">
      <c r="A576" s="87">
        <v>575</v>
      </c>
      <c r="B576" s="88" t="s">
        <v>46</v>
      </c>
      <c r="C576" s="88" t="s">
        <v>137</v>
      </c>
      <c r="D576" s="87">
        <v>2025</v>
      </c>
      <c r="E576" s="88" t="s">
        <v>43</v>
      </c>
      <c r="F576" s="88" t="s">
        <v>152</v>
      </c>
      <c r="G576" s="89" t="s">
        <v>44</v>
      </c>
      <c r="H576" s="89" t="s">
        <v>44</v>
      </c>
      <c r="I576" s="89" t="s">
        <v>44</v>
      </c>
      <c r="J576" s="89" t="s">
        <v>44</v>
      </c>
      <c r="K576" s="90">
        <v>1789842</v>
      </c>
    </row>
    <row r="577" ht="15.75" customHeight="1" spans="1:11">
      <c r="A577" s="87">
        <v>576</v>
      </c>
      <c r="B577" s="88" t="s">
        <v>46</v>
      </c>
      <c r="C577" s="88" t="s">
        <v>137</v>
      </c>
      <c r="D577" s="87">
        <v>2026</v>
      </c>
      <c r="E577" s="88" t="s">
        <v>31</v>
      </c>
      <c r="F577" s="88" t="s">
        <v>150</v>
      </c>
      <c r="G577" s="89" t="s">
        <v>44</v>
      </c>
      <c r="H577" s="89" t="s">
        <v>44</v>
      </c>
      <c r="I577" s="89" t="s">
        <v>44</v>
      </c>
      <c r="J577" s="89" t="s">
        <v>44</v>
      </c>
      <c r="K577" s="90">
        <v>11212</v>
      </c>
    </row>
    <row r="578" ht="15.75" customHeight="1" spans="1:11">
      <c r="A578" s="87">
        <v>577</v>
      </c>
      <c r="B578" s="88" t="s">
        <v>46</v>
      </c>
      <c r="C578" s="88" t="s">
        <v>137</v>
      </c>
      <c r="D578" s="87">
        <v>2026</v>
      </c>
      <c r="E578" s="88" t="s">
        <v>31</v>
      </c>
      <c r="F578" s="88" t="s">
        <v>157</v>
      </c>
      <c r="G578" s="90">
        <v>10350</v>
      </c>
      <c r="H578" s="89">
        <v>1</v>
      </c>
      <c r="I578" s="89" t="s">
        <v>44</v>
      </c>
      <c r="J578" s="89" t="s">
        <v>44</v>
      </c>
      <c r="K578" s="90">
        <v>10350</v>
      </c>
    </row>
    <row r="579" ht="15.75" customHeight="1" spans="1:11">
      <c r="A579" s="87">
        <v>578</v>
      </c>
      <c r="B579" s="88" t="s">
        <v>46</v>
      </c>
      <c r="C579" s="88" t="s">
        <v>137</v>
      </c>
      <c r="D579" s="87">
        <v>2026</v>
      </c>
      <c r="E579" s="88" t="s">
        <v>31</v>
      </c>
      <c r="F579" s="88" t="s">
        <v>151</v>
      </c>
      <c r="G579" s="89" t="s">
        <v>44</v>
      </c>
      <c r="H579" s="89" t="s">
        <v>44</v>
      </c>
      <c r="I579" s="89" t="s">
        <v>44</v>
      </c>
      <c r="J579" s="89" t="s">
        <v>44</v>
      </c>
      <c r="K579" s="90">
        <v>14921937</v>
      </c>
    </row>
    <row r="580" ht="15.75" customHeight="1" spans="1:11">
      <c r="A580" s="87">
        <v>579</v>
      </c>
      <c r="B580" s="88" t="s">
        <v>46</v>
      </c>
      <c r="C580" s="88" t="s">
        <v>137</v>
      </c>
      <c r="D580" s="87">
        <v>2026</v>
      </c>
      <c r="E580" s="88" t="s">
        <v>31</v>
      </c>
      <c r="F580" s="88" t="s">
        <v>152</v>
      </c>
      <c r="G580" s="89" t="s">
        <v>44</v>
      </c>
      <c r="H580" s="89" t="s">
        <v>44</v>
      </c>
      <c r="I580" s="89" t="s">
        <v>44</v>
      </c>
      <c r="J580" s="89" t="s">
        <v>44</v>
      </c>
      <c r="K580" s="90">
        <v>885753</v>
      </c>
    </row>
    <row r="581" ht="15.75" customHeight="1" spans="1:11">
      <c r="A581" s="87">
        <v>580</v>
      </c>
      <c r="B581" s="88" t="s">
        <v>46</v>
      </c>
      <c r="C581" s="88" t="s">
        <v>137</v>
      </c>
      <c r="D581" s="87">
        <v>2026</v>
      </c>
      <c r="E581" s="88" t="s">
        <v>33</v>
      </c>
      <c r="F581" s="88" t="s">
        <v>151</v>
      </c>
      <c r="G581" s="89" t="s">
        <v>44</v>
      </c>
      <c r="H581" s="89" t="s">
        <v>44</v>
      </c>
      <c r="I581" s="89" t="s">
        <v>44</v>
      </c>
      <c r="J581" s="89" t="s">
        <v>44</v>
      </c>
      <c r="K581" s="90">
        <v>16304013</v>
      </c>
    </row>
    <row r="582" ht="15.75" customHeight="1" spans="1:11">
      <c r="A582" s="87">
        <v>581</v>
      </c>
      <c r="B582" s="88" t="s">
        <v>46</v>
      </c>
      <c r="C582" s="88" t="s">
        <v>137</v>
      </c>
      <c r="D582" s="87">
        <v>2026</v>
      </c>
      <c r="E582" s="88" t="s">
        <v>33</v>
      </c>
      <c r="F582" s="88" t="s">
        <v>152</v>
      </c>
      <c r="G582" s="89" t="s">
        <v>44</v>
      </c>
      <c r="H582" s="89" t="s">
        <v>44</v>
      </c>
      <c r="I582" s="89" t="s">
        <v>44</v>
      </c>
      <c r="J582" s="89" t="s">
        <v>44</v>
      </c>
      <c r="K582" s="90">
        <v>777347</v>
      </c>
    </row>
    <row r="583" ht="15.75" customHeight="1" spans="1:11">
      <c r="A583" s="87">
        <v>582</v>
      </c>
      <c r="B583" s="88" t="s">
        <v>46</v>
      </c>
      <c r="C583" s="88" t="s">
        <v>137</v>
      </c>
      <c r="D583" s="87">
        <v>2026</v>
      </c>
      <c r="E583" s="88" t="s">
        <v>33</v>
      </c>
      <c r="F583" s="88" t="s">
        <v>150</v>
      </c>
      <c r="G583" s="89" t="s">
        <v>44</v>
      </c>
      <c r="H583" s="89" t="s">
        <v>44</v>
      </c>
      <c r="I583" s="89" t="s">
        <v>44</v>
      </c>
      <c r="J583" s="89" t="s">
        <v>44</v>
      </c>
      <c r="K583" s="90">
        <v>2785</v>
      </c>
    </row>
    <row r="584" ht="15.75" customHeight="1" spans="1:11">
      <c r="A584" s="87">
        <v>583</v>
      </c>
      <c r="B584" s="88" t="s">
        <v>46</v>
      </c>
      <c r="C584" s="88" t="s">
        <v>137</v>
      </c>
      <c r="D584" s="87">
        <v>2026</v>
      </c>
      <c r="E584" s="88" t="s">
        <v>34</v>
      </c>
      <c r="F584" s="88" t="s">
        <v>152</v>
      </c>
      <c r="G584" s="89" t="s">
        <v>44</v>
      </c>
      <c r="H584" s="89" t="s">
        <v>44</v>
      </c>
      <c r="I584" s="89" t="s">
        <v>44</v>
      </c>
      <c r="J584" s="89" t="s">
        <v>44</v>
      </c>
      <c r="K584" s="90">
        <v>179767</v>
      </c>
    </row>
    <row r="585" ht="15.75" customHeight="1" spans="1:11">
      <c r="A585" s="87">
        <v>584</v>
      </c>
      <c r="B585" s="88" t="s">
        <v>46</v>
      </c>
      <c r="C585" s="88" t="s">
        <v>137</v>
      </c>
      <c r="D585" s="87">
        <v>2026</v>
      </c>
      <c r="E585" s="88" t="s">
        <v>34</v>
      </c>
      <c r="F585" s="88" t="s">
        <v>150</v>
      </c>
      <c r="G585" s="89" t="s">
        <v>44</v>
      </c>
      <c r="H585" s="89" t="s">
        <v>44</v>
      </c>
      <c r="I585" s="89" t="s">
        <v>44</v>
      </c>
      <c r="J585" s="89" t="s">
        <v>44</v>
      </c>
      <c r="K585" s="90">
        <v>5328</v>
      </c>
    </row>
    <row r="586" ht="15.75" customHeight="1" spans="1:11">
      <c r="A586" s="87">
        <v>585</v>
      </c>
      <c r="B586" s="88" t="s">
        <v>46</v>
      </c>
      <c r="C586" s="88" t="s">
        <v>137</v>
      </c>
      <c r="D586" s="87">
        <v>2026</v>
      </c>
      <c r="E586" s="88" t="s">
        <v>34</v>
      </c>
      <c r="F586" s="88" t="s">
        <v>151</v>
      </c>
      <c r="G586" s="89" t="s">
        <v>44</v>
      </c>
      <c r="H586" s="89" t="s">
        <v>44</v>
      </c>
      <c r="I586" s="89" t="s">
        <v>44</v>
      </c>
      <c r="J586" s="89" t="s">
        <v>44</v>
      </c>
      <c r="K586" s="90">
        <v>5304510</v>
      </c>
    </row>
    <row r="587" ht="15.75" customHeight="1" spans="1:11">
      <c r="A587" s="87">
        <v>586</v>
      </c>
      <c r="B587" s="88" t="s">
        <v>46</v>
      </c>
      <c r="C587" s="88" t="s">
        <v>158</v>
      </c>
      <c r="D587" s="87">
        <v>2024</v>
      </c>
      <c r="E587" s="88" t="s">
        <v>31</v>
      </c>
      <c r="F587" s="88" t="s">
        <v>151</v>
      </c>
      <c r="G587" s="89" t="s">
        <v>44</v>
      </c>
      <c r="H587" s="89" t="s">
        <v>44</v>
      </c>
      <c r="I587" s="89" t="s">
        <v>44</v>
      </c>
      <c r="J587" s="89" t="s">
        <v>44</v>
      </c>
      <c r="K587" s="90">
        <v>83330</v>
      </c>
    </row>
    <row r="588" ht="15.75" customHeight="1" spans="1:11">
      <c r="A588" s="87">
        <v>587</v>
      </c>
      <c r="B588" s="88" t="s">
        <v>46</v>
      </c>
      <c r="C588" s="88" t="s">
        <v>158</v>
      </c>
      <c r="D588" s="87">
        <v>2024</v>
      </c>
      <c r="E588" s="88" t="s">
        <v>31</v>
      </c>
      <c r="F588" s="88" t="s">
        <v>152</v>
      </c>
      <c r="G588" s="89" t="s">
        <v>44</v>
      </c>
      <c r="H588" s="89" t="s">
        <v>44</v>
      </c>
      <c r="I588" s="89" t="s">
        <v>44</v>
      </c>
      <c r="J588" s="89" t="s">
        <v>44</v>
      </c>
      <c r="K588" s="89">
        <v>643</v>
      </c>
    </row>
    <row r="589" ht="15.75" customHeight="1" spans="1:11">
      <c r="A589" s="87">
        <v>588</v>
      </c>
      <c r="B589" s="88" t="s">
        <v>46</v>
      </c>
      <c r="C589" s="88" t="s">
        <v>158</v>
      </c>
      <c r="D589" s="87">
        <v>2024</v>
      </c>
      <c r="E589" s="88" t="s">
        <v>33</v>
      </c>
      <c r="F589" s="88" t="s">
        <v>151</v>
      </c>
      <c r="G589" s="89" t="s">
        <v>44</v>
      </c>
      <c r="H589" s="89" t="s">
        <v>44</v>
      </c>
      <c r="I589" s="89" t="s">
        <v>44</v>
      </c>
      <c r="J589" s="89" t="s">
        <v>44</v>
      </c>
      <c r="K589" s="90">
        <v>92989</v>
      </c>
    </row>
    <row r="590" ht="15.75" customHeight="1" spans="1:11">
      <c r="A590" s="87">
        <v>589</v>
      </c>
      <c r="B590" s="88" t="s">
        <v>46</v>
      </c>
      <c r="C590" s="88" t="s">
        <v>158</v>
      </c>
      <c r="D590" s="87">
        <v>2024</v>
      </c>
      <c r="E590" s="88" t="s">
        <v>33</v>
      </c>
      <c r="F590" s="88" t="s">
        <v>152</v>
      </c>
      <c r="G590" s="89" t="s">
        <v>44</v>
      </c>
      <c r="H590" s="89" t="s">
        <v>44</v>
      </c>
      <c r="I590" s="89" t="s">
        <v>44</v>
      </c>
      <c r="J590" s="89" t="s">
        <v>44</v>
      </c>
      <c r="K590" s="89">
        <v>782</v>
      </c>
    </row>
    <row r="591" ht="15.75" customHeight="1" spans="1:11">
      <c r="A591" s="87">
        <v>590</v>
      </c>
      <c r="B591" s="88" t="s">
        <v>46</v>
      </c>
      <c r="C591" s="88" t="s">
        <v>158</v>
      </c>
      <c r="D591" s="87">
        <v>2024</v>
      </c>
      <c r="E591" s="88" t="s">
        <v>34</v>
      </c>
      <c r="F591" s="88" t="s">
        <v>151</v>
      </c>
      <c r="G591" s="89" t="s">
        <v>44</v>
      </c>
      <c r="H591" s="89" t="s">
        <v>44</v>
      </c>
      <c r="I591" s="89" t="s">
        <v>44</v>
      </c>
      <c r="J591" s="89" t="s">
        <v>44</v>
      </c>
      <c r="K591" s="90">
        <v>113435</v>
      </c>
    </row>
    <row r="592" ht="15.75" customHeight="1" spans="1:11">
      <c r="A592" s="87">
        <v>591</v>
      </c>
      <c r="B592" s="88" t="s">
        <v>46</v>
      </c>
      <c r="C592" s="88" t="s">
        <v>158</v>
      </c>
      <c r="D592" s="87">
        <v>2024</v>
      </c>
      <c r="E592" s="88" t="s">
        <v>34</v>
      </c>
      <c r="F592" s="88" t="s">
        <v>152</v>
      </c>
      <c r="G592" s="89" t="s">
        <v>44</v>
      </c>
      <c r="H592" s="89" t="s">
        <v>44</v>
      </c>
      <c r="I592" s="89" t="s">
        <v>44</v>
      </c>
      <c r="J592" s="89" t="s">
        <v>44</v>
      </c>
      <c r="K592" s="90">
        <v>1051</v>
      </c>
    </row>
    <row r="593" ht="15.75" customHeight="1" spans="1:11">
      <c r="A593" s="87">
        <v>592</v>
      </c>
      <c r="B593" s="88" t="s">
        <v>46</v>
      </c>
      <c r="C593" s="88" t="s">
        <v>158</v>
      </c>
      <c r="D593" s="87">
        <v>2024</v>
      </c>
      <c r="E593" s="88" t="s">
        <v>35</v>
      </c>
      <c r="F593" s="88" t="s">
        <v>151</v>
      </c>
      <c r="G593" s="89" t="s">
        <v>44</v>
      </c>
      <c r="H593" s="89" t="s">
        <v>44</v>
      </c>
      <c r="I593" s="89" t="s">
        <v>44</v>
      </c>
      <c r="J593" s="89" t="s">
        <v>44</v>
      </c>
      <c r="K593" s="90">
        <v>61120</v>
      </c>
    </row>
    <row r="594" ht="15.75" customHeight="1" spans="1:11">
      <c r="A594" s="87">
        <v>593</v>
      </c>
      <c r="B594" s="88" t="s">
        <v>46</v>
      </c>
      <c r="C594" s="88" t="s">
        <v>158</v>
      </c>
      <c r="D594" s="87">
        <v>2024</v>
      </c>
      <c r="E594" s="88" t="s">
        <v>35</v>
      </c>
      <c r="F594" s="88" t="s">
        <v>152</v>
      </c>
      <c r="G594" s="89" t="s">
        <v>44</v>
      </c>
      <c r="H594" s="89" t="s">
        <v>44</v>
      </c>
      <c r="I594" s="89" t="s">
        <v>44</v>
      </c>
      <c r="J594" s="89" t="s">
        <v>44</v>
      </c>
      <c r="K594" s="89">
        <v>743</v>
      </c>
    </row>
    <row r="595" ht="15.75" customHeight="1" spans="1:11">
      <c r="A595" s="87">
        <v>594</v>
      </c>
      <c r="B595" s="88" t="s">
        <v>46</v>
      </c>
      <c r="C595" s="88" t="s">
        <v>158</v>
      </c>
      <c r="D595" s="87">
        <v>2024</v>
      </c>
      <c r="E595" s="88" t="s">
        <v>36</v>
      </c>
      <c r="F595" s="88" t="s">
        <v>151</v>
      </c>
      <c r="G595" s="89" t="s">
        <v>44</v>
      </c>
      <c r="H595" s="89" t="s">
        <v>44</v>
      </c>
      <c r="I595" s="89" t="s">
        <v>44</v>
      </c>
      <c r="J595" s="89" t="s">
        <v>44</v>
      </c>
      <c r="K595" s="90">
        <v>75136</v>
      </c>
    </row>
    <row r="596" ht="15.75" customHeight="1" spans="1:11">
      <c r="A596" s="87">
        <v>595</v>
      </c>
      <c r="B596" s="88" t="s">
        <v>46</v>
      </c>
      <c r="C596" s="88" t="s">
        <v>158</v>
      </c>
      <c r="D596" s="87">
        <v>2024</v>
      </c>
      <c r="E596" s="88" t="s">
        <v>36</v>
      </c>
      <c r="F596" s="88" t="s">
        <v>152</v>
      </c>
      <c r="G596" s="89" t="s">
        <v>44</v>
      </c>
      <c r="H596" s="89" t="s">
        <v>44</v>
      </c>
      <c r="I596" s="89" t="s">
        <v>44</v>
      </c>
      <c r="J596" s="89" t="s">
        <v>44</v>
      </c>
      <c r="K596" s="89">
        <v>542</v>
      </c>
    </row>
    <row r="597" ht="15.75" customHeight="1" spans="1:11">
      <c r="A597" s="87">
        <v>596</v>
      </c>
      <c r="B597" s="88" t="s">
        <v>46</v>
      </c>
      <c r="C597" s="88" t="s">
        <v>158</v>
      </c>
      <c r="D597" s="87">
        <v>2024</v>
      </c>
      <c r="E597" s="88" t="s">
        <v>37</v>
      </c>
      <c r="F597" s="88" t="s">
        <v>151</v>
      </c>
      <c r="G597" s="89" t="s">
        <v>44</v>
      </c>
      <c r="H597" s="89" t="s">
        <v>44</v>
      </c>
      <c r="I597" s="89" t="s">
        <v>44</v>
      </c>
      <c r="J597" s="89" t="s">
        <v>44</v>
      </c>
      <c r="K597" s="90">
        <v>66033</v>
      </c>
    </row>
    <row r="598" ht="15.75" customHeight="1" spans="1:11">
      <c r="A598" s="87">
        <v>597</v>
      </c>
      <c r="B598" s="88" t="s">
        <v>46</v>
      </c>
      <c r="C598" s="88" t="s">
        <v>158</v>
      </c>
      <c r="D598" s="87">
        <v>2024</v>
      </c>
      <c r="E598" s="88" t="s">
        <v>37</v>
      </c>
      <c r="F598" s="88" t="s">
        <v>152</v>
      </c>
      <c r="G598" s="89" t="s">
        <v>44</v>
      </c>
      <c r="H598" s="89" t="s">
        <v>44</v>
      </c>
      <c r="I598" s="89" t="s">
        <v>44</v>
      </c>
      <c r="J598" s="89" t="s">
        <v>44</v>
      </c>
      <c r="K598" s="89">
        <v>491</v>
      </c>
    </row>
    <row r="599" ht="15.75" customHeight="1" spans="1:11">
      <c r="A599" s="87">
        <v>598</v>
      </c>
      <c r="B599" s="88" t="s">
        <v>46</v>
      </c>
      <c r="C599" s="88" t="s">
        <v>158</v>
      </c>
      <c r="D599" s="87">
        <v>2024</v>
      </c>
      <c r="E599" s="88" t="s">
        <v>38</v>
      </c>
      <c r="F599" s="88" t="s">
        <v>151</v>
      </c>
      <c r="G599" s="89" t="s">
        <v>44</v>
      </c>
      <c r="H599" s="89" t="s">
        <v>44</v>
      </c>
      <c r="I599" s="89" t="s">
        <v>44</v>
      </c>
      <c r="J599" s="89" t="s">
        <v>44</v>
      </c>
      <c r="K599" s="90">
        <v>94932</v>
      </c>
    </row>
    <row r="600" ht="15.75" customHeight="1" spans="1:11">
      <c r="A600" s="87">
        <v>599</v>
      </c>
      <c r="B600" s="88" t="s">
        <v>46</v>
      </c>
      <c r="C600" s="88" t="s">
        <v>158</v>
      </c>
      <c r="D600" s="87">
        <v>2024</v>
      </c>
      <c r="E600" s="88" t="s">
        <v>38</v>
      </c>
      <c r="F600" s="88" t="s">
        <v>152</v>
      </c>
      <c r="G600" s="89" t="s">
        <v>44</v>
      </c>
      <c r="H600" s="89" t="s">
        <v>44</v>
      </c>
      <c r="I600" s="89" t="s">
        <v>44</v>
      </c>
      <c r="J600" s="89" t="s">
        <v>44</v>
      </c>
      <c r="K600" s="89">
        <v>332</v>
      </c>
    </row>
    <row r="601" ht="15.75" customHeight="1" spans="1:11">
      <c r="A601" s="87">
        <v>600</v>
      </c>
      <c r="B601" s="88" t="s">
        <v>46</v>
      </c>
      <c r="C601" s="88" t="s">
        <v>158</v>
      </c>
      <c r="D601" s="87">
        <v>2024</v>
      </c>
      <c r="E601" s="88" t="s">
        <v>39</v>
      </c>
      <c r="F601" s="88" t="s">
        <v>151</v>
      </c>
      <c r="G601" s="89" t="s">
        <v>44</v>
      </c>
      <c r="H601" s="89" t="s">
        <v>44</v>
      </c>
      <c r="I601" s="89" t="s">
        <v>44</v>
      </c>
      <c r="J601" s="89" t="s">
        <v>44</v>
      </c>
      <c r="K601" s="90">
        <v>102595</v>
      </c>
    </row>
    <row r="602" ht="15.75" customHeight="1" spans="1:11">
      <c r="A602" s="87">
        <v>601</v>
      </c>
      <c r="B602" s="88" t="s">
        <v>46</v>
      </c>
      <c r="C602" s="88" t="s">
        <v>158</v>
      </c>
      <c r="D602" s="87">
        <v>2024</v>
      </c>
      <c r="E602" s="88" t="s">
        <v>39</v>
      </c>
      <c r="F602" s="88" t="s">
        <v>152</v>
      </c>
      <c r="G602" s="89" t="s">
        <v>44</v>
      </c>
      <c r="H602" s="89" t="s">
        <v>44</v>
      </c>
      <c r="I602" s="89" t="s">
        <v>44</v>
      </c>
      <c r="J602" s="89" t="s">
        <v>44</v>
      </c>
      <c r="K602" s="89">
        <v>482</v>
      </c>
    </row>
    <row r="603" ht="15.75" customHeight="1" spans="1:11">
      <c r="A603" s="87">
        <v>602</v>
      </c>
      <c r="B603" s="88" t="s">
        <v>46</v>
      </c>
      <c r="C603" s="88" t="s">
        <v>158</v>
      </c>
      <c r="D603" s="87">
        <v>2024</v>
      </c>
      <c r="E603" s="88" t="s">
        <v>40</v>
      </c>
      <c r="F603" s="88" t="s">
        <v>150</v>
      </c>
      <c r="G603" s="89" t="s">
        <v>44</v>
      </c>
      <c r="H603" s="89" t="s">
        <v>44</v>
      </c>
      <c r="I603" s="89" t="s">
        <v>44</v>
      </c>
      <c r="J603" s="89" t="s">
        <v>44</v>
      </c>
      <c r="K603" s="89">
        <v>1</v>
      </c>
    </row>
    <row r="604" ht="15.75" customHeight="1" spans="1:11">
      <c r="A604" s="87">
        <v>603</v>
      </c>
      <c r="B604" s="88" t="s">
        <v>46</v>
      </c>
      <c r="C604" s="88" t="s">
        <v>158</v>
      </c>
      <c r="D604" s="87">
        <v>2024</v>
      </c>
      <c r="E604" s="88" t="s">
        <v>40</v>
      </c>
      <c r="F604" s="88" t="s">
        <v>151</v>
      </c>
      <c r="G604" s="89" t="s">
        <v>44</v>
      </c>
      <c r="H604" s="89" t="s">
        <v>44</v>
      </c>
      <c r="I604" s="89" t="s">
        <v>44</v>
      </c>
      <c r="J604" s="89" t="s">
        <v>44</v>
      </c>
      <c r="K604" s="90">
        <v>70080</v>
      </c>
    </row>
    <row r="605" ht="15.75" customHeight="1" spans="1:11">
      <c r="A605" s="87">
        <v>604</v>
      </c>
      <c r="B605" s="88" t="s">
        <v>46</v>
      </c>
      <c r="C605" s="88" t="s">
        <v>158</v>
      </c>
      <c r="D605" s="87">
        <v>2024</v>
      </c>
      <c r="E605" s="88" t="s">
        <v>40</v>
      </c>
      <c r="F605" s="88" t="s">
        <v>152</v>
      </c>
      <c r="G605" s="89" t="s">
        <v>44</v>
      </c>
      <c r="H605" s="89" t="s">
        <v>44</v>
      </c>
      <c r="I605" s="89" t="s">
        <v>44</v>
      </c>
      <c r="J605" s="89" t="s">
        <v>44</v>
      </c>
      <c r="K605" s="89">
        <v>429</v>
      </c>
    </row>
    <row r="606" ht="15.75" customHeight="1" spans="1:11">
      <c r="A606" s="87">
        <v>605</v>
      </c>
      <c r="B606" s="88" t="s">
        <v>46</v>
      </c>
      <c r="C606" s="88" t="s">
        <v>158</v>
      </c>
      <c r="D606" s="87">
        <v>2024</v>
      </c>
      <c r="E606" s="88" t="s">
        <v>41</v>
      </c>
      <c r="F606" s="88" t="s">
        <v>150</v>
      </c>
      <c r="G606" s="89" t="s">
        <v>44</v>
      </c>
      <c r="H606" s="89" t="s">
        <v>44</v>
      </c>
      <c r="I606" s="89" t="s">
        <v>44</v>
      </c>
      <c r="J606" s="89" t="s">
        <v>44</v>
      </c>
      <c r="K606" s="89">
        <v>1</v>
      </c>
    </row>
    <row r="607" ht="15.75" customHeight="1" spans="1:11">
      <c r="A607" s="87">
        <v>606</v>
      </c>
      <c r="B607" s="88" t="s">
        <v>46</v>
      </c>
      <c r="C607" s="88" t="s">
        <v>158</v>
      </c>
      <c r="D607" s="87">
        <v>2024</v>
      </c>
      <c r="E607" s="88" t="s">
        <v>41</v>
      </c>
      <c r="F607" s="88" t="s">
        <v>151</v>
      </c>
      <c r="G607" s="89" t="s">
        <v>44</v>
      </c>
      <c r="H607" s="89" t="s">
        <v>44</v>
      </c>
      <c r="I607" s="89" t="s">
        <v>44</v>
      </c>
      <c r="J607" s="89" t="s">
        <v>44</v>
      </c>
      <c r="K607" s="90">
        <v>24697</v>
      </c>
    </row>
    <row r="608" ht="15.75" customHeight="1" spans="1:11">
      <c r="A608" s="87">
        <v>607</v>
      </c>
      <c r="B608" s="88" t="s">
        <v>46</v>
      </c>
      <c r="C608" s="88" t="s">
        <v>158</v>
      </c>
      <c r="D608" s="87">
        <v>2024</v>
      </c>
      <c r="E608" s="88" t="s">
        <v>41</v>
      </c>
      <c r="F608" s="88" t="s">
        <v>152</v>
      </c>
      <c r="G608" s="89" t="s">
        <v>44</v>
      </c>
      <c r="H608" s="89" t="s">
        <v>44</v>
      </c>
      <c r="I608" s="89" t="s">
        <v>44</v>
      </c>
      <c r="J608" s="89" t="s">
        <v>44</v>
      </c>
      <c r="K608" s="89">
        <v>192</v>
      </c>
    </row>
    <row r="609" ht="15.75" customHeight="1" spans="1:11">
      <c r="A609" s="87">
        <v>608</v>
      </c>
      <c r="B609" s="88" t="s">
        <v>46</v>
      </c>
      <c r="C609" s="88" t="s">
        <v>158</v>
      </c>
      <c r="D609" s="87">
        <v>2024</v>
      </c>
      <c r="E609" s="88" t="s">
        <v>42</v>
      </c>
      <c r="F609" s="88" t="s">
        <v>150</v>
      </c>
      <c r="G609" s="89" t="s">
        <v>44</v>
      </c>
      <c r="H609" s="89" t="s">
        <v>44</v>
      </c>
      <c r="I609" s="89" t="s">
        <v>44</v>
      </c>
      <c r="J609" s="89" t="s">
        <v>44</v>
      </c>
      <c r="K609" s="89">
        <v>2</v>
      </c>
    </row>
    <row r="610" ht="15.75" customHeight="1" spans="1:11">
      <c r="A610" s="87">
        <v>609</v>
      </c>
      <c r="B610" s="88" t="s">
        <v>46</v>
      </c>
      <c r="C610" s="88" t="s">
        <v>158</v>
      </c>
      <c r="D610" s="87">
        <v>2024</v>
      </c>
      <c r="E610" s="88" t="s">
        <v>42</v>
      </c>
      <c r="F610" s="88" t="s">
        <v>151</v>
      </c>
      <c r="G610" s="89" t="s">
        <v>44</v>
      </c>
      <c r="H610" s="89" t="s">
        <v>44</v>
      </c>
      <c r="I610" s="89" t="s">
        <v>44</v>
      </c>
      <c r="J610" s="89" t="s">
        <v>44</v>
      </c>
      <c r="K610" s="90">
        <v>55293</v>
      </c>
    </row>
    <row r="611" ht="15.75" customHeight="1" spans="1:11">
      <c r="A611" s="87">
        <v>610</v>
      </c>
      <c r="B611" s="88" t="s">
        <v>46</v>
      </c>
      <c r="C611" s="88" t="s">
        <v>158</v>
      </c>
      <c r="D611" s="87">
        <v>2024</v>
      </c>
      <c r="E611" s="88" t="s">
        <v>42</v>
      </c>
      <c r="F611" s="88" t="s">
        <v>152</v>
      </c>
      <c r="G611" s="89" t="s">
        <v>44</v>
      </c>
      <c r="H611" s="89" t="s">
        <v>44</v>
      </c>
      <c r="I611" s="89" t="s">
        <v>44</v>
      </c>
      <c r="J611" s="89" t="s">
        <v>44</v>
      </c>
      <c r="K611" s="89">
        <v>562</v>
      </c>
    </row>
    <row r="612" ht="15.75" customHeight="1" spans="1:11">
      <c r="A612" s="87">
        <v>611</v>
      </c>
      <c r="B612" s="88" t="s">
        <v>46</v>
      </c>
      <c r="C612" s="88" t="s">
        <v>158</v>
      </c>
      <c r="D612" s="87">
        <v>2024</v>
      </c>
      <c r="E612" s="88" t="s">
        <v>43</v>
      </c>
      <c r="F612" s="88" t="s">
        <v>150</v>
      </c>
      <c r="G612" s="89" t="s">
        <v>44</v>
      </c>
      <c r="H612" s="89" t="s">
        <v>44</v>
      </c>
      <c r="I612" s="89" t="s">
        <v>44</v>
      </c>
      <c r="J612" s="89" t="s">
        <v>44</v>
      </c>
      <c r="K612" s="89">
        <v>5</v>
      </c>
    </row>
    <row r="613" ht="15.75" customHeight="1" spans="1:11">
      <c r="A613" s="87">
        <v>612</v>
      </c>
      <c r="B613" s="88" t="s">
        <v>46</v>
      </c>
      <c r="C613" s="88" t="s">
        <v>158</v>
      </c>
      <c r="D613" s="87">
        <v>2024</v>
      </c>
      <c r="E613" s="88" t="s">
        <v>43</v>
      </c>
      <c r="F613" s="88" t="s">
        <v>151</v>
      </c>
      <c r="G613" s="89" t="s">
        <v>44</v>
      </c>
      <c r="H613" s="89" t="s">
        <v>44</v>
      </c>
      <c r="I613" s="89" t="s">
        <v>44</v>
      </c>
      <c r="J613" s="89" t="s">
        <v>44</v>
      </c>
      <c r="K613" s="90">
        <v>64945</v>
      </c>
    </row>
    <row r="614" ht="15.75" customHeight="1" spans="1:11">
      <c r="A614" s="87">
        <v>613</v>
      </c>
      <c r="B614" s="88" t="s">
        <v>46</v>
      </c>
      <c r="C614" s="88" t="s">
        <v>158</v>
      </c>
      <c r="D614" s="87">
        <v>2024</v>
      </c>
      <c r="E614" s="88" t="s">
        <v>43</v>
      </c>
      <c r="F614" s="88" t="s">
        <v>152</v>
      </c>
      <c r="G614" s="89" t="s">
        <v>44</v>
      </c>
      <c r="H614" s="89" t="s">
        <v>44</v>
      </c>
      <c r="I614" s="89" t="s">
        <v>44</v>
      </c>
      <c r="J614" s="89" t="s">
        <v>44</v>
      </c>
      <c r="K614" s="89">
        <v>436</v>
      </c>
    </row>
    <row r="615" ht="15.75" customHeight="1" spans="1:11">
      <c r="A615" s="87">
        <v>614</v>
      </c>
      <c r="B615" s="88" t="s">
        <v>46</v>
      </c>
      <c r="C615" s="88" t="s">
        <v>158</v>
      </c>
      <c r="D615" s="87">
        <v>2025</v>
      </c>
      <c r="E615" s="88" t="s">
        <v>31</v>
      </c>
      <c r="F615" s="88" t="s">
        <v>150</v>
      </c>
      <c r="G615" s="89" t="s">
        <v>44</v>
      </c>
      <c r="H615" s="89" t="s">
        <v>44</v>
      </c>
      <c r="I615" s="89" t="s">
        <v>44</v>
      </c>
      <c r="J615" s="89" t="s">
        <v>44</v>
      </c>
      <c r="K615" s="90">
        <v>20790</v>
      </c>
    </row>
    <row r="616" ht="15.75" customHeight="1" spans="1:11">
      <c r="A616" s="87">
        <v>615</v>
      </c>
      <c r="B616" s="88" t="s">
        <v>46</v>
      </c>
      <c r="C616" s="88" t="s">
        <v>158</v>
      </c>
      <c r="D616" s="87">
        <v>2025</v>
      </c>
      <c r="E616" s="88" t="s">
        <v>31</v>
      </c>
      <c r="F616" s="88" t="s">
        <v>151</v>
      </c>
      <c r="G616" s="89" t="s">
        <v>44</v>
      </c>
      <c r="H616" s="89" t="s">
        <v>44</v>
      </c>
      <c r="I616" s="89" t="s">
        <v>44</v>
      </c>
      <c r="J616" s="89" t="s">
        <v>44</v>
      </c>
      <c r="K616" s="90">
        <v>64898</v>
      </c>
    </row>
    <row r="617" ht="15.75" customHeight="1" spans="1:11">
      <c r="A617" s="87">
        <v>616</v>
      </c>
      <c r="B617" s="88" t="s">
        <v>46</v>
      </c>
      <c r="C617" s="88" t="s">
        <v>158</v>
      </c>
      <c r="D617" s="87">
        <v>2025</v>
      </c>
      <c r="E617" s="88" t="s">
        <v>31</v>
      </c>
      <c r="F617" s="88" t="s">
        <v>152</v>
      </c>
      <c r="G617" s="89" t="s">
        <v>44</v>
      </c>
      <c r="H617" s="89" t="s">
        <v>44</v>
      </c>
      <c r="I617" s="89" t="s">
        <v>44</v>
      </c>
      <c r="J617" s="89" t="s">
        <v>44</v>
      </c>
      <c r="K617" s="89">
        <v>624</v>
      </c>
    </row>
    <row r="618" ht="15.75" customHeight="1" spans="1:11">
      <c r="A618" s="87">
        <v>617</v>
      </c>
      <c r="B618" s="88" t="s">
        <v>46</v>
      </c>
      <c r="C618" s="88" t="s">
        <v>158</v>
      </c>
      <c r="D618" s="87">
        <v>2025</v>
      </c>
      <c r="E618" s="88" t="s">
        <v>33</v>
      </c>
      <c r="F618" s="88" t="s">
        <v>150</v>
      </c>
      <c r="G618" s="89" t="s">
        <v>44</v>
      </c>
      <c r="H618" s="89" t="s">
        <v>44</v>
      </c>
      <c r="I618" s="89" t="s">
        <v>44</v>
      </c>
      <c r="J618" s="89" t="s">
        <v>44</v>
      </c>
      <c r="K618" s="89">
        <v>4</v>
      </c>
    </row>
    <row r="619" ht="15.75" customHeight="1" spans="1:11">
      <c r="A619" s="87">
        <v>618</v>
      </c>
      <c r="B619" s="88" t="s">
        <v>46</v>
      </c>
      <c r="C619" s="88" t="s">
        <v>158</v>
      </c>
      <c r="D619" s="87">
        <v>2025</v>
      </c>
      <c r="E619" s="88" t="s">
        <v>33</v>
      </c>
      <c r="F619" s="88" t="s">
        <v>151</v>
      </c>
      <c r="G619" s="89" t="s">
        <v>44</v>
      </c>
      <c r="H619" s="89" t="s">
        <v>44</v>
      </c>
      <c r="I619" s="89" t="s">
        <v>44</v>
      </c>
      <c r="J619" s="89" t="s">
        <v>44</v>
      </c>
      <c r="K619" s="90">
        <v>438963</v>
      </c>
    </row>
    <row r="620" ht="15.75" customHeight="1" spans="1:11">
      <c r="A620" s="87">
        <v>619</v>
      </c>
      <c r="B620" s="88" t="s">
        <v>46</v>
      </c>
      <c r="C620" s="88" t="s">
        <v>158</v>
      </c>
      <c r="D620" s="87">
        <v>2025</v>
      </c>
      <c r="E620" s="88" t="s">
        <v>33</v>
      </c>
      <c r="F620" s="88" t="s">
        <v>152</v>
      </c>
      <c r="G620" s="89" t="s">
        <v>44</v>
      </c>
      <c r="H620" s="89" t="s">
        <v>44</v>
      </c>
      <c r="I620" s="89" t="s">
        <v>44</v>
      </c>
      <c r="J620" s="89" t="s">
        <v>44</v>
      </c>
      <c r="K620" s="90">
        <v>18078</v>
      </c>
    </row>
    <row r="621" ht="15.75" customHeight="1" spans="1:11">
      <c r="A621" s="87">
        <v>620</v>
      </c>
      <c r="B621" s="88" t="s">
        <v>46</v>
      </c>
      <c r="C621" s="88" t="s">
        <v>158</v>
      </c>
      <c r="D621" s="87">
        <v>2025</v>
      </c>
      <c r="E621" s="88" t="s">
        <v>34</v>
      </c>
      <c r="F621" s="88" t="s">
        <v>150</v>
      </c>
      <c r="G621" s="89" t="s">
        <v>44</v>
      </c>
      <c r="H621" s="89" t="s">
        <v>44</v>
      </c>
      <c r="I621" s="89" t="s">
        <v>44</v>
      </c>
      <c r="J621" s="89" t="s">
        <v>44</v>
      </c>
      <c r="K621" s="89">
        <v>1</v>
      </c>
    </row>
    <row r="622" ht="15.75" customHeight="1" spans="1:11">
      <c r="A622" s="87">
        <v>621</v>
      </c>
      <c r="B622" s="88" t="s">
        <v>46</v>
      </c>
      <c r="C622" s="88" t="s">
        <v>158</v>
      </c>
      <c r="D622" s="87">
        <v>2025</v>
      </c>
      <c r="E622" s="88" t="s">
        <v>34</v>
      </c>
      <c r="F622" s="88" t="s">
        <v>151</v>
      </c>
      <c r="G622" s="89" t="s">
        <v>44</v>
      </c>
      <c r="H622" s="89" t="s">
        <v>44</v>
      </c>
      <c r="I622" s="89" t="s">
        <v>44</v>
      </c>
      <c r="J622" s="89" t="s">
        <v>44</v>
      </c>
      <c r="K622" s="90">
        <v>71714</v>
      </c>
    </row>
    <row r="623" ht="15.75" customHeight="1" spans="1:11">
      <c r="A623" s="87">
        <v>622</v>
      </c>
      <c r="B623" s="88" t="s">
        <v>46</v>
      </c>
      <c r="C623" s="88" t="s">
        <v>158</v>
      </c>
      <c r="D623" s="87">
        <v>2025</v>
      </c>
      <c r="E623" s="88" t="s">
        <v>34</v>
      </c>
      <c r="F623" s="88" t="s">
        <v>152</v>
      </c>
      <c r="G623" s="89" t="s">
        <v>44</v>
      </c>
      <c r="H623" s="89" t="s">
        <v>44</v>
      </c>
      <c r="I623" s="89" t="s">
        <v>44</v>
      </c>
      <c r="J623" s="89" t="s">
        <v>44</v>
      </c>
      <c r="K623" s="89">
        <v>648</v>
      </c>
    </row>
    <row r="624" ht="15.75" customHeight="1" spans="1:11">
      <c r="A624" s="87">
        <v>623</v>
      </c>
      <c r="B624" s="88" t="s">
        <v>46</v>
      </c>
      <c r="C624" s="88" t="s">
        <v>158</v>
      </c>
      <c r="D624" s="87">
        <v>2025</v>
      </c>
      <c r="E624" s="88" t="s">
        <v>35</v>
      </c>
      <c r="F624" s="88" t="s">
        <v>150</v>
      </c>
      <c r="G624" s="89" t="s">
        <v>44</v>
      </c>
      <c r="H624" s="89" t="s">
        <v>44</v>
      </c>
      <c r="I624" s="89" t="s">
        <v>44</v>
      </c>
      <c r="J624" s="89" t="s">
        <v>44</v>
      </c>
      <c r="K624" s="89" t="s">
        <v>44</v>
      </c>
    </row>
    <row r="625" ht="15.75" customHeight="1" spans="1:11">
      <c r="A625" s="87">
        <v>624</v>
      </c>
      <c r="B625" s="88" t="s">
        <v>46</v>
      </c>
      <c r="C625" s="88" t="s">
        <v>158</v>
      </c>
      <c r="D625" s="87">
        <v>2025</v>
      </c>
      <c r="E625" s="88" t="s">
        <v>35</v>
      </c>
      <c r="F625" s="88" t="s">
        <v>151</v>
      </c>
      <c r="G625" s="89" t="s">
        <v>44</v>
      </c>
      <c r="H625" s="89" t="s">
        <v>44</v>
      </c>
      <c r="I625" s="89" t="s">
        <v>44</v>
      </c>
      <c r="J625" s="89" t="s">
        <v>44</v>
      </c>
      <c r="K625" s="90">
        <v>12898</v>
      </c>
    </row>
    <row r="626" ht="15.75" customHeight="1" spans="1:11">
      <c r="A626" s="87">
        <v>625</v>
      </c>
      <c r="B626" s="88" t="s">
        <v>46</v>
      </c>
      <c r="C626" s="88" t="s">
        <v>158</v>
      </c>
      <c r="D626" s="87">
        <v>2025</v>
      </c>
      <c r="E626" s="88" t="s">
        <v>35</v>
      </c>
      <c r="F626" s="88" t="s">
        <v>152</v>
      </c>
      <c r="G626" s="89" t="s">
        <v>44</v>
      </c>
      <c r="H626" s="89" t="s">
        <v>44</v>
      </c>
      <c r="I626" s="89" t="s">
        <v>44</v>
      </c>
      <c r="J626" s="89" t="s">
        <v>44</v>
      </c>
      <c r="K626" s="89">
        <v>199</v>
      </c>
    </row>
    <row r="627" ht="15.75" customHeight="1" spans="1:11">
      <c r="A627" s="87">
        <v>626</v>
      </c>
      <c r="B627" s="88" t="s">
        <v>46</v>
      </c>
      <c r="C627" s="88" t="s">
        <v>158</v>
      </c>
      <c r="D627" s="87">
        <v>2025</v>
      </c>
      <c r="E627" s="88" t="s">
        <v>36</v>
      </c>
      <c r="F627" s="88" t="s">
        <v>151</v>
      </c>
      <c r="G627" s="89" t="s">
        <v>44</v>
      </c>
      <c r="H627" s="89" t="s">
        <v>44</v>
      </c>
      <c r="I627" s="89" t="s">
        <v>44</v>
      </c>
      <c r="J627" s="89" t="s">
        <v>44</v>
      </c>
      <c r="K627" s="90">
        <v>10864</v>
      </c>
    </row>
    <row r="628" ht="15.75" customHeight="1" spans="1:11">
      <c r="A628" s="87">
        <v>627</v>
      </c>
      <c r="B628" s="88" t="s">
        <v>46</v>
      </c>
      <c r="C628" s="88" t="s">
        <v>158</v>
      </c>
      <c r="D628" s="87">
        <v>2025</v>
      </c>
      <c r="E628" s="88" t="s">
        <v>37</v>
      </c>
      <c r="F628" s="88" t="s">
        <v>151</v>
      </c>
      <c r="G628" s="89" t="s">
        <v>44</v>
      </c>
      <c r="H628" s="89" t="s">
        <v>44</v>
      </c>
      <c r="I628" s="89" t="s">
        <v>44</v>
      </c>
      <c r="J628" s="89" t="s">
        <v>44</v>
      </c>
      <c r="K628" s="90">
        <v>9562</v>
      </c>
    </row>
    <row r="629" ht="15.75" customHeight="1" spans="1:11">
      <c r="A629" s="87">
        <v>628</v>
      </c>
      <c r="B629" s="88" t="s">
        <v>46</v>
      </c>
      <c r="C629" s="88" t="s">
        <v>158</v>
      </c>
      <c r="D629" s="87">
        <v>2025</v>
      </c>
      <c r="E629" s="88" t="s">
        <v>37</v>
      </c>
      <c r="F629" s="88" t="s">
        <v>152</v>
      </c>
      <c r="G629" s="89" t="s">
        <v>44</v>
      </c>
      <c r="H629" s="89" t="s">
        <v>44</v>
      </c>
      <c r="I629" s="89" t="s">
        <v>44</v>
      </c>
      <c r="J629" s="89" t="s">
        <v>44</v>
      </c>
      <c r="K629" s="89">
        <v>98</v>
      </c>
    </row>
    <row r="630" ht="15.75" customHeight="1" spans="1:11">
      <c r="A630" s="87">
        <v>629</v>
      </c>
      <c r="B630" s="88" t="s">
        <v>46</v>
      </c>
      <c r="C630" s="88" t="s">
        <v>158</v>
      </c>
      <c r="D630" s="87">
        <v>2025</v>
      </c>
      <c r="E630" s="88" t="s">
        <v>38</v>
      </c>
      <c r="F630" s="88" t="s">
        <v>150</v>
      </c>
      <c r="G630" s="89" t="s">
        <v>44</v>
      </c>
      <c r="H630" s="89" t="s">
        <v>44</v>
      </c>
      <c r="I630" s="89" t="s">
        <v>44</v>
      </c>
      <c r="J630" s="89" t="s">
        <v>44</v>
      </c>
      <c r="K630" s="89" t="s">
        <v>44</v>
      </c>
    </row>
    <row r="631" ht="15.75" customHeight="1" spans="1:11">
      <c r="A631" s="87">
        <v>630</v>
      </c>
      <c r="B631" s="88" t="s">
        <v>46</v>
      </c>
      <c r="C631" s="88" t="s">
        <v>158</v>
      </c>
      <c r="D631" s="87">
        <v>2025</v>
      </c>
      <c r="E631" s="88" t="s">
        <v>38</v>
      </c>
      <c r="F631" s="88" t="s">
        <v>151</v>
      </c>
      <c r="G631" s="89" t="s">
        <v>44</v>
      </c>
      <c r="H631" s="89" t="s">
        <v>44</v>
      </c>
      <c r="I631" s="89" t="s">
        <v>44</v>
      </c>
      <c r="J631" s="89" t="s">
        <v>44</v>
      </c>
      <c r="K631" s="90">
        <v>8672</v>
      </c>
    </row>
    <row r="632" ht="15.75" customHeight="1" spans="1:11">
      <c r="A632" s="87">
        <v>631</v>
      </c>
      <c r="B632" s="88" t="s">
        <v>46</v>
      </c>
      <c r="C632" s="88" t="s">
        <v>158</v>
      </c>
      <c r="D632" s="87">
        <v>2025</v>
      </c>
      <c r="E632" s="88" t="s">
        <v>38</v>
      </c>
      <c r="F632" s="88" t="s">
        <v>152</v>
      </c>
      <c r="G632" s="89" t="s">
        <v>44</v>
      </c>
      <c r="H632" s="89" t="s">
        <v>44</v>
      </c>
      <c r="I632" s="89" t="s">
        <v>44</v>
      </c>
      <c r="J632" s="89" t="s">
        <v>44</v>
      </c>
      <c r="K632" s="89">
        <v>111</v>
      </c>
    </row>
    <row r="633" ht="15.75" customHeight="1" spans="1:11">
      <c r="A633" s="87">
        <v>632</v>
      </c>
      <c r="B633" s="88" t="s">
        <v>46</v>
      </c>
      <c r="C633" s="88" t="s">
        <v>158</v>
      </c>
      <c r="D633" s="87">
        <v>2025</v>
      </c>
      <c r="E633" s="88" t="s">
        <v>39</v>
      </c>
      <c r="F633" s="88" t="s">
        <v>151</v>
      </c>
      <c r="G633" s="89" t="s">
        <v>44</v>
      </c>
      <c r="H633" s="89" t="s">
        <v>44</v>
      </c>
      <c r="I633" s="89" t="s">
        <v>44</v>
      </c>
      <c r="J633" s="89" t="s">
        <v>44</v>
      </c>
      <c r="K633" s="90">
        <v>1898664</v>
      </c>
    </row>
    <row r="634" ht="15.75" customHeight="1" spans="1:11">
      <c r="A634" s="87">
        <v>633</v>
      </c>
      <c r="B634" s="88" t="s">
        <v>46</v>
      </c>
      <c r="C634" s="88" t="s">
        <v>158</v>
      </c>
      <c r="D634" s="87">
        <v>2025</v>
      </c>
      <c r="E634" s="88" t="s">
        <v>39</v>
      </c>
      <c r="F634" s="88" t="s">
        <v>152</v>
      </c>
      <c r="G634" s="89" t="s">
        <v>44</v>
      </c>
      <c r="H634" s="89" t="s">
        <v>44</v>
      </c>
      <c r="I634" s="89" t="s">
        <v>44</v>
      </c>
      <c r="J634" s="89" t="s">
        <v>44</v>
      </c>
      <c r="K634" s="90">
        <v>49986</v>
      </c>
    </row>
    <row r="635" ht="15.75" customHeight="1" spans="1:11">
      <c r="A635" s="87">
        <v>634</v>
      </c>
      <c r="B635" s="88" t="s">
        <v>46</v>
      </c>
      <c r="C635" s="88" t="s">
        <v>158</v>
      </c>
      <c r="D635" s="87">
        <v>2025</v>
      </c>
      <c r="E635" s="88" t="s">
        <v>40</v>
      </c>
      <c r="F635" s="88" t="s">
        <v>151</v>
      </c>
      <c r="G635" s="89" t="s">
        <v>44</v>
      </c>
      <c r="H635" s="89" t="s">
        <v>44</v>
      </c>
      <c r="I635" s="89" t="s">
        <v>44</v>
      </c>
      <c r="J635" s="89" t="s">
        <v>44</v>
      </c>
      <c r="K635" s="90">
        <v>686661</v>
      </c>
    </row>
    <row r="636" ht="15.75" customHeight="1" spans="1:11">
      <c r="A636" s="87">
        <v>635</v>
      </c>
      <c r="B636" s="88" t="s">
        <v>46</v>
      </c>
      <c r="C636" s="88" t="s">
        <v>158</v>
      </c>
      <c r="D636" s="87">
        <v>2025</v>
      </c>
      <c r="E636" s="88" t="s">
        <v>40</v>
      </c>
      <c r="F636" s="88" t="s">
        <v>152</v>
      </c>
      <c r="G636" s="89" t="s">
        <v>44</v>
      </c>
      <c r="H636" s="89" t="s">
        <v>44</v>
      </c>
      <c r="I636" s="89" t="s">
        <v>44</v>
      </c>
      <c r="J636" s="89" t="s">
        <v>44</v>
      </c>
      <c r="K636" s="90">
        <v>13146</v>
      </c>
    </row>
    <row r="637" ht="15.75" customHeight="1" spans="1:11">
      <c r="A637" s="87">
        <v>636</v>
      </c>
      <c r="B637" s="88" t="s">
        <v>46</v>
      </c>
      <c r="C637" s="88" t="s">
        <v>158</v>
      </c>
      <c r="D637" s="87">
        <v>2025</v>
      </c>
      <c r="E637" s="88" t="s">
        <v>41</v>
      </c>
      <c r="F637" s="88" t="s">
        <v>150</v>
      </c>
      <c r="G637" s="89" t="s">
        <v>44</v>
      </c>
      <c r="H637" s="89" t="s">
        <v>44</v>
      </c>
      <c r="I637" s="89" t="s">
        <v>44</v>
      </c>
      <c r="J637" s="89" t="s">
        <v>44</v>
      </c>
      <c r="K637" s="89">
        <v>126</v>
      </c>
    </row>
    <row r="638" ht="15.75" customHeight="1" spans="1:11">
      <c r="A638" s="87">
        <v>637</v>
      </c>
      <c r="B638" s="88" t="s">
        <v>46</v>
      </c>
      <c r="C638" s="88" t="s">
        <v>158</v>
      </c>
      <c r="D638" s="87">
        <v>2025</v>
      </c>
      <c r="E638" s="88" t="s">
        <v>41</v>
      </c>
      <c r="F638" s="88" t="s">
        <v>151</v>
      </c>
      <c r="G638" s="89" t="s">
        <v>44</v>
      </c>
      <c r="H638" s="89" t="s">
        <v>44</v>
      </c>
      <c r="I638" s="89" t="s">
        <v>44</v>
      </c>
      <c r="J638" s="89" t="s">
        <v>44</v>
      </c>
      <c r="K638" s="90">
        <v>469957</v>
      </c>
    </row>
    <row r="639" ht="15.75" customHeight="1" spans="1:11">
      <c r="A639" s="87">
        <v>638</v>
      </c>
      <c r="B639" s="88" t="s">
        <v>46</v>
      </c>
      <c r="C639" s="88" t="s">
        <v>158</v>
      </c>
      <c r="D639" s="87">
        <v>2025</v>
      </c>
      <c r="E639" s="88" t="s">
        <v>41</v>
      </c>
      <c r="F639" s="88" t="s">
        <v>152</v>
      </c>
      <c r="G639" s="89" t="s">
        <v>44</v>
      </c>
      <c r="H639" s="89" t="s">
        <v>44</v>
      </c>
      <c r="I639" s="89" t="s">
        <v>44</v>
      </c>
      <c r="J639" s="89" t="s">
        <v>44</v>
      </c>
      <c r="K639" s="90">
        <v>11781</v>
      </c>
    </row>
    <row r="640" ht="15.75" customHeight="1" spans="1:11">
      <c r="A640" s="87">
        <v>639</v>
      </c>
      <c r="B640" s="88" t="s">
        <v>46</v>
      </c>
      <c r="C640" s="88" t="s">
        <v>158</v>
      </c>
      <c r="D640" s="87">
        <v>2025</v>
      </c>
      <c r="E640" s="88" t="s">
        <v>42</v>
      </c>
      <c r="F640" s="88" t="s">
        <v>150</v>
      </c>
      <c r="G640" s="89" t="s">
        <v>44</v>
      </c>
      <c r="H640" s="89" t="s">
        <v>44</v>
      </c>
      <c r="I640" s="89" t="s">
        <v>44</v>
      </c>
      <c r="J640" s="89" t="s">
        <v>44</v>
      </c>
      <c r="K640" s="89">
        <v>2</v>
      </c>
    </row>
    <row r="641" ht="15.75" customHeight="1" spans="1:11">
      <c r="A641" s="87">
        <v>640</v>
      </c>
      <c r="B641" s="88" t="s">
        <v>46</v>
      </c>
      <c r="C641" s="88" t="s">
        <v>158</v>
      </c>
      <c r="D641" s="87">
        <v>2025</v>
      </c>
      <c r="E641" s="88" t="s">
        <v>42</v>
      </c>
      <c r="F641" s="88" t="s">
        <v>151</v>
      </c>
      <c r="G641" s="89" t="s">
        <v>44</v>
      </c>
      <c r="H641" s="89" t="s">
        <v>44</v>
      </c>
      <c r="I641" s="89" t="s">
        <v>44</v>
      </c>
      <c r="J641" s="89" t="s">
        <v>44</v>
      </c>
      <c r="K641" s="90">
        <v>2415365</v>
      </c>
    </row>
    <row r="642" ht="15.75" customHeight="1" spans="1:11">
      <c r="A642" s="87">
        <v>641</v>
      </c>
      <c r="B642" s="88" t="s">
        <v>46</v>
      </c>
      <c r="C642" s="88" t="s">
        <v>158</v>
      </c>
      <c r="D642" s="87">
        <v>2025</v>
      </c>
      <c r="E642" s="88" t="s">
        <v>42</v>
      </c>
      <c r="F642" s="88" t="s">
        <v>152</v>
      </c>
      <c r="G642" s="89" t="s">
        <v>44</v>
      </c>
      <c r="H642" s="89" t="s">
        <v>44</v>
      </c>
      <c r="I642" s="89" t="s">
        <v>44</v>
      </c>
      <c r="J642" s="89" t="s">
        <v>44</v>
      </c>
      <c r="K642" s="90">
        <v>71788</v>
      </c>
    </row>
    <row r="643" ht="15.75" customHeight="1" spans="1:11">
      <c r="A643" s="87">
        <v>642</v>
      </c>
      <c r="B643" s="88" t="s">
        <v>46</v>
      </c>
      <c r="C643" s="88" t="s">
        <v>158</v>
      </c>
      <c r="D643" s="87">
        <v>2025</v>
      </c>
      <c r="E643" s="88" t="s">
        <v>43</v>
      </c>
      <c r="F643" s="88" t="s">
        <v>150</v>
      </c>
      <c r="G643" s="89" t="s">
        <v>44</v>
      </c>
      <c r="H643" s="89" t="s">
        <v>44</v>
      </c>
      <c r="I643" s="89" t="s">
        <v>44</v>
      </c>
      <c r="J643" s="89" t="s">
        <v>44</v>
      </c>
      <c r="K643" s="89">
        <v>2</v>
      </c>
    </row>
    <row r="644" ht="15.75" customHeight="1" spans="1:11">
      <c r="A644" s="87">
        <v>643</v>
      </c>
      <c r="B644" s="88" t="s">
        <v>46</v>
      </c>
      <c r="C644" s="88" t="s">
        <v>158</v>
      </c>
      <c r="D644" s="87">
        <v>2025</v>
      </c>
      <c r="E644" s="88" t="s">
        <v>43</v>
      </c>
      <c r="F644" s="88" t="s">
        <v>151</v>
      </c>
      <c r="G644" s="89" t="s">
        <v>44</v>
      </c>
      <c r="H644" s="89" t="s">
        <v>44</v>
      </c>
      <c r="I644" s="89" t="s">
        <v>44</v>
      </c>
      <c r="J644" s="89" t="s">
        <v>44</v>
      </c>
      <c r="K644" s="90">
        <v>706274</v>
      </c>
    </row>
    <row r="645" ht="15.75" customHeight="1" spans="1:11">
      <c r="A645" s="87">
        <v>644</v>
      </c>
      <c r="B645" s="88" t="s">
        <v>46</v>
      </c>
      <c r="C645" s="88" t="s">
        <v>158</v>
      </c>
      <c r="D645" s="87">
        <v>2025</v>
      </c>
      <c r="E645" s="88" t="s">
        <v>43</v>
      </c>
      <c r="F645" s="88" t="s">
        <v>152</v>
      </c>
      <c r="G645" s="89" t="s">
        <v>44</v>
      </c>
      <c r="H645" s="89" t="s">
        <v>44</v>
      </c>
      <c r="I645" s="89" t="s">
        <v>44</v>
      </c>
      <c r="J645" s="89" t="s">
        <v>44</v>
      </c>
      <c r="K645" s="90">
        <v>21643</v>
      </c>
    </row>
    <row r="646" ht="15.75" customHeight="1" spans="1:11">
      <c r="A646" s="87">
        <v>645</v>
      </c>
      <c r="B646" s="88" t="s">
        <v>46</v>
      </c>
      <c r="C646" s="88" t="s">
        <v>158</v>
      </c>
      <c r="D646" s="87">
        <v>2026</v>
      </c>
      <c r="E646" s="88" t="s">
        <v>31</v>
      </c>
      <c r="F646" s="88" t="s">
        <v>150</v>
      </c>
      <c r="G646" s="89" t="s">
        <v>44</v>
      </c>
      <c r="H646" s="89" t="s">
        <v>44</v>
      </c>
      <c r="I646" s="89" t="s">
        <v>44</v>
      </c>
      <c r="J646" s="89" t="s">
        <v>44</v>
      </c>
      <c r="K646" s="90">
        <v>1890</v>
      </c>
    </row>
    <row r="647" ht="15.75" customHeight="1" spans="1:11">
      <c r="A647" s="87">
        <v>646</v>
      </c>
      <c r="B647" s="88" t="s">
        <v>46</v>
      </c>
      <c r="C647" s="88" t="s">
        <v>158</v>
      </c>
      <c r="D647" s="87">
        <v>2026</v>
      </c>
      <c r="E647" s="88" t="s">
        <v>31</v>
      </c>
      <c r="F647" s="88" t="s">
        <v>151</v>
      </c>
      <c r="G647" s="89" t="s">
        <v>44</v>
      </c>
      <c r="H647" s="89" t="s">
        <v>44</v>
      </c>
      <c r="I647" s="89" t="s">
        <v>44</v>
      </c>
      <c r="J647" s="89" t="s">
        <v>44</v>
      </c>
      <c r="K647" s="90">
        <v>1438488</v>
      </c>
    </row>
    <row r="648" ht="15.75" customHeight="1" spans="1:11">
      <c r="A648" s="87">
        <v>647</v>
      </c>
      <c r="B648" s="88" t="s">
        <v>46</v>
      </c>
      <c r="C648" s="88" t="s">
        <v>158</v>
      </c>
      <c r="D648" s="87">
        <v>2026</v>
      </c>
      <c r="E648" s="88" t="s">
        <v>31</v>
      </c>
      <c r="F648" s="88" t="s">
        <v>152</v>
      </c>
      <c r="G648" s="89" t="s">
        <v>44</v>
      </c>
      <c r="H648" s="89" t="s">
        <v>44</v>
      </c>
      <c r="I648" s="89" t="s">
        <v>44</v>
      </c>
      <c r="J648" s="89" t="s">
        <v>44</v>
      </c>
      <c r="K648" s="90">
        <v>48491</v>
      </c>
    </row>
    <row r="649" ht="15.75" customHeight="1" spans="1:11">
      <c r="A649" s="87">
        <v>648</v>
      </c>
      <c r="B649" s="88" t="s">
        <v>46</v>
      </c>
      <c r="C649" s="88" t="s">
        <v>158</v>
      </c>
      <c r="D649" s="87">
        <v>2026</v>
      </c>
      <c r="E649" s="88" t="s">
        <v>33</v>
      </c>
      <c r="F649" s="88" t="s">
        <v>151</v>
      </c>
      <c r="G649" s="89" t="s">
        <v>44</v>
      </c>
      <c r="H649" s="89" t="s">
        <v>44</v>
      </c>
      <c r="I649" s="89" t="s">
        <v>44</v>
      </c>
      <c r="J649" s="89" t="s">
        <v>44</v>
      </c>
      <c r="K649" s="90">
        <v>2040375</v>
      </c>
    </row>
    <row r="650" ht="15.75" customHeight="1" spans="1:11">
      <c r="A650" s="87">
        <v>649</v>
      </c>
      <c r="B650" s="88" t="s">
        <v>46</v>
      </c>
      <c r="C650" s="88" t="s">
        <v>158</v>
      </c>
      <c r="D650" s="87">
        <v>2026</v>
      </c>
      <c r="E650" s="88" t="s">
        <v>33</v>
      </c>
      <c r="F650" s="88" t="s">
        <v>152</v>
      </c>
      <c r="G650" s="89" t="s">
        <v>44</v>
      </c>
      <c r="H650" s="89" t="s">
        <v>44</v>
      </c>
      <c r="I650" s="89" t="s">
        <v>44</v>
      </c>
      <c r="J650" s="89" t="s">
        <v>44</v>
      </c>
      <c r="K650" s="90">
        <v>54511</v>
      </c>
    </row>
    <row r="651" ht="15.75" customHeight="1" spans="1:11">
      <c r="A651" s="87">
        <v>650</v>
      </c>
      <c r="B651" s="88" t="s">
        <v>46</v>
      </c>
      <c r="C651" s="88" t="s">
        <v>158</v>
      </c>
      <c r="D651" s="87">
        <v>2026</v>
      </c>
      <c r="E651" s="88" t="s">
        <v>33</v>
      </c>
      <c r="F651" s="88" t="s">
        <v>150</v>
      </c>
      <c r="G651" s="89" t="s">
        <v>44</v>
      </c>
      <c r="H651" s="89" t="s">
        <v>44</v>
      </c>
      <c r="I651" s="89" t="s">
        <v>44</v>
      </c>
      <c r="J651" s="89" t="s">
        <v>44</v>
      </c>
      <c r="K651" s="90">
        <v>3522</v>
      </c>
    </row>
    <row r="652" ht="15.75" customHeight="1" spans="1:11">
      <c r="A652" s="87">
        <v>651</v>
      </c>
      <c r="B652" s="88" t="s">
        <v>46</v>
      </c>
      <c r="C652" s="88" t="s">
        <v>158</v>
      </c>
      <c r="D652" s="87">
        <v>2026</v>
      </c>
      <c r="E652" s="88" t="s">
        <v>34</v>
      </c>
      <c r="F652" s="88" t="s">
        <v>152</v>
      </c>
      <c r="G652" s="89" t="s">
        <v>44</v>
      </c>
      <c r="H652" s="89" t="s">
        <v>44</v>
      </c>
      <c r="I652" s="89" t="s">
        <v>44</v>
      </c>
      <c r="J652" s="89" t="s">
        <v>44</v>
      </c>
      <c r="K652" s="90">
        <v>45551</v>
      </c>
    </row>
    <row r="653" ht="15.75" customHeight="1" spans="1:11">
      <c r="A653" s="87">
        <v>652</v>
      </c>
      <c r="B653" s="88" t="s">
        <v>46</v>
      </c>
      <c r="C653" s="88" t="s">
        <v>158</v>
      </c>
      <c r="D653" s="87">
        <v>2026</v>
      </c>
      <c r="E653" s="88" t="s">
        <v>34</v>
      </c>
      <c r="F653" s="88" t="s">
        <v>150</v>
      </c>
      <c r="G653" s="89" t="s">
        <v>44</v>
      </c>
      <c r="H653" s="89" t="s">
        <v>44</v>
      </c>
      <c r="I653" s="89" t="s">
        <v>44</v>
      </c>
      <c r="J653" s="89" t="s">
        <v>44</v>
      </c>
      <c r="K653" s="89">
        <v>29</v>
      </c>
    </row>
    <row r="654" ht="15.75" customHeight="1" spans="1:11">
      <c r="A654" s="87">
        <v>653</v>
      </c>
      <c r="B654" s="88" t="s">
        <v>46</v>
      </c>
      <c r="C654" s="88" t="s">
        <v>158</v>
      </c>
      <c r="D654" s="87">
        <v>2026</v>
      </c>
      <c r="E654" s="88" t="s">
        <v>34</v>
      </c>
      <c r="F654" s="88" t="s">
        <v>151</v>
      </c>
      <c r="G654" s="89" t="s">
        <v>44</v>
      </c>
      <c r="H654" s="89" t="s">
        <v>44</v>
      </c>
      <c r="I654" s="89" t="s">
        <v>44</v>
      </c>
      <c r="J654" s="89" t="s">
        <v>44</v>
      </c>
      <c r="K654" s="90">
        <v>1390814</v>
      </c>
    </row>
    <row r="655" ht="15.75" customHeight="1" spans="1:11">
      <c r="A655" s="87">
        <v>654</v>
      </c>
      <c r="B655" s="88" t="s">
        <v>46</v>
      </c>
      <c r="C655" s="88" t="s">
        <v>49</v>
      </c>
      <c r="D655" s="87">
        <v>2024</v>
      </c>
      <c r="E655" s="88" t="s">
        <v>31</v>
      </c>
      <c r="F655" s="88" t="s">
        <v>150</v>
      </c>
      <c r="G655" s="89" t="s">
        <v>44</v>
      </c>
      <c r="H655" s="89" t="s">
        <v>44</v>
      </c>
      <c r="I655" s="89" t="s">
        <v>44</v>
      </c>
      <c r="J655" s="89" t="s">
        <v>44</v>
      </c>
      <c r="K655" s="90">
        <v>14395</v>
      </c>
    </row>
    <row r="656" ht="15.75" customHeight="1" spans="1:11">
      <c r="A656" s="87">
        <v>655</v>
      </c>
      <c r="B656" s="88" t="s">
        <v>46</v>
      </c>
      <c r="C656" s="88" t="s">
        <v>49</v>
      </c>
      <c r="D656" s="87">
        <v>2024</v>
      </c>
      <c r="E656" s="88" t="s">
        <v>31</v>
      </c>
      <c r="F656" s="88" t="s">
        <v>151</v>
      </c>
      <c r="G656" s="89" t="s">
        <v>44</v>
      </c>
      <c r="H656" s="89" t="s">
        <v>44</v>
      </c>
      <c r="I656" s="89" t="s">
        <v>44</v>
      </c>
      <c r="J656" s="89" t="s">
        <v>44</v>
      </c>
      <c r="K656" s="90">
        <v>8346238</v>
      </c>
    </row>
    <row r="657" ht="15.75" customHeight="1" spans="1:11">
      <c r="A657" s="87">
        <v>656</v>
      </c>
      <c r="B657" s="88" t="s">
        <v>46</v>
      </c>
      <c r="C657" s="88" t="s">
        <v>49</v>
      </c>
      <c r="D657" s="87">
        <v>2024</v>
      </c>
      <c r="E657" s="88" t="s">
        <v>31</v>
      </c>
      <c r="F657" s="88" t="s">
        <v>152</v>
      </c>
      <c r="G657" s="89" t="s">
        <v>44</v>
      </c>
      <c r="H657" s="89" t="s">
        <v>44</v>
      </c>
      <c r="I657" s="89" t="s">
        <v>44</v>
      </c>
      <c r="J657" s="89" t="s">
        <v>44</v>
      </c>
      <c r="K657" s="90">
        <v>969633</v>
      </c>
    </row>
    <row r="658" ht="15.75" customHeight="1" spans="1:11">
      <c r="A658" s="87">
        <v>657</v>
      </c>
      <c r="B658" s="88" t="s">
        <v>46</v>
      </c>
      <c r="C658" s="88" t="s">
        <v>49</v>
      </c>
      <c r="D658" s="87">
        <v>2024</v>
      </c>
      <c r="E658" s="88" t="s">
        <v>33</v>
      </c>
      <c r="F658" s="88" t="s">
        <v>150</v>
      </c>
      <c r="G658" s="89" t="s">
        <v>44</v>
      </c>
      <c r="H658" s="89" t="s">
        <v>44</v>
      </c>
      <c r="I658" s="89" t="s">
        <v>44</v>
      </c>
      <c r="J658" s="89" t="s">
        <v>44</v>
      </c>
      <c r="K658" s="90">
        <v>11919</v>
      </c>
    </row>
    <row r="659" ht="15.75" customHeight="1" spans="1:11">
      <c r="A659" s="87">
        <v>658</v>
      </c>
      <c r="B659" s="88" t="s">
        <v>46</v>
      </c>
      <c r="C659" s="88" t="s">
        <v>49</v>
      </c>
      <c r="D659" s="87">
        <v>2024</v>
      </c>
      <c r="E659" s="88" t="s">
        <v>33</v>
      </c>
      <c r="F659" s="88" t="s">
        <v>151</v>
      </c>
      <c r="G659" s="89" t="s">
        <v>44</v>
      </c>
      <c r="H659" s="89" t="s">
        <v>44</v>
      </c>
      <c r="I659" s="89" t="s">
        <v>44</v>
      </c>
      <c r="J659" s="89" t="s">
        <v>44</v>
      </c>
      <c r="K659" s="90">
        <v>15405890</v>
      </c>
    </row>
    <row r="660" ht="15.75" customHeight="1" spans="1:11">
      <c r="A660" s="87">
        <v>659</v>
      </c>
      <c r="B660" s="88" t="s">
        <v>46</v>
      </c>
      <c r="C660" s="88" t="s">
        <v>49</v>
      </c>
      <c r="D660" s="87">
        <v>2024</v>
      </c>
      <c r="E660" s="88" t="s">
        <v>33</v>
      </c>
      <c r="F660" s="88" t="s">
        <v>152</v>
      </c>
      <c r="G660" s="89" t="s">
        <v>44</v>
      </c>
      <c r="H660" s="89" t="s">
        <v>44</v>
      </c>
      <c r="I660" s="89" t="s">
        <v>44</v>
      </c>
      <c r="J660" s="89" t="s">
        <v>44</v>
      </c>
      <c r="K660" s="90">
        <v>712777</v>
      </c>
    </row>
    <row r="661" ht="15.75" customHeight="1" spans="1:11">
      <c r="A661" s="87">
        <v>660</v>
      </c>
      <c r="B661" s="88" t="s">
        <v>46</v>
      </c>
      <c r="C661" s="88" t="s">
        <v>49</v>
      </c>
      <c r="D661" s="87">
        <v>2024</v>
      </c>
      <c r="E661" s="88" t="s">
        <v>34</v>
      </c>
      <c r="F661" s="88" t="s">
        <v>150</v>
      </c>
      <c r="G661" s="89" t="s">
        <v>44</v>
      </c>
      <c r="H661" s="89" t="s">
        <v>44</v>
      </c>
      <c r="I661" s="89" t="s">
        <v>44</v>
      </c>
      <c r="J661" s="89" t="s">
        <v>44</v>
      </c>
      <c r="K661" s="90">
        <v>12628</v>
      </c>
    </row>
    <row r="662" ht="15.75" customHeight="1" spans="1:11">
      <c r="A662" s="87">
        <v>661</v>
      </c>
      <c r="B662" s="88" t="s">
        <v>46</v>
      </c>
      <c r="C662" s="88" t="s">
        <v>49</v>
      </c>
      <c r="D662" s="87">
        <v>2024</v>
      </c>
      <c r="E662" s="88" t="s">
        <v>34</v>
      </c>
      <c r="F662" s="88" t="s">
        <v>151</v>
      </c>
      <c r="G662" s="89" t="s">
        <v>44</v>
      </c>
      <c r="H662" s="89" t="s">
        <v>44</v>
      </c>
      <c r="I662" s="89" t="s">
        <v>44</v>
      </c>
      <c r="J662" s="89" t="s">
        <v>44</v>
      </c>
      <c r="K662" s="90">
        <v>7431517</v>
      </c>
    </row>
    <row r="663" ht="15.75" customHeight="1" spans="1:11">
      <c r="A663" s="87">
        <v>662</v>
      </c>
      <c r="B663" s="88" t="s">
        <v>46</v>
      </c>
      <c r="C663" s="88" t="s">
        <v>49</v>
      </c>
      <c r="D663" s="87">
        <v>2024</v>
      </c>
      <c r="E663" s="88" t="s">
        <v>34</v>
      </c>
      <c r="F663" s="88" t="s">
        <v>152</v>
      </c>
      <c r="G663" s="89" t="s">
        <v>44</v>
      </c>
      <c r="H663" s="89" t="s">
        <v>44</v>
      </c>
      <c r="I663" s="89" t="s">
        <v>44</v>
      </c>
      <c r="J663" s="89" t="s">
        <v>44</v>
      </c>
      <c r="K663" s="90">
        <v>434877</v>
      </c>
    </row>
    <row r="664" ht="15.75" customHeight="1" spans="1:11">
      <c r="A664" s="87">
        <v>663</v>
      </c>
      <c r="B664" s="88" t="s">
        <v>46</v>
      </c>
      <c r="C664" s="88" t="s">
        <v>49</v>
      </c>
      <c r="D664" s="87">
        <v>2024</v>
      </c>
      <c r="E664" s="88" t="s">
        <v>35</v>
      </c>
      <c r="F664" s="88" t="s">
        <v>150</v>
      </c>
      <c r="G664" s="89" t="s">
        <v>44</v>
      </c>
      <c r="H664" s="89" t="s">
        <v>44</v>
      </c>
      <c r="I664" s="89" t="s">
        <v>44</v>
      </c>
      <c r="J664" s="89" t="s">
        <v>44</v>
      </c>
      <c r="K664" s="90">
        <v>3985</v>
      </c>
    </row>
    <row r="665" ht="15.75" customHeight="1" spans="1:11">
      <c r="A665" s="87">
        <v>664</v>
      </c>
      <c r="B665" s="88" t="s">
        <v>46</v>
      </c>
      <c r="C665" s="88" t="s">
        <v>49</v>
      </c>
      <c r="D665" s="87">
        <v>2024</v>
      </c>
      <c r="E665" s="88" t="s">
        <v>35</v>
      </c>
      <c r="F665" s="88" t="s">
        <v>151</v>
      </c>
      <c r="G665" s="89" t="s">
        <v>44</v>
      </c>
      <c r="H665" s="89" t="s">
        <v>44</v>
      </c>
      <c r="I665" s="89" t="s">
        <v>44</v>
      </c>
      <c r="J665" s="89" t="s">
        <v>44</v>
      </c>
      <c r="K665" s="90">
        <v>4380510</v>
      </c>
    </row>
    <row r="666" ht="15.75" customHeight="1" spans="1:11">
      <c r="A666" s="87">
        <v>665</v>
      </c>
      <c r="B666" s="88" t="s">
        <v>46</v>
      </c>
      <c r="C666" s="88" t="s">
        <v>49</v>
      </c>
      <c r="D666" s="87">
        <v>2024</v>
      </c>
      <c r="E666" s="88" t="s">
        <v>35</v>
      </c>
      <c r="F666" s="88" t="s">
        <v>152</v>
      </c>
      <c r="G666" s="89" t="s">
        <v>44</v>
      </c>
      <c r="H666" s="89" t="s">
        <v>44</v>
      </c>
      <c r="I666" s="89" t="s">
        <v>44</v>
      </c>
      <c r="J666" s="89" t="s">
        <v>44</v>
      </c>
      <c r="K666" s="90">
        <v>310016</v>
      </c>
    </row>
    <row r="667" ht="15.75" customHeight="1" spans="1:11">
      <c r="A667" s="87">
        <v>666</v>
      </c>
      <c r="B667" s="88" t="s">
        <v>46</v>
      </c>
      <c r="C667" s="88" t="s">
        <v>49</v>
      </c>
      <c r="D667" s="87">
        <v>2024</v>
      </c>
      <c r="E667" s="88" t="s">
        <v>36</v>
      </c>
      <c r="F667" s="88" t="s">
        <v>150</v>
      </c>
      <c r="G667" s="89" t="s">
        <v>44</v>
      </c>
      <c r="H667" s="89" t="s">
        <v>44</v>
      </c>
      <c r="I667" s="89" t="s">
        <v>44</v>
      </c>
      <c r="J667" s="89" t="s">
        <v>44</v>
      </c>
      <c r="K667" s="90">
        <v>4693</v>
      </c>
    </row>
    <row r="668" ht="15.75" customHeight="1" spans="1:11">
      <c r="A668" s="87">
        <v>667</v>
      </c>
      <c r="B668" s="88" t="s">
        <v>46</v>
      </c>
      <c r="C668" s="88" t="s">
        <v>49</v>
      </c>
      <c r="D668" s="87">
        <v>2024</v>
      </c>
      <c r="E668" s="88" t="s">
        <v>36</v>
      </c>
      <c r="F668" s="88" t="s">
        <v>151</v>
      </c>
      <c r="G668" s="89" t="s">
        <v>44</v>
      </c>
      <c r="H668" s="89" t="s">
        <v>44</v>
      </c>
      <c r="I668" s="89" t="s">
        <v>44</v>
      </c>
      <c r="J668" s="89" t="s">
        <v>44</v>
      </c>
      <c r="K668" s="90">
        <v>4650937</v>
      </c>
    </row>
    <row r="669" ht="15.75" customHeight="1" spans="1:11">
      <c r="A669" s="87">
        <v>668</v>
      </c>
      <c r="B669" s="88" t="s">
        <v>46</v>
      </c>
      <c r="C669" s="88" t="s">
        <v>49</v>
      </c>
      <c r="D669" s="87">
        <v>2024</v>
      </c>
      <c r="E669" s="88" t="s">
        <v>36</v>
      </c>
      <c r="F669" s="88" t="s">
        <v>152</v>
      </c>
      <c r="G669" s="89" t="s">
        <v>44</v>
      </c>
      <c r="H669" s="89" t="s">
        <v>44</v>
      </c>
      <c r="I669" s="89" t="s">
        <v>44</v>
      </c>
      <c r="J669" s="89" t="s">
        <v>44</v>
      </c>
      <c r="K669" s="90">
        <v>553823</v>
      </c>
    </row>
    <row r="670" ht="15.75" customHeight="1" spans="1:11">
      <c r="A670" s="87">
        <v>669</v>
      </c>
      <c r="B670" s="88" t="s">
        <v>46</v>
      </c>
      <c r="C670" s="88" t="s">
        <v>49</v>
      </c>
      <c r="D670" s="87">
        <v>2024</v>
      </c>
      <c r="E670" s="88" t="s">
        <v>37</v>
      </c>
      <c r="F670" s="88" t="s">
        <v>150</v>
      </c>
      <c r="G670" s="89" t="s">
        <v>44</v>
      </c>
      <c r="H670" s="89" t="s">
        <v>44</v>
      </c>
      <c r="I670" s="89" t="s">
        <v>44</v>
      </c>
      <c r="J670" s="89" t="s">
        <v>44</v>
      </c>
      <c r="K670" s="90">
        <v>13582</v>
      </c>
    </row>
    <row r="671" ht="15.75" customHeight="1" spans="1:11">
      <c r="A671" s="87">
        <v>670</v>
      </c>
      <c r="B671" s="88" t="s">
        <v>46</v>
      </c>
      <c r="C671" s="88" t="s">
        <v>49</v>
      </c>
      <c r="D671" s="87">
        <v>2024</v>
      </c>
      <c r="E671" s="88" t="s">
        <v>37</v>
      </c>
      <c r="F671" s="88" t="s">
        <v>151</v>
      </c>
      <c r="G671" s="89" t="s">
        <v>44</v>
      </c>
      <c r="H671" s="89" t="s">
        <v>44</v>
      </c>
      <c r="I671" s="89" t="s">
        <v>44</v>
      </c>
      <c r="J671" s="89" t="s">
        <v>44</v>
      </c>
      <c r="K671" s="90">
        <v>5830531</v>
      </c>
    </row>
    <row r="672" ht="15.75" customHeight="1" spans="1:11">
      <c r="A672" s="87">
        <v>671</v>
      </c>
      <c r="B672" s="88" t="s">
        <v>46</v>
      </c>
      <c r="C672" s="88" t="s">
        <v>49</v>
      </c>
      <c r="D672" s="87">
        <v>2024</v>
      </c>
      <c r="E672" s="88" t="s">
        <v>37</v>
      </c>
      <c r="F672" s="88" t="s">
        <v>152</v>
      </c>
      <c r="G672" s="89" t="s">
        <v>44</v>
      </c>
      <c r="H672" s="89" t="s">
        <v>44</v>
      </c>
      <c r="I672" s="89" t="s">
        <v>44</v>
      </c>
      <c r="J672" s="89" t="s">
        <v>44</v>
      </c>
      <c r="K672" s="90">
        <v>261599</v>
      </c>
    </row>
    <row r="673" ht="15.75" customHeight="1" spans="1:11">
      <c r="A673" s="87">
        <v>672</v>
      </c>
      <c r="B673" s="88" t="s">
        <v>46</v>
      </c>
      <c r="C673" s="88" t="s">
        <v>49</v>
      </c>
      <c r="D673" s="87">
        <v>2024</v>
      </c>
      <c r="E673" s="88" t="s">
        <v>38</v>
      </c>
      <c r="F673" s="88" t="s">
        <v>150</v>
      </c>
      <c r="G673" s="89" t="s">
        <v>44</v>
      </c>
      <c r="H673" s="89" t="s">
        <v>44</v>
      </c>
      <c r="I673" s="89" t="s">
        <v>44</v>
      </c>
      <c r="J673" s="89" t="s">
        <v>44</v>
      </c>
      <c r="K673" s="90">
        <v>1818</v>
      </c>
    </row>
    <row r="674" ht="15.75" customHeight="1" spans="1:11">
      <c r="A674" s="87">
        <v>673</v>
      </c>
      <c r="B674" s="88" t="s">
        <v>46</v>
      </c>
      <c r="C674" s="88" t="s">
        <v>49</v>
      </c>
      <c r="D674" s="87">
        <v>2024</v>
      </c>
      <c r="E674" s="88" t="s">
        <v>38</v>
      </c>
      <c r="F674" s="88" t="s">
        <v>151</v>
      </c>
      <c r="G674" s="89" t="s">
        <v>44</v>
      </c>
      <c r="H674" s="89" t="s">
        <v>44</v>
      </c>
      <c r="I674" s="89" t="s">
        <v>44</v>
      </c>
      <c r="J674" s="89" t="s">
        <v>44</v>
      </c>
      <c r="K674" s="90">
        <v>5621102</v>
      </c>
    </row>
    <row r="675" ht="15.75" customHeight="1" spans="1:11">
      <c r="A675" s="87">
        <v>674</v>
      </c>
      <c r="B675" s="88" t="s">
        <v>46</v>
      </c>
      <c r="C675" s="88" t="s">
        <v>49</v>
      </c>
      <c r="D675" s="87">
        <v>2024</v>
      </c>
      <c r="E675" s="88" t="s">
        <v>38</v>
      </c>
      <c r="F675" s="88" t="s">
        <v>152</v>
      </c>
      <c r="G675" s="89" t="s">
        <v>44</v>
      </c>
      <c r="H675" s="89" t="s">
        <v>44</v>
      </c>
      <c r="I675" s="89" t="s">
        <v>44</v>
      </c>
      <c r="J675" s="89" t="s">
        <v>44</v>
      </c>
      <c r="K675" s="90">
        <v>410080</v>
      </c>
    </row>
    <row r="676" ht="15.75" customHeight="1" spans="1:11">
      <c r="A676" s="87">
        <v>675</v>
      </c>
      <c r="B676" s="88" t="s">
        <v>46</v>
      </c>
      <c r="C676" s="88" t="s">
        <v>49</v>
      </c>
      <c r="D676" s="87">
        <v>2024</v>
      </c>
      <c r="E676" s="88" t="s">
        <v>39</v>
      </c>
      <c r="F676" s="88" t="s">
        <v>150</v>
      </c>
      <c r="G676" s="89" t="s">
        <v>44</v>
      </c>
      <c r="H676" s="89" t="s">
        <v>44</v>
      </c>
      <c r="I676" s="89" t="s">
        <v>44</v>
      </c>
      <c r="J676" s="89" t="s">
        <v>44</v>
      </c>
      <c r="K676" s="90">
        <v>4019</v>
      </c>
    </row>
    <row r="677" ht="15.75" customHeight="1" spans="1:11">
      <c r="A677" s="87">
        <v>676</v>
      </c>
      <c r="B677" s="88" t="s">
        <v>46</v>
      </c>
      <c r="C677" s="88" t="s">
        <v>49</v>
      </c>
      <c r="D677" s="87">
        <v>2024</v>
      </c>
      <c r="E677" s="88" t="s">
        <v>39</v>
      </c>
      <c r="F677" s="88" t="s">
        <v>151</v>
      </c>
      <c r="G677" s="89" t="s">
        <v>44</v>
      </c>
      <c r="H677" s="89" t="s">
        <v>44</v>
      </c>
      <c r="I677" s="89" t="s">
        <v>44</v>
      </c>
      <c r="J677" s="89" t="s">
        <v>44</v>
      </c>
      <c r="K677" s="90">
        <v>7817566</v>
      </c>
    </row>
    <row r="678" ht="15.75" customHeight="1" spans="1:11">
      <c r="A678" s="87">
        <v>677</v>
      </c>
      <c r="B678" s="88" t="s">
        <v>46</v>
      </c>
      <c r="C678" s="88" t="s">
        <v>49</v>
      </c>
      <c r="D678" s="87">
        <v>2024</v>
      </c>
      <c r="E678" s="88" t="s">
        <v>39</v>
      </c>
      <c r="F678" s="88" t="s">
        <v>152</v>
      </c>
      <c r="G678" s="89" t="s">
        <v>44</v>
      </c>
      <c r="H678" s="89" t="s">
        <v>44</v>
      </c>
      <c r="I678" s="89" t="s">
        <v>44</v>
      </c>
      <c r="J678" s="89" t="s">
        <v>44</v>
      </c>
      <c r="K678" s="90">
        <v>461849</v>
      </c>
    </row>
    <row r="679" ht="15.75" customHeight="1" spans="1:11">
      <c r="A679" s="87">
        <v>678</v>
      </c>
      <c r="B679" s="88" t="s">
        <v>46</v>
      </c>
      <c r="C679" s="88" t="s">
        <v>49</v>
      </c>
      <c r="D679" s="87">
        <v>2024</v>
      </c>
      <c r="E679" s="88" t="s">
        <v>40</v>
      </c>
      <c r="F679" s="88" t="s">
        <v>150</v>
      </c>
      <c r="G679" s="89" t="s">
        <v>44</v>
      </c>
      <c r="H679" s="89" t="s">
        <v>44</v>
      </c>
      <c r="I679" s="89" t="s">
        <v>44</v>
      </c>
      <c r="J679" s="89" t="s">
        <v>44</v>
      </c>
      <c r="K679" s="90">
        <v>2814</v>
      </c>
    </row>
    <row r="680" ht="15.75" customHeight="1" spans="1:11">
      <c r="A680" s="87">
        <v>679</v>
      </c>
      <c r="B680" s="88" t="s">
        <v>46</v>
      </c>
      <c r="C680" s="88" t="s">
        <v>49</v>
      </c>
      <c r="D680" s="87">
        <v>2024</v>
      </c>
      <c r="E680" s="88" t="s">
        <v>40</v>
      </c>
      <c r="F680" s="88" t="s">
        <v>151</v>
      </c>
      <c r="G680" s="89" t="s">
        <v>44</v>
      </c>
      <c r="H680" s="89" t="s">
        <v>44</v>
      </c>
      <c r="I680" s="89" t="s">
        <v>44</v>
      </c>
      <c r="J680" s="89" t="s">
        <v>44</v>
      </c>
      <c r="K680" s="90">
        <v>6233472</v>
      </c>
    </row>
    <row r="681" ht="15.75" customHeight="1" spans="1:11">
      <c r="A681" s="87">
        <v>680</v>
      </c>
      <c r="B681" s="88" t="s">
        <v>46</v>
      </c>
      <c r="C681" s="88" t="s">
        <v>49</v>
      </c>
      <c r="D681" s="87">
        <v>2024</v>
      </c>
      <c r="E681" s="88" t="s">
        <v>40</v>
      </c>
      <c r="F681" s="88" t="s">
        <v>152</v>
      </c>
      <c r="G681" s="89" t="s">
        <v>44</v>
      </c>
      <c r="H681" s="89" t="s">
        <v>44</v>
      </c>
      <c r="I681" s="89" t="s">
        <v>44</v>
      </c>
      <c r="J681" s="89" t="s">
        <v>44</v>
      </c>
      <c r="K681" s="90">
        <v>294447</v>
      </c>
    </row>
    <row r="682" ht="15.75" customHeight="1" spans="1:11">
      <c r="A682" s="87">
        <v>681</v>
      </c>
      <c r="B682" s="88" t="s">
        <v>46</v>
      </c>
      <c r="C682" s="88" t="s">
        <v>49</v>
      </c>
      <c r="D682" s="87">
        <v>2024</v>
      </c>
      <c r="E682" s="88" t="s">
        <v>41</v>
      </c>
      <c r="F682" s="88" t="s">
        <v>150</v>
      </c>
      <c r="G682" s="89" t="s">
        <v>44</v>
      </c>
      <c r="H682" s="89" t="s">
        <v>44</v>
      </c>
      <c r="I682" s="89" t="s">
        <v>44</v>
      </c>
      <c r="J682" s="89" t="s">
        <v>44</v>
      </c>
      <c r="K682" s="90">
        <v>10663</v>
      </c>
    </row>
    <row r="683" ht="15.75" customHeight="1" spans="1:11">
      <c r="A683" s="87">
        <v>682</v>
      </c>
      <c r="B683" s="88" t="s">
        <v>46</v>
      </c>
      <c r="C683" s="88" t="s">
        <v>49</v>
      </c>
      <c r="D683" s="87">
        <v>2024</v>
      </c>
      <c r="E683" s="88" t="s">
        <v>41</v>
      </c>
      <c r="F683" s="88" t="s">
        <v>153</v>
      </c>
      <c r="G683" s="90">
        <v>13800</v>
      </c>
      <c r="H683" s="89">
        <v>1</v>
      </c>
      <c r="I683" s="89" t="s">
        <v>44</v>
      </c>
      <c r="J683" s="89" t="s">
        <v>44</v>
      </c>
      <c r="K683" s="90">
        <v>13800</v>
      </c>
    </row>
    <row r="684" ht="15.75" customHeight="1" spans="1:11">
      <c r="A684" s="87">
        <v>683</v>
      </c>
      <c r="B684" s="88" t="s">
        <v>46</v>
      </c>
      <c r="C684" s="88" t="s">
        <v>49</v>
      </c>
      <c r="D684" s="87">
        <v>2024</v>
      </c>
      <c r="E684" s="88" t="s">
        <v>41</v>
      </c>
      <c r="F684" s="88" t="s">
        <v>151</v>
      </c>
      <c r="G684" s="89" t="s">
        <v>44</v>
      </c>
      <c r="H684" s="89" t="s">
        <v>44</v>
      </c>
      <c r="I684" s="89" t="s">
        <v>44</v>
      </c>
      <c r="J684" s="89" t="s">
        <v>44</v>
      </c>
      <c r="K684" s="90">
        <v>6533566</v>
      </c>
    </row>
    <row r="685" ht="15.75" customHeight="1" spans="1:11">
      <c r="A685" s="87">
        <v>684</v>
      </c>
      <c r="B685" s="88" t="s">
        <v>46</v>
      </c>
      <c r="C685" s="88" t="s">
        <v>49</v>
      </c>
      <c r="D685" s="87">
        <v>2024</v>
      </c>
      <c r="E685" s="88" t="s">
        <v>41</v>
      </c>
      <c r="F685" s="88" t="s">
        <v>152</v>
      </c>
      <c r="G685" s="89" t="s">
        <v>44</v>
      </c>
      <c r="H685" s="89" t="s">
        <v>44</v>
      </c>
      <c r="I685" s="89" t="s">
        <v>44</v>
      </c>
      <c r="J685" s="89" t="s">
        <v>44</v>
      </c>
      <c r="K685" s="90">
        <v>361118</v>
      </c>
    </row>
    <row r="686" ht="15.75" customHeight="1" spans="1:11">
      <c r="A686" s="87">
        <v>685</v>
      </c>
      <c r="B686" s="88" t="s">
        <v>46</v>
      </c>
      <c r="C686" s="88" t="s">
        <v>49</v>
      </c>
      <c r="D686" s="87">
        <v>2024</v>
      </c>
      <c r="E686" s="88" t="s">
        <v>42</v>
      </c>
      <c r="F686" s="88" t="s">
        <v>150</v>
      </c>
      <c r="G686" s="89" t="s">
        <v>44</v>
      </c>
      <c r="H686" s="89" t="s">
        <v>44</v>
      </c>
      <c r="I686" s="89" t="s">
        <v>44</v>
      </c>
      <c r="J686" s="89" t="s">
        <v>44</v>
      </c>
      <c r="K686" s="90">
        <v>195423</v>
      </c>
    </row>
    <row r="687" ht="15.75" customHeight="1" spans="1:11">
      <c r="A687" s="87">
        <v>686</v>
      </c>
      <c r="B687" s="88" t="s">
        <v>46</v>
      </c>
      <c r="C687" s="88" t="s">
        <v>49</v>
      </c>
      <c r="D687" s="87">
        <v>2024</v>
      </c>
      <c r="E687" s="88" t="s">
        <v>42</v>
      </c>
      <c r="F687" s="88" t="s">
        <v>151</v>
      </c>
      <c r="G687" s="89" t="s">
        <v>44</v>
      </c>
      <c r="H687" s="89" t="s">
        <v>44</v>
      </c>
      <c r="I687" s="89" t="s">
        <v>44</v>
      </c>
      <c r="J687" s="89" t="s">
        <v>44</v>
      </c>
      <c r="K687" s="90">
        <v>7395952</v>
      </c>
    </row>
    <row r="688" ht="15.75" customHeight="1" spans="1:11">
      <c r="A688" s="87">
        <v>687</v>
      </c>
      <c r="B688" s="88" t="s">
        <v>46</v>
      </c>
      <c r="C688" s="88" t="s">
        <v>49</v>
      </c>
      <c r="D688" s="87">
        <v>2024</v>
      </c>
      <c r="E688" s="88" t="s">
        <v>42</v>
      </c>
      <c r="F688" s="88" t="s">
        <v>152</v>
      </c>
      <c r="G688" s="89" t="s">
        <v>44</v>
      </c>
      <c r="H688" s="89" t="s">
        <v>44</v>
      </c>
      <c r="I688" s="89" t="s">
        <v>44</v>
      </c>
      <c r="J688" s="89" t="s">
        <v>44</v>
      </c>
      <c r="K688" s="90">
        <v>547916</v>
      </c>
    </row>
    <row r="689" ht="15.75" customHeight="1" spans="1:11">
      <c r="A689" s="87">
        <v>688</v>
      </c>
      <c r="B689" s="88" t="s">
        <v>46</v>
      </c>
      <c r="C689" s="88" t="s">
        <v>49</v>
      </c>
      <c r="D689" s="87">
        <v>2024</v>
      </c>
      <c r="E689" s="88" t="s">
        <v>43</v>
      </c>
      <c r="F689" s="88" t="s">
        <v>149</v>
      </c>
      <c r="G689" s="89" t="s">
        <v>44</v>
      </c>
      <c r="H689" s="89">
        <v>3</v>
      </c>
      <c r="I689" s="90">
        <v>356639</v>
      </c>
      <c r="J689" s="89">
        <v>3</v>
      </c>
      <c r="K689" s="90">
        <v>19259</v>
      </c>
    </row>
    <row r="690" ht="15.75" customHeight="1" spans="1:11">
      <c r="A690" s="87">
        <v>689</v>
      </c>
      <c r="B690" s="88" t="s">
        <v>46</v>
      </c>
      <c r="C690" s="88" t="s">
        <v>49</v>
      </c>
      <c r="D690" s="87">
        <v>2024</v>
      </c>
      <c r="E690" s="88" t="s">
        <v>43</v>
      </c>
      <c r="F690" s="88" t="s">
        <v>150</v>
      </c>
      <c r="G690" s="89" t="s">
        <v>44</v>
      </c>
      <c r="H690" s="89" t="s">
        <v>44</v>
      </c>
      <c r="I690" s="89" t="s">
        <v>44</v>
      </c>
      <c r="J690" s="89" t="s">
        <v>44</v>
      </c>
      <c r="K690" s="90">
        <v>35698</v>
      </c>
    </row>
    <row r="691" ht="15.75" customHeight="1" spans="1:11">
      <c r="A691" s="87">
        <v>690</v>
      </c>
      <c r="B691" s="88" t="s">
        <v>46</v>
      </c>
      <c r="C691" s="88" t="s">
        <v>49</v>
      </c>
      <c r="D691" s="87">
        <v>2024</v>
      </c>
      <c r="E691" s="88" t="s">
        <v>43</v>
      </c>
      <c r="F691" s="88" t="s">
        <v>151</v>
      </c>
      <c r="G691" s="89" t="s">
        <v>44</v>
      </c>
      <c r="H691" s="89" t="s">
        <v>44</v>
      </c>
      <c r="I691" s="89" t="s">
        <v>44</v>
      </c>
      <c r="J691" s="89" t="s">
        <v>44</v>
      </c>
      <c r="K691" s="90">
        <v>12205756</v>
      </c>
    </row>
    <row r="692" ht="15.75" customHeight="1" spans="1:11">
      <c r="A692" s="87">
        <v>691</v>
      </c>
      <c r="B692" s="88" t="s">
        <v>46</v>
      </c>
      <c r="C692" s="88" t="s">
        <v>49</v>
      </c>
      <c r="D692" s="87">
        <v>2024</v>
      </c>
      <c r="E692" s="88" t="s">
        <v>43</v>
      </c>
      <c r="F692" s="88" t="s">
        <v>152</v>
      </c>
      <c r="G692" s="89" t="s">
        <v>44</v>
      </c>
      <c r="H692" s="89" t="s">
        <v>44</v>
      </c>
      <c r="I692" s="89" t="s">
        <v>44</v>
      </c>
      <c r="J692" s="89" t="s">
        <v>44</v>
      </c>
      <c r="K692" s="90">
        <v>270229</v>
      </c>
    </row>
    <row r="693" ht="15.75" customHeight="1" spans="1:11">
      <c r="A693" s="87">
        <v>692</v>
      </c>
      <c r="B693" s="88" t="s">
        <v>46</v>
      </c>
      <c r="C693" s="88" t="s">
        <v>49</v>
      </c>
      <c r="D693" s="87">
        <v>2025</v>
      </c>
      <c r="E693" s="88" t="s">
        <v>31</v>
      </c>
      <c r="F693" s="88" t="s">
        <v>149</v>
      </c>
      <c r="G693" s="89" t="s">
        <v>44</v>
      </c>
      <c r="H693" s="89">
        <v>1</v>
      </c>
      <c r="I693" s="90">
        <v>21821</v>
      </c>
      <c r="J693" s="89">
        <v>1</v>
      </c>
      <c r="K693" s="90">
        <v>1178</v>
      </c>
    </row>
    <row r="694" ht="15.75" customHeight="1" spans="1:11">
      <c r="A694" s="87">
        <v>693</v>
      </c>
      <c r="B694" s="88" t="s">
        <v>46</v>
      </c>
      <c r="C694" s="88" t="s">
        <v>49</v>
      </c>
      <c r="D694" s="87">
        <v>2025</v>
      </c>
      <c r="E694" s="88" t="s">
        <v>31</v>
      </c>
      <c r="F694" s="88" t="s">
        <v>150</v>
      </c>
      <c r="G694" s="89" t="s">
        <v>44</v>
      </c>
      <c r="H694" s="89" t="s">
        <v>44</v>
      </c>
      <c r="I694" s="89" t="s">
        <v>44</v>
      </c>
      <c r="J694" s="89" t="s">
        <v>44</v>
      </c>
      <c r="K694" s="90">
        <v>15895</v>
      </c>
    </row>
    <row r="695" ht="15.75" customHeight="1" spans="1:11">
      <c r="A695" s="87">
        <v>694</v>
      </c>
      <c r="B695" s="88" t="s">
        <v>46</v>
      </c>
      <c r="C695" s="88" t="s">
        <v>49</v>
      </c>
      <c r="D695" s="87">
        <v>2025</v>
      </c>
      <c r="E695" s="88" t="s">
        <v>31</v>
      </c>
      <c r="F695" s="88" t="s">
        <v>151</v>
      </c>
      <c r="G695" s="89" t="s">
        <v>44</v>
      </c>
      <c r="H695" s="89" t="s">
        <v>44</v>
      </c>
      <c r="I695" s="89" t="s">
        <v>44</v>
      </c>
      <c r="J695" s="89" t="s">
        <v>44</v>
      </c>
      <c r="K695" s="90">
        <v>5042818</v>
      </c>
    </row>
    <row r="696" ht="15.75" customHeight="1" spans="1:11">
      <c r="A696" s="87">
        <v>695</v>
      </c>
      <c r="B696" s="88" t="s">
        <v>46</v>
      </c>
      <c r="C696" s="88" t="s">
        <v>49</v>
      </c>
      <c r="D696" s="87">
        <v>2025</v>
      </c>
      <c r="E696" s="88" t="s">
        <v>31</v>
      </c>
      <c r="F696" s="88" t="s">
        <v>152</v>
      </c>
      <c r="G696" s="89" t="s">
        <v>44</v>
      </c>
      <c r="H696" s="89" t="s">
        <v>44</v>
      </c>
      <c r="I696" s="89" t="s">
        <v>44</v>
      </c>
      <c r="J696" s="89" t="s">
        <v>44</v>
      </c>
      <c r="K696" s="90">
        <v>324536</v>
      </c>
    </row>
    <row r="697" ht="15.75" customHeight="1" spans="1:11">
      <c r="A697" s="87">
        <v>696</v>
      </c>
      <c r="B697" s="88" t="s">
        <v>46</v>
      </c>
      <c r="C697" s="88" t="s">
        <v>49</v>
      </c>
      <c r="D697" s="87">
        <v>2025</v>
      </c>
      <c r="E697" s="88" t="s">
        <v>33</v>
      </c>
      <c r="F697" s="88" t="s">
        <v>149</v>
      </c>
      <c r="G697" s="89" t="s">
        <v>44</v>
      </c>
      <c r="H697" s="89">
        <v>3</v>
      </c>
      <c r="I697" s="90">
        <v>90382</v>
      </c>
      <c r="J697" s="89">
        <v>2</v>
      </c>
      <c r="K697" s="90">
        <v>3836</v>
      </c>
    </row>
    <row r="698" ht="15.75" customHeight="1" spans="1:11">
      <c r="A698" s="87">
        <v>697</v>
      </c>
      <c r="B698" s="88" t="s">
        <v>46</v>
      </c>
      <c r="C698" s="88" t="s">
        <v>49</v>
      </c>
      <c r="D698" s="87">
        <v>2025</v>
      </c>
      <c r="E698" s="88" t="s">
        <v>33</v>
      </c>
      <c r="F698" s="88" t="s">
        <v>150</v>
      </c>
      <c r="G698" s="89" t="s">
        <v>44</v>
      </c>
      <c r="H698" s="89" t="s">
        <v>44</v>
      </c>
      <c r="I698" s="89" t="s">
        <v>44</v>
      </c>
      <c r="J698" s="89" t="s">
        <v>44</v>
      </c>
      <c r="K698" s="90">
        <v>31805</v>
      </c>
    </row>
    <row r="699" ht="15.75" customHeight="1" spans="1:11">
      <c r="A699" s="87">
        <v>698</v>
      </c>
      <c r="B699" s="88" t="s">
        <v>46</v>
      </c>
      <c r="C699" s="88" t="s">
        <v>49</v>
      </c>
      <c r="D699" s="87">
        <v>2025</v>
      </c>
      <c r="E699" s="88" t="s">
        <v>33</v>
      </c>
      <c r="F699" s="88" t="s">
        <v>151</v>
      </c>
      <c r="G699" s="89" t="s">
        <v>44</v>
      </c>
      <c r="H699" s="89" t="s">
        <v>44</v>
      </c>
      <c r="I699" s="89" t="s">
        <v>44</v>
      </c>
      <c r="J699" s="89" t="s">
        <v>44</v>
      </c>
      <c r="K699" s="90">
        <v>7158620</v>
      </c>
    </row>
    <row r="700" ht="15.75" customHeight="1" spans="1:11">
      <c r="A700" s="87">
        <v>699</v>
      </c>
      <c r="B700" s="88" t="s">
        <v>46</v>
      </c>
      <c r="C700" s="88" t="s">
        <v>49</v>
      </c>
      <c r="D700" s="87">
        <v>2025</v>
      </c>
      <c r="E700" s="88" t="s">
        <v>33</v>
      </c>
      <c r="F700" s="88" t="s">
        <v>152</v>
      </c>
      <c r="G700" s="89" t="s">
        <v>44</v>
      </c>
      <c r="H700" s="89" t="s">
        <v>44</v>
      </c>
      <c r="I700" s="89" t="s">
        <v>44</v>
      </c>
      <c r="J700" s="89" t="s">
        <v>44</v>
      </c>
      <c r="K700" s="90">
        <v>358735</v>
      </c>
    </row>
    <row r="701" ht="15.75" customHeight="1" spans="1:11">
      <c r="A701" s="87">
        <v>700</v>
      </c>
      <c r="B701" s="88" t="s">
        <v>46</v>
      </c>
      <c r="C701" s="88" t="s">
        <v>49</v>
      </c>
      <c r="D701" s="87">
        <v>2025</v>
      </c>
      <c r="E701" s="88" t="s">
        <v>34</v>
      </c>
      <c r="F701" s="88" t="s">
        <v>149</v>
      </c>
      <c r="G701" s="89" t="s">
        <v>44</v>
      </c>
      <c r="H701" s="89">
        <v>1</v>
      </c>
      <c r="I701" s="90">
        <v>34000</v>
      </c>
      <c r="J701" s="89">
        <v>1</v>
      </c>
      <c r="K701" s="90">
        <v>1836</v>
      </c>
    </row>
    <row r="702" ht="15.75" customHeight="1" spans="1:11">
      <c r="A702" s="87">
        <v>701</v>
      </c>
      <c r="B702" s="88" t="s">
        <v>46</v>
      </c>
      <c r="C702" s="88" t="s">
        <v>49</v>
      </c>
      <c r="D702" s="87">
        <v>2025</v>
      </c>
      <c r="E702" s="88" t="s">
        <v>34</v>
      </c>
      <c r="F702" s="88" t="s">
        <v>150</v>
      </c>
      <c r="G702" s="89" t="s">
        <v>44</v>
      </c>
      <c r="H702" s="89" t="s">
        <v>44</v>
      </c>
      <c r="I702" s="89" t="s">
        <v>44</v>
      </c>
      <c r="J702" s="89" t="s">
        <v>44</v>
      </c>
      <c r="K702" s="90">
        <v>37551</v>
      </c>
    </row>
    <row r="703" ht="15.75" customHeight="1" spans="1:11">
      <c r="A703" s="87">
        <v>702</v>
      </c>
      <c r="B703" s="88" t="s">
        <v>46</v>
      </c>
      <c r="C703" s="88" t="s">
        <v>49</v>
      </c>
      <c r="D703" s="87">
        <v>2025</v>
      </c>
      <c r="E703" s="88" t="s">
        <v>34</v>
      </c>
      <c r="F703" s="88" t="s">
        <v>151</v>
      </c>
      <c r="G703" s="89" t="s">
        <v>44</v>
      </c>
      <c r="H703" s="89" t="s">
        <v>44</v>
      </c>
      <c r="I703" s="89" t="s">
        <v>44</v>
      </c>
      <c r="J703" s="89" t="s">
        <v>44</v>
      </c>
      <c r="K703" s="90">
        <v>6351607</v>
      </c>
    </row>
    <row r="704" ht="15.75" customHeight="1" spans="1:11">
      <c r="A704" s="87">
        <v>703</v>
      </c>
      <c r="B704" s="88" t="s">
        <v>46</v>
      </c>
      <c r="C704" s="88" t="s">
        <v>49</v>
      </c>
      <c r="D704" s="87">
        <v>2025</v>
      </c>
      <c r="E704" s="88" t="s">
        <v>34</v>
      </c>
      <c r="F704" s="88" t="s">
        <v>152</v>
      </c>
      <c r="G704" s="89" t="s">
        <v>44</v>
      </c>
      <c r="H704" s="89" t="s">
        <v>44</v>
      </c>
      <c r="I704" s="89" t="s">
        <v>44</v>
      </c>
      <c r="J704" s="89" t="s">
        <v>44</v>
      </c>
      <c r="K704" s="90">
        <v>130692</v>
      </c>
    </row>
    <row r="705" ht="15.75" customHeight="1" spans="1:11">
      <c r="A705" s="87">
        <v>704</v>
      </c>
      <c r="B705" s="88" t="s">
        <v>46</v>
      </c>
      <c r="C705" s="88" t="s">
        <v>49</v>
      </c>
      <c r="D705" s="87">
        <v>2025</v>
      </c>
      <c r="E705" s="88" t="s">
        <v>35</v>
      </c>
      <c r="F705" s="88" t="s">
        <v>149</v>
      </c>
      <c r="G705" s="89" t="s">
        <v>44</v>
      </c>
      <c r="H705" s="89">
        <v>4</v>
      </c>
      <c r="I705" s="90">
        <v>108420</v>
      </c>
      <c r="J705" s="89">
        <v>3</v>
      </c>
      <c r="K705" s="90">
        <v>5855</v>
      </c>
    </row>
    <row r="706" ht="15.75" customHeight="1" spans="1:11">
      <c r="A706" s="87">
        <v>705</v>
      </c>
      <c r="B706" s="88" t="s">
        <v>46</v>
      </c>
      <c r="C706" s="88" t="s">
        <v>49</v>
      </c>
      <c r="D706" s="87">
        <v>2025</v>
      </c>
      <c r="E706" s="88" t="s">
        <v>35</v>
      </c>
      <c r="F706" s="88" t="s">
        <v>150</v>
      </c>
      <c r="G706" s="89" t="s">
        <v>44</v>
      </c>
      <c r="H706" s="89" t="s">
        <v>44</v>
      </c>
      <c r="I706" s="89" t="s">
        <v>44</v>
      </c>
      <c r="J706" s="89" t="s">
        <v>44</v>
      </c>
      <c r="K706" s="90">
        <v>50390</v>
      </c>
    </row>
    <row r="707" ht="15.75" customHeight="1" spans="1:11">
      <c r="A707" s="87">
        <v>706</v>
      </c>
      <c r="B707" s="88" t="s">
        <v>46</v>
      </c>
      <c r="C707" s="88" t="s">
        <v>49</v>
      </c>
      <c r="D707" s="87">
        <v>2025</v>
      </c>
      <c r="E707" s="88" t="s">
        <v>35</v>
      </c>
      <c r="F707" s="88" t="s">
        <v>151</v>
      </c>
      <c r="G707" s="89" t="s">
        <v>44</v>
      </c>
      <c r="H707" s="89" t="s">
        <v>44</v>
      </c>
      <c r="I707" s="89" t="s">
        <v>44</v>
      </c>
      <c r="J707" s="89" t="s">
        <v>44</v>
      </c>
      <c r="K707" s="90">
        <v>8404743</v>
      </c>
    </row>
    <row r="708" ht="15.75" customHeight="1" spans="1:11">
      <c r="A708" s="87">
        <v>707</v>
      </c>
      <c r="B708" s="88" t="s">
        <v>46</v>
      </c>
      <c r="C708" s="88" t="s">
        <v>49</v>
      </c>
      <c r="D708" s="87">
        <v>2025</v>
      </c>
      <c r="E708" s="88" t="s">
        <v>35</v>
      </c>
      <c r="F708" s="88" t="s">
        <v>152</v>
      </c>
      <c r="G708" s="89" t="s">
        <v>44</v>
      </c>
      <c r="H708" s="89" t="s">
        <v>44</v>
      </c>
      <c r="I708" s="89" t="s">
        <v>44</v>
      </c>
      <c r="J708" s="89" t="s">
        <v>44</v>
      </c>
      <c r="K708" s="90">
        <v>543121</v>
      </c>
    </row>
    <row r="709" ht="15.75" customHeight="1" spans="1:11">
      <c r="A709" s="87">
        <v>708</v>
      </c>
      <c r="B709" s="88" t="s">
        <v>46</v>
      </c>
      <c r="C709" s="88" t="s">
        <v>49</v>
      </c>
      <c r="D709" s="87">
        <v>2025</v>
      </c>
      <c r="E709" s="88" t="s">
        <v>36</v>
      </c>
      <c r="F709" s="88" t="s">
        <v>149</v>
      </c>
      <c r="G709" s="89" t="s">
        <v>44</v>
      </c>
      <c r="H709" s="89">
        <v>1</v>
      </c>
      <c r="I709" s="90">
        <v>28383</v>
      </c>
      <c r="J709" s="89">
        <v>1</v>
      </c>
      <c r="K709" s="90">
        <v>1533</v>
      </c>
    </row>
    <row r="710" ht="15.75" customHeight="1" spans="1:11">
      <c r="A710" s="87">
        <v>709</v>
      </c>
      <c r="B710" s="88" t="s">
        <v>46</v>
      </c>
      <c r="C710" s="88" t="s">
        <v>49</v>
      </c>
      <c r="D710" s="87">
        <v>2025</v>
      </c>
      <c r="E710" s="88" t="s">
        <v>36</v>
      </c>
      <c r="F710" s="88" t="s">
        <v>150</v>
      </c>
      <c r="G710" s="89" t="s">
        <v>44</v>
      </c>
      <c r="H710" s="89" t="s">
        <v>44</v>
      </c>
      <c r="I710" s="89" t="s">
        <v>44</v>
      </c>
      <c r="J710" s="89" t="s">
        <v>44</v>
      </c>
      <c r="K710" s="90">
        <v>28876</v>
      </c>
    </row>
    <row r="711" ht="15.75" customHeight="1" spans="1:11">
      <c r="A711" s="87">
        <v>710</v>
      </c>
      <c r="B711" s="88" t="s">
        <v>46</v>
      </c>
      <c r="C711" s="88" t="s">
        <v>49</v>
      </c>
      <c r="D711" s="87">
        <v>2025</v>
      </c>
      <c r="E711" s="88" t="s">
        <v>36</v>
      </c>
      <c r="F711" s="88" t="s">
        <v>151</v>
      </c>
      <c r="G711" s="89" t="s">
        <v>44</v>
      </c>
      <c r="H711" s="89" t="s">
        <v>44</v>
      </c>
      <c r="I711" s="89" t="s">
        <v>44</v>
      </c>
      <c r="J711" s="89" t="s">
        <v>44</v>
      </c>
      <c r="K711" s="90">
        <v>5188542</v>
      </c>
    </row>
    <row r="712" ht="15.75" customHeight="1" spans="1:11">
      <c r="A712" s="87">
        <v>711</v>
      </c>
      <c r="B712" s="88" t="s">
        <v>46</v>
      </c>
      <c r="C712" s="88" t="s">
        <v>49</v>
      </c>
      <c r="D712" s="87">
        <v>2025</v>
      </c>
      <c r="E712" s="88" t="s">
        <v>36</v>
      </c>
      <c r="F712" s="88" t="s">
        <v>152</v>
      </c>
      <c r="G712" s="89" t="s">
        <v>44</v>
      </c>
      <c r="H712" s="89" t="s">
        <v>44</v>
      </c>
      <c r="I712" s="89" t="s">
        <v>44</v>
      </c>
      <c r="J712" s="89" t="s">
        <v>44</v>
      </c>
      <c r="K712" s="90">
        <v>387781</v>
      </c>
    </row>
    <row r="713" ht="15.75" customHeight="1" spans="1:11">
      <c r="A713" s="87">
        <v>712</v>
      </c>
      <c r="B713" s="88" t="s">
        <v>46</v>
      </c>
      <c r="C713" s="88" t="s">
        <v>49</v>
      </c>
      <c r="D713" s="87">
        <v>2025</v>
      </c>
      <c r="E713" s="88" t="s">
        <v>37</v>
      </c>
      <c r="F713" s="88" t="s">
        <v>149</v>
      </c>
      <c r="G713" s="89" t="s">
        <v>44</v>
      </c>
      <c r="H713" s="89">
        <v>1</v>
      </c>
      <c r="I713" s="90">
        <v>44272</v>
      </c>
      <c r="J713" s="89">
        <v>1</v>
      </c>
      <c r="K713" s="89" t="s">
        <v>44</v>
      </c>
    </row>
    <row r="714" ht="15.75" customHeight="1" spans="1:11">
      <c r="A714" s="87">
        <v>713</v>
      </c>
      <c r="B714" s="88" t="s">
        <v>46</v>
      </c>
      <c r="C714" s="88" t="s">
        <v>49</v>
      </c>
      <c r="D714" s="87">
        <v>2025</v>
      </c>
      <c r="E714" s="88" t="s">
        <v>37</v>
      </c>
      <c r="F714" s="88" t="s">
        <v>150</v>
      </c>
      <c r="G714" s="89" t="s">
        <v>44</v>
      </c>
      <c r="H714" s="89" t="s">
        <v>44</v>
      </c>
      <c r="I714" s="89" t="s">
        <v>44</v>
      </c>
      <c r="J714" s="89" t="s">
        <v>44</v>
      </c>
      <c r="K714" s="90">
        <v>6380</v>
      </c>
    </row>
    <row r="715" ht="15.75" customHeight="1" spans="1:11">
      <c r="A715" s="87">
        <v>714</v>
      </c>
      <c r="B715" s="88" t="s">
        <v>46</v>
      </c>
      <c r="C715" s="88" t="s">
        <v>49</v>
      </c>
      <c r="D715" s="87">
        <v>2025</v>
      </c>
      <c r="E715" s="88" t="s">
        <v>37</v>
      </c>
      <c r="F715" s="88" t="s">
        <v>151</v>
      </c>
      <c r="G715" s="89" t="s">
        <v>44</v>
      </c>
      <c r="H715" s="89" t="s">
        <v>44</v>
      </c>
      <c r="I715" s="89" t="s">
        <v>44</v>
      </c>
      <c r="J715" s="89" t="s">
        <v>44</v>
      </c>
      <c r="K715" s="90">
        <v>4299535</v>
      </c>
    </row>
    <row r="716" ht="15.75" customHeight="1" spans="1:11">
      <c r="A716" s="87">
        <v>715</v>
      </c>
      <c r="B716" s="88" t="s">
        <v>46</v>
      </c>
      <c r="C716" s="88" t="s">
        <v>49</v>
      </c>
      <c r="D716" s="87">
        <v>2025</v>
      </c>
      <c r="E716" s="88" t="s">
        <v>37</v>
      </c>
      <c r="F716" s="88" t="s">
        <v>152</v>
      </c>
      <c r="G716" s="89" t="s">
        <v>44</v>
      </c>
      <c r="H716" s="89" t="s">
        <v>44</v>
      </c>
      <c r="I716" s="89" t="s">
        <v>44</v>
      </c>
      <c r="J716" s="89" t="s">
        <v>44</v>
      </c>
      <c r="K716" s="90">
        <v>116501</v>
      </c>
    </row>
    <row r="717" ht="15.75" customHeight="1" spans="1:11">
      <c r="A717" s="87">
        <v>716</v>
      </c>
      <c r="B717" s="88" t="s">
        <v>46</v>
      </c>
      <c r="C717" s="88" t="s">
        <v>49</v>
      </c>
      <c r="D717" s="87">
        <v>2025</v>
      </c>
      <c r="E717" s="88" t="s">
        <v>38</v>
      </c>
      <c r="F717" s="88" t="s">
        <v>149</v>
      </c>
      <c r="G717" s="89" t="s">
        <v>44</v>
      </c>
      <c r="H717" s="89">
        <v>4</v>
      </c>
      <c r="I717" s="90">
        <v>70887</v>
      </c>
      <c r="J717" s="89">
        <v>3</v>
      </c>
      <c r="K717" s="90">
        <v>3828</v>
      </c>
    </row>
    <row r="718" ht="15.75" customHeight="1" spans="1:11">
      <c r="A718" s="87">
        <v>717</v>
      </c>
      <c r="B718" s="88" t="s">
        <v>46</v>
      </c>
      <c r="C718" s="88" t="s">
        <v>49</v>
      </c>
      <c r="D718" s="87">
        <v>2025</v>
      </c>
      <c r="E718" s="88" t="s">
        <v>38</v>
      </c>
      <c r="F718" s="88" t="s">
        <v>150</v>
      </c>
      <c r="G718" s="89" t="s">
        <v>44</v>
      </c>
      <c r="H718" s="89" t="s">
        <v>44</v>
      </c>
      <c r="I718" s="89" t="s">
        <v>44</v>
      </c>
      <c r="J718" s="89" t="s">
        <v>44</v>
      </c>
      <c r="K718" s="90">
        <v>5725</v>
      </c>
    </row>
    <row r="719" ht="15.75" customHeight="1" spans="1:11">
      <c r="A719" s="87">
        <v>718</v>
      </c>
      <c r="B719" s="88" t="s">
        <v>46</v>
      </c>
      <c r="C719" s="88" t="s">
        <v>49</v>
      </c>
      <c r="D719" s="87">
        <v>2025</v>
      </c>
      <c r="E719" s="88" t="s">
        <v>38</v>
      </c>
      <c r="F719" s="88" t="s">
        <v>151</v>
      </c>
      <c r="G719" s="89" t="s">
        <v>44</v>
      </c>
      <c r="H719" s="89" t="s">
        <v>44</v>
      </c>
      <c r="I719" s="89" t="s">
        <v>44</v>
      </c>
      <c r="J719" s="89" t="s">
        <v>44</v>
      </c>
      <c r="K719" s="90">
        <v>5768883</v>
      </c>
    </row>
    <row r="720" ht="15.75" customHeight="1" spans="1:11">
      <c r="A720" s="87">
        <v>719</v>
      </c>
      <c r="B720" s="88" t="s">
        <v>46</v>
      </c>
      <c r="C720" s="88" t="s">
        <v>49</v>
      </c>
      <c r="D720" s="87">
        <v>2025</v>
      </c>
      <c r="E720" s="88" t="s">
        <v>38</v>
      </c>
      <c r="F720" s="88" t="s">
        <v>152</v>
      </c>
      <c r="G720" s="89" t="s">
        <v>44</v>
      </c>
      <c r="H720" s="89" t="s">
        <v>44</v>
      </c>
      <c r="I720" s="89" t="s">
        <v>44</v>
      </c>
      <c r="J720" s="89" t="s">
        <v>44</v>
      </c>
      <c r="K720" s="90">
        <v>444034</v>
      </c>
    </row>
    <row r="721" ht="15.75" customHeight="1" spans="1:11">
      <c r="A721" s="87">
        <v>720</v>
      </c>
      <c r="B721" s="88" t="s">
        <v>46</v>
      </c>
      <c r="C721" s="88" t="s">
        <v>49</v>
      </c>
      <c r="D721" s="87">
        <v>2025</v>
      </c>
      <c r="E721" s="88" t="s">
        <v>39</v>
      </c>
      <c r="F721" s="88" t="s">
        <v>149</v>
      </c>
      <c r="G721" s="89" t="s">
        <v>44</v>
      </c>
      <c r="H721" s="89">
        <v>1</v>
      </c>
      <c r="I721" s="90">
        <v>28996</v>
      </c>
      <c r="J721" s="89">
        <v>1</v>
      </c>
      <c r="K721" s="90">
        <v>1566</v>
      </c>
    </row>
    <row r="722" ht="15.75" customHeight="1" spans="1:11">
      <c r="A722" s="87">
        <v>721</v>
      </c>
      <c r="B722" s="88" t="s">
        <v>46</v>
      </c>
      <c r="C722" s="88" t="s">
        <v>49</v>
      </c>
      <c r="D722" s="87">
        <v>2025</v>
      </c>
      <c r="E722" s="88" t="s">
        <v>39</v>
      </c>
      <c r="F722" s="88" t="s">
        <v>150</v>
      </c>
      <c r="G722" s="89" t="s">
        <v>44</v>
      </c>
      <c r="H722" s="89" t="s">
        <v>44</v>
      </c>
      <c r="I722" s="89" t="s">
        <v>44</v>
      </c>
      <c r="J722" s="89" t="s">
        <v>44</v>
      </c>
      <c r="K722" s="90">
        <v>6831</v>
      </c>
    </row>
    <row r="723" ht="15.75" customHeight="1" spans="1:11">
      <c r="A723" s="87">
        <v>722</v>
      </c>
      <c r="B723" s="88" t="s">
        <v>46</v>
      </c>
      <c r="C723" s="88" t="s">
        <v>49</v>
      </c>
      <c r="D723" s="87">
        <v>2025</v>
      </c>
      <c r="E723" s="88" t="s">
        <v>39</v>
      </c>
      <c r="F723" s="88" t="s">
        <v>151</v>
      </c>
      <c r="G723" s="89" t="s">
        <v>44</v>
      </c>
      <c r="H723" s="89" t="s">
        <v>44</v>
      </c>
      <c r="I723" s="89" t="s">
        <v>44</v>
      </c>
      <c r="J723" s="89" t="s">
        <v>44</v>
      </c>
      <c r="K723" s="90">
        <v>8646240</v>
      </c>
    </row>
    <row r="724" ht="15.75" customHeight="1" spans="1:11">
      <c r="A724" s="87">
        <v>723</v>
      </c>
      <c r="B724" s="88" t="s">
        <v>46</v>
      </c>
      <c r="C724" s="88" t="s">
        <v>49</v>
      </c>
      <c r="D724" s="87">
        <v>2025</v>
      </c>
      <c r="E724" s="88" t="s">
        <v>39</v>
      </c>
      <c r="F724" s="88" t="s">
        <v>152</v>
      </c>
      <c r="G724" s="89" t="s">
        <v>44</v>
      </c>
      <c r="H724" s="89" t="s">
        <v>44</v>
      </c>
      <c r="I724" s="89" t="s">
        <v>44</v>
      </c>
      <c r="J724" s="89" t="s">
        <v>44</v>
      </c>
      <c r="K724" s="90">
        <v>649894</v>
      </c>
    </row>
    <row r="725" ht="15.75" customHeight="1" spans="1:11">
      <c r="A725" s="87">
        <v>724</v>
      </c>
      <c r="B725" s="88" t="s">
        <v>46</v>
      </c>
      <c r="C725" s="88" t="s">
        <v>49</v>
      </c>
      <c r="D725" s="87">
        <v>2025</v>
      </c>
      <c r="E725" s="88" t="s">
        <v>40</v>
      </c>
      <c r="F725" s="88" t="s">
        <v>149</v>
      </c>
      <c r="G725" s="89" t="s">
        <v>44</v>
      </c>
      <c r="H725" s="89">
        <v>1</v>
      </c>
      <c r="I725" s="90">
        <v>177242</v>
      </c>
      <c r="J725" s="89">
        <v>1</v>
      </c>
      <c r="K725" s="90">
        <v>2393</v>
      </c>
    </row>
    <row r="726" ht="15.75" customHeight="1" spans="1:11">
      <c r="A726" s="87">
        <v>725</v>
      </c>
      <c r="B726" s="88" t="s">
        <v>46</v>
      </c>
      <c r="C726" s="88" t="s">
        <v>49</v>
      </c>
      <c r="D726" s="87">
        <v>2025</v>
      </c>
      <c r="E726" s="88" t="s">
        <v>40</v>
      </c>
      <c r="F726" s="88" t="s">
        <v>150</v>
      </c>
      <c r="G726" s="89" t="s">
        <v>44</v>
      </c>
      <c r="H726" s="89" t="s">
        <v>44</v>
      </c>
      <c r="I726" s="89" t="s">
        <v>44</v>
      </c>
      <c r="J726" s="89" t="s">
        <v>44</v>
      </c>
      <c r="K726" s="90">
        <v>4838</v>
      </c>
    </row>
    <row r="727" ht="15.75" customHeight="1" spans="1:11">
      <c r="A727" s="87">
        <v>726</v>
      </c>
      <c r="B727" s="88" t="s">
        <v>46</v>
      </c>
      <c r="C727" s="88" t="s">
        <v>49</v>
      </c>
      <c r="D727" s="87">
        <v>2025</v>
      </c>
      <c r="E727" s="88" t="s">
        <v>40</v>
      </c>
      <c r="F727" s="88" t="s">
        <v>151</v>
      </c>
      <c r="G727" s="89" t="s">
        <v>44</v>
      </c>
      <c r="H727" s="89" t="s">
        <v>44</v>
      </c>
      <c r="I727" s="89" t="s">
        <v>44</v>
      </c>
      <c r="J727" s="89" t="s">
        <v>44</v>
      </c>
      <c r="K727" s="90">
        <v>6854588</v>
      </c>
    </row>
    <row r="728" ht="15.75" customHeight="1" spans="1:11">
      <c r="A728" s="87">
        <v>727</v>
      </c>
      <c r="B728" s="88" t="s">
        <v>46</v>
      </c>
      <c r="C728" s="88" t="s">
        <v>49</v>
      </c>
      <c r="D728" s="87">
        <v>2025</v>
      </c>
      <c r="E728" s="88" t="s">
        <v>40</v>
      </c>
      <c r="F728" s="88" t="s">
        <v>152</v>
      </c>
      <c r="G728" s="89" t="s">
        <v>44</v>
      </c>
      <c r="H728" s="89" t="s">
        <v>44</v>
      </c>
      <c r="I728" s="89" t="s">
        <v>44</v>
      </c>
      <c r="J728" s="89" t="s">
        <v>44</v>
      </c>
      <c r="K728" s="90">
        <v>404232</v>
      </c>
    </row>
    <row r="729" ht="15.75" customHeight="1" spans="1:11">
      <c r="A729" s="87">
        <v>728</v>
      </c>
      <c r="B729" s="88" t="s">
        <v>46</v>
      </c>
      <c r="C729" s="88" t="s">
        <v>49</v>
      </c>
      <c r="D729" s="87">
        <v>2025</v>
      </c>
      <c r="E729" s="88" t="s">
        <v>41</v>
      </c>
      <c r="F729" s="88" t="s">
        <v>150</v>
      </c>
      <c r="G729" s="89" t="s">
        <v>44</v>
      </c>
      <c r="H729" s="89" t="s">
        <v>44</v>
      </c>
      <c r="I729" s="89" t="s">
        <v>44</v>
      </c>
      <c r="J729" s="89" t="s">
        <v>44</v>
      </c>
      <c r="K729" s="90">
        <v>5568</v>
      </c>
    </row>
    <row r="730" ht="15.75" customHeight="1" spans="1:11">
      <c r="A730" s="87">
        <v>729</v>
      </c>
      <c r="B730" s="88" t="s">
        <v>46</v>
      </c>
      <c r="C730" s="88" t="s">
        <v>49</v>
      </c>
      <c r="D730" s="87">
        <v>2025</v>
      </c>
      <c r="E730" s="88" t="s">
        <v>41</v>
      </c>
      <c r="F730" s="88" t="s">
        <v>151</v>
      </c>
      <c r="G730" s="89" t="s">
        <v>44</v>
      </c>
      <c r="H730" s="89" t="s">
        <v>44</v>
      </c>
      <c r="I730" s="89" t="s">
        <v>44</v>
      </c>
      <c r="J730" s="89" t="s">
        <v>44</v>
      </c>
      <c r="K730" s="90">
        <v>6197708</v>
      </c>
    </row>
    <row r="731" ht="15.75" customHeight="1" spans="1:11">
      <c r="A731" s="87">
        <v>730</v>
      </c>
      <c r="B731" s="88" t="s">
        <v>46</v>
      </c>
      <c r="C731" s="88" t="s">
        <v>49</v>
      </c>
      <c r="D731" s="87">
        <v>2025</v>
      </c>
      <c r="E731" s="88" t="s">
        <v>41</v>
      </c>
      <c r="F731" s="88" t="s">
        <v>152</v>
      </c>
      <c r="G731" s="89" t="s">
        <v>44</v>
      </c>
      <c r="H731" s="89" t="s">
        <v>44</v>
      </c>
      <c r="I731" s="89" t="s">
        <v>44</v>
      </c>
      <c r="J731" s="89" t="s">
        <v>44</v>
      </c>
      <c r="K731" s="90">
        <v>378561</v>
      </c>
    </row>
    <row r="732" ht="15.75" customHeight="1" spans="1:11">
      <c r="A732" s="87">
        <v>731</v>
      </c>
      <c r="B732" s="88" t="s">
        <v>46</v>
      </c>
      <c r="C732" s="88" t="s">
        <v>49</v>
      </c>
      <c r="D732" s="87">
        <v>2025</v>
      </c>
      <c r="E732" s="88" t="s">
        <v>42</v>
      </c>
      <c r="F732" s="88" t="s">
        <v>150</v>
      </c>
      <c r="G732" s="89" t="s">
        <v>44</v>
      </c>
      <c r="H732" s="89" t="s">
        <v>44</v>
      </c>
      <c r="I732" s="89" t="s">
        <v>44</v>
      </c>
      <c r="J732" s="89" t="s">
        <v>44</v>
      </c>
      <c r="K732" s="90">
        <v>7637</v>
      </c>
    </row>
    <row r="733" ht="15.75" customHeight="1" spans="1:11">
      <c r="A733" s="87">
        <v>732</v>
      </c>
      <c r="B733" s="88" t="s">
        <v>46</v>
      </c>
      <c r="C733" s="88" t="s">
        <v>49</v>
      </c>
      <c r="D733" s="87">
        <v>2025</v>
      </c>
      <c r="E733" s="88" t="s">
        <v>42</v>
      </c>
      <c r="F733" s="88" t="s">
        <v>151</v>
      </c>
      <c r="G733" s="89" t="s">
        <v>44</v>
      </c>
      <c r="H733" s="89" t="s">
        <v>44</v>
      </c>
      <c r="I733" s="89" t="s">
        <v>44</v>
      </c>
      <c r="J733" s="89" t="s">
        <v>44</v>
      </c>
      <c r="K733" s="90">
        <v>7976866</v>
      </c>
    </row>
    <row r="734" ht="15.75" customHeight="1" spans="1:11">
      <c r="A734" s="87">
        <v>733</v>
      </c>
      <c r="B734" s="88" t="s">
        <v>46</v>
      </c>
      <c r="C734" s="88" t="s">
        <v>49</v>
      </c>
      <c r="D734" s="87">
        <v>2025</v>
      </c>
      <c r="E734" s="88" t="s">
        <v>42</v>
      </c>
      <c r="F734" s="88" t="s">
        <v>152</v>
      </c>
      <c r="G734" s="89" t="s">
        <v>44</v>
      </c>
      <c r="H734" s="89" t="s">
        <v>44</v>
      </c>
      <c r="I734" s="89" t="s">
        <v>44</v>
      </c>
      <c r="J734" s="89" t="s">
        <v>44</v>
      </c>
      <c r="K734" s="90">
        <v>307448</v>
      </c>
    </row>
    <row r="735" ht="15.75" customHeight="1" spans="1:11">
      <c r="A735" s="87">
        <v>734</v>
      </c>
      <c r="B735" s="88" t="s">
        <v>46</v>
      </c>
      <c r="C735" s="88" t="s">
        <v>49</v>
      </c>
      <c r="D735" s="87">
        <v>2025</v>
      </c>
      <c r="E735" s="88" t="s">
        <v>43</v>
      </c>
      <c r="F735" s="88" t="s">
        <v>150</v>
      </c>
      <c r="G735" s="89" t="s">
        <v>44</v>
      </c>
      <c r="H735" s="89" t="s">
        <v>44</v>
      </c>
      <c r="I735" s="89" t="s">
        <v>44</v>
      </c>
      <c r="J735" s="89" t="s">
        <v>44</v>
      </c>
      <c r="K735" s="90">
        <v>6263</v>
      </c>
    </row>
    <row r="736" ht="15.75" customHeight="1" spans="1:11">
      <c r="A736" s="87">
        <v>735</v>
      </c>
      <c r="B736" s="88" t="s">
        <v>46</v>
      </c>
      <c r="C736" s="88" t="s">
        <v>49</v>
      </c>
      <c r="D736" s="87">
        <v>2025</v>
      </c>
      <c r="E736" s="88" t="s">
        <v>43</v>
      </c>
      <c r="F736" s="88" t="s">
        <v>151</v>
      </c>
      <c r="G736" s="89" t="s">
        <v>44</v>
      </c>
      <c r="H736" s="89" t="s">
        <v>44</v>
      </c>
      <c r="I736" s="89" t="s">
        <v>44</v>
      </c>
      <c r="J736" s="89" t="s">
        <v>44</v>
      </c>
      <c r="K736" s="90">
        <v>6833865</v>
      </c>
    </row>
    <row r="737" ht="15.75" customHeight="1" spans="1:11">
      <c r="A737" s="87">
        <v>736</v>
      </c>
      <c r="B737" s="88" t="s">
        <v>46</v>
      </c>
      <c r="C737" s="88" t="s">
        <v>49</v>
      </c>
      <c r="D737" s="87">
        <v>2025</v>
      </c>
      <c r="E737" s="88" t="s">
        <v>43</v>
      </c>
      <c r="F737" s="88" t="s">
        <v>152</v>
      </c>
      <c r="G737" s="89" t="s">
        <v>44</v>
      </c>
      <c r="H737" s="89" t="s">
        <v>44</v>
      </c>
      <c r="I737" s="89" t="s">
        <v>44</v>
      </c>
      <c r="J737" s="89" t="s">
        <v>44</v>
      </c>
      <c r="K737" s="90">
        <v>210962</v>
      </c>
    </row>
    <row r="738" ht="15.75" customHeight="1" spans="1:11">
      <c r="A738" s="87">
        <v>737</v>
      </c>
      <c r="B738" s="88" t="s">
        <v>46</v>
      </c>
      <c r="C738" s="88" t="s">
        <v>49</v>
      </c>
      <c r="D738" s="87">
        <v>2026</v>
      </c>
      <c r="E738" s="88" t="s">
        <v>31</v>
      </c>
      <c r="F738" s="88" t="s">
        <v>150</v>
      </c>
      <c r="G738" s="89" t="s">
        <v>44</v>
      </c>
      <c r="H738" s="89" t="s">
        <v>44</v>
      </c>
      <c r="I738" s="89" t="s">
        <v>44</v>
      </c>
      <c r="J738" s="89" t="s">
        <v>44</v>
      </c>
      <c r="K738" s="90">
        <v>7182</v>
      </c>
    </row>
    <row r="739" ht="15.75" customHeight="1" spans="1:11">
      <c r="A739" s="87">
        <v>738</v>
      </c>
      <c r="B739" s="88" t="s">
        <v>46</v>
      </c>
      <c r="C739" s="88" t="s">
        <v>49</v>
      </c>
      <c r="D739" s="87">
        <v>2026</v>
      </c>
      <c r="E739" s="88" t="s">
        <v>31</v>
      </c>
      <c r="F739" s="88" t="s">
        <v>151</v>
      </c>
      <c r="G739" s="89" t="s">
        <v>44</v>
      </c>
      <c r="H739" s="89" t="s">
        <v>44</v>
      </c>
      <c r="I739" s="89" t="s">
        <v>44</v>
      </c>
      <c r="J739" s="89" t="s">
        <v>44</v>
      </c>
      <c r="K739" s="90">
        <v>4599686</v>
      </c>
    </row>
    <row r="740" ht="15.75" customHeight="1" spans="1:11">
      <c r="A740" s="87">
        <v>739</v>
      </c>
      <c r="B740" s="88" t="s">
        <v>46</v>
      </c>
      <c r="C740" s="88" t="s">
        <v>49</v>
      </c>
      <c r="D740" s="87">
        <v>2026</v>
      </c>
      <c r="E740" s="88" t="s">
        <v>31</v>
      </c>
      <c r="F740" s="88" t="s">
        <v>152</v>
      </c>
      <c r="G740" s="89" t="s">
        <v>44</v>
      </c>
      <c r="H740" s="89" t="s">
        <v>44</v>
      </c>
      <c r="I740" s="89" t="s">
        <v>44</v>
      </c>
      <c r="J740" s="89" t="s">
        <v>44</v>
      </c>
      <c r="K740" s="90">
        <v>279919</v>
      </c>
    </row>
    <row r="741" ht="15.75" customHeight="1" spans="1:11">
      <c r="A741" s="87">
        <v>740</v>
      </c>
      <c r="B741" s="88" t="s">
        <v>46</v>
      </c>
      <c r="C741" s="88" t="s">
        <v>49</v>
      </c>
      <c r="D741" s="87">
        <v>2026</v>
      </c>
      <c r="E741" s="88" t="s">
        <v>33</v>
      </c>
      <c r="F741" s="88" t="s">
        <v>151</v>
      </c>
      <c r="G741" s="89" t="s">
        <v>44</v>
      </c>
      <c r="H741" s="89" t="s">
        <v>44</v>
      </c>
      <c r="I741" s="89" t="s">
        <v>44</v>
      </c>
      <c r="J741" s="89" t="s">
        <v>44</v>
      </c>
      <c r="K741" s="90">
        <v>12645853</v>
      </c>
    </row>
    <row r="742" ht="15.75" customHeight="1" spans="1:11">
      <c r="A742" s="87">
        <v>741</v>
      </c>
      <c r="B742" s="88" t="s">
        <v>46</v>
      </c>
      <c r="C742" s="88" t="s">
        <v>49</v>
      </c>
      <c r="D742" s="87">
        <v>2026</v>
      </c>
      <c r="E742" s="88" t="s">
        <v>33</v>
      </c>
      <c r="F742" s="88" t="s">
        <v>152</v>
      </c>
      <c r="G742" s="89" t="s">
        <v>44</v>
      </c>
      <c r="H742" s="89" t="s">
        <v>44</v>
      </c>
      <c r="I742" s="89" t="s">
        <v>44</v>
      </c>
      <c r="J742" s="89" t="s">
        <v>44</v>
      </c>
      <c r="K742" s="90">
        <v>526043</v>
      </c>
    </row>
    <row r="743" ht="15.75" customHeight="1" spans="1:11">
      <c r="A743" s="87">
        <v>742</v>
      </c>
      <c r="B743" s="88" t="s">
        <v>46</v>
      </c>
      <c r="C743" s="88" t="s">
        <v>49</v>
      </c>
      <c r="D743" s="87">
        <v>2026</v>
      </c>
      <c r="E743" s="88" t="s">
        <v>33</v>
      </c>
      <c r="F743" s="88" t="s">
        <v>150</v>
      </c>
      <c r="G743" s="89" t="s">
        <v>44</v>
      </c>
      <c r="H743" s="89" t="s">
        <v>44</v>
      </c>
      <c r="I743" s="89" t="s">
        <v>44</v>
      </c>
      <c r="J743" s="89" t="s">
        <v>44</v>
      </c>
      <c r="K743" s="90">
        <v>16149</v>
      </c>
    </row>
    <row r="744" ht="15.75" customHeight="1" spans="1:11">
      <c r="A744" s="87">
        <v>743</v>
      </c>
      <c r="B744" s="88" t="s">
        <v>46</v>
      </c>
      <c r="C744" s="88" t="s">
        <v>49</v>
      </c>
      <c r="D744" s="87">
        <v>2026</v>
      </c>
      <c r="E744" s="88" t="s">
        <v>34</v>
      </c>
      <c r="F744" s="88" t="s">
        <v>152</v>
      </c>
      <c r="G744" s="89" t="s">
        <v>44</v>
      </c>
      <c r="H744" s="89" t="s">
        <v>44</v>
      </c>
      <c r="I744" s="89" t="s">
        <v>44</v>
      </c>
      <c r="J744" s="89" t="s">
        <v>44</v>
      </c>
      <c r="K744" s="90">
        <v>1726799</v>
      </c>
    </row>
    <row r="745" ht="15.75" customHeight="1" spans="1:11">
      <c r="A745" s="87">
        <v>744</v>
      </c>
      <c r="B745" s="88" t="s">
        <v>46</v>
      </c>
      <c r="C745" s="88" t="s">
        <v>49</v>
      </c>
      <c r="D745" s="87">
        <v>2026</v>
      </c>
      <c r="E745" s="88" t="s">
        <v>34</v>
      </c>
      <c r="F745" s="88" t="s">
        <v>150</v>
      </c>
      <c r="G745" s="89" t="s">
        <v>44</v>
      </c>
      <c r="H745" s="89" t="s">
        <v>44</v>
      </c>
      <c r="I745" s="89" t="s">
        <v>44</v>
      </c>
      <c r="J745" s="89" t="s">
        <v>44</v>
      </c>
      <c r="K745" s="90">
        <v>16167</v>
      </c>
    </row>
    <row r="746" ht="15.75" customHeight="1" spans="1:11">
      <c r="A746" s="87">
        <v>745</v>
      </c>
      <c r="B746" s="88" t="s">
        <v>46</v>
      </c>
      <c r="C746" s="88" t="s">
        <v>49</v>
      </c>
      <c r="D746" s="87">
        <v>2026</v>
      </c>
      <c r="E746" s="88" t="s">
        <v>34</v>
      </c>
      <c r="F746" s="88" t="s">
        <v>151</v>
      </c>
      <c r="G746" s="89" t="s">
        <v>44</v>
      </c>
      <c r="H746" s="89" t="s">
        <v>44</v>
      </c>
      <c r="I746" s="89" t="s">
        <v>44</v>
      </c>
      <c r="J746" s="89" t="s">
        <v>44</v>
      </c>
      <c r="K746" s="90">
        <v>42632652</v>
      </c>
    </row>
    <row r="747" ht="15.75" customHeight="1" spans="1:11">
      <c r="A747" s="87">
        <v>746</v>
      </c>
      <c r="B747" s="88" t="s">
        <v>46</v>
      </c>
      <c r="C747" s="88" t="s">
        <v>51</v>
      </c>
      <c r="D747" s="87">
        <v>2024</v>
      </c>
      <c r="E747" s="88" t="s">
        <v>31</v>
      </c>
      <c r="F747" s="88" t="s">
        <v>150</v>
      </c>
      <c r="G747" s="89" t="s">
        <v>44</v>
      </c>
      <c r="H747" s="89" t="s">
        <v>44</v>
      </c>
      <c r="I747" s="89" t="s">
        <v>44</v>
      </c>
      <c r="J747" s="89" t="s">
        <v>44</v>
      </c>
      <c r="K747" s="90">
        <v>2657981</v>
      </c>
    </row>
    <row r="748" ht="15.75" customHeight="1" spans="1:11">
      <c r="A748" s="87">
        <v>747</v>
      </c>
      <c r="B748" s="88" t="s">
        <v>46</v>
      </c>
      <c r="C748" s="88" t="s">
        <v>51</v>
      </c>
      <c r="D748" s="87">
        <v>2024</v>
      </c>
      <c r="E748" s="88" t="s">
        <v>31</v>
      </c>
      <c r="F748" s="88" t="s">
        <v>155</v>
      </c>
      <c r="G748" s="90">
        <v>23163</v>
      </c>
      <c r="H748" s="89">
        <v>3</v>
      </c>
      <c r="I748" s="89" t="s">
        <v>44</v>
      </c>
      <c r="J748" s="89" t="s">
        <v>44</v>
      </c>
      <c r="K748" s="90">
        <v>23163</v>
      </c>
    </row>
    <row r="749" ht="15.75" customHeight="1" spans="1:11">
      <c r="A749" s="87">
        <v>748</v>
      </c>
      <c r="B749" s="88" t="s">
        <v>46</v>
      </c>
      <c r="C749" s="88" t="s">
        <v>51</v>
      </c>
      <c r="D749" s="87">
        <v>2024</v>
      </c>
      <c r="E749" s="88" t="s">
        <v>31</v>
      </c>
      <c r="F749" s="88" t="s">
        <v>153</v>
      </c>
      <c r="G749" s="90">
        <v>65693</v>
      </c>
      <c r="H749" s="89">
        <v>4</v>
      </c>
      <c r="I749" s="89" t="s">
        <v>44</v>
      </c>
      <c r="J749" s="89" t="s">
        <v>44</v>
      </c>
      <c r="K749" s="90">
        <v>65693</v>
      </c>
    </row>
    <row r="750" ht="15.75" customHeight="1" spans="1:11">
      <c r="A750" s="87">
        <v>749</v>
      </c>
      <c r="B750" s="88" t="s">
        <v>46</v>
      </c>
      <c r="C750" s="88" t="s">
        <v>51</v>
      </c>
      <c r="D750" s="87">
        <v>2024</v>
      </c>
      <c r="E750" s="88" t="s">
        <v>31</v>
      </c>
      <c r="F750" s="88" t="s">
        <v>151</v>
      </c>
      <c r="G750" s="89" t="s">
        <v>44</v>
      </c>
      <c r="H750" s="89" t="s">
        <v>44</v>
      </c>
      <c r="I750" s="89" t="s">
        <v>44</v>
      </c>
      <c r="J750" s="89" t="s">
        <v>44</v>
      </c>
      <c r="K750" s="90">
        <v>214592418</v>
      </c>
    </row>
    <row r="751" ht="15.75" customHeight="1" spans="1:11">
      <c r="A751" s="87">
        <v>750</v>
      </c>
      <c r="B751" s="88" t="s">
        <v>46</v>
      </c>
      <c r="C751" s="88" t="s">
        <v>51</v>
      </c>
      <c r="D751" s="87">
        <v>2024</v>
      </c>
      <c r="E751" s="88" t="s">
        <v>31</v>
      </c>
      <c r="F751" s="88" t="s">
        <v>152</v>
      </c>
      <c r="G751" s="89" t="s">
        <v>44</v>
      </c>
      <c r="H751" s="89" t="s">
        <v>44</v>
      </c>
      <c r="I751" s="89" t="s">
        <v>44</v>
      </c>
      <c r="J751" s="89" t="s">
        <v>44</v>
      </c>
      <c r="K751" s="90">
        <v>9143314</v>
      </c>
    </row>
    <row r="752" ht="15.75" customHeight="1" spans="1:11">
      <c r="A752" s="87">
        <v>751</v>
      </c>
      <c r="B752" s="88" t="s">
        <v>46</v>
      </c>
      <c r="C752" s="88" t="s">
        <v>51</v>
      </c>
      <c r="D752" s="87">
        <v>2024</v>
      </c>
      <c r="E752" s="88" t="s">
        <v>33</v>
      </c>
      <c r="F752" s="88" t="s">
        <v>150</v>
      </c>
      <c r="G752" s="89" t="s">
        <v>44</v>
      </c>
      <c r="H752" s="89" t="s">
        <v>44</v>
      </c>
      <c r="I752" s="89" t="s">
        <v>44</v>
      </c>
      <c r="J752" s="89" t="s">
        <v>44</v>
      </c>
      <c r="K752" s="90">
        <v>2361537</v>
      </c>
    </row>
    <row r="753" ht="15.75" customHeight="1" spans="1:11">
      <c r="A753" s="87">
        <v>752</v>
      </c>
      <c r="B753" s="88" t="s">
        <v>46</v>
      </c>
      <c r="C753" s="88" t="s">
        <v>51</v>
      </c>
      <c r="D753" s="87">
        <v>2024</v>
      </c>
      <c r="E753" s="88" t="s">
        <v>33</v>
      </c>
      <c r="F753" s="88" t="s">
        <v>155</v>
      </c>
      <c r="G753" s="90">
        <v>14718</v>
      </c>
      <c r="H753" s="89">
        <v>1</v>
      </c>
      <c r="I753" s="89" t="s">
        <v>44</v>
      </c>
      <c r="J753" s="89" t="s">
        <v>44</v>
      </c>
      <c r="K753" s="90">
        <v>14718</v>
      </c>
    </row>
    <row r="754" ht="15.75" customHeight="1" spans="1:11">
      <c r="A754" s="87">
        <v>753</v>
      </c>
      <c r="B754" s="88" t="s">
        <v>46</v>
      </c>
      <c r="C754" s="88" t="s">
        <v>51</v>
      </c>
      <c r="D754" s="87">
        <v>2024</v>
      </c>
      <c r="E754" s="88" t="s">
        <v>33</v>
      </c>
      <c r="F754" s="88" t="s">
        <v>157</v>
      </c>
      <c r="G754" s="90">
        <v>9285</v>
      </c>
      <c r="H754" s="89">
        <v>1</v>
      </c>
      <c r="I754" s="89" t="s">
        <v>44</v>
      </c>
      <c r="J754" s="89" t="s">
        <v>44</v>
      </c>
      <c r="K754" s="90">
        <v>9285</v>
      </c>
    </row>
    <row r="755" ht="15.75" customHeight="1" spans="1:11">
      <c r="A755" s="87">
        <v>754</v>
      </c>
      <c r="B755" s="88" t="s">
        <v>46</v>
      </c>
      <c r="C755" s="88" t="s">
        <v>51</v>
      </c>
      <c r="D755" s="87">
        <v>2024</v>
      </c>
      <c r="E755" s="88" t="s">
        <v>33</v>
      </c>
      <c r="F755" s="88" t="s">
        <v>153</v>
      </c>
      <c r="G755" s="90">
        <v>78969</v>
      </c>
      <c r="H755" s="89">
        <v>2</v>
      </c>
      <c r="I755" s="89" t="s">
        <v>44</v>
      </c>
      <c r="J755" s="89" t="s">
        <v>44</v>
      </c>
      <c r="K755" s="90">
        <v>78969</v>
      </c>
    </row>
    <row r="756" ht="15.75" customHeight="1" spans="1:11">
      <c r="A756" s="87">
        <v>755</v>
      </c>
      <c r="B756" s="88" t="s">
        <v>46</v>
      </c>
      <c r="C756" s="88" t="s">
        <v>51</v>
      </c>
      <c r="D756" s="87">
        <v>2024</v>
      </c>
      <c r="E756" s="88" t="s">
        <v>33</v>
      </c>
      <c r="F756" s="88" t="s">
        <v>151</v>
      </c>
      <c r="G756" s="89" t="s">
        <v>44</v>
      </c>
      <c r="H756" s="89" t="s">
        <v>44</v>
      </c>
      <c r="I756" s="89" t="s">
        <v>44</v>
      </c>
      <c r="J756" s="89" t="s">
        <v>44</v>
      </c>
      <c r="K756" s="90">
        <v>585536636</v>
      </c>
    </row>
    <row r="757" ht="15.75" customHeight="1" spans="1:11">
      <c r="A757" s="87">
        <v>756</v>
      </c>
      <c r="B757" s="88" t="s">
        <v>46</v>
      </c>
      <c r="C757" s="88" t="s">
        <v>51</v>
      </c>
      <c r="D757" s="87">
        <v>2024</v>
      </c>
      <c r="E757" s="88" t="s">
        <v>33</v>
      </c>
      <c r="F757" s="88" t="s">
        <v>152</v>
      </c>
      <c r="G757" s="89" t="s">
        <v>44</v>
      </c>
      <c r="H757" s="89" t="s">
        <v>44</v>
      </c>
      <c r="I757" s="89" t="s">
        <v>44</v>
      </c>
      <c r="J757" s="89" t="s">
        <v>44</v>
      </c>
      <c r="K757" s="90">
        <v>19710609</v>
      </c>
    </row>
    <row r="758" ht="15.75" customHeight="1" spans="1:11">
      <c r="A758" s="87">
        <v>757</v>
      </c>
      <c r="B758" s="88" t="s">
        <v>46</v>
      </c>
      <c r="C758" s="88" t="s">
        <v>51</v>
      </c>
      <c r="D758" s="87">
        <v>2024</v>
      </c>
      <c r="E758" s="88" t="s">
        <v>34</v>
      </c>
      <c r="F758" s="88" t="s">
        <v>150</v>
      </c>
      <c r="G758" s="89" t="s">
        <v>44</v>
      </c>
      <c r="H758" s="89" t="s">
        <v>44</v>
      </c>
      <c r="I758" s="89" t="s">
        <v>44</v>
      </c>
      <c r="J758" s="89" t="s">
        <v>44</v>
      </c>
      <c r="K758" s="90">
        <v>1477895</v>
      </c>
    </row>
    <row r="759" ht="15.75" customHeight="1" spans="1:11">
      <c r="A759" s="87">
        <v>758</v>
      </c>
      <c r="B759" s="88" t="s">
        <v>46</v>
      </c>
      <c r="C759" s="88" t="s">
        <v>51</v>
      </c>
      <c r="D759" s="87">
        <v>2024</v>
      </c>
      <c r="E759" s="88" t="s">
        <v>34</v>
      </c>
      <c r="F759" s="88" t="s">
        <v>153</v>
      </c>
      <c r="G759" s="90">
        <v>13969</v>
      </c>
      <c r="H759" s="89">
        <v>1</v>
      </c>
      <c r="I759" s="89" t="s">
        <v>44</v>
      </c>
      <c r="J759" s="89" t="s">
        <v>44</v>
      </c>
      <c r="K759" s="90">
        <v>13969</v>
      </c>
    </row>
    <row r="760" ht="15.75" customHeight="1" spans="1:11">
      <c r="A760" s="87">
        <v>759</v>
      </c>
      <c r="B760" s="88" t="s">
        <v>46</v>
      </c>
      <c r="C760" s="88" t="s">
        <v>51</v>
      </c>
      <c r="D760" s="87">
        <v>2024</v>
      </c>
      <c r="E760" s="88" t="s">
        <v>34</v>
      </c>
      <c r="F760" s="88" t="s">
        <v>151</v>
      </c>
      <c r="G760" s="89" t="s">
        <v>44</v>
      </c>
      <c r="H760" s="89" t="s">
        <v>44</v>
      </c>
      <c r="I760" s="89" t="s">
        <v>44</v>
      </c>
      <c r="J760" s="89" t="s">
        <v>44</v>
      </c>
      <c r="K760" s="90">
        <v>340112053</v>
      </c>
    </row>
    <row r="761" ht="15.75" customHeight="1" spans="1:11">
      <c r="A761" s="87">
        <v>760</v>
      </c>
      <c r="B761" s="88" t="s">
        <v>46</v>
      </c>
      <c r="C761" s="88" t="s">
        <v>51</v>
      </c>
      <c r="D761" s="87">
        <v>2024</v>
      </c>
      <c r="E761" s="88" t="s">
        <v>34</v>
      </c>
      <c r="F761" s="88" t="s">
        <v>152</v>
      </c>
      <c r="G761" s="89" t="s">
        <v>44</v>
      </c>
      <c r="H761" s="89" t="s">
        <v>44</v>
      </c>
      <c r="I761" s="89" t="s">
        <v>44</v>
      </c>
      <c r="J761" s="89" t="s">
        <v>44</v>
      </c>
      <c r="K761" s="90">
        <v>13513995</v>
      </c>
    </row>
    <row r="762" ht="15.75" customHeight="1" spans="1:11">
      <c r="A762" s="87">
        <v>761</v>
      </c>
      <c r="B762" s="88" t="s">
        <v>46</v>
      </c>
      <c r="C762" s="88" t="s">
        <v>51</v>
      </c>
      <c r="D762" s="87">
        <v>2024</v>
      </c>
      <c r="E762" s="88" t="s">
        <v>35</v>
      </c>
      <c r="F762" s="88" t="s">
        <v>150</v>
      </c>
      <c r="G762" s="89" t="s">
        <v>44</v>
      </c>
      <c r="H762" s="89" t="s">
        <v>44</v>
      </c>
      <c r="I762" s="89" t="s">
        <v>44</v>
      </c>
      <c r="J762" s="89" t="s">
        <v>44</v>
      </c>
      <c r="K762" s="90">
        <v>1710652</v>
      </c>
    </row>
    <row r="763" ht="15.75" customHeight="1" spans="1:11">
      <c r="A763" s="87">
        <v>762</v>
      </c>
      <c r="B763" s="88" t="s">
        <v>46</v>
      </c>
      <c r="C763" s="88" t="s">
        <v>51</v>
      </c>
      <c r="D763" s="87">
        <v>2024</v>
      </c>
      <c r="E763" s="88" t="s">
        <v>35</v>
      </c>
      <c r="F763" s="88" t="s">
        <v>153</v>
      </c>
      <c r="G763" s="90">
        <v>41486</v>
      </c>
      <c r="H763" s="89">
        <v>3</v>
      </c>
      <c r="I763" s="89" t="s">
        <v>44</v>
      </c>
      <c r="J763" s="89" t="s">
        <v>44</v>
      </c>
      <c r="K763" s="90">
        <v>41486</v>
      </c>
    </row>
    <row r="764" ht="15.75" customHeight="1" spans="1:11">
      <c r="A764" s="87">
        <v>763</v>
      </c>
      <c r="B764" s="88" t="s">
        <v>46</v>
      </c>
      <c r="C764" s="88" t="s">
        <v>51</v>
      </c>
      <c r="D764" s="87">
        <v>2024</v>
      </c>
      <c r="E764" s="88" t="s">
        <v>35</v>
      </c>
      <c r="F764" s="88" t="s">
        <v>151</v>
      </c>
      <c r="G764" s="89" t="s">
        <v>44</v>
      </c>
      <c r="H764" s="89" t="s">
        <v>44</v>
      </c>
      <c r="I764" s="89" t="s">
        <v>44</v>
      </c>
      <c r="J764" s="89" t="s">
        <v>44</v>
      </c>
      <c r="K764" s="90">
        <v>213962431</v>
      </c>
    </row>
    <row r="765" ht="15.75" customHeight="1" spans="1:11">
      <c r="A765" s="87">
        <v>764</v>
      </c>
      <c r="B765" s="88" t="s">
        <v>46</v>
      </c>
      <c r="C765" s="88" t="s">
        <v>51</v>
      </c>
      <c r="D765" s="87">
        <v>2024</v>
      </c>
      <c r="E765" s="88" t="s">
        <v>35</v>
      </c>
      <c r="F765" s="88" t="s">
        <v>152</v>
      </c>
      <c r="G765" s="89" t="s">
        <v>44</v>
      </c>
      <c r="H765" s="89" t="s">
        <v>44</v>
      </c>
      <c r="I765" s="89" t="s">
        <v>44</v>
      </c>
      <c r="J765" s="89" t="s">
        <v>44</v>
      </c>
      <c r="K765" s="90">
        <v>12027364</v>
      </c>
    </row>
    <row r="766" ht="15.75" customHeight="1" spans="1:11">
      <c r="A766" s="87">
        <v>765</v>
      </c>
      <c r="B766" s="88" t="s">
        <v>46</v>
      </c>
      <c r="C766" s="88" t="s">
        <v>51</v>
      </c>
      <c r="D766" s="87">
        <v>2024</v>
      </c>
      <c r="E766" s="88" t="s">
        <v>36</v>
      </c>
      <c r="F766" s="88" t="s">
        <v>150</v>
      </c>
      <c r="G766" s="89" t="s">
        <v>44</v>
      </c>
      <c r="H766" s="89" t="s">
        <v>44</v>
      </c>
      <c r="I766" s="89" t="s">
        <v>44</v>
      </c>
      <c r="J766" s="89" t="s">
        <v>44</v>
      </c>
      <c r="K766" s="90">
        <v>1927392</v>
      </c>
    </row>
    <row r="767" ht="15.75" customHeight="1" spans="1:11">
      <c r="A767" s="87">
        <v>766</v>
      </c>
      <c r="B767" s="88" t="s">
        <v>46</v>
      </c>
      <c r="C767" s="88" t="s">
        <v>51</v>
      </c>
      <c r="D767" s="87">
        <v>2024</v>
      </c>
      <c r="E767" s="88" t="s">
        <v>36</v>
      </c>
      <c r="F767" s="88" t="s">
        <v>153</v>
      </c>
      <c r="G767" s="90">
        <v>736971</v>
      </c>
      <c r="H767" s="89">
        <v>12</v>
      </c>
      <c r="I767" s="89" t="s">
        <v>44</v>
      </c>
      <c r="J767" s="89" t="s">
        <v>44</v>
      </c>
      <c r="K767" s="90">
        <v>736971</v>
      </c>
    </row>
    <row r="768" ht="15.75" customHeight="1" spans="1:11">
      <c r="A768" s="87">
        <v>767</v>
      </c>
      <c r="B768" s="88" t="s">
        <v>46</v>
      </c>
      <c r="C768" s="88" t="s">
        <v>51</v>
      </c>
      <c r="D768" s="87">
        <v>2024</v>
      </c>
      <c r="E768" s="88" t="s">
        <v>36</v>
      </c>
      <c r="F768" s="88" t="s">
        <v>151</v>
      </c>
      <c r="G768" s="89" t="s">
        <v>44</v>
      </c>
      <c r="H768" s="89" t="s">
        <v>44</v>
      </c>
      <c r="I768" s="89" t="s">
        <v>44</v>
      </c>
      <c r="J768" s="89" t="s">
        <v>44</v>
      </c>
      <c r="K768" s="90">
        <v>179542046</v>
      </c>
    </row>
    <row r="769" ht="15.75" customHeight="1" spans="1:11">
      <c r="A769" s="87">
        <v>768</v>
      </c>
      <c r="B769" s="88" t="s">
        <v>46</v>
      </c>
      <c r="C769" s="88" t="s">
        <v>51</v>
      </c>
      <c r="D769" s="87">
        <v>2024</v>
      </c>
      <c r="E769" s="88" t="s">
        <v>36</v>
      </c>
      <c r="F769" s="88" t="s">
        <v>152</v>
      </c>
      <c r="G769" s="89" t="s">
        <v>44</v>
      </c>
      <c r="H769" s="89" t="s">
        <v>44</v>
      </c>
      <c r="I769" s="89" t="s">
        <v>44</v>
      </c>
      <c r="J769" s="89" t="s">
        <v>44</v>
      </c>
      <c r="K769" s="90">
        <v>11761044</v>
      </c>
    </row>
    <row r="770" ht="15.75" customHeight="1" spans="1:11">
      <c r="A770" s="87">
        <v>769</v>
      </c>
      <c r="B770" s="88" t="s">
        <v>46</v>
      </c>
      <c r="C770" s="88" t="s">
        <v>51</v>
      </c>
      <c r="D770" s="87">
        <v>2024</v>
      </c>
      <c r="E770" s="88" t="s">
        <v>37</v>
      </c>
      <c r="F770" s="88" t="s">
        <v>150</v>
      </c>
      <c r="G770" s="89" t="s">
        <v>44</v>
      </c>
      <c r="H770" s="89" t="s">
        <v>44</v>
      </c>
      <c r="I770" s="89" t="s">
        <v>44</v>
      </c>
      <c r="J770" s="89" t="s">
        <v>44</v>
      </c>
      <c r="K770" s="90">
        <v>4233028</v>
      </c>
    </row>
    <row r="771" ht="15.75" customHeight="1" spans="1:11">
      <c r="A771" s="87">
        <v>770</v>
      </c>
      <c r="B771" s="88" t="s">
        <v>46</v>
      </c>
      <c r="C771" s="88" t="s">
        <v>51</v>
      </c>
      <c r="D771" s="87">
        <v>2024</v>
      </c>
      <c r="E771" s="88" t="s">
        <v>37</v>
      </c>
      <c r="F771" s="88" t="s">
        <v>155</v>
      </c>
      <c r="G771" s="90">
        <v>13609</v>
      </c>
      <c r="H771" s="89">
        <v>1</v>
      </c>
      <c r="I771" s="89" t="s">
        <v>44</v>
      </c>
      <c r="J771" s="89" t="s">
        <v>44</v>
      </c>
      <c r="K771" s="90">
        <v>13609</v>
      </c>
    </row>
    <row r="772" ht="15.75" customHeight="1" spans="1:11">
      <c r="A772" s="87">
        <v>771</v>
      </c>
      <c r="B772" s="88" t="s">
        <v>46</v>
      </c>
      <c r="C772" s="88" t="s">
        <v>51</v>
      </c>
      <c r="D772" s="87">
        <v>2024</v>
      </c>
      <c r="E772" s="88" t="s">
        <v>37</v>
      </c>
      <c r="F772" s="88" t="s">
        <v>153</v>
      </c>
      <c r="G772" s="90">
        <v>178893</v>
      </c>
      <c r="H772" s="89">
        <v>13</v>
      </c>
      <c r="I772" s="89" t="s">
        <v>44</v>
      </c>
      <c r="J772" s="89" t="s">
        <v>44</v>
      </c>
      <c r="K772" s="90">
        <v>178893</v>
      </c>
    </row>
    <row r="773" ht="15.75" customHeight="1" spans="1:11">
      <c r="A773" s="87">
        <v>772</v>
      </c>
      <c r="B773" s="88" t="s">
        <v>46</v>
      </c>
      <c r="C773" s="88" t="s">
        <v>51</v>
      </c>
      <c r="D773" s="87">
        <v>2024</v>
      </c>
      <c r="E773" s="88" t="s">
        <v>37</v>
      </c>
      <c r="F773" s="88" t="s">
        <v>151</v>
      </c>
      <c r="G773" s="89" t="s">
        <v>44</v>
      </c>
      <c r="H773" s="89" t="s">
        <v>44</v>
      </c>
      <c r="I773" s="89" t="s">
        <v>44</v>
      </c>
      <c r="J773" s="89" t="s">
        <v>44</v>
      </c>
      <c r="K773" s="90">
        <v>339217964</v>
      </c>
    </row>
    <row r="774" ht="15.75" customHeight="1" spans="1:11">
      <c r="A774" s="87">
        <v>773</v>
      </c>
      <c r="B774" s="88" t="s">
        <v>46</v>
      </c>
      <c r="C774" s="88" t="s">
        <v>51</v>
      </c>
      <c r="D774" s="87">
        <v>2024</v>
      </c>
      <c r="E774" s="88" t="s">
        <v>37</v>
      </c>
      <c r="F774" s="88" t="s">
        <v>152</v>
      </c>
      <c r="G774" s="89" t="s">
        <v>44</v>
      </c>
      <c r="H774" s="89" t="s">
        <v>44</v>
      </c>
      <c r="I774" s="89" t="s">
        <v>44</v>
      </c>
      <c r="J774" s="89" t="s">
        <v>44</v>
      </c>
      <c r="K774" s="90">
        <v>14589337</v>
      </c>
    </row>
    <row r="775" ht="15.75" customHeight="1" spans="1:11">
      <c r="A775" s="87">
        <v>774</v>
      </c>
      <c r="B775" s="88" t="s">
        <v>46</v>
      </c>
      <c r="C775" s="88" t="s">
        <v>51</v>
      </c>
      <c r="D775" s="87">
        <v>2024</v>
      </c>
      <c r="E775" s="88" t="s">
        <v>38</v>
      </c>
      <c r="F775" s="88" t="s">
        <v>150</v>
      </c>
      <c r="G775" s="89" t="s">
        <v>44</v>
      </c>
      <c r="H775" s="89" t="s">
        <v>44</v>
      </c>
      <c r="I775" s="89" t="s">
        <v>44</v>
      </c>
      <c r="J775" s="89" t="s">
        <v>44</v>
      </c>
      <c r="K775" s="90">
        <v>10806611</v>
      </c>
    </row>
    <row r="776" ht="15.75" customHeight="1" spans="1:11">
      <c r="A776" s="87">
        <v>775</v>
      </c>
      <c r="B776" s="88" t="s">
        <v>46</v>
      </c>
      <c r="C776" s="88" t="s">
        <v>51</v>
      </c>
      <c r="D776" s="87">
        <v>2024</v>
      </c>
      <c r="E776" s="88" t="s">
        <v>38</v>
      </c>
      <c r="F776" s="88" t="s">
        <v>155</v>
      </c>
      <c r="G776" s="90">
        <v>20007</v>
      </c>
      <c r="H776" s="89">
        <v>2</v>
      </c>
      <c r="I776" s="89" t="s">
        <v>44</v>
      </c>
      <c r="J776" s="89" t="s">
        <v>44</v>
      </c>
      <c r="K776" s="90">
        <v>20007</v>
      </c>
    </row>
    <row r="777" ht="15.75" customHeight="1" spans="1:11">
      <c r="A777" s="87">
        <v>776</v>
      </c>
      <c r="B777" s="88" t="s">
        <v>46</v>
      </c>
      <c r="C777" s="88" t="s">
        <v>51</v>
      </c>
      <c r="D777" s="87">
        <v>2024</v>
      </c>
      <c r="E777" s="88" t="s">
        <v>38</v>
      </c>
      <c r="F777" s="88" t="s">
        <v>157</v>
      </c>
      <c r="G777" s="90">
        <v>12361</v>
      </c>
      <c r="H777" s="89">
        <v>1</v>
      </c>
      <c r="I777" s="89" t="s">
        <v>44</v>
      </c>
      <c r="J777" s="89" t="s">
        <v>44</v>
      </c>
      <c r="K777" s="90">
        <v>12361</v>
      </c>
    </row>
    <row r="778" ht="15.75" customHeight="1" spans="1:11">
      <c r="A778" s="87">
        <v>777</v>
      </c>
      <c r="B778" s="88" t="s">
        <v>46</v>
      </c>
      <c r="C778" s="88" t="s">
        <v>51</v>
      </c>
      <c r="D778" s="87">
        <v>2024</v>
      </c>
      <c r="E778" s="88" t="s">
        <v>38</v>
      </c>
      <c r="F778" s="88" t="s">
        <v>153</v>
      </c>
      <c r="G778" s="90">
        <v>313315</v>
      </c>
      <c r="H778" s="89">
        <v>22</v>
      </c>
      <c r="I778" s="89" t="s">
        <v>44</v>
      </c>
      <c r="J778" s="89" t="s">
        <v>44</v>
      </c>
      <c r="K778" s="90">
        <v>313315</v>
      </c>
    </row>
    <row r="779" ht="15.75" customHeight="1" spans="1:11">
      <c r="A779" s="87">
        <v>778</v>
      </c>
      <c r="B779" s="88" t="s">
        <v>46</v>
      </c>
      <c r="C779" s="88" t="s">
        <v>51</v>
      </c>
      <c r="D779" s="87">
        <v>2024</v>
      </c>
      <c r="E779" s="88" t="s">
        <v>38</v>
      </c>
      <c r="F779" s="88" t="s">
        <v>151</v>
      </c>
      <c r="G779" s="89" t="s">
        <v>44</v>
      </c>
      <c r="H779" s="89" t="s">
        <v>44</v>
      </c>
      <c r="I779" s="89" t="s">
        <v>44</v>
      </c>
      <c r="J779" s="89" t="s">
        <v>44</v>
      </c>
      <c r="K779" s="90">
        <v>380735778</v>
      </c>
    </row>
    <row r="780" ht="15.75" customHeight="1" spans="1:11">
      <c r="A780" s="87">
        <v>779</v>
      </c>
      <c r="B780" s="88" t="s">
        <v>46</v>
      </c>
      <c r="C780" s="88" t="s">
        <v>51</v>
      </c>
      <c r="D780" s="87">
        <v>2024</v>
      </c>
      <c r="E780" s="88" t="s">
        <v>38</v>
      </c>
      <c r="F780" s="88" t="s">
        <v>152</v>
      </c>
      <c r="G780" s="89" t="s">
        <v>44</v>
      </c>
      <c r="H780" s="89" t="s">
        <v>44</v>
      </c>
      <c r="I780" s="89" t="s">
        <v>44</v>
      </c>
      <c r="J780" s="89" t="s">
        <v>44</v>
      </c>
      <c r="K780" s="90">
        <v>16303639</v>
      </c>
    </row>
    <row r="781" ht="15.75" customHeight="1" spans="1:11">
      <c r="A781" s="87">
        <v>780</v>
      </c>
      <c r="B781" s="88" t="s">
        <v>46</v>
      </c>
      <c r="C781" s="88" t="s">
        <v>51</v>
      </c>
      <c r="D781" s="87">
        <v>2024</v>
      </c>
      <c r="E781" s="88" t="s">
        <v>39</v>
      </c>
      <c r="F781" s="88" t="s">
        <v>150</v>
      </c>
      <c r="G781" s="89" t="s">
        <v>44</v>
      </c>
      <c r="H781" s="89" t="s">
        <v>44</v>
      </c>
      <c r="I781" s="89" t="s">
        <v>44</v>
      </c>
      <c r="J781" s="89" t="s">
        <v>44</v>
      </c>
      <c r="K781" s="90">
        <v>4956613</v>
      </c>
    </row>
    <row r="782" ht="15.75" customHeight="1" spans="1:11">
      <c r="A782" s="87">
        <v>781</v>
      </c>
      <c r="B782" s="88" t="s">
        <v>46</v>
      </c>
      <c r="C782" s="88" t="s">
        <v>51</v>
      </c>
      <c r="D782" s="87">
        <v>2024</v>
      </c>
      <c r="E782" s="88" t="s">
        <v>39</v>
      </c>
      <c r="F782" s="88" t="s">
        <v>155</v>
      </c>
      <c r="G782" s="90">
        <v>14689</v>
      </c>
      <c r="H782" s="89">
        <v>1</v>
      </c>
      <c r="I782" s="89" t="s">
        <v>44</v>
      </c>
      <c r="J782" s="89" t="s">
        <v>44</v>
      </c>
      <c r="K782" s="90">
        <v>14689</v>
      </c>
    </row>
    <row r="783" ht="15.75" customHeight="1" spans="1:11">
      <c r="A783" s="87">
        <v>782</v>
      </c>
      <c r="B783" s="88" t="s">
        <v>46</v>
      </c>
      <c r="C783" s="88" t="s">
        <v>51</v>
      </c>
      <c r="D783" s="87">
        <v>2024</v>
      </c>
      <c r="E783" s="88" t="s">
        <v>39</v>
      </c>
      <c r="F783" s="88" t="s">
        <v>153</v>
      </c>
      <c r="G783" s="90">
        <v>234922</v>
      </c>
      <c r="H783" s="89">
        <v>12</v>
      </c>
      <c r="I783" s="89" t="s">
        <v>44</v>
      </c>
      <c r="J783" s="89" t="s">
        <v>44</v>
      </c>
      <c r="K783" s="90">
        <v>234922</v>
      </c>
    </row>
    <row r="784" ht="15.75" customHeight="1" spans="1:11">
      <c r="A784" s="87">
        <v>783</v>
      </c>
      <c r="B784" s="88" t="s">
        <v>46</v>
      </c>
      <c r="C784" s="88" t="s">
        <v>51</v>
      </c>
      <c r="D784" s="87">
        <v>2024</v>
      </c>
      <c r="E784" s="88" t="s">
        <v>39</v>
      </c>
      <c r="F784" s="88" t="s">
        <v>151</v>
      </c>
      <c r="G784" s="89" t="s">
        <v>44</v>
      </c>
      <c r="H784" s="89" t="s">
        <v>44</v>
      </c>
      <c r="I784" s="89" t="s">
        <v>44</v>
      </c>
      <c r="J784" s="89" t="s">
        <v>44</v>
      </c>
      <c r="K784" s="90">
        <v>454288936</v>
      </c>
    </row>
    <row r="785" ht="15.75" customHeight="1" spans="1:11">
      <c r="A785" s="87">
        <v>784</v>
      </c>
      <c r="B785" s="88" t="s">
        <v>46</v>
      </c>
      <c r="C785" s="88" t="s">
        <v>51</v>
      </c>
      <c r="D785" s="87">
        <v>2024</v>
      </c>
      <c r="E785" s="88" t="s">
        <v>39</v>
      </c>
      <c r="F785" s="88" t="s">
        <v>152</v>
      </c>
      <c r="G785" s="89" t="s">
        <v>44</v>
      </c>
      <c r="H785" s="89" t="s">
        <v>44</v>
      </c>
      <c r="I785" s="89" t="s">
        <v>44</v>
      </c>
      <c r="J785" s="89" t="s">
        <v>44</v>
      </c>
      <c r="K785" s="90">
        <v>23010040</v>
      </c>
    </row>
    <row r="786" ht="15.75" customHeight="1" spans="1:11">
      <c r="A786" s="87">
        <v>785</v>
      </c>
      <c r="B786" s="88" t="s">
        <v>46</v>
      </c>
      <c r="C786" s="88" t="s">
        <v>51</v>
      </c>
      <c r="D786" s="87">
        <v>2024</v>
      </c>
      <c r="E786" s="88" t="s">
        <v>40</v>
      </c>
      <c r="F786" s="88" t="s">
        <v>149</v>
      </c>
      <c r="G786" s="89" t="s">
        <v>44</v>
      </c>
      <c r="H786" s="89">
        <v>1</v>
      </c>
      <c r="I786" s="90">
        <v>133793</v>
      </c>
      <c r="J786" s="89">
        <v>1</v>
      </c>
      <c r="K786" s="90">
        <v>7225</v>
      </c>
    </row>
    <row r="787" ht="15.75" customHeight="1" spans="1:11">
      <c r="A787" s="87">
        <v>786</v>
      </c>
      <c r="B787" s="88" t="s">
        <v>46</v>
      </c>
      <c r="C787" s="88" t="s">
        <v>51</v>
      </c>
      <c r="D787" s="87">
        <v>2024</v>
      </c>
      <c r="E787" s="88" t="s">
        <v>40</v>
      </c>
      <c r="F787" s="88" t="s">
        <v>150</v>
      </c>
      <c r="G787" s="89" t="s">
        <v>44</v>
      </c>
      <c r="H787" s="89" t="s">
        <v>44</v>
      </c>
      <c r="I787" s="89" t="s">
        <v>44</v>
      </c>
      <c r="J787" s="89" t="s">
        <v>44</v>
      </c>
      <c r="K787" s="90">
        <v>4616161</v>
      </c>
    </row>
    <row r="788" ht="15.75" customHeight="1" spans="1:11">
      <c r="A788" s="87">
        <v>787</v>
      </c>
      <c r="B788" s="88" t="s">
        <v>46</v>
      </c>
      <c r="C788" s="88" t="s">
        <v>51</v>
      </c>
      <c r="D788" s="87">
        <v>2024</v>
      </c>
      <c r="E788" s="88" t="s">
        <v>40</v>
      </c>
      <c r="F788" s="88" t="s">
        <v>155</v>
      </c>
      <c r="G788" s="90">
        <v>13897</v>
      </c>
      <c r="H788" s="89">
        <v>1</v>
      </c>
      <c r="I788" s="89" t="s">
        <v>44</v>
      </c>
      <c r="J788" s="89" t="s">
        <v>44</v>
      </c>
      <c r="K788" s="90">
        <v>13897</v>
      </c>
    </row>
    <row r="789" ht="15.75" customHeight="1" spans="1:11">
      <c r="A789" s="87">
        <v>788</v>
      </c>
      <c r="B789" s="88" t="s">
        <v>46</v>
      </c>
      <c r="C789" s="88" t="s">
        <v>51</v>
      </c>
      <c r="D789" s="87">
        <v>2024</v>
      </c>
      <c r="E789" s="88" t="s">
        <v>40</v>
      </c>
      <c r="F789" s="88" t="s">
        <v>153</v>
      </c>
      <c r="G789" s="90">
        <v>390465</v>
      </c>
      <c r="H789" s="89">
        <v>11</v>
      </c>
      <c r="I789" s="89" t="s">
        <v>44</v>
      </c>
      <c r="J789" s="89" t="s">
        <v>44</v>
      </c>
      <c r="K789" s="90">
        <v>390465</v>
      </c>
    </row>
    <row r="790" ht="15.75" customHeight="1" spans="1:11">
      <c r="A790" s="87">
        <v>789</v>
      </c>
      <c r="B790" s="88" t="s">
        <v>46</v>
      </c>
      <c r="C790" s="88" t="s">
        <v>51</v>
      </c>
      <c r="D790" s="87">
        <v>2024</v>
      </c>
      <c r="E790" s="88" t="s">
        <v>40</v>
      </c>
      <c r="F790" s="88" t="s">
        <v>151</v>
      </c>
      <c r="G790" s="89" t="s">
        <v>44</v>
      </c>
      <c r="H790" s="89" t="s">
        <v>44</v>
      </c>
      <c r="I790" s="89" t="s">
        <v>44</v>
      </c>
      <c r="J790" s="89" t="s">
        <v>44</v>
      </c>
      <c r="K790" s="90">
        <v>407363545</v>
      </c>
    </row>
    <row r="791" ht="15.75" customHeight="1" spans="1:11">
      <c r="A791" s="87">
        <v>790</v>
      </c>
      <c r="B791" s="88" t="s">
        <v>46</v>
      </c>
      <c r="C791" s="88" t="s">
        <v>51</v>
      </c>
      <c r="D791" s="87">
        <v>2024</v>
      </c>
      <c r="E791" s="88" t="s">
        <v>40</v>
      </c>
      <c r="F791" s="88" t="s">
        <v>152</v>
      </c>
      <c r="G791" s="89" t="s">
        <v>44</v>
      </c>
      <c r="H791" s="89" t="s">
        <v>44</v>
      </c>
      <c r="I791" s="89" t="s">
        <v>44</v>
      </c>
      <c r="J791" s="89" t="s">
        <v>44</v>
      </c>
      <c r="K791" s="90">
        <v>26513013</v>
      </c>
    </row>
    <row r="792" ht="15.75" customHeight="1" spans="1:11">
      <c r="A792" s="87">
        <v>791</v>
      </c>
      <c r="B792" s="88" t="s">
        <v>46</v>
      </c>
      <c r="C792" s="88" t="s">
        <v>51</v>
      </c>
      <c r="D792" s="87">
        <v>2024</v>
      </c>
      <c r="E792" s="88" t="s">
        <v>41</v>
      </c>
      <c r="F792" s="88" t="s">
        <v>149</v>
      </c>
      <c r="G792" s="89" t="s">
        <v>44</v>
      </c>
      <c r="H792" s="89">
        <v>6</v>
      </c>
      <c r="I792" s="90">
        <v>511752</v>
      </c>
      <c r="J792" s="89">
        <v>8</v>
      </c>
      <c r="K792" s="90">
        <v>26516</v>
      </c>
    </row>
    <row r="793" ht="15.75" customHeight="1" spans="1:11">
      <c r="A793" s="87">
        <v>792</v>
      </c>
      <c r="B793" s="88" t="s">
        <v>46</v>
      </c>
      <c r="C793" s="88" t="s">
        <v>51</v>
      </c>
      <c r="D793" s="87">
        <v>2024</v>
      </c>
      <c r="E793" s="88" t="s">
        <v>41</v>
      </c>
      <c r="F793" s="88" t="s">
        <v>150</v>
      </c>
      <c r="G793" s="89" t="s">
        <v>44</v>
      </c>
      <c r="H793" s="89" t="s">
        <v>44</v>
      </c>
      <c r="I793" s="89" t="s">
        <v>44</v>
      </c>
      <c r="J793" s="89" t="s">
        <v>44</v>
      </c>
      <c r="K793" s="90">
        <v>5309885</v>
      </c>
    </row>
    <row r="794" ht="15.75" customHeight="1" spans="1:11">
      <c r="A794" s="87">
        <v>793</v>
      </c>
      <c r="B794" s="88" t="s">
        <v>46</v>
      </c>
      <c r="C794" s="88" t="s">
        <v>51</v>
      </c>
      <c r="D794" s="87">
        <v>2024</v>
      </c>
      <c r="E794" s="88" t="s">
        <v>41</v>
      </c>
      <c r="F794" s="88" t="s">
        <v>155</v>
      </c>
      <c r="G794" s="90">
        <v>212392</v>
      </c>
      <c r="H794" s="89">
        <v>11</v>
      </c>
      <c r="I794" s="89" t="s">
        <v>44</v>
      </c>
      <c r="J794" s="89" t="s">
        <v>44</v>
      </c>
      <c r="K794" s="90">
        <v>212392</v>
      </c>
    </row>
    <row r="795" ht="15.75" customHeight="1" spans="1:11">
      <c r="A795" s="87">
        <v>794</v>
      </c>
      <c r="B795" s="88" t="s">
        <v>46</v>
      </c>
      <c r="C795" s="88" t="s">
        <v>51</v>
      </c>
      <c r="D795" s="87">
        <v>2024</v>
      </c>
      <c r="E795" s="88" t="s">
        <v>41</v>
      </c>
      <c r="F795" s="88" t="s">
        <v>157</v>
      </c>
      <c r="G795" s="90">
        <v>20700</v>
      </c>
      <c r="H795" s="89">
        <v>1</v>
      </c>
      <c r="I795" s="89" t="s">
        <v>44</v>
      </c>
      <c r="J795" s="89" t="s">
        <v>44</v>
      </c>
      <c r="K795" s="90">
        <v>20700</v>
      </c>
    </row>
    <row r="796" ht="15.75" customHeight="1" spans="1:11">
      <c r="A796" s="87">
        <v>795</v>
      </c>
      <c r="B796" s="88" t="s">
        <v>46</v>
      </c>
      <c r="C796" s="88" t="s">
        <v>51</v>
      </c>
      <c r="D796" s="87">
        <v>2024</v>
      </c>
      <c r="E796" s="88" t="s">
        <v>41</v>
      </c>
      <c r="F796" s="88" t="s">
        <v>153</v>
      </c>
      <c r="G796" s="90">
        <v>189783</v>
      </c>
      <c r="H796" s="89">
        <v>9</v>
      </c>
      <c r="I796" s="89" t="s">
        <v>44</v>
      </c>
      <c r="J796" s="89" t="s">
        <v>44</v>
      </c>
      <c r="K796" s="90">
        <v>189783</v>
      </c>
    </row>
    <row r="797" ht="15.75" customHeight="1" spans="1:11">
      <c r="A797" s="87">
        <v>796</v>
      </c>
      <c r="B797" s="88" t="s">
        <v>46</v>
      </c>
      <c r="C797" s="88" t="s">
        <v>51</v>
      </c>
      <c r="D797" s="87">
        <v>2024</v>
      </c>
      <c r="E797" s="88" t="s">
        <v>41</v>
      </c>
      <c r="F797" s="88" t="s">
        <v>151</v>
      </c>
      <c r="G797" s="89" t="s">
        <v>44</v>
      </c>
      <c r="H797" s="89" t="s">
        <v>44</v>
      </c>
      <c r="I797" s="89" t="s">
        <v>44</v>
      </c>
      <c r="J797" s="89" t="s">
        <v>44</v>
      </c>
      <c r="K797" s="90">
        <v>339075716</v>
      </c>
    </row>
    <row r="798" ht="15.75" customHeight="1" spans="1:11">
      <c r="A798" s="87">
        <v>797</v>
      </c>
      <c r="B798" s="88" t="s">
        <v>46</v>
      </c>
      <c r="C798" s="88" t="s">
        <v>51</v>
      </c>
      <c r="D798" s="87">
        <v>2024</v>
      </c>
      <c r="E798" s="88" t="s">
        <v>41</v>
      </c>
      <c r="F798" s="88" t="s">
        <v>152</v>
      </c>
      <c r="G798" s="89" t="s">
        <v>44</v>
      </c>
      <c r="H798" s="89" t="s">
        <v>44</v>
      </c>
      <c r="I798" s="89" t="s">
        <v>44</v>
      </c>
      <c r="J798" s="89" t="s">
        <v>44</v>
      </c>
      <c r="K798" s="90">
        <v>19037822</v>
      </c>
    </row>
    <row r="799" ht="15.75" customHeight="1" spans="1:11">
      <c r="A799" s="87">
        <v>798</v>
      </c>
      <c r="B799" s="88" t="s">
        <v>46</v>
      </c>
      <c r="C799" s="88" t="s">
        <v>51</v>
      </c>
      <c r="D799" s="87">
        <v>2024</v>
      </c>
      <c r="E799" s="88" t="s">
        <v>42</v>
      </c>
      <c r="F799" s="88" t="s">
        <v>149</v>
      </c>
      <c r="G799" s="89" t="s">
        <v>44</v>
      </c>
      <c r="H799" s="90">
        <v>1034</v>
      </c>
      <c r="I799" s="90">
        <v>92835780</v>
      </c>
      <c r="J799" s="89">
        <v>824</v>
      </c>
      <c r="K799" s="90">
        <v>4243325</v>
      </c>
    </row>
    <row r="800" ht="15.75" customHeight="1" spans="1:11">
      <c r="A800" s="87">
        <v>799</v>
      </c>
      <c r="B800" s="88" t="s">
        <v>46</v>
      </c>
      <c r="C800" s="88" t="s">
        <v>51</v>
      </c>
      <c r="D800" s="87">
        <v>2024</v>
      </c>
      <c r="E800" s="88" t="s">
        <v>42</v>
      </c>
      <c r="F800" s="88" t="s">
        <v>154</v>
      </c>
      <c r="G800" s="89" t="s">
        <v>44</v>
      </c>
      <c r="H800" s="89" t="s">
        <v>44</v>
      </c>
      <c r="I800" s="89" t="s">
        <v>44</v>
      </c>
      <c r="J800" s="89" t="s">
        <v>44</v>
      </c>
      <c r="K800" s="90">
        <v>792375</v>
      </c>
    </row>
    <row r="801" ht="15.75" customHeight="1" spans="1:11">
      <c r="A801" s="87">
        <v>800</v>
      </c>
      <c r="B801" s="88" t="s">
        <v>46</v>
      </c>
      <c r="C801" s="88" t="s">
        <v>51</v>
      </c>
      <c r="D801" s="87">
        <v>2024</v>
      </c>
      <c r="E801" s="88" t="s">
        <v>42</v>
      </c>
      <c r="F801" s="88" t="s">
        <v>150</v>
      </c>
      <c r="G801" s="89" t="s">
        <v>44</v>
      </c>
      <c r="H801" s="89" t="s">
        <v>44</v>
      </c>
      <c r="I801" s="89" t="s">
        <v>44</v>
      </c>
      <c r="J801" s="89" t="s">
        <v>44</v>
      </c>
      <c r="K801" s="90">
        <v>3283833</v>
      </c>
    </row>
    <row r="802" ht="15.75" customHeight="1" spans="1:11">
      <c r="A802" s="87">
        <v>801</v>
      </c>
      <c r="B802" s="88" t="s">
        <v>46</v>
      </c>
      <c r="C802" s="88" t="s">
        <v>51</v>
      </c>
      <c r="D802" s="87">
        <v>2024</v>
      </c>
      <c r="E802" s="88" t="s">
        <v>42</v>
      </c>
      <c r="F802" s="88" t="s">
        <v>155</v>
      </c>
      <c r="G802" s="90">
        <v>273701</v>
      </c>
      <c r="H802" s="89">
        <v>11</v>
      </c>
      <c r="I802" s="89" t="s">
        <v>44</v>
      </c>
      <c r="J802" s="89" t="s">
        <v>44</v>
      </c>
      <c r="K802" s="90">
        <v>273701</v>
      </c>
    </row>
    <row r="803" ht="15.75" customHeight="1" spans="1:11">
      <c r="A803" s="87">
        <v>802</v>
      </c>
      <c r="B803" s="88" t="s">
        <v>46</v>
      </c>
      <c r="C803" s="88" t="s">
        <v>51</v>
      </c>
      <c r="D803" s="87">
        <v>2024</v>
      </c>
      <c r="E803" s="88" t="s">
        <v>42</v>
      </c>
      <c r="F803" s="88" t="s">
        <v>157</v>
      </c>
      <c r="G803" s="90">
        <v>15255</v>
      </c>
      <c r="H803" s="89">
        <v>1</v>
      </c>
      <c r="I803" s="89" t="s">
        <v>44</v>
      </c>
      <c r="J803" s="89" t="s">
        <v>44</v>
      </c>
      <c r="K803" s="90">
        <v>15255</v>
      </c>
    </row>
    <row r="804" ht="15.75" customHeight="1" spans="1:11">
      <c r="A804" s="87">
        <v>803</v>
      </c>
      <c r="B804" s="88" t="s">
        <v>46</v>
      </c>
      <c r="C804" s="88" t="s">
        <v>51</v>
      </c>
      <c r="D804" s="87">
        <v>2024</v>
      </c>
      <c r="E804" s="88" t="s">
        <v>42</v>
      </c>
      <c r="F804" s="88" t="s">
        <v>153</v>
      </c>
      <c r="G804" s="90">
        <v>216042</v>
      </c>
      <c r="H804" s="89">
        <v>14</v>
      </c>
      <c r="I804" s="89" t="s">
        <v>44</v>
      </c>
      <c r="J804" s="89" t="s">
        <v>44</v>
      </c>
      <c r="K804" s="90">
        <v>216042</v>
      </c>
    </row>
    <row r="805" ht="15.75" customHeight="1" spans="1:11">
      <c r="A805" s="87">
        <v>804</v>
      </c>
      <c r="B805" s="88" t="s">
        <v>46</v>
      </c>
      <c r="C805" s="88" t="s">
        <v>51</v>
      </c>
      <c r="D805" s="87">
        <v>2024</v>
      </c>
      <c r="E805" s="88" t="s">
        <v>42</v>
      </c>
      <c r="F805" s="88" t="s">
        <v>151</v>
      </c>
      <c r="G805" s="89" t="s">
        <v>44</v>
      </c>
      <c r="H805" s="89" t="s">
        <v>44</v>
      </c>
      <c r="I805" s="89" t="s">
        <v>44</v>
      </c>
      <c r="J805" s="89" t="s">
        <v>44</v>
      </c>
      <c r="K805" s="90">
        <v>328534107</v>
      </c>
    </row>
    <row r="806" ht="15.75" customHeight="1" spans="1:11">
      <c r="A806" s="87">
        <v>805</v>
      </c>
      <c r="B806" s="88" t="s">
        <v>46</v>
      </c>
      <c r="C806" s="88" t="s">
        <v>51</v>
      </c>
      <c r="D806" s="87">
        <v>2024</v>
      </c>
      <c r="E806" s="88" t="s">
        <v>42</v>
      </c>
      <c r="F806" s="88" t="s">
        <v>152</v>
      </c>
      <c r="G806" s="89" t="s">
        <v>44</v>
      </c>
      <c r="H806" s="89" t="s">
        <v>44</v>
      </c>
      <c r="I806" s="89" t="s">
        <v>44</v>
      </c>
      <c r="J806" s="89" t="s">
        <v>44</v>
      </c>
      <c r="K806" s="90">
        <v>19234464</v>
      </c>
    </row>
    <row r="807" ht="15.75" customHeight="1" spans="1:11">
      <c r="A807" s="87">
        <v>806</v>
      </c>
      <c r="B807" s="88" t="s">
        <v>46</v>
      </c>
      <c r="C807" s="88" t="s">
        <v>51</v>
      </c>
      <c r="D807" s="87">
        <v>2024</v>
      </c>
      <c r="E807" s="88" t="s">
        <v>43</v>
      </c>
      <c r="F807" s="88" t="s">
        <v>149</v>
      </c>
      <c r="G807" s="89" t="s">
        <v>44</v>
      </c>
      <c r="H807" s="89">
        <v>823</v>
      </c>
      <c r="I807" s="90">
        <v>76371031</v>
      </c>
      <c r="J807" s="89">
        <v>623</v>
      </c>
      <c r="K807" s="90">
        <v>3209307</v>
      </c>
    </row>
    <row r="808" ht="15.75" customHeight="1" spans="1:11">
      <c r="A808" s="87">
        <v>807</v>
      </c>
      <c r="B808" s="88" t="s">
        <v>46</v>
      </c>
      <c r="C808" s="88" t="s">
        <v>51</v>
      </c>
      <c r="D808" s="87">
        <v>2024</v>
      </c>
      <c r="E808" s="88" t="s">
        <v>43</v>
      </c>
      <c r="F808" s="88" t="s">
        <v>154</v>
      </c>
      <c r="G808" s="89" t="s">
        <v>44</v>
      </c>
      <c r="H808" s="89" t="s">
        <v>44</v>
      </c>
      <c r="I808" s="89" t="s">
        <v>44</v>
      </c>
      <c r="J808" s="89" t="s">
        <v>44</v>
      </c>
      <c r="K808" s="90">
        <v>806600</v>
      </c>
    </row>
    <row r="809" ht="15.75" customHeight="1" spans="1:11">
      <c r="A809" s="87">
        <v>808</v>
      </c>
      <c r="B809" s="88" t="s">
        <v>46</v>
      </c>
      <c r="C809" s="88" t="s">
        <v>51</v>
      </c>
      <c r="D809" s="87">
        <v>2024</v>
      </c>
      <c r="E809" s="88" t="s">
        <v>43</v>
      </c>
      <c r="F809" s="88" t="s">
        <v>150</v>
      </c>
      <c r="G809" s="89" t="s">
        <v>44</v>
      </c>
      <c r="H809" s="89" t="s">
        <v>44</v>
      </c>
      <c r="I809" s="89" t="s">
        <v>44</v>
      </c>
      <c r="J809" s="89" t="s">
        <v>44</v>
      </c>
      <c r="K809" s="90">
        <v>1367501</v>
      </c>
    </row>
    <row r="810" ht="15.75" customHeight="1" spans="1:11">
      <c r="A810" s="87">
        <v>809</v>
      </c>
      <c r="B810" s="88" t="s">
        <v>46</v>
      </c>
      <c r="C810" s="88" t="s">
        <v>51</v>
      </c>
      <c r="D810" s="87">
        <v>2024</v>
      </c>
      <c r="E810" s="88" t="s">
        <v>43</v>
      </c>
      <c r="F810" s="88" t="s">
        <v>153</v>
      </c>
      <c r="G810" s="90">
        <v>57183</v>
      </c>
      <c r="H810" s="89">
        <v>4</v>
      </c>
      <c r="I810" s="89" t="s">
        <v>44</v>
      </c>
      <c r="J810" s="89" t="s">
        <v>44</v>
      </c>
      <c r="K810" s="90">
        <v>57183</v>
      </c>
    </row>
    <row r="811" ht="15.75" customHeight="1" spans="1:11">
      <c r="A811" s="87">
        <v>810</v>
      </c>
      <c r="B811" s="88" t="s">
        <v>46</v>
      </c>
      <c r="C811" s="88" t="s">
        <v>51</v>
      </c>
      <c r="D811" s="87">
        <v>2024</v>
      </c>
      <c r="E811" s="88" t="s">
        <v>43</v>
      </c>
      <c r="F811" s="88" t="s">
        <v>151</v>
      </c>
      <c r="G811" s="89" t="s">
        <v>44</v>
      </c>
      <c r="H811" s="89" t="s">
        <v>44</v>
      </c>
      <c r="I811" s="89" t="s">
        <v>44</v>
      </c>
      <c r="J811" s="89" t="s">
        <v>44</v>
      </c>
      <c r="K811" s="90">
        <v>415977927</v>
      </c>
    </row>
    <row r="812" ht="15.75" customHeight="1" spans="1:11">
      <c r="A812" s="87">
        <v>811</v>
      </c>
      <c r="B812" s="88" t="s">
        <v>46</v>
      </c>
      <c r="C812" s="88" t="s">
        <v>51</v>
      </c>
      <c r="D812" s="87">
        <v>2024</v>
      </c>
      <c r="E812" s="88" t="s">
        <v>43</v>
      </c>
      <c r="F812" s="88" t="s">
        <v>152</v>
      </c>
      <c r="G812" s="89" t="s">
        <v>44</v>
      </c>
      <c r="H812" s="89" t="s">
        <v>44</v>
      </c>
      <c r="I812" s="89" t="s">
        <v>44</v>
      </c>
      <c r="J812" s="89" t="s">
        <v>44</v>
      </c>
      <c r="K812" s="90">
        <v>21888044</v>
      </c>
    </row>
    <row r="813" ht="15.75" customHeight="1" spans="1:11">
      <c r="A813" s="87">
        <v>812</v>
      </c>
      <c r="B813" s="88" t="s">
        <v>46</v>
      </c>
      <c r="C813" s="88" t="s">
        <v>51</v>
      </c>
      <c r="D813" s="87">
        <v>2025</v>
      </c>
      <c r="E813" s="88" t="s">
        <v>31</v>
      </c>
      <c r="F813" s="88" t="s">
        <v>149</v>
      </c>
      <c r="G813" s="89" t="s">
        <v>44</v>
      </c>
      <c r="H813" s="89">
        <v>703</v>
      </c>
      <c r="I813" s="90">
        <v>50182290</v>
      </c>
      <c r="J813" s="89">
        <v>546</v>
      </c>
      <c r="K813" s="90">
        <v>2216237</v>
      </c>
    </row>
    <row r="814" ht="15.75" customHeight="1" spans="1:11">
      <c r="A814" s="87">
        <v>813</v>
      </c>
      <c r="B814" s="88" t="s">
        <v>46</v>
      </c>
      <c r="C814" s="88" t="s">
        <v>51</v>
      </c>
      <c r="D814" s="87">
        <v>2025</v>
      </c>
      <c r="E814" s="88" t="s">
        <v>31</v>
      </c>
      <c r="F814" s="88" t="s">
        <v>150</v>
      </c>
      <c r="G814" s="89" t="s">
        <v>44</v>
      </c>
      <c r="H814" s="89" t="s">
        <v>44</v>
      </c>
      <c r="I814" s="89" t="s">
        <v>44</v>
      </c>
      <c r="J814" s="89" t="s">
        <v>44</v>
      </c>
      <c r="K814" s="90">
        <v>1883635</v>
      </c>
    </row>
    <row r="815" ht="15.75" customHeight="1" spans="1:11">
      <c r="A815" s="87">
        <v>814</v>
      </c>
      <c r="B815" s="88" t="s">
        <v>46</v>
      </c>
      <c r="C815" s="88" t="s">
        <v>51</v>
      </c>
      <c r="D815" s="87">
        <v>2025</v>
      </c>
      <c r="E815" s="88" t="s">
        <v>31</v>
      </c>
      <c r="F815" s="88" t="s">
        <v>153</v>
      </c>
      <c r="G815" s="90">
        <v>42701</v>
      </c>
      <c r="H815" s="89">
        <v>3</v>
      </c>
      <c r="I815" s="89" t="s">
        <v>44</v>
      </c>
      <c r="J815" s="89" t="s">
        <v>44</v>
      </c>
      <c r="K815" s="90">
        <v>42701</v>
      </c>
    </row>
    <row r="816" ht="15.75" customHeight="1" spans="1:11">
      <c r="A816" s="87">
        <v>815</v>
      </c>
      <c r="B816" s="88" t="s">
        <v>46</v>
      </c>
      <c r="C816" s="88" t="s">
        <v>51</v>
      </c>
      <c r="D816" s="87">
        <v>2025</v>
      </c>
      <c r="E816" s="88" t="s">
        <v>31</v>
      </c>
      <c r="F816" s="88" t="s">
        <v>151</v>
      </c>
      <c r="G816" s="89" t="s">
        <v>44</v>
      </c>
      <c r="H816" s="89" t="s">
        <v>44</v>
      </c>
      <c r="I816" s="89" t="s">
        <v>44</v>
      </c>
      <c r="J816" s="89" t="s">
        <v>44</v>
      </c>
      <c r="K816" s="90">
        <v>241559017</v>
      </c>
    </row>
    <row r="817" ht="15.75" customHeight="1" spans="1:11">
      <c r="A817" s="87">
        <v>816</v>
      </c>
      <c r="B817" s="88" t="s">
        <v>46</v>
      </c>
      <c r="C817" s="88" t="s">
        <v>51</v>
      </c>
      <c r="D817" s="87">
        <v>2025</v>
      </c>
      <c r="E817" s="88" t="s">
        <v>31</v>
      </c>
      <c r="F817" s="88" t="s">
        <v>152</v>
      </c>
      <c r="G817" s="89" t="s">
        <v>44</v>
      </c>
      <c r="H817" s="89" t="s">
        <v>44</v>
      </c>
      <c r="I817" s="89" t="s">
        <v>44</v>
      </c>
      <c r="J817" s="89" t="s">
        <v>44</v>
      </c>
      <c r="K817" s="90">
        <v>18662831</v>
      </c>
    </row>
    <row r="818" ht="15.75" customHeight="1" spans="1:11">
      <c r="A818" s="87">
        <v>817</v>
      </c>
      <c r="B818" s="88" t="s">
        <v>46</v>
      </c>
      <c r="C818" s="88" t="s">
        <v>51</v>
      </c>
      <c r="D818" s="87">
        <v>2025</v>
      </c>
      <c r="E818" s="88" t="s">
        <v>33</v>
      </c>
      <c r="F818" s="88" t="s">
        <v>149</v>
      </c>
      <c r="G818" s="89" t="s">
        <v>44</v>
      </c>
      <c r="H818" s="90">
        <v>1614</v>
      </c>
      <c r="I818" s="90">
        <v>134581318</v>
      </c>
      <c r="J818" s="90">
        <v>1180</v>
      </c>
      <c r="K818" s="90">
        <v>5220272</v>
      </c>
    </row>
    <row r="819" ht="15.75" customHeight="1" spans="1:11">
      <c r="A819" s="87">
        <v>818</v>
      </c>
      <c r="B819" s="88" t="s">
        <v>46</v>
      </c>
      <c r="C819" s="88" t="s">
        <v>51</v>
      </c>
      <c r="D819" s="87">
        <v>2025</v>
      </c>
      <c r="E819" s="88" t="s">
        <v>33</v>
      </c>
      <c r="F819" s="88" t="s">
        <v>150</v>
      </c>
      <c r="G819" s="89" t="s">
        <v>44</v>
      </c>
      <c r="H819" s="89" t="s">
        <v>44</v>
      </c>
      <c r="I819" s="89" t="s">
        <v>44</v>
      </c>
      <c r="J819" s="89" t="s">
        <v>44</v>
      </c>
      <c r="K819" s="90">
        <v>3234110</v>
      </c>
    </row>
    <row r="820" ht="15.75" customHeight="1" spans="1:11">
      <c r="A820" s="87">
        <v>819</v>
      </c>
      <c r="B820" s="88" t="s">
        <v>46</v>
      </c>
      <c r="C820" s="88" t="s">
        <v>51</v>
      </c>
      <c r="D820" s="87">
        <v>2025</v>
      </c>
      <c r="E820" s="88" t="s">
        <v>33</v>
      </c>
      <c r="F820" s="88" t="s">
        <v>155</v>
      </c>
      <c r="G820" s="90">
        <v>36295</v>
      </c>
      <c r="H820" s="89">
        <v>3</v>
      </c>
      <c r="I820" s="89" t="s">
        <v>44</v>
      </c>
      <c r="J820" s="89" t="s">
        <v>44</v>
      </c>
      <c r="K820" s="90">
        <v>36295</v>
      </c>
    </row>
    <row r="821" ht="15.75" customHeight="1" spans="1:11">
      <c r="A821" s="87">
        <v>820</v>
      </c>
      <c r="B821" s="88" t="s">
        <v>46</v>
      </c>
      <c r="C821" s="88" t="s">
        <v>51</v>
      </c>
      <c r="D821" s="87">
        <v>2025</v>
      </c>
      <c r="E821" s="88" t="s">
        <v>33</v>
      </c>
      <c r="F821" s="88" t="s">
        <v>153</v>
      </c>
      <c r="G821" s="90">
        <v>55768</v>
      </c>
      <c r="H821" s="89">
        <v>4</v>
      </c>
      <c r="I821" s="89" t="s">
        <v>44</v>
      </c>
      <c r="J821" s="89" t="s">
        <v>44</v>
      </c>
      <c r="K821" s="90">
        <v>55768</v>
      </c>
    </row>
    <row r="822" ht="15.75" customHeight="1" spans="1:11">
      <c r="A822" s="87">
        <v>821</v>
      </c>
      <c r="B822" s="88" t="s">
        <v>46</v>
      </c>
      <c r="C822" s="88" t="s">
        <v>51</v>
      </c>
      <c r="D822" s="87">
        <v>2025</v>
      </c>
      <c r="E822" s="88" t="s">
        <v>33</v>
      </c>
      <c r="F822" s="88" t="s">
        <v>151</v>
      </c>
      <c r="G822" s="89" t="s">
        <v>44</v>
      </c>
      <c r="H822" s="89" t="s">
        <v>44</v>
      </c>
      <c r="I822" s="89" t="s">
        <v>44</v>
      </c>
      <c r="J822" s="89" t="s">
        <v>44</v>
      </c>
      <c r="K822" s="90">
        <v>319388475</v>
      </c>
    </row>
    <row r="823" ht="15.75" customHeight="1" spans="1:11">
      <c r="A823" s="87">
        <v>822</v>
      </c>
      <c r="B823" s="88" t="s">
        <v>46</v>
      </c>
      <c r="C823" s="88" t="s">
        <v>51</v>
      </c>
      <c r="D823" s="87">
        <v>2025</v>
      </c>
      <c r="E823" s="88" t="s">
        <v>33</v>
      </c>
      <c r="F823" s="88" t="s">
        <v>152</v>
      </c>
      <c r="G823" s="89" t="s">
        <v>44</v>
      </c>
      <c r="H823" s="89" t="s">
        <v>44</v>
      </c>
      <c r="I823" s="89" t="s">
        <v>44</v>
      </c>
      <c r="J823" s="89" t="s">
        <v>44</v>
      </c>
      <c r="K823" s="90">
        <v>24728733</v>
      </c>
    </row>
    <row r="824" ht="15.75" customHeight="1" spans="1:11">
      <c r="A824" s="87">
        <v>823</v>
      </c>
      <c r="B824" s="88" t="s">
        <v>46</v>
      </c>
      <c r="C824" s="88" t="s">
        <v>51</v>
      </c>
      <c r="D824" s="87">
        <v>2025</v>
      </c>
      <c r="E824" s="88" t="s">
        <v>34</v>
      </c>
      <c r="F824" s="88" t="s">
        <v>149</v>
      </c>
      <c r="G824" s="89" t="s">
        <v>44</v>
      </c>
      <c r="H824" s="90">
        <v>3478</v>
      </c>
      <c r="I824" s="90">
        <v>319979298</v>
      </c>
      <c r="J824" s="90">
        <v>2704</v>
      </c>
      <c r="K824" s="90">
        <v>11905305</v>
      </c>
    </row>
    <row r="825" ht="15.75" customHeight="1" spans="1:11">
      <c r="A825" s="87">
        <v>824</v>
      </c>
      <c r="B825" s="88" t="s">
        <v>46</v>
      </c>
      <c r="C825" s="88" t="s">
        <v>51</v>
      </c>
      <c r="D825" s="87">
        <v>2025</v>
      </c>
      <c r="E825" s="88" t="s">
        <v>34</v>
      </c>
      <c r="F825" s="88" t="s">
        <v>154</v>
      </c>
      <c r="G825" s="89" t="s">
        <v>44</v>
      </c>
      <c r="H825" s="89" t="s">
        <v>44</v>
      </c>
      <c r="I825" s="89" t="s">
        <v>44</v>
      </c>
      <c r="J825" s="89" t="s">
        <v>44</v>
      </c>
      <c r="K825" s="90">
        <v>11607347</v>
      </c>
    </row>
    <row r="826" ht="15.75" customHeight="1" spans="1:11">
      <c r="A826" s="87">
        <v>825</v>
      </c>
      <c r="B826" s="88" t="s">
        <v>46</v>
      </c>
      <c r="C826" s="88" t="s">
        <v>51</v>
      </c>
      <c r="D826" s="87">
        <v>2025</v>
      </c>
      <c r="E826" s="88" t="s">
        <v>34</v>
      </c>
      <c r="F826" s="88" t="s">
        <v>150</v>
      </c>
      <c r="G826" s="89" t="s">
        <v>44</v>
      </c>
      <c r="H826" s="89" t="s">
        <v>44</v>
      </c>
      <c r="I826" s="89" t="s">
        <v>44</v>
      </c>
      <c r="J826" s="89" t="s">
        <v>44</v>
      </c>
      <c r="K826" s="90">
        <v>1957407</v>
      </c>
    </row>
    <row r="827" ht="15.75" customHeight="1" spans="1:11">
      <c r="A827" s="87">
        <v>826</v>
      </c>
      <c r="B827" s="88" t="s">
        <v>46</v>
      </c>
      <c r="C827" s="88" t="s">
        <v>51</v>
      </c>
      <c r="D827" s="87">
        <v>2025</v>
      </c>
      <c r="E827" s="88" t="s">
        <v>34</v>
      </c>
      <c r="F827" s="88" t="s">
        <v>155</v>
      </c>
      <c r="G827" s="90">
        <v>6955</v>
      </c>
      <c r="H827" s="89">
        <v>1</v>
      </c>
      <c r="I827" s="89" t="s">
        <v>44</v>
      </c>
      <c r="J827" s="89" t="s">
        <v>44</v>
      </c>
      <c r="K827" s="90">
        <v>6955</v>
      </c>
    </row>
    <row r="828" ht="15.75" customHeight="1" spans="1:11">
      <c r="A828" s="87">
        <v>827</v>
      </c>
      <c r="B828" s="88" t="s">
        <v>46</v>
      </c>
      <c r="C828" s="88" t="s">
        <v>51</v>
      </c>
      <c r="D828" s="87">
        <v>2025</v>
      </c>
      <c r="E828" s="88" t="s">
        <v>34</v>
      </c>
      <c r="F828" s="88" t="s">
        <v>153</v>
      </c>
      <c r="G828" s="90">
        <v>92595</v>
      </c>
      <c r="H828" s="89">
        <v>5</v>
      </c>
      <c r="I828" s="89" t="s">
        <v>44</v>
      </c>
      <c r="J828" s="89" t="s">
        <v>44</v>
      </c>
      <c r="K828" s="90">
        <v>92595</v>
      </c>
    </row>
    <row r="829" ht="15.75" customHeight="1" spans="1:11">
      <c r="A829" s="87">
        <v>828</v>
      </c>
      <c r="B829" s="88" t="s">
        <v>46</v>
      </c>
      <c r="C829" s="88" t="s">
        <v>51</v>
      </c>
      <c r="D829" s="87">
        <v>2025</v>
      </c>
      <c r="E829" s="88" t="s">
        <v>34</v>
      </c>
      <c r="F829" s="88" t="s">
        <v>151</v>
      </c>
      <c r="G829" s="89" t="s">
        <v>44</v>
      </c>
      <c r="H829" s="89" t="s">
        <v>44</v>
      </c>
      <c r="I829" s="89" t="s">
        <v>44</v>
      </c>
      <c r="J829" s="89" t="s">
        <v>44</v>
      </c>
      <c r="K829" s="90">
        <v>375245871</v>
      </c>
    </row>
    <row r="830" ht="15.75" customHeight="1" spans="1:11">
      <c r="A830" s="87">
        <v>829</v>
      </c>
      <c r="B830" s="88" t="s">
        <v>46</v>
      </c>
      <c r="C830" s="88" t="s">
        <v>51</v>
      </c>
      <c r="D830" s="87">
        <v>2025</v>
      </c>
      <c r="E830" s="88" t="s">
        <v>34</v>
      </c>
      <c r="F830" s="88" t="s">
        <v>152</v>
      </c>
      <c r="G830" s="89" t="s">
        <v>44</v>
      </c>
      <c r="H830" s="89" t="s">
        <v>44</v>
      </c>
      <c r="I830" s="89" t="s">
        <v>44</v>
      </c>
      <c r="J830" s="89" t="s">
        <v>44</v>
      </c>
      <c r="K830" s="90">
        <v>19281386</v>
      </c>
    </row>
    <row r="831" ht="15.75" customHeight="1" spans="1:11">
      <c r="A831" s="87">
        <v>830</v>
      </c>
      <c r="B831" s="88" t="s">
        <v>46</v>
      </c>
      <c r="C831" s="88" t="s">
        <v>51</v>
      </c>
      <c r="D831" s="87">
        <v>2025</v>
      </c>
      <c r="E831" s="88" t="s">
        <v>35</v>
      </c>
      <c r="F831" s="88" t="s">
        <v>149</v>
      </c>
      <c r="G831" s="89" t="s">
        <v>44</v>
      </c>
      <c r="H831" s="90">
        <v>2385</v>
      </c>
      <c r="I831" s="90">
        <v>187044785</v>
      </c>
      <c r="J831" s="90">
        <v>1801</v>
      </c>
      <c r="K831" s="90">
        <v>7163333</v>
      </c>
    </row>
    <row r="832" ht="15.75" customHeight="1" spans="1:11">
      <c r="A832" s="87">
        <v>831</v>
      </c>
      <c r="B832" s="88" t="s">
        <v>46</v>
      </c>
      <c r="C832" s="88" t="s">
        <v>51</v>
      </c>
      <c r="D832" s="87">
        <v>2025</v>
      </c>
      <c r="E832" s="88" t="s">
        <v>35</v>
      </c>
      <c r="F832" s="88" t="s">
        <v>150</v>
      </c>
      <c r="G832" s="89" t="s">
        <v>44</v>
      </c>
      <c r="H832" s="89" t="s">
        <v>44</v>
      </c>
      <c r="I832" s="89" t="s">
        <v>44</v>
      </c>
      <c r="J832" s="89" t="s">
        <v>44</v>
      </c>
      <c r="K832" s="90">
        <v>2239187</v>
      </c>
    </row>
    <row r="833" ht="15.75" customHeight="1" spans="1:11">
      <c r="A833" s="87">
        <v>832</v>
      </c>
      <c r="B833" s="88" t="s">
        <v>46</v>
      </c>
      <c r="C833" s="88" t="s">
        <v>51</v>
      </c>
      <c r="D833" s="87">
        <v>2025</v>
      </c>
      <c r="E833" s="88" t="s">
        <v>35</v>
      </c>
      <c r="F833" s="88" t="s">
        <v>155</v>
      </c>
      <c r="G833" s="90">
        <v>110637</v>
      </c>
      <c r="H833" s="89">
        <v>6</v>
      </c>
      <c r="I833" s="89" t="s">
        <v>44</v>
      </c>
      <c r="J833" s="89" t="s">
        <v>44</v>
      </c>
      <c r="K833" s="90">
        <v>110637</v>
      </c>
    </row>
    <row r="834" ht="15.75" customHeight="1" spans="1:11">
      <c r="A834" s="87">
        <v>833</v>
      </c>
      <c r="B834" s="88" t="s">
        <v>46</v>
      </c>
      <c r="C834" s="88" t="s">
        <v>51</v>
      </c>
      <c r="D834" s="87">
        <v>2025</v>
      </c>
      <c r="E834" s="88" t="s">
        <v>35</v>
      </c>
      <c r="F834" s="88" t="s">
        <v>153</v>
      </c>
      <c r="G834" s="90">
        <v>41702</v>
      </c>
      <c r="H834" s="89">
        <v>3</v>
      </c>
      <c r="I834" s="89" t="s">
        <v>44</v>
      </c>
      <c r="J834" s="89" t="s">
        <v>44</v>
      </c>
      <c r="K834" s="90">
        <v>41702</v>
      </c>
    </row>
    <row r="835" ht="15.75" customHeight="1" spans="1:11">
      <c r="A835" s="87">
        <v>834</v>
      </c>
      <c r="B835" s="88" t="s">
        <v>46</v>
      </c>
      <c r="C835" s="88" t="s">
        <v>51</v>
      </c>
      <c r="D835" s="87">
        <v>2025</v>
      </c>
      <c r="E835" s="88" t="s">
        <v>35</v>
      </c>
      <c r="F835" s="88" t="s">
        <v>151</v>
      </c>
      <c r="G835" s="89" t="s">
        <v>44</v>
      </c>
      <c r="H835" s="89" t="s">
        <v>44</v>
      </c>
      <c r="I835" s="89" t="s">
        <v>44</v>
      </c>
      <c r="J835" s="89" t="s">
        <v>44</v>
      </c>
      <c r="K835" s="90">
        <v>235657538</v>
      </c>
    </row>
    <row r="836" ht="15.75" customHeight="1" spans="1:11">
      <c r="A836" s="87">
        <v>835</v>
      </c>
      <c r="B836" s="88" t="s">
        <v>46</v>
      </c>
      <c r="C836" s="88" t="s">
        <v>51</v>
      </c>
      <c r="D836" s="87">
        <v>2025</v>
      </c>
      <c r="E836" s="88" t="s">
        <v>35</v>
      </c>
      <c r="F836" s="88" t="s">
        <v>152</v>
      </c>
      <c r="G836" s="89" t="s">
        <v>44</v>
      </c>
      <c r="H836" s="89" t="s">
        <v>44</v>
      </c>
      <c r="I836" s="89" t="s">
        <v>44</v>
      </c>
      <c r="J836" s="89" t="s">
        <v>44</v>
      </c>
      <c r="K836" s="90">
        <v>16040273</v>
      </c>
    </row>
    <row r="837" ht="15.75" customHeight="1" spans="1:11">
      <c r="A837" s="87">
        <v>836</v>
      </c>
      <c r="B837" s="88" t="s">
        <v>46</v>
      </c>
      <c r="C837" s="88" t="s">
        <v>51</v>
      </c>
      <c r="D837" s="87">
        <v>2025</v>
      </c>
      <c r="E837" s="88" t="s">
        <v>36</v>
      </c>
      <c r="F837" s="88" t="s">
        <v>149</v>
      </c>
      <c r="G837" s="89" t="s">
        <v>44</v>
      </c>
      <c r="H837" s="90">
        <v>6989</v>
      </c>
      <c r="I837" s="90">
        <v>547744051</v>
      </c>
      <c r="J837" s="90">
        <v>5250</v>
      </c>
      <c r="K837" s="90">
        <v>21088598</v>
      </c>
    </row>
    <row r="838" ht="15.75" customHeight="1" spans="1:11">
      <c r="A838" s="87">
        <v>837</v>
      </c>
      <c r="B838" s="88" t="s">
        <v>46</v>
      </c>
      <c r="C838" s="88" t="s">
        <v>51</v>
      </c>
      <c r="D838" s="87">
        <v>2025</v>
      </c>
      <c r="E838" s="88" t="s">
        <v>36</v>
      </c>
      <c r="F838" s="88" t="s">
        <v>150</v>
      </c>
      <c r="G838" s="89" t="s">
        <v>44</v>
      </c>
      <c r="H838" s="89" t="s">
        <v>44</v>
      </c>
      <c r="I838" s="89" t="s">
        <v>44</v>
      </c>
      <c r="J838" s="89" t="s">
        <v>44</v>
      </c>
      <c r="K838" s="90">
        <v>4746480</v>
      </c>
    </row>
    <row r="839" ht="15.75" customHeight="1" spans="1:11">
      <c r="A839" s="87">
        <v>838</v>
      </c>
      <c r="B839" s="88" t="s">
        <v>46</v>
      </c>
      <c r="C839" s="88" t="s">
        <v>51</v>
      </c>
      <c r="D839" s="87">
        <v>2025</v>
      </c>
      <c r="E839" s="88" t="s">
        <v>36</v>
      </c>
      <c r="F839" s="88" t="s">
        <v>157</v>
      </c>
      <c r="G839" s="90">
        <v>17247</v>
      </c>
      <c r="H839" s="89">
        <v>2</v>
      </c>
      <c r="I839" s="89" t="s">
        <v>44</v>
      </c>
      <c r="J839" s="89" t="s">
        <v>44</v>
      </c>
      <c r="K839" s="90">
        <v>17247</v>
      </c>
    </row>
    <row r="840" ht="15.75" customHeight="1" spans="1:11">
      <c r="A840" s="87">
        <v>839</v>
      </c>
      <c r="B840" s="88" t="s">
        <v>46</v>
      </c>
      <c r="C840" s="88" t="s">
        <v>51</v>
      </c>
      <c r="D840" s="87">
        <v>2025</v>
      </c>
      <c r="E840" s="88" t="s">
        <v>36</v>
      </c>
      <c r="F840" s="88" t="s">
        <v>153</v>
      </c>
      <c r="G840" s="90">
        <v>83299</v>
      </c>
      <c r="H840" s="89">
        <v>6</v>
      </c>
      <c r="I840" s="89" t="s">
        <v>44</v>
      </c>
      <c r="J840" s="89" t="s">
        <v>44</v>
      </c>
      <c r="K840" s="90">
        <v>83299</v>
      </c>
    </row>
    <row r="841" ht="15.75" customHeight="1" spans="1:11">
      <c r="A841" s="87">
        <v>840</v>
      </c>
      <c r="B841" s="88" t="s">
        <v>46</v>
      </c>
      <c r="C841" s="88" t="s">
        <v>51</v>
      </c>
      <c r="D841" s="87">
        <v>2025</v>
      </c>
      <c r="E841" s="88" t="s">
        <v>36</v>
      </c>
      <c r="F841" s="88" t="s">
        <v>151</v>
      </c>
      <c r="G841" s="89" t="s">
        <v>44</v>
      </c>
      <c r="H841" s="89" t="s">
        <v>44</v>
      </c>
      <c r="I841" s="89" t="s">
        <v>44</v>
      </c>
      <c r="J841" s="89" t="s">
        <v>44</v>
      </c>
      <c r="K841" s="90">
        <v>420730293</v>
      </c>
    </row>
    <row r="842" ht="15.75" customHeight="1" spans="1:11">
      <c r="A842" s="87">
        <v>841</v>
      </c>
      <c r="B842" s="88" t="s">
        <v>46</v>
      </c>
      <c r="C842" s="88" t="s">
        <v>51</v>
      </c>
      <c r="D842" s="87">
        <v>2025</v>
      </c>
      <c r="E842" s="88" t="s">
        <v>36</v>
      </c>
      <c r="F842" s="88" t="s">
        <v>152</v>
      </c>
      <c r="G842" s="89" t="s">
        <v>44</v>
      </c>
      <c r="H842" s="89" t="s">
        <v>44</v>
      </c>
      <c r="I842" s="89" t="s">
        <v>44</v>
      </c>
      <c r="J842" s="89" t="s">
        <v>44</v>
      </c>
      <c r="K842" s="90">
        <v>29826138</v>
      </c>
    </row>
    <row r="843" ht="15.75" customHeight="1" spans="1:11">
      <c r="A843" s="87">
        <v>842</v>
      </c>
      <c r="B843" s="88" t="s">
        <v>46</v>
      </c>
      <c r="C843" s="88" t="s">
        <v>51</v>
      </c>
      <c r="D843" s="87">
        <v>2025</v>
      </c>
      <c r="E843" s="88" t="s">
        <v>37</v>
      </c>
      <c r="F843" s="88" t="s">
        <v>149</v>
      </c>
      <c r="G843" s="89" t="s">
        <v>44</v>
      </c>
      <c r="H843" s="90">
        <v>8462</v>
      </c>
      <c r="I843" s="90">
        <v>797204938</v>
      </c>
      <c r="J843" s="90">
        <v>6541</v>
      </c>
      <c r="K843" s="90">
        <v>29539746</v>
      </c>
    </row>
    <row r="844" ht="15.75" customHeight="1" spans="1:11">
      <c r="A844" s="87">
        <v>843</v>
      </c>
      <c r="B844" s="88" t="s">
        <v>46</v>
      </c>
      <c r="C844" s="88" t="s">
        <v>51</v>
      </c>
      <c r="D844" s="87">
        <v>2025</v>
      </c>
      <c r="E844" s="88" t="s">
        <v>37</v>
      </c>
      <c r="F844" s="88" t="s">
        <v>150</v>
      </c>
      <c r="G844" s="89" t="s">
        <v>44</v>
      </c>
      <c r="H844" s="89" t="s">
        <v>44</v>
      </c>
      <c r="I844" s="89" t="s">
        <v>44</v>
      </c>
      <c r="J844" s="89" t="s">
        <v>44</v>
      </c>
      <c r="K844" s="90">
        <v>4356778</v>
      </c>
    </row>
    <row r="845" ht="15.75" customHeight="1" spans="1:11">
      <c r="A845" s="87">
        <v>844</v>
      </c>
      <c r="B845" s="88" t="s">
        <v>46</v>
      </c>
      <c r="C845" s="88" t="s">
        <v>51</v>
      </c>
      <c r="D845" s="87">
        <v>2025</v>
      </c>
      <c r="E845" s="88" t="s">
        <v>37</v>
      </c>
      <c r="F845" s="88" t="s">
        <v>155</v>
      </c>
      <c r="G845" s="90">
        <v>6953</v>
      </c>
      <c r="H845" s="89">
        <v>1</v>
      </c>
      <c r="I845" s="89" t="s">
        <v>44</v>
      </c>
      <c r="J845" s="89" t="s">
        <v>44</v>
      </c>
      <c r="K845" s="90">
        <v>6953</v>
      </c>
    </row>
    <row r="846" ht="15.75" customHeight="1" spans="1:11">
      <c r="A846" s="87">
        <v>845</v>
      </c>
      <c r="B846" s="88" t="s">
        <v>46</v>
      </c>
      <c r="C846" s="88" t="s">
        <v>51</v>
      </c>
      <c r="D846" s="87">
        <v>2025</v>
      </c>
      <c r="E846" s="88" t="s">
        <v>37</v>
      </c>
      <c r="F846" s="88" t="s">
        <v>153</v>
      </c>
      <c r="G846" s="90">
        <v>125027</v>
      </c>
      <c r="H846" s="89">
        <v>6</v>
      </c>
      <c r="I846" s="89" t="s">
        <v>44</v>
      </c>
      <c r="J846" s="89" t="s">
        <v>44</v>
      </c>
      <c r="K846" s="90">
        <v>125027</v>
      </c>
    </row>
    <row r="847" ht="15.75" customHeight="1" spans="1:11">
      <c r="A847" s="87">
        <v>846</v>
      </c>
      <c r="B847" s="88" t="s">
        <v>46</v>
      </c>
      <c r="C847" s="88" t="s">
        <v>51</v>
      </c>
      <c r="D847" s="87">
        <v>2025</v>
      </c>
      <c r="E847" s="88" t="s">
        <v>37</v>
      </c>
      <c r="F847" s="88" t="s">
        <v>151</v>
      </c>
      <c r="G847" s="89" t="s">
        <v>44</v>
      </c>
      <c r="H847" s="89" t="s">
        <v>44</v>
      </c>
      <c r="I847" s="89" t="s">
        <v>44</v>
      </c>
      <c r="J847" s="89" t="s">
        <v>44</v>
      </c>
      <c r="K847" s="90">
        <v>527143788</v>
      </c>
    </row>
    <row r="848" ht="15.75" customHeight="1" spans="1:11">
      <c r="A848" s="87">
        <v>847</v>
      </c>
      <c r="B848" s="88" t="s">
        <v>46</v>
      </c>
      <c r="C848" s="88" t="s">
        <v>51</v>
      </c>
      <c r="D848" s="87">
        <v>2025</v>
      </c>
      <c r="E848" s="88" t="s">
        <v>37</v>
      </c>
      <c r="F848" s="88" t="s">
        <v>152</v>
      </c>
      <c r="G848" s="89" t="s">
        <v>44</v>
      </c>
      <c r="H848" s="89" t="s">
        <v>44</v>
      </c>
      <c r="I848" s="89" t="s">
        <v>44</v>
      </c>
      <c r="J848" s="89" t="s">
        <v>44</v>
      </c>
      <c r="K848" s="90">
        <v>31961415</v>
      </c>
    </row>
    <row r="849" ht="15.75" customHeight="1" spans="1:11">
      <c r="A849" s="87">
        <v>848</v>
      </c>
      <c r="B849" s="88" t="s">
        <v>46</v>
      </c>
      <c r="C849" s="88" t="s">
        <v>51</v>
      </c>
      <c r="D849" s="87">
        <v>2025</v>
      </c>
      <c r="E849" s="88" t="s">
        <v>38</v>
      </c>
      <c r="F849" s="88" t="s">
        <v>149</v>
      </c>
      <c r="G849" s="89" t="s">
        <v>44</v>
      </c>
      <c r="H849" s="90">
        <v>6582</v>
      </c>
      <c r="I849" s="90">
        <v>597640998</v>
      </c>
      <c r="J849" s="90">
        <v>5178</v>
      </c>
      <c r="K849" s="90">
        <v>22370857</v>
      </c>
    </row>
    <row r="850" ht="15.75" customHeight="1" spans="1:11">
      <c r="A850" s="87">
        <v>849</v>
      </c>
      <c r="B850" s="88" t="s">
        <v>46</v>
      </c>
      <c r="C850" s="88" t="s">
        <v>51</v>
      </c>
      <c r="D850" s="87">
        <v>2025</v>
      </c>
      <c r="E850" s="88" t="s">
        <v>38</v>
      </c>
      <c r="F850" s="88" t="s">
        <v>150</v>
      </c>
      <c r="G850" s="89" t="s">
        <v>44</v>
      </c>
      <c r="H850" s="89" t="s">
        <v>44</v>
      </c>
      <c r="I850" s="89" t="s">
        <v>44</v>
      </c>
      <c r="J850" s="89" t="s">
        <v>44</v>
      </c>
      <c r="K850" s="90">
        <v>5082549</v>
      </c>
    </row>
    <row r="851" ht="15.75" customHeight="1" spans="1:11">
      <c r="A851" s="87">
        <v>850</v>
      </c>
      <c r="B851" s="88" t="s">
        <v>46</v>
      </c>
      <c r="C851" s="88" t="s">
        <v>51</v>
      </c>
      <c r="D851" s="87">
        <v>2025</v>
      </c>
      <c r="E851" s="88" t="s">
        <v>38</v>
      </c>
      <c r="F851" s="88" t="s">
        <v>157</v>
      </c>
      <c r="G851" s="90">
        <v>6821</v>
      </c>
      <c r="H851" s="89">
        <v>1</v>
      </c>
      <c r="I851" s="89" t="s">
        <v>44</v>
      </c>
      <c r="J851" s="89" t="s">
        <v>44</v>
      </c>
      <c r="K851" s="90">
        <v>6821</v>
      </c>
    </row>
    <row r="852" ht="15.75" customHeight="1" spans="1:11">
      <c r="A852" s="87">
        <v>851</v>
      </c>
      <c r="B852" s="88" t="s">
        <v>46</v>
      </c>
      <c r="C852" s="88" t="s">
        <v>51</v>
      </c>
      <c r="D852" s="87">
        <v>2025</v>
      </c>
      <c r="E852" s="88" t="s">
        <v>38</v>
      </c>
      <c r="F852" s="88" t="s">
        <v>153</v>
      </c>
      <c r="G852" s="90">
        <v>27706</v>
      </c>
      <c r="H852" s="89">
        <v>2</v>
      </c>
      <c r="I852" s="89" t="s">
        <v>44</v>
      </c>
      <c r="J852" s="89" t="s">
        <v>44</v>
      </c>
      <c r="K852" s="90">
        <v>27706</v>
      </c>
    </row>
    <row r="853" ht="15.75" customHeight="1" spans="1:11">
      <c r="A853" s="87">
        <v>852</v>
      </c>
      <c r="B853" s="88" t="s">
        <v>46</v>
      </c>
      <c r="C853" s="88" t="s">
        <v>51</v>
      </c>
      <c r="D853" s="87">
        <v>2025</v>
      </c>
      <c r="E853" s="88" t="s">
        <v>38</v>
      </c>
      <c r="F853" s="88" t="s">
        <v>151</v>
      </c>
      <c r="G853" s="89" t="s">
        <v>44</v>
      </c>
      <c r="H853" s="89" t="s">
        <v>44</v>
      </c>
      <c r="I853" s="89" t="s">
        <v>44</v>
      </c>
      <c r="J853" s="89" t="s">
        <v>44</v>
      </c>
      <c r="K853" s="90">
        <v>393152976</v>
      </c>
    </row>
    <row r="854" ht="15.75" customHeight="1" spans="1:11">
      <c r="A854" s="87">
        <v>853</v>
      </c>
      <c r="B854" s="88" t="s">
        <v>46</v>
      </c>
      <c r="C854" s="88" t="s">
        <v>51</v>
      </c>
      <c r="D854" s="87">
        <v>2025</v>
      </c>
      <c r="E854" s="88" t="s">
        <v>38</v>
      </c>
      <c r="F854" s="88" t="s">
        <v>152</v>
      </c>
      <c r="G854" s="89" t="s">
        <v>44</v>
      </c>
      <c r="H854" s="89" t="s">
        <v>44</v>
      </c>
      <c r="I854" s="89" t="s">
        <v>44</v>
      </c>
      <c r="J854" s="89" t="s">
        <v>44</v>
      </c>
      <c r="K854" s="90">
        <v>28704750</v>
      </c>
    </row>
    <row r="855" ht="15.75" customHeight="1" spans="1:11">
      <c r="A855" s="87">
        <v>854</v>
      </c>
      <c r="B855" s="88" t="s">
        <v>46</v>
      </c>
      <c r="C855" s="88" t="s">
        <v>51</v>
      </c>
      <c r="D855" s="87">
        <v>2025</v>
      </c>
      <c r="E855" s="88" t="s">
        <v>39</v>
      </c>
      <c r="F855" s="88" t="s">
        <v>149</v>
      </c>
      <c r="G855" s="89" t="s">
        <v>44</v>
      </c>
      <c r="H855" s="90">
        <v>8241</v>
      </c>
      <c r="I855" s="90">
        <v>774464426</v>
      </c>
      <c r="J855" s="90">
        <v>6486</v>
      </c>
      <c r="K855" s="90">
        <v>28629491</v>
      </c>
    </row>
    <row r="856" ht="15.75" customHeight="1" spans="1:11">
      <c r="A856" s="87">
        <v>855</v>
      </c>
      <c r="B856" s="88" t="s">
        <v>46</v>
      </c>
      <c r="C856" s="88" t="s">
        <v>51</v>
      </c>
      <c r="D856" s="87">
        <v>2025</v>
      </c>
      <c r="E856" s="88" t="s">
        <v>39</v>
      </c>
      <c r="F856" s="88" t="s">
        <v>159</v>
      </c>
      <c r="G856" s="90">
        <v>13945</v>
      </c>
      <c r="H856" s="89">
        <v>2</v>
      </c>
      <c r="I856" s="89" t="s">
        <v>44</v>
      </c>
      <c r="J856" s="89" t="s">
        <v>44</v>
      </c>
      <c r="K856" s="90">
        <v>13945</v>
      </c>
    </row>
    <row r="857" ht="15.75" customHeight="1" spans="1:11">
      <c r="A857" s="87">
        <v>856</v>
      </c>
      <c r="B857" s="88" t="s">
        <v>46</v>
      </c>
      <c r="C857" s="88" t="s">
        <v>51</v>
      </c>
      <c r="D857" s="87">
        <v>2025</v>
      </c>
      <c r="E857" s="88" t="s">
        <v>39</v>
      </c>
      <c r="F857" s="88" t="s">
        <v>160</v>
      </c>
      <c r="G857" s="90">
        <v>1701742</v>
      </c>
      <c r="H857" s="89">
        <v>244</v>
      </c>
      <c r="I857" s="89" t="s">
        <v>44</v>
      </c>
      <c r="J857" s="89" t="s">
        <v>44</v>
      </c>
      <c r="K857" s="90">
        <v>1701742</v>
      </c>
    </row>
    <row r="858" ht="15.75" customHeight="1" spans="1:11">
      <c r="A858" s="87">
        <v>857</v>
      </c>
      <c r="B858" s="88" t="s">
        <v>46</v>
      </c>
      <c r="C858" s="88" t="s">
        <v>51</v>
      </c>
      <c r="D858" s="87">
        <v>2025</v>
      </c>
      <c r="E858" s="88" t="s">
        <v>39</v>
      </c>
      <c r="F858" s="88" t="s">
        <v>154</v>
      </c>
      <c r="G858" s="89" t="s">
        <v>44</v>
      </c>
      <c r="H858" s="89" t="s">
        <v>44</v>
      </c>
      <c r="I858" s="89" t="s">
        <v>44</v>
      </c>
      <c r="J858" s="89" t="s">
        <v>44</v>
      </c>
      <c r="K858" s="90">
        <v>1996264</v>
      </c>
    </row>
    <row r="859" ht="15.75" customHeight="1" spans="1:11">
      <c r="A859" s="87">
        <v>858</v>
      </c>
      <c r="B859" s="88" t="s">
        <v>46</v>
      </c>
      <c r="C859" s="88" t="s">
        <v>51</v>
      </c>
      <c r="D859" s="87">
        <v>2025</v>
      </c>
      <c r="E859" s="88" t="s">
        <v>39</v>
      </c>
      <c r="F859" s="88" t="s">
        <v>150</v>
      </c>
      <c r="G859" s="89" t="s">
        <v>44</v>
      </c>
      <c r="H859" s="89" t="s">
        <v>44</v>
      </c>
      <c r="I859" s="89" t="s">
        <v>44</v>
      </c>
      <c r="J859" s="89" t="s">
        <v>44</v>
      </c>
      <c r="K859" s="90">
        <v>7329300</v>
      </c>
    </row>
    <row r="860" ht="15.75" customHeight="1" spans="1:11">
      <c r="A860" s="87">
        <v>859</v>
      </c>
      <c r="B860" s="88" t="s">
        <v>46</v>
      </c>
      <c r="C860" s="88" t="s">
        <v>51</v>
      </c>
      <c r="D860" s="87">
        <v>2025</v>
      </c>
      <c r="E860" s="88" t="s">
        <v>39</v>
      </c>
      <c r="F860" s="88" t="s">
        <v>155</v>
      </c>
      <c r="G860" s="90">
        <v>50721</v>
      </c>
      <c r="H860" s="89">
        <v>3</v>
      </c>
      <c r="I860" s="89" t="s">
        <v>44</v>
      </c>
      <c r="J860" s="89" t="s">
        <v>44</v>
      </c>
      <c r="K860" s="90">
        <v>50721</v>
      </c>
    </row>
    <row r="861" ht="15.75" customHeight="1" spans="1:11">
      <c r="A861" s="87">
        <v>860</v>
      </c>
      <c r="B861" s="88" t="s">
        <v>46</v>
      </c>
      <c r="C861" s="88" t="s">
        <v>51</v>
      </c>
      <c r="D861" s="87">
        <v>2025</v>
      </c>
      <c r="E861" s="88" t="s">
        <v>39</v>
      </c>
      <c r="F861" s="88" t="s">
        <v>153</v>
      </c>
      <c r="G861" s="90">
        <v>27606</v>
      </c>
      <c r="H861" s="89">
        <v>2</v>
      </c>
      <c r="I861" s="89" t="s">
        <v>44</v>
      </c>
      <c r="J861" s="89" t="s">
        <v>44</v>
      </c>
      <c r="K861" s="90">
        <v>27606</v>
      </c>
    </row>
    <row r="862" ht="15.75" customHeight="1" spans="1:11">
      <c r="A862" s="87">
        <v>861</v>
      </c>
      <c r="B862" s="88" t="s">
        <v>46</v>
      </c>
      <c r="C862" s="88" t="s">
        <v>51</v>
      </c>
      <c r="D862" s="87">
        <v>2025</v>
      </c>
      <c r="E862" s="88" t="s">
        <v>39</v>
      </c>
      <c r="F862" s="88" t="s">
        <v>151</v>
      </c>
      <c r="G862" s="89" t="s">
        <v>44</v>
      </c>
      <c r="H862" s="89" t="s">
        <v>44</v>
      </c>
      <c r="I862" s="89" t="s">
        <v>44</v>
      </c>
      <c r="J862" s="89" t="s">
        <v>44</v>
      </c>
      <c r="K862" s="90">
        <v>572455813</v>
      </c>
    </row>
    <row r="863" ht="15.75" customHeight="1" spans="1:11">
      <c r="A863" s="87">
        <v>862</v>
      </c>
      <c r="B863" s="88" t="s">
        <v>46</v>
      </c>
      <c r="C863" s="88" t="s">
        <v>51</v>
      </c>
      <c r="D863" s="87">
        <v>2025</v>
      </c>
      <c r="E863" s="88" t="s">
        <v>39</v>
      </c>
      <c r="F863" s="88" t="s">
        <v>152</v>
      </c>
      <c r="G863" s="89" t="s">
        <v>44</v>
      </c>
      <c r="H863" s="89" t="s">
        <v>44</v>
      </c>
      <c r="I863" s="89" t="s">
        <v>44</v>
      </c>
      <c r="J863" s="89" t="s">
        <v>44</v>
      </c>
      <c r="K863" s="90">
        <v>43517734</v>
      </c>
    </row>
    <row r="864" ht="15.75" customHeight="1" spans="1:11">
      <c r="A864" s="87">
        <v>863</v>
      </c>
      <c r="B864" s="88" t="s">
        <v>46</v>
      </c>
      <c r="C864" s="88" t="s">
        <v>51</v>
      </c>
      <c r="D864" s="87">
        <v>2025</v>
      </c>
      <c r="E864" s="88" t="s">
        <v>40</v>
      </c>
      <c r="F864" s="88" t="s">
        <v>149</v>
      </c>
      <c r="G864" s="89" t="s">
        <v>44</v>
      </c>
      <c r="H864" s="90">
        <v>17203</v>
      </c>
      <c r="I864" s="90">
        <v>1479967802</v>
      </c>
      <c r="J864" s="90">
        <v>12749</v>
      </c>
      <c r="K864" s="90">
        <v>57544701</v>
      </c>
    </row>
    <row r="865" ht="15.75" customHeight="1" spans="1:11">
      <c r="A865" s="87">
        <v>864</v>
      </c>
      <c r="B865" s="88" t="s">
        <v>46</v>
      </c>
      <c r="C865" s="88" t="s">
        <v>51</v>
      </c>
      <c r="D865" s="87">
        <v>2025</v>
      </c>
      <c r="E865" s="88" t="s">
        <v>40</v>
      </c>
      <c r="F865" s="88" t="s">
        <v>159</v>
      </c>
      <c r="G865" s="90">
        <v>81202</v>
      </c>
      <c r="H865" s="89">
        <v>3</v>
      </c>
      <c r="I865" s="89" t="s">
        <v>44</v>
      </c>
      <c r="J865" s="89" t="s">
        <v>44</v>
      </c>
      <c r="K865" s="90">
        <v>81202</v>
      </c>
    </row>
    <row r="866" ht="15.75" customHeight="1" spans="1:11">
      <c r="A866" s="87">
        <v>865</v>
      </c>
      <c r="B866" s="88" t="s">
        <v>46</v>
      </c>
      <c r="C866" s="88" t="s">
        <v>51</v>
      </c>
      <c r="D866" s="87">
        <v>2025</v>
      </c>
      <c r="E866" s="88" t="s">
        <v>40</v>
      </c>
      <c r="F866" s="88" t="s">
        <v>160</v>
      </c>
      <c r="G866" s="90">
        <v>15739853</v>
      </c>
      <c r="H866" s="90">
        <v>2260</v>
      </c>
      <c r="I866" s="89" t="s">
        <v>44</v>
      </c>
      <c r="J866" s="89" t="s">
        <v>44</v>
      </c>
      <c r="K866" s="90">
        <v>15739853</v>
      </c>
    </row>
    <row r="867" ht="15.75" customHeight="1" spans="1:11">
      <c r="A867" s="87">
        <v>866</v>
      </c>
      <c r="B867" s="88" t="s">
        <v>46</v>
      </c>
      <c r="C867" s="88" t="s">
        <v>51</v>
      </c>
      <c r="D867" s="87">
        <v>2025</v>
      </c>
      <c r="E867" s="88" t="s">
        <v>40</v>
      </c>
      <c r="F867" s="88" t="s">
        <v>150</v>
      </c>
      <c r="G867" s="89" t="s">
        <v>44</v>
      </c>
      <c r="H867" s="89" t="s">
        <v>44</v>
      </c>
      <c r="I867" s="89" t="s">
        <v>44</v>
      </c>
      <c r="J867" s="89" t="s">
        <v>44</v>
      </c>
      <c r="K867" s="90">
        <v>6045482</v>
      </c>
    </row>
    <row r="868" ht="15.75" customHeight="1" spans="1:11">
      <c r="A868" s="87">
        <v>867</v>
      </c>
      <c r="B868" s="88" t="s">
        <v>46</v>
      </c>
      <c r="C868" s="88" t="s">
        <v>51</v>
      </c>
      <c r="D868" s="87">
        <v>2025</v>
      </c>
      <c r="E868" s="88" t="s">
        <v>40</v>
      </c>
      <c r="F868" s="88" t="s">
        <v>155</v>
      </c>
      <c r="G868" s="90">
        <v>798342</v>
      </c>
      <c r="H868" s="89">
        <v>36</v>
      </c>
      <c r="I868" s="89" t="s">
        <v>44</v>
      </c>
      <c r="J868" s="89" t="s">
        <v>44</v>
      </c>
      <c r="K868" s="90">
        <v>798342</v>
      </c>
    </row>
    <row r="869" ht="15.75" customHeight="1" spans="1:11">
      <c r="A869" s="87">
        <v>868</v>
      </c>
      <c r="B869" s="88" t="s">
        <v>46</v>
      </c>
      <c r="C869" s="88" t="s">
        <v>51</v>
      </c>
      <c r="D869" s="87">
        <v>2025</v>
      </c>
      <c r="E869" s="88" t="s">
        <v>40</v>
      </c>
      <c r="F869" s="88" t="s">
        <v>153</v>
      </c>
      <c r="G869" s="90">
        <v>55297</v>
      </c>
      <c r="H869" s="89">
        <v>4</v>
      </c>
      <c r="I869" s="89" t="s">
        <v>44</v>
      </c>
      <c r="J869" s="89" t="s">
        <v>44</v>
      </c>
      <c r="K869" s="90">
        <v>55297</v>
      </c>
    </row>
    <row r="870" ht="15.75" customHeight="1" spans="1:11">
      <c r="A870" s="87">
        <v>869</v>
      </c>
      <c r="B870" s="88" t="s">
        <v>46</v>
      </c>
      <c r="C870" s="88" t="s">
        <v>51</v>
      </c>
      <c r="D870" s="87">
        <v>2025</v>
      </c>
      <c r="E870" s="88" t="s">
        <v>40</v>
      </c>
      <c r="F870" s="88" t="s">
        <v>151</v>
      </c>
      <c r="G870" s="89" t="s">
        <v>44</v>
      </c>
      <c r="H870" s="89" t="s">
        <v>44</v>
      </c>
      <c r="I870" s="89" t="s">
        <v>44</v>
      </c>
      <c r="J870" s="89" t="s">
        <v>44</v>
      </c>
      <c r="K870" s="90">
        <v>697902047</v>
      </c>
    </row>
    <row r="871" ht="15.75" customHeight="1" spans="1:11">
      <c r="A871" s="87">
        <v>870</v>
      </c>
      <c r="B871" s="88" t="s">
        <v>46</v>
      </c>
      <c r="C871" s="88" t="s">
        <v>51</v>
      </c>
      <c r="D871" s="87">
        <v>2025</v>
      </c>
      <c r="E871" s="88" t="s">
        <v>40</v>
      </c>
      <c r="F871" s="88" t="s">
        <v>152</v>
      </c>
      <c r="G871" s="89" t="s">
        <v>44</v>
      </c>
      <c r="H871" s="89" t="s">
        <v>44</v>
      </c>
      <c r="I871" s="89" t="s">
        <v>44</v>
      </c>
      <c r="J871" s="89" t="s">
        <v>44</v>
      </c>
      <c r="K871" s="90">
        <v>65111711</v>
      </c>
    </row>
    <row r="872" ht="15.75" customHeight="1" spans="1:11">
      <c r="A872" s="87">
        <v>871</v>
      </c>
      <c r="B872" s="88" t="s">
        <v>46</v>
      </c>
      <c r="C872" s="88" t="s">
        <v>51</v>
      </c>
      <c r="D872" s="87">
        <v>2025</v>
      </c>
      <c r="E872" s="88" t="s">
        <v>41</v>
      </c>
      <c r="F872" s="88" t="s">
        <v>149</v>
      </c>
      <c r="G872" s="89" t="s">
        <v>44</v>
      </c>
      <c r="H872" s="90">
        <v>5056</v>
      </c>
      <c r="I872" s="90">
        <v>490808928</v>
      </c>
      <c r="J872" s="90">
        <v>4041</v>
      </c>
      <c r="K872" s="90">
        <v>17578674</v>
      </c>
    </row>
    <row r="873" ht="15.75" customHeight="1" spans="1:11">
      <c r="A873" s="87">
        <v>872</v>
      </c>
      <c r="B873" s="88" t="s">
        <v>46</v>
      </c>
      <c r="C873" s="88" t="s">
        <v>51</v>
      </c>
      <c r="D873" s="87">
        <v>2025</v>
      </c>
      <c r="E873" s="88" t="s">
        <v>41</v>
      </c>
      <c r="F873" s="88" t="s">
        <v>160</v>
      </c>
      <c r="G873" s="90">
        <v>9549445</v>
      </c>
      <c r="H873" s="90">
        <v>1357</v>
      </c>
      <c r="I873" s="89" t="s">
        <v>44</v>
      </c>
      <c r="J873" s="89" t="s">
        <v>44</v>
      </c>
      <c r="K873" s="90">
        <v>9549445</v>
      </c>
    </row>
    <row r="874" ht="15.75" customHeight="1" spans="1:11">
      <c r="A874" s="87">
        <v>873</v>
      </c>
      <c r="B874" s="88" t="s">
        <v>46</v>
      </c>
      <c r="C874" s="88" t="s">
        <v>51</v>
      </c>
      <c r="D874" s="87">
        <v>2025</v>
      </c>
      <c r="E874" s="88" t="s">
        <v>41</v>
      </c>
      <c r="F874" s="88" t="s">
        <v>150</v>
      </c>
      <c r="G874" s="89" t="s">
        <v>44</v>
      </c>
      <c r="H874" s="89" t="s">
        <v>44</v>
      </c>
      <c r="I874" s="89" t="s">
        <v>44</v>
      </c>
      <c r="J874" s="89" t="s">
        <v>44</v>
      </c>
      <c r="K874" s="90">
        <v>6611135</v>
      </c>
    </row>
    <row r="875" ht="15.75" customHeight="1" spans="1:11">
      <c r="A875" s="87">
        <v>874</v>
      </c>
      <c r="B875" s="88" t="s">
        <v>46</v>
      </c>
      <c r="C875" s="88" t="s">
        <v>51</v>
      </c>
      <c r="D875" s="87">
        <v>2025</v>
      </c>
      <c r="E875" s="88" t="s">
        <v>41</v>
      </c>
      <c r="F875" s="88" t="s">
        <v>155</v>
      </c>
      <c r="G875" s="90">
        <v>6960</v>
      </c>
      <c r="H875" s="89">
        <v>1</v>
      </c>
      <c r="I875" s="89" t="s">
        <v>44</v>
      </c>
      <c r="J875" s="89" t="s">
        <v>44</v>
      </c>
      <c r="K875" s="90">
        <v>6960</v>
      </c>
    </row>
    <row r="876" ht="15.75" customHeight="1" spans="1:11">
      <c r="A876" s="87">
        <v>875</v>
      </c>
      <c r="B876" s="88" t="s">
        <v>46</v>
      </c>
      <c r="C876" s="88" t="s">
        <v>51</v>
      </c>
      <c r="D876" s="87">
        <v>2025</v>
      </c>
      <c r="E876" s="88" t="s">
        <v>41</v>
      </c>
      <c r="F876" s="88" t="s">
        <v>153</v>
      </c>
      <c r="G876" s="90">
        <v>13923</v>
      </c>
      <c r="H876" s="89">
        <v>1</v>
      </c>
      <c r="I876" s="89" t="s">
        <v>44</v>
      </c>
      <c r="J876" s="89" t="s">
        <v>44</v>
      </c>
      <c r="K876" s="90">
        <v>13923</v>
      </c>
    </row>
    <row r="877" ht="15.75" customHeight="1" spans="1:11">
      <c r="A877" s="87">
        <v>876</v>
      </c>
      <c r="B877" s="88" t="s">
        <v>46</v>
      </c>
      <c r="C877" s="88" t="s">
        <v>51</v>
      </c>
      <c r="D877" s="87">
        <v>2025</v>
      </c>
      <c r="E877" s="88" t="s">
        <v>41</v>
      </c>
      <c r="F877" s="88" t="s">
        <v>151</v>
      </c>
      <c r="G877" s="89" t="s">
        <v>44</v>
      </c>
      <c r="H877" s="89" t="s">
        <v>44</v>
      </c>
      <c r="I877" s="89" t="s">
        <v>44</v>
      </c>
      <c r="J877" s="89" t="s">
        <v>44</v>
      </c>
      <c r="K877" s="90">
        <v>472015949</v>
      </c>
    </row>
    <row r="878" ht="15.75" customHeight="1" spans="1:11">
      <c r="A878" s="87">
        <v>877</v>
      </c>
      <c r="B878" s="88" t="s">
        <v>46</v>
      </c>
      <c r="C878" s="88" t="s">
        <v>51</v>
      </c>
      <c r="D878" s="87">
        <v>2025</v>
      </c>
      <c r="E878" s="88" t="s">
        <v>41</v>
      </c>
      <c r="F878" s="88" t="s">
        <v>152</v>
      </c>
      <c r="G878" s="89" t="s">
        <v>44</v>
      </c>
      <c r="H878" s="89" t="s">
        <v>44</v>
      </c>
      <c r="I878" s="89" t="s">
        <v>44</v>
      </c>
      <c r="J878" s="89" t="s">
        <v>44</v>
      </c>
      <c r="K878" s="90">
        <v>34346824</v>
      </c>
    </row>
    <row r="879" ht="15.75" customHeight="1" spans="1:11">
      <c r="A879" s="87">
        <v>878</v>
      </c>
      <c r="B879" s="88" t="s">
        <v>46</v>
      </c>
      <c r="C879" s="88" t="s">
        <v>51</v>
      </c>
      <c r="D879" s="87">
        <v>2025</v>
      </c>
      <c r="E879" s="88" t="s">
        <v>42</v>
      </c>
      <c r="F879" s="88" t="s">
        <v>149</v>
      </c>
      <c r="G879" s="89" t="s">
        <v>44</v>
      </c>
      <c r="H879" s="90">
        <v>7663</v>
      </c>
      <c r="I879" s="90">
        <v>823614153</v>
      </c>
      <c r="J879" s="90">
        <v>5814</v>
      </c>
      <c r="K879" s="90">
        <v>28016121</v>
      </c>
    </row>
    <row r="880" ht="15.75" customHeight="1" spans="1:11">
      <c r="A880" s="87">
        <v>879</v>
      </c>
      <c r="B880" s="88" t="s">
        <v>46</v>
      </c>
      <c r="C880" s="88" t="s">
        <v>51</v>
      </c>
      <c r="D880" s="87">
        <v>2025</v>
      </c>
      <c r="E880" s="88" t="s">
        <v>42</v>
      </c>
      <c r="F880" s="88" t="s">
        <v>160</v>
      </c>
      <c r="G880" s="90">
        <v>8322439</v>
      </c>
      <c r="H880" s="90">
        <v>1185</v>
      </c>
      <c r="I880" s="89" t="s">
        <v>44</v>
      </c>
      <c r="J880" s="89" t="s">
        <v>44</v>
      </c>
      <c r="K880" s="90">
        <v>8322439</v>
      </c>
    </row>
    <row r="881" ht="15.75" customHeight="1" spans="1:11">
      <c r="A881" s="87">
        <v>880</v>
      </c>
      <c r="B881" s="88" t="s">
        <v>46</v>
      </c>
      <c r="C881" s="88" t="s">
        <v>51</v>
      </c>
      <c r="D881" s="87">
        <v>2025</v>
      </c>
      <c r="E881" s="88" t="s">
        <v>42</v>
      </c>
      <c r="F881" s="88" t="s">
        <v>154</v>
      </c>
      <c r="G881" s="89" t="s">
        <v>44</v>
      </c>
      <c r="H881" s="89" t="s">
        <v>44</v>
      </c>
      <c r="I881" s="89" t="s">
        <v>44</v>
      </c>
      <c r="J881" s="89" t="s">
        <v>44</v>
      </c>
      <c r="K881" s="90">
        <v>5502200</v>
      </c>
    </row>
    <row r="882" ht="15.75" customHeight="1" spans="1:11">
      <c r="A882" s="87">
        <v>881</v>
      </c>
      <c r="B882" s="88" t="s">
        <v>46</v>
      </c>
      <c r="C882" s="88" t="s">
        <v>51</v>
      </c>
      <c r="D882" s="87">
        <v>2025</v>
      </c>
      <c r="E882" s="88" t="s">
        <v>42</v>
      </c>
      <c r="F882" s="88" t="s">
        <v>150</v>
      </c>
      <c r="G882" s="89" t="s">
        <v>44</v>
      </c>
      <c r="H882" s="89" t="s">
        <v>44</v>
      </c>
      <c r="I882" s="89" t="s">
        <v>44</v>
      </c>
      <c r="J882" s="89" t="s">
        <v>44</v>
      </c>
      <c r="K882" s="90">
        <v>7946727</v>
      </c>
    </row>
    <row r="883" ht="15.75" customHeight="1" spans="1:11">
      <c r="A883" s="87">
        <v>882</v>
      </c>
      <c r="B883" s="88" t="s">
        <v>46</v>
      </c>
      <c r="C883" s="88" t="s">
        <v>51</v>
      </c>
      <c r="D883" s="87">
        <v>2025</v>
      </c>
      <c r="E883" s="88" t="s">
        <v>42</v>
      </c>
      <c r="F883" s="88" t="s">
        <v>153</v>
      </c>
      <c r="G883" s="90">
        <v>11608</v>
      </c>
      <c r="H883" s="89">
        <v>1</v>
      </c>
      <c r="I883" s="89" t="s">
        <v>44</v>
      </c>
      <c r="J883" s="89" t="s">
        <v>44</v>
      </c>
      <c r="K883" s="90">
        <v>11608</v>
      </c>
    </row>
    <row r="884" ht="15.75" customHeight="1" spans="1:11">
      <c r="A884" s="87">
        <v>883</v>
      </c>
      <c r="B884" s="88" t="s">
        <v>46</v>
      </c>
      <c r="C884" s="88" t="s">
        <v>51</v>
      </c>
      <c r="D884" s="87">
        <v>2025</v>
      </c>
      <c r="E884" s="88" t="s">
        <v>42</v>
      </c>
      <c r="F884" s="88" t="s">
        <v>151</v>
      </c>
      <c r="G884" s="89" t="s">
        <v>44</v>
      </c>
      <c r="H884" s="89" t="s">
        <v>44</v>
      </c>
      <c r="I884" s="89" t="s">
        <v>44</v>
      </c>
      <c r="J884" s="89" t="s">
        <v>44</v>
      </c>
      <c r="K884" s="90">
        <v>493099136</v>
      </c>
    </row>
    <row r="885" ht="15.75" customHeight="1" spans="1:11">
      <c r="A885" s="87">
        <v>884</v>
      </c>
      <c r="B885" s="88" t="s">
        <v>46</v>
      </c>
      <c r="C885" s="88" t="s">
        <v>51</v>
      </c>
      <c r="D885" s="87">
        <v>2025</v>
      </c>
      <c r="E885" s="88" t="s">
        <v>42</v>
      </c>
      <c r="F885" s="88" t="s">
        <v>152</v>
      </c>
      <c r="G885" s="89" t="s">
        <v>44</v>
      </c>
      <c r="H885" s="89" t="s">
        <v>44</v>
      </c>
      <c r="I885" s="89" t="s">
        <v>44</v>
      </c>
      <c r="J885" s="89" t="s">
        <v>44</v>
      </c>
      <c r="K885" s="90">
        <v>32288627</v>
      </c>
    </row>
    <row r="886" ht="15.75" customHeight="1" spans="1:11">
      <c r="A886" s="87">
        <v>885</v>
      </c>
      <c r="B886" s="88" t="s">
        <v>46</v>
      </c>
      <c r="C886" s="88" t="s">
        <v>51</v>
      </c>
      <c r="D886" s="87">
        <v>2025</v>
      </c>
      <c r="E886" s="88" t="s">
        <v>43</v>
      </c>
      <c r="F886" s="88" t="s">
        <v>149</v>
      </c>
      <c r="G886" s="89" t="s">
        <v>44</v>
      </c>
      <c r="H886" s="90">
        <v>6522</v>
      </c>
      <c r="I886" s="90">
        <v>669521953</v>
      </c>
      <c r="J886" s="90">
        <v>5032</v>
      </c>
      <c r="K886" s="90">
        <v>23507148</v>
      </c>
    </row>
    <row r="887" ht="15.75" customHeight="1" spans="1:11">
      <c r="A887" s="87">
        <v>886</v>
      </c>
      <c r="B887" s="88" t="s">
        <v>46</v>
      </c>
      <c r="C887" s="88" t="s">
        <v>51</v>
      </c>
      <c r="D887" s="87">
        <v>2025</v>
      </c>
      <c r="E887" s="88" t="s">
        <v>43</v>
      </c>
      <c r="F887" s="88" t="s">
        <v>160</v>
      </c>
      <c r="G887" s="90">
        <v>9222687</v>
      </c>
      <c r="H887" s="90">
        <v>1309</v>
      </c>
      <c r="I887" s="89" t="s">
        <v>44</v>
      </c>
      <c r="J887" s="89" t="s">
        <v>44</v>
      </c>
      <c r="K887" s="90">
        <v>9222687</v>
      </c>
    </row>
    <row r="888" ht="15.75" customHeight="1" spans="1:11">
      <c r="A888" s="87">
        <v>887</v>
      </c>
      <c r="B888" s="88" t="s">
        <v>46</v>
      </c>
      <c r="C888" s="88" t="s">
        <v>51</v>
      </c>
      <c r="D888" s="87">
        <v>2025</v>
      </c>
      <c r="E888" s="88" t="s">
        <v>43</v>
      </c>
      <c r="F888" s="88" t="s">
        <v>150</v>
      </c>
      <c r="G888" s="89" t="s">
        <v>44</v>
      </c>
      <c r="H888" s="89" t="s">
        <v>44</v>
      </c>
      <c r="I888" s="89" t="s">
        <v>44</v>
      </c>
      <c r="J888" s="89" t="s">
        <v>44</v>
      </c>
      <c r="K888" s="90">
        <v>6231102</v>
      </c>
    </row>
    <row r="889" ht="15.75" customHeight="1" spans="1:11">
      <c r="A889" s="87">
        <v>888</v>
      </c>
      <c r="B889" s="88" t="s">
        <v>46</v>
      </c>
      <c r="C889" s="88" t="s">
        <v>51</v>
      </c>
      <c r="D889" s="87">
        <v>2025</v>
      </c>
      <c r="E889" s="88" t="s">
        <v>43</v>
      </c>
      <c r="F889" s="88" t="s">
        <v>155</v>
      </c>
      <c r="G889" s="90">
        <v>6918</v>
      </c>
      <c r="H889" s="89">
        <v>1</v>
      </c>
      <c r="I889" s="89" t="s">
        <v>44</v>
      </c>
      <c r="J889" s="89" t="s">
        <v>44</v>
      </c>
      <c r="K889" s="90">
        <v>6918</v>
      </c>
    </row>
    <row r="890" ht="15.75" customHeight="1" spans="1:11">
      <c r="A890" s="87">
        <v>889</v>
      </c>
      <c r="B890" s="88" t="s">
        <v>46</v>
      </c>
      <c r="C890" s="88" t="s">
        <v>51</v>
      </c>
      <c r="D890" s="87">
        <v>2025</v>
      </c>
      <c r="E890" s="88" t="s">
        <v>43</v>
      </c>
      <c r="F890" s="88" t="s">
        <v>153</v>
      </c>
      <c r="G890" s="90">
        <v>55766</v>
      </c>
      <c r="H890" s="89">
        <v>4</v>
      </c>
      <c r="I890" s="89" t="s">
        <v>44</v>
      </c>
      <c r="J890" s="89" t="s">
        <v>44</v>
      </c>
      <c r="K890" s="90">
        <v>55766</v>
      </c>
    </row>
    <row r="891" ht="15.75" customHeight="1" spans="1:11">
      <c r="A891" s="87">
        <v>890</v>
      </c>
      <c r="B891" s="88" t="s">
        <v>46</v>
      </c>
      <c r="C891" s="88" t="s">
        <v>51</v>
      </c>
      <c r="D891" s="87">
        <v>2025</v>
      </c>
      <c r="E891" s="88" t="s">
        <v>43</v>
      </c>
      <c r="F891" s="88" t="s">
        <v>151</v>
      </c>
      <c r="G891" s="89" t="s">
        <v>44</v>
      </c>
      <c r="H891" s="89" t="s">
        <v>44</v>
      </c>
      <c r="I891" s="89" t="s">
        <v>44</v>
      </c>
      <c r="J891" s="89" t="s">
        <v>44</v>
      </c>
      <c r="K891" s="90">
        <v>466874947</v>
      </c>
    </row>
    <row r="892" ht="15.75" customHeight="1" spans="1:11">
      <c r="A892" s="87">
        <v>891</v>
      </c>
      <c r="B892" s="88" t="s">
        <v>46</v>
      </c>
      <c r="C892" s="88" t="s">
        <v>51</v>
      </c>
      <c r="D892" s="87">
        <v>2025</v>
      </c>
      <c r="E892" s="88" t="s">
        <v>43</v>
      </c>
      <c r="F892" s="88" t="s">
        <v>152</v>
      </c>
      <c r="G892" s="89" t="s">
        <v>44</v>
      </c>
      <c r="H892" s="89" t="s">
        <v>44</v>
      </c>
      <c r="I892" s="89" t="s">
        <v>44</v>
      </c>
      <c r="J892" s="89" t="s">
        <v>44</v>
      </c>
      <c r="K892" s="90">
        <v>29090504</v>
      </c>
    </row>
    <row r="893" ht="15.75" customHeight="1" spans="1:11">
      <c r="A893" s="87">
        <v>892</v>
      </c>
      <c r="B893" s="88" t="s">
        <v>46</v>
      </c>
      <c r="C893" s="88" t="s">
        <v>51</v>
      </c>
      <c r="D893" s="87">
        <v>2026</v>
      </c>
      <c r="E893" s="88" t="s">
        <v>31</v>
      </c>
      <c r="F893" s="88" t="s">
        <v>149</v>
      </c>
      <c r="G893" s="89" t="s">
        <v>44</v>
      </c>
      <c r="H893" s="90">
        <v>3275</v>
      </c>
      <c r="I893" s="90">
        <v>316347016</v>
      </c>
      <c r="J893" s="90">
        <v>2583</v>
      </c>
      <c r="K893" s="90">
        <v>11294940</v>
      </c>
    </row>
    <row r="894" ht="15.75" customHeight="1" spans="1:11">
      <c r="A894" s="87">
        <v>893</v>
      </c>
      <c r="B894" s="88" t="s">
        <v>46</v>
      </c>
      <c r="C894" s="88" t="s">
        <v>51</v>
      </c>
      <c r="D894" s="87">
        <v>2026</v>
      </c>
      <c r="E894" s="88" t="s">
        <v>31</v>
      </c>
      <c r="F894" s="88" t="s">
        <v>160</v>
      </c>
      <c r="G894" s="90">
        <v>8032698</v>
      </c>
      <c r="H894" s="90">
        <v>1137</v>
      </c>
      <c r="I894" s="89" t="s">
        <v>44</v>
      </c>
      <c r="J894" s="89" t="s">
        <v>44</v>
      </c>
      <c r="K894" s="90">
        <v>8032698</v>
      </c>
    </row>
    <row r="895" ht="15.75" customHeight="1" spans="1:11">
      <c r="A895" s="87">
        <v>894</v>
      </c>
      <c r="B895" s="88" t="s">
        <v>46</v>
      </c>
      <c r="C895" s="88" t="s">
        <v>51</v>
      </c>
      <c r="D895" s="87">
        <v>2026</v>
      </c>
      <c r="E895" s="88" t="s">
        <v>31</v>
      </c>
      <c r="F895" s="88" t="s">
        <v>154</v>
      </c>
      <c r="G895" s="89" t="s">
        <v>44</v>
      </c>
      <c r="H895" s="89" t="s">
        <v>44</v>
      </c>
      <c r="I895" s="89" t="s">
        <v>44</v>
      </c>
      <c r="J895" s="89" t="s">
        <v>44</v>
      </c>
      <c r="K895" s="90">
        <v>6714200</v>
      </c>
    </row>
    <row r="896" ht="15.75" customHeight="1" spans="1:11">
      <c r="A896" s="87">
        <v>895</v>
      </c>
      <c r="B896" s="88" t="s">
        <v>46</v>
      </c>
      <c r="C896" s="88" t="s">
        <v>51</v>
      </c>
      <c r="D896" s="87">
        <v>2026</v>
      </c>
      <c r="E896" s="88" t="s">
        <v>31</v>
      </c>
      <c r="F896" s="88" t="s">
        <v>150</v>
      </c>
      <c r="G896" s="89" t="s">
        <v>44</v>
      </c>
      <c r="H896" s="89" t="s">
        <v>44</v>
      </c>
      <c r="I896" s="89" t="s">
        <v>44</v>
      </c>
      <c r="J896" s="89" t="s">
        <v>44</v>
      </c>
      <c r="K896" s="90">
        <v>4506372</v>
      </c>
    </row>
    <row r="897" ht="15.75" customHeight="1" spans="1:11">
      <c r="A897" s="87">
        <v>896</v>
      </c>
      <c r="B897" s="88" t="s">
        <v>46</v>
      </c>
      <c r="C897" s="88" t="s">
        <v>51</v>
      </c>
      <c r="D897" s="87">
        <v>2026</v>
      </c>
      <c r="E897" s="88" t="s">
        <v>31</v>
      </c>
      <c r="F897" s="88" t="s">
        <v>153</v>
      </c>
      <c r="G897" s="90">
        <v>23598</v>
      </c>
      <c r="H897" s="89">
        <v>2</v>
      </c>
      <c r="I897" s="89" t="s">
        <v>44</v>
      </c>
      <c r="J897" s="89" t="s">
        <v>44</v>
      </c>
      <c r="K897" s="90">
        <v>23598</v>
      </c>
    </row>
    <row r="898" ht="15.75" customHeight="1" spans="1:11">
      <c r="A898" s="87">
        <v>897</v>
      </c>
      <c r="B898" s="88" t="s">
        <v>46</v>
      </c>
      <c r="C898" s="88" t="s">
        <v>51</v>
      </c>
      <c r="D898" s="87">
        <v>2026</v>
      </c>
      <c r="E898" s="88" t="s">
        <v>31</v>
      </c>
      <c r="F898" s="88" t="s">
        <v>151</v>
      </c>
      <c r="G898" s="89" t="s">
        <v>44</v>
      </c>
      <c r="H898" s="89" t="s">
        <v>44</v>
      </c>
      <c r="I898" s="89" t="s">
        <v>44</v>
      </c>
      <c r="J898" s="89" t="s">
        <v>44</v>
      </c>
      <c r="K898" s="90">
        <v>289544055</v>
      </c>
    </row>
    <row r="899" ht="15.75" customHeight="1" spans="1:11">
      <c r="A899" s="87">
        <v>898</v>
      </c>
      <c r="B899" s="88" t="s">
        <v>46</v>
      </c>
      <c r="C899" s="88" t="s">
        <v>51</v>
      </c>
      <c r="D899" s="87">
        <v>2026</v>
      </c>
      <c r="E899" s="88" t="s">
        <v>31</v>
      </c>
      <c r="F899" s="88" t="s">
        <v>152</v>
      </c>
      <c r="G899" s="89" t="s">
        <v>44</v>
      </c>
      <c r="H899" s="89" t="s">
        <v>44</v>
      </c>
      <c r="I899" s="89" t="s">
        <v>44</v>
      </c>
      <c r="J899" s="89" t="s">
        <v>44</v>
      </c>
      <c r="K899" s="90">
        <v>25362903</v>
      </c>
    </row>
    <row r="900" ht="15.75" customHeight="1" spans="1:11">
      <c r="A900" s="87">
        <v>899</v>
      </c>
      <c r="B900" s="88" t="s">
        <v>46</v>
      </c>
      <c r="C900" s="88" t="s">
        <v>51</v>
      </c>
      <c r="D900" s="87">
        <v>2026</v>
      </c>
      <c r="E900" s="88" t="s">
        <v>33</v>
      </c>
      <c r="F900" s="88" t="s">
        <v>160</v>
      </c>
      <c r="G900" s="90">
        <v>6989478</v>
      </c>
      <c r="H900" s="89">
        <v>986</v>
      </c>
      <c r="I900" s="89" t="s">
        <v>44</v>
      </c>
      <c r="J900" s="89" t="s">
        <v>44</v>
      </c>
      <c r="K900" s="90">
        <v>6989478</v>
      </c>
    </row>
    <row r="901" ht="15.75" customHeight="1" spans="1:11">
      <c r="A901" s="87">
        <v>900</v>
      </c>
      <c r="B901" s="88" t="s">
        <v>46</v>
      </c>
      <c r="C901" s="88" t="s">
        <v>51</v>
      </c>
      <c r="D901" s="87">
        <v>2026</v>
      </c>
      <c r="E901" s="88" t="s">
        <v>33</v>
      </c>
      <c r="F901" s="88" t="s">
        <v>155</v>
      </c>
      <c r="G901" s="90">
        <v>13866</v>
      </c>
      <c r="H901" s="89">
        <v>1</v>
      </c>
      <c r="I901" s="89" t="s">
        <v>44</v>
      </c>
      <c r="J901" s="89" t="s">
        <v>44</v>
      </c>
      <c r="K901" s="90">
        <v>13866</v>
      </c>
    </row>
    <row r="902" ht="15.75" customHeight="1" spans="1:11">
      <c r="A902" s="87">
        <v>901</v>
      </c>
      <c r="B902" s="88" t="s">
        <v>46</v>
      </c>
      <c r="C902" s="88" t="s">
        <v>51</v>
      </c>
      <c r="D902" s="87">
        <v>2026</v>
      </c>
      <c r="E902" s="88" t="s">
        <v>33</v>
      </c>
      <c r="F902" s="88" t="s">
        <v>153</v>
      </c>
      <c r="G902" s="90">
        <v>12366</v>
      </c>
      <c r="H902" s="89">
        <v>1</v>
      </c>
      <c r="I902" s="89" t="s">
        <v>44</v>
      </c>
      <c r="J902" s="89" t="s">
        <v>44</v>
      </c>
      <c r="K902" s="90">
        <v>12366</v>
      </c>
    </row>
    <row r="903" ht="15.75" customHeight="1" spans="1:11">
      <c r="A903" s="87">
        <v>902</v>
      </c>
      <c r="B903" s="88" t="s">
        <v>46</v>
      </c>
      <c r="C903" s="88" t="s">
        <v>51</v>
      </c>
      <c r="D903" s="87">
        <v>2026</v>
      </c>
      <c r="E903" s="88" t="s">
        <v>33</v>
      </c>
      <c r="F903" s="88" t="s">
        <v>151</v>
      </c>
      <c r="G903" s="89" t="s">
        <v>44</v>
      </c>
      <c r="H903" s="89" t="s">
        <v>44</v>
      </c>
      <c r="I903" s="89" t="s">
        <v>44</v>
      </c>
      <c r="J903" s="89" t="s">
        <v>44</v>
      </c>
      <c r="K903" s="90">
        <v>344255373</v>
      </c>
    </row>
    <row r="904" ht="15.75" customHeight="1" spans="1:11">
      <c r="A904" s="87">
        <v>903</v>
      </c>
      <c r="B904" s="88" t="s">
        <v>46</v>
      </c>
      <c r="C904" s="88" t="s">
        <v>51</v>
      </c>
      <c r="D904" s="87">
        <v>2026</v>
      </c>
      <c r="E904" s="88" t="s">
        <v>33</v>
      </c>
      <c r="F904" s="88" t="s">
        <v>152</v>
      </c>
      <c r="G904" s="89" t="s">
        <v>44</v>
      </c>
      <c r="H904" s="89" t="s">
        <v>44</v>
      </c>
      <c r="I904" s="89" t="s">
        <v>44</v>
      </c>
      <c r="J904" s="89" t="s">
        <v>44</v>
      </c>
      <c r="K904" s="90">
        <v>27124837</v>
      </c>
    </row>
    <row r="905" ht="15.75" customHeight="1" spans="1:11">
      <c r="A905" s="87">
        <v>904</v>
      </c>
      <c r="B905" s="88" t="s">
        <v>46</v>
      </c>
      <c r="C905" s="88" t="s">
        <v>51</v>
      </c>
      <c r="D905" s="87">
        <v>2026</v>
      </c>
      <c r="E905" s="88" t="s">
        <v>33</v>
      </c>
      <c r="F905" s="88" t="s">
        <v>149</v>
      </c>
      <c r="G905" s="89" t="s">
        <v>44</v>
      </c>
      <c r="H905" s="90">
        <v>2965</v>
      </c>
      <c r="I905" s="90">
        <v>304464462</v>
      </c>
      <c r="J905" s="90">
        <v>2287</v>
      </c>
      <c r="K905" s="90">
        <v>11561543</v>
      </c>
    </row>
    <row r="906" ht="15.75" customHeight="1" spans="1:11">
      <c r="A906" s="87">
        <v>905</v>
      </c>
      <c r="B906" s="88" t="s">
        <v>46</v>
      </c>
      <c r="C906" s="88" t="s">
        <v>51</v>
      </c>
      <c r="D906" s="87">
        <v>2026</v>
      </c>
      <c r="E906" s="88" t="s">
        <v>33</v>
      </c>
      <c r="F906" s="88" t="s">
        <v>150</v>
      </c>
      <c r="G906" s="89" t="s">
        <v>44</v>
      </c>
      <c r="H906" s="89" t="s">
        <v>44</v>
      </c>
      <c r="I906" s="89" t="s">
        <v>44</v>
      </c>
      <c r="J906" s="89" t="s">
        <v>44</v>
      </c>
      <c r="K906" s="90">
        <v>4679365</v>
      </c>
    </row>
    <row r="907" ht="15.75" customHeight="1" spans="1:11">
      <c r="A907" s="87">
        <v>906</v>
      </c>
      <c r="B907" s="88" t="s">
        <v>46</v>
      </c>
      <c r="C907" s="88" t="s">
        <v>51</v>
      </c>
      <c r="D907" s="87">
        <v>2026</v>
      </c>
      <c r="E907" s="88" t="s">
        <v>34</v>
      </c>
      <c r="F907" s="88" t="s">
        <v>160</v>
      </c>
      <c r="G907" s="90">
        <v>8134835</v>
      </c>
      <c r="H907" s="90">
        <v>1150</v>
      </c>
      <c r="I907" s="89" t="s">
        <v>44</v>
      </c>
      <c r="J907" s="89" t="s">
        <v>44</v>
      </c>
      <c r="K907" s="90">
        <v>8134835</v>
      </c>
    </row>
    <row r="908" ht="15.75" customHeight="1" spans="1:11">
      <c r="A908" s="87">
        <v>907</v>
      </c>
      <c r="B908" s="88" t="s">
        <v>46</v>
      </c>
      <c r="C908" s="88" t="s">
        <v>51</v>
      </c>
      <c r="D908" s="87">
        <v>2026</v>
      </c>
      <c r="E908" s="88" t="s">
        <v>34</v>
      </c>
      <c r="F908" s="88" t="s">
        <v>153</v>
      </c>
      <c r="G908" s="90">
        <v>32025</v>
      </c>
      <c r="H908" s="89">
        <v>2</v>
      </c>
      <c r="I908" s="89" t="s">
        <v>44</v>
      </c>
      <c r="J908" s="89" t="s">
        <v>44</v>
      </c>
      <c r="K908" s="90">
        <v>32025</v>
      </c>
    </row>
    <row r="909" ht="15.75" customHeight="1" spans="1:11">
      <c r="A909" s="87">
        <v>908</v>
      </c>
      <c r="B909" s="88" t="s">
        <v>46</v>
      </c>
      <c r="C909" s="88" t="s">
        <v>51</v>
      </c>
      <c r="D909" s="87">
        <v>2026</v>
      </c>
      <c r="E909" s="88" t="s">
        <v>34</v>
      </c>
      <c r="F909" s="88" t="s">
        <v>159</v>
      </c>
      <c r="G909" s="90">
        <v>6992</v>
      </c>
      <c r="H909" s="89">
        <v>1</v>
      </c>
      <c r="I909" s="89" t="s">
        <v>44</v>
      </c>
      <c r="J909" s="89" t="s">
        <v>44</v>
      </c>
      <c r="K909" s="90">
        <v>6992</v>
      </c>
    </row>
    <row r="910" ht="15.75" customHeight="1" spans="1:11">
      <c r="A910" s="87">
        <v>909</v>
      </c>
      <c r="B910" s="88" t="s">
        <v>46</v>
      </c>
      <c r="C910" s="88" t="s">
        <v>51</v>
      </c>
      <c r="D910" s="87">
        <v>2026</v>
      </c>
      <c r="E910" s="88" t="s">
        <v>34</v>
      </c>
      <c r="F910" s="88" t="s">
        <v>150</v>
      </c>
      <c r="G910" s="89" t="s">
        <v>44</v>
      </c>
      <c r="H910" s="89" t="s">
        <v>44</v>
      </c>
      <c r="I910" s="89" t="s">
        <v>44</v>
      </c>
      <c r="J910" s="89" t="s">
        <v>44</v>
      </c>
      <c r="K910" s="90">
        <v>6133885</v>
      </c>
    </row>
    <row r="911" ht="15.75" customHeight="1" spans="1:11">
      <c r="A911" s="87">
        <v>910</v>
      </c>
      <c r="B911" s="88" t="s">
        <v>46</v>
      </c>
      <c r="C911" s="88" t="s">
        <v>51</v>
      </c>
      <c r="D911" s="87">
        <v>2026</v>
      </c>
      <c r="E911" s="88" t="s">
        <v>34</v>
      </c>
      <c r="F911" s="88" t="s">
        <v>151</v>
      </c>
      <c r="G911" s="89" t="s">
        <v>44</v>
      </c>
      <c r="H911" s="89" t="s">
        <v>44</v>
      </c>
      <c r="I911" s="89" t="s">
        <v>44</v>
      </c>
      <c r="J911" s="89" t="s">
        <v>44</v>
      </c>
      <c r="K911" s="90">
        <v>1199889528</v>
      </c>
    </row>
    <row r="912" ht="15.75" customHeight="1" spans="1:11">
      <c r="A912" s="87">
        <v>911</v>
      </c>
      <c r="B912" s="88" t="s">
        <v>46</v>
      </c>
      <c r="C912" s="88" t="s">
        <v>51</v>
      </c>
      <c r="D912" s="87">
        <v>2026</v>
      </c>
      <c r="E912" s="88" t="s">
        <v>34</v>
      </c>
      <c r="F912" s="88" t="s">
        <v>152</v>
      </c>
      <c r="G912" s="89" t="s">
        <v>44</v>
      </c>
      <c r="H912" s="89" t="s">
        <v>44</v>
      </c>
      <c r="I912" s="89" t="s">
        <v>44</v>
      </c>
      <c r="J912" s="89" t="s">
        <v>44</v>
      </c>
      <c r="K912" s="90">
        <v>60897776</v>
      </c>
    </row>
    <row r="913" ht="15.75" customHeight="1" spans="1:11">
      <c r="A913" s="87">
        <v>912</v>
      </c>
      <c r="B913" s="88" t="s">
        <v>46</v>
      </c>
      <c r="C913" s="88" t="s">
        <v>51</v>
      </c>
      <c r="D913" s="87">
        <v>2026</v>
      </c>
      <c r="E913" s="88" t="s">
        <v>34</v>
      </c>
      <c r="F913" s="88" t="s">
        <v>149</v>
      </c>
      <c r="G913" s="89" t="s">
        <v>44</v>
      </c>
      <c r="H913" s="90">
        <v>2892</v>
      </c>
      <c r="I913" s="90">
        <v>264848858</v>
      </c>
      <c r="J913" s="90">
        <v>2279</v>
      </c>
      <c r="K913" s="90">
        <v>10846798</v>
      </c>
    </row>
    <row r="914" ht="15.75" customHeight="1" spans="1:11">
      <c r="A914" s="87">
        <v>913</v>
      </c>
      <c r="B914" s="88" t="s">
        <v>46</v>
      </c>
      <c r="C914" s="88" t="s">
        <v>139</v>
      </c>
      <c r="D914" s="87">
        <v>2024</v>
      </c>
      <c r="E914" s="88" t="s">
        <v>31</v>
      </c>
      <c r="F914" s="88" t="s">
        <v>44</v>
      </c>
      <c r="G914" s="89" t="s">
        <v>44</v>
      </c>
      <c r="H914" s="89" t="s">
        <v>44</v>
      </c>
      <c r="I914" s="89" t="s">
        <v>44</v>
      </c>
      <c r="J914" s="89" t="s">
        <v>44</v>
      </c>
      <c r="K914" s="89" t="s">
        <v>44</v>
      </c>
    </row>
    <row r="915" ht="15.75" customHeight="1" spans="1:11">
      <c r="A915" s="87">
        <v>914</v>
      </c>
      <c r="B915" s="88" t="s">
        <v>46</v>
      </c>
      <c r="C915" s="88" t="s">
        <v>139</v>
      </c>
      <c r="D915" s="87">
        <v>2024</v>
      </c>
      <c r="E915" s="88" t="s">
        <v>33</v>
      </c>
      <c r="F915" s="88" t="s">
        <v>44</v>
      </c>
      <c r="G915" s="89" t="s">
        <v>44</v>
      </c>
      <c r="H915" s="89" t="s">
        <v>44</v>
      </c>
      <c r="I915" s="89" t="s">
        <v>44</v>
      </c>
      <c r="J915" s="89" t="s">
        <v>44</v>
      </c>
      <c r="K915" s="89" t="s">
        <v>44</v>
      </c>
    </row>
    <row r="916" ht="15.75" customHeight="1" spans="1:11">
      <c r="A916" s="87">
        <v>915</v>
      </c>
      <c r="B916" s="88" t="s">
        <v>46</v>
      </c>
      <c r="C916" s="88" t="s">
        <v>139</v>
      </c>
      <c r="D916" s="87">
        <v>2024</v>
      </c>
      <c r="E916" s="88" t="s">
        <v>34</v>
      </c>
      <c r="F916" s="88" t="s">
        <v>44</v>
      </c>
      <c r="G916" s="89" t="s">
        <v>44</v>
      </c>
      <c r="H916" s="89" t="s">
        <v>44</v>
      </c>
      <c r="I916" s="89" t="s">
        <v>44</v>
      </c>
      <c r="J916" s="89" t="s">
        <v>44</v>
      </c>
      <c r="K916" s="89" t="s">
        <v>44</v>
      </c>
    </row>
    <row r="917" ht="15.75" customHeight="1" spans="1:11">
      <c r="A917" s="87">
        <v>916</v>
      </c>
      <c r="B917" s="88" t="s">
        <v>46</v>
      </c>
      <c r="C917" s="88" t="s">
        <v>139</v>
      </c>
      <c r="D917" s="87">
        <v>2024</v>
      </c>
      <c r="E917" s="88" t="s">
        <v>35</v>
      </c>
      <c r="F917" s="88" t="s">
        <v>44</v>
      </c>
      <c r="G917" s="89" t="s">
        <v>44</v>
      </c>
      <c r="H917" s="89" t="s">
        <v>44</v>
      </c>
      <c r="I917" s="89" t="s">
        <v>44</v>
      </c>
      <c r="J917" s="89" t="s">
        <v>44</v>
      </c>
      <c r="K917" s="89" t="s">
        <v>44</v>
      </c>
    </row>
    <row r="918" ht="15.75" customHeight="1" spans="1:11">
      <c r="A918" s="87">
        <v>917</v>
      </c>
      <c r="B918" s="88" t="s">
        <v>46</v>
      </c>
      <c r="C918" s="88" t="s">
        <v>139</v>
      </c>
      <c r="D918" s="87">
        <v>2024</v>
      </c>
      <c r="E918" s="88" t="s">
        <v>36</v>
      </c>
      <c r="F918" s="88" t="s">
        <v>44</v>
      </c>
      <c r="G918" s="89" t="s">
        <v>44</v>
      </c>
      <c r="H918" s="89" t="s">
        <v>44</v>
      </c>
      <c r="I918" s="89" t="s">
        <v>44</v>
      </c>
      <c r="J918" s="89" t="s">
        <v>44</v>
      </c>
      <c r="K918" s="89" t="s">
        <v>44</v>
      </c>
    </row>
    <row r="919" ht="15.75" customHeight="1" spans="1:11">
      <c r="A919" s="87">
        <v>918</v>
      </c>
      <c r="B919" s="88" t="s">
        <v>46</v>
      </c>
      <c r="C919" s="88" t="s">
        <v>139</v>
      </c>
      <c r="D919" s="87">
        <v>2024</v>
      </c>
      <c r="E919" s="88" t="s">
        <v>37</v>
      </c>
      <c r="F919" s="88" t="s">
        <v>44</v>
      </c>
      <c r="G919" s="89" t="s">
        <v>44</v>
      </c>
      <c r="H919" s="89" t="s">
        <v>44</v>
      </c>
      <c r="I919" s="89" t="s">
        <v>44</v>
      </c>
      <c r="J919" s="89" t="s">
        <v>44</v>
      </c>
      <c r="K919" s="89" t="s">
        <v>44</v>
      </c>
    </row>
    <row r="920" ht="15.75" customHeight="1" spans="1:11">
      <c r="A920" s="87">
        <v>919</v>
      </c>
      <c r="B920" s="88" t="s">
        <v>46</v>
      </c>
      <c r="C920" s="88" t="s">
        <v>139</v>
      </c>
      <c r="D920" s="87">
        <v>2024</v>
      </c>
      <c r="E920" s="88" t="s">
        <v>38</v>
      </c>
      <c r="F920" s="88" t="s">
        <v>151</v>
      </c>
      <c r="G920" s="89" t="s">
        <v>44</v>
      </c>
      <c r="H920" s="89" t="s">
        <v>44</v>
      </c>
      <c r="I920" s="89" t="s">
        <v>44</v>
      </c>
      <c r="J920" s="89" t="s">
        <v>44</v>
      </c>
      <c r="K920" s="90">
        <v>2353</v>
      </c>
    </row>
    <row r="921" ht="15.75" customHeight="1" spans="1:11">
      <c r="A921" s="87">
        <v>920</v>
      </c>
      <c r="B921" s="88" t="s">
        <v>46</v>
      </c>
      <c r="C921" s="88" t="s">
        <v>139</v>
      </c>
      <c r="D921" s="87">
        <v>2024</v>
      </c>
      <c r="E921" s="88" t="s">
        <v>38</v>
      </c>
      <c r="F921" s="88" t="s">
        <v>152</v>
      </c>
      <c r="G921" s="89" t="s">
        <v>44</v>
      </c>
      <c r="H921" s="89" t="s">
        <v>44</v>
      </c>
      <c r="I921" s="89" t="s">
        <v>44</v>
      </c>
      <c r="J921" s="89" t="s">
        <v>44</v>
      </c>
      <c r="K921" s="89">
        <v>17</v>
      </c>
    </row>
    <row r="922" ht="15.75" customHeight="1" spans="1:11">
      <c r="A922" s="87">
        <v>921</v>
      </c>
      <c r="B922" s="88" t="s">
        <v>46</v>
      </c>
      <c r="C922" s="88" t="s">
        <v>139</v>
      </c>
      <c r="D922" s="87">
        <v>2024</v>
      </c>
      <c r="E922" s="88" t="s">
        <v>39</v>
      </c>
      <c r="F922" s="88" t="s">
        <v>151</v>
      </c>
      <c r="G922" s="89" t="s">
        <v>44</v>
      </c>
      <c r="H922" s="89" t="s">
        <v>44</v>
      </c>
      <c r="I922" s="89" t="s">
        <v>44</v>
      </c>
      <c r="J922" s="89" t="s">
        <v>44</v>
      </c>
      <c r="K922" s="90">
        <v>1251</v>
      </c>
    </row>
    <row r="923" ht="15.75" customHeight="1" spans="1:11">
      <c r="A923" s="87">
        <v>922</v>
      </c>
      <c r="B923" s="88" t="s">
        <v>46</v>
      </c>
      <c r="C923" s="88" t="s">
        <v>139</v>
      </c>
      <c r="D923" s="87">
        <v>2024</v>
      </c>
      <c r="E923" s="88" t="s">
        <v>39</v>
      </c>
      <c r="F923" s="88" t="s">
        <v>152</v>
      </c>
      <c r="G923" s="89" t="s">
        <v>44</v>
      </c>
      <c r="H923" s="89" t="s">
        <v>44</v>
      </c>
      <c r="I923" s="89" t="s">
        <v>44</v>
      </c>
      <c r="J923" s="89" t="s">
        <v>44</v>
      </c>
      <c r="K923" s="89">
        <v>3</v>
      </c>
    </row>
    <row r="924" ht="15.75" customHeight="1" spans="1:11">
      <c r="A924" s="87">
        <v>923</v>
      </c>
      <c r="B924" s="88" t="s">
        <v>46</v>
      </c>
      <c r="C924" s="88" t="s">
        <v>139</v>
      </c>
      <c r="D924" s="87">
        <v>2024</v>
      </c>
      <c r="E924" s="88" t="s">
        <v>40</v>
      </c>
      <c r="F924" s="88" t="s">
        <v>150</v>
      </c>
      <c r="G924" s="89" t="s">
        <v>44</v>
      </c>
      <c r="H924" s="89" t="s">
        <v>44</v>
      </c>
      <c r="I924" s="89" t="s">
        <v>44</v>
      </c>
      <c r="J924" s="89" t="s">
        <v>44</v>
      </c>
      <c r="K924" s="89">
        <v>3</v>
      </c>
    </row>
    <row r="925" ht="15.75" customHeight="1" spans="1:11">
      <c r="A925" s="87">
        <v>924</v>
      </c>
      <c r="B925" s="88" t="s">
        <v>46</v>
      </c>
      <c r="C925" s="88" t="s">
        <v>139</v>
      </c>
      <c r="D925" s="87">
        <v>2024</v>
      </c>
      <c r="E925" s="88" t="s">
        <v>40</v>
      </c>
      <c r="F925" s="88" t="s">
        <v>151</v>
      </c>
      <c r="G925" s="89" t="s">
        <v>44</v>
      </c>
      <c r="H925" s="89" t="s">
        <v>44</v>
      </c>
      <c r="I925" s="89" t="s">
        <v>44</v>
      </c>
      <c r="J925" s="89" t="s">
        <v>44</v>
      </c>
      <c r="K925" s="90">
        <v>25235</v>
      </c>
    </row>
    <row r="926" ht="15.75" customHeight="1" spans="1:11">
      <c r="A926" s="87">
        <v>925</v>
      </c>
      <c r="B926" s="88" t="s">
        <v>46</v>
      </c>
      <c r="C926" s="88" t="s">
        <v>139</v>
      </c>
      <c r="D926" s="87">
        <v>2024</v>
      </c>
      <c r="E926" s="88" t="s">
        <v>40</v>
      </c>
      <c r="F926" s="88" t="s">
        <v>152</v>
      </c>
      <c r="G926" s="89" t="s">
        <v>44</v>
      </c>
      <c r="H926" s="89" t="s">
        <v>44</v>
      </c>
      <c r="I926" s="89" t="s">
        <v>44</v>
      </c>
      <c r="J926" s="89" t="s">
        <v>44</v>
      </c>
      <c r="K926" s="89">
        <v>249</v>
      </c>
    </row>
    <row r="927" ht="15.75" customHeight="1" spans="1:11">
      <c r="A927" s="87">
        <v>926</v>
      </c>
      <c r="B927" s="88" t="s">
        <v>46</v>
      </c>
      <c r="C927" s="88" t="s">
        <v>139</v>
      </c>
      <c r="D927" s="87">
        <v>2024</v>
      </c>
      <c r="E927" s="88" t="s">
        <v>41</v>
      </c>
      <c r="F927" s="88" t="s">
        <v>151</v>
      </c>
      <c r="G927" s="89" t="s">
        <v>44</v>
      </c>
      <c r="H927" s="89" t="s">
        <v>44</v>
      </c>
      <c r="I927" s="89" t="s">
        <v>44</v>
      </c>
      <c r="J927" s="89" t="s">
        <v>44</v>
      </c>
      <c r="K927" s="90">
        <v>1951</v>
      </c>
    </row>
    <row r="928" ht="15.75" customHeight="1" spans="1:11">
      <c r="A928" s="87">
        <v>927</v>
      </c>
      <c r="B928" s="88" t="s">
        <v>46</v>
      </c>
      <c r="C928" s="88" t="s">
        <v>139</v>
      </c>
      <c r="D928" s="87">
        <v>2024</v>
      </c>
      <c r="E928" s="88" t="s">
        <v>41</v>
      </c>
      <c r="F928" s="88" t="s">
        <v>152</v>
      </c>
      <c r="G928" s="89" t="s">
        <v>44</v>
      </c>
      <c r="H928" s="89" t="s">
        <v>44</v>
      </c>
      <c r="I928" s="89" t="s">
        <v>44</v>
      </c>
      <c r="J928" s="89" t="s">
        <v>44</v>
      </c>
      <c r="K928" s="89">
        <v>4</v>
      </c>
    </row>
    <row r="929" ht="15.75" customHeight="1" spans="1:11">
      <c r="A929" s="87">
        <v>928</v>
      </c>
      <c r="B929" s="88" t="s">
        <v>46</v>
      </c>
      <c r="C929" s="88" t="s">
        <v>139</v>
      </c>
      <c r="D929" s="87">
        <v>2024</v>
      </c>
      <c r="E929" s="88" t="s">
        <v>42</v>
      </c>
      <c r="F929" s="88" t="s">
        <v>150</v>
      </c>
      <c r="G929" s="89" t="s">
        <v>44</v>
      </c>
      <c r="H929" s="89" t="s">
        <v>44</v>
      </c>
      <c r="I929" s="89" t="s">
        <v>44</v>
      </c>
      <c r="J929" s="89" t="s">
        <v>44</v>
      </c>
      <c r="K929" s="89">
        <v>761</v>
      </c>
    </row>
    <row r="930" ht="15.75" customHeight="1" spans="1:11">
      <c r="A930" s="87">
        <v>929</v>
      </c>
      <c r="B930" s="88" t="s">
        <v>46</v>
      </c>
      <c r="C930" s="88" t="s">
        <v>139</v>
      </c>
      <c r="D930" s="87">
        <v>2024</v>
      </c>
      <c r="E930" s="88" t="s">
        <v>42</v>
      </c>
      <c r="F930" s="88" t="s">
        <v>151</v>
      </c>
      <c r="G930" s="89" t="s">
        <v>44</v>
      </c>
      <c r="H930" s="89" t="s">
        <v>44</v>
      </c>
      <c r="I930" s="89" t="s">
        <v>44</v>
      </c>
      <c r="J930" s="89" t="s">
        <v>44</v>
      </c>
      <c r="K930" s="90">
        <v>1056150</v>
      </c>
    </row>
    <row r="931" ht="15.75" customHeight="1" spans="1:11">
      <c r="A931" s="87">
        <v>930</v>
      </c>
      <c r="B931" s="88" t="s">
        <v>46</v>
      </c>
      <c r="C931" s="88" t="s">
        <v>139</v>
      </c>
      <c r="D931" s="87">
        <v>2024</v>
      </c>
      <c r="E931" s="88" t="s">
        <v>42</v>
      </c>
      <c r="F931" s="88" t="s">
        <v>152</v>
      </c>
      <c r="G931" s="89" t="s">
        <v>44</v>
      </c>
      <c r="H931" s="89" t="s">
        <v>44</v>
      </c>
      <c r="I931" s="89" t="s">
        <v>44</v>
      </c>
      <c r="J931" s="89" t="s">
        <v>44</v>
      </c>
      <c r="K931" s="90">
        <v>172260</v>
      </c>
    </row>
    <row r="932" ht="15.75" customHeight="1" spans="1:11">
      <c r="A932" s="87">
        <v>931</v>
      </c>
      <c r="B932" s="88" t="s">
        <v>46</v>
      </c>
      <c r="C932" s="88" t="s">
        <v>139</v>
      </c>
      <c r="D932" s="87">
        <v>2024</v>
      </c>
      <c r="E932" s="88" t="s">
        <v>43</v>
      </c>
      <c r="F932" s="88" t="s">
        <v>150</v>
      </c>
      <c r="G932" s="89" t="s">
        <v>44</v>
      </c>
      <c r="H932" s="89" t="s">
        <v>44</v>
      </c>
      <c r="I932" s="89" t="s">
        <v>44</v>
      </c>
      <c r="J932" s="89" t="s">
        <v>44</v>
      </c>
      <c r="K932" s="89">
        <v>513</v>
      </c>
    </row>
    <row r="933" ht="15.75" customHeight="1" spans="1:11">
      <c r="A933" s="87">
        <v>932</v>
      </c>
      <c r="B933" s="88" t="s">
        <v>46</v>
      </c>
      <c r="C933" s="88" t="s">
        <v>139</v>
      </c>
      <c r="D933" s="87">
        <v>2024</v>
      </c>
      <c r="E933" s="88" t="s">
        <v>43</v>
      </c>
      <c r="F933" s="88" t="s">
        <v>151</v>
      </c>
      <c r="G933" s="89" t="s">
        <v>44</v>
      </c>
      <c r="H933" s="89" t="s">
        <v>44</v>
      </c>
      <c r="I933" s="89" t="s">
        <v>44</v>
      </c>
      <c r="J933" s="89" t="s">
        <v>44</v>
      </c>
      <c r="K933" s="90">
        <v>1852147</v>
      </c>
    </row>
    <row r="934" ht="15.75" customHeight="1" spans="1:11">
      <c r="A934" s="87">
        <v>933</v>
      </c>
      <c r="B934" s="88" t="s">
        <v>46</v>
      </c>
      <c r="C934" s="88" t="s">
        <v>139</v>
      </c>
      <c r="D934" s="87">
        <v>2024</v>
      </c>
      <c r="E934" s="88" t="s">
        <v>43</v>
      </c>
      <c r="F934" s="88" t="s">
        <v>152</v>
      </c>
      <c r="G934" s="89" t="s">
        <v>44</v>
      </c>
      <c r="H934" s="89" t="s">
        <v>44</v>
      </c>
      <c r="I934" s="89" t="s">
        <v>44</v>
      </c>
      <c r="J934" s="89" t="s">
        <v>44</v>
      </c>
      <c r="K934" s="90">
        <v>124972</v>
      </c>
    </row>
    <row r="935" ht="15.75" customHeight="1" spans="1:11">
      <c r="A935" s="87">
        <v>934</v>
      </c>
      <c r="B935" s="88" t="s">
        <v>46</v>
      </c>
      <c r="C935" s="88" t="s">
        <v>139</v>
      </c>
      <c r="D935" s="87">
        <v>2025</v>
      </c>
      <c r="E935" s="88" t="s">
        <v>31</v>
      </c>
      <c r="F935" s="88" t="s">
        <v>150</v>
      </c>
      <c r="G935" s="89" t="s">
        <v>44</v>
      </c>
      <c r="H935" s="89" t="s">
        <v>44</v>
      </c>
      <c r="I935" s="89" t="s">
        <v>44</v>
      </c>
      <c r="J935" s="89" t="s">
        <v>44</v>
      </c>
      <c r="K935" s="89">
        <v>35</v>
      </c>
    </row>
    <row r="936" ht="15.75" customHeight="1" spans="1:11">
      <c r="A936" s="87">
        <v>935</v>
      </c>
      <c r="B936" s="88" t="s">
        <v>46</v>
      </c>
      <c r="C936" s="88" t="s">
        <v>139</v>
      </c>
      <c r="D936" s="87">
        <v>2025</v>
      </c>
      <c r="E936" s="88" t="s">
        <v>31</v>
      </c>
      <c r="F936" s="88" t="s">
        <v>151</v>
      </c>
      <c r="G936" s="89" t="s">
        <v>44</v>
      </c>
      <c r="H936" s="89" t="s">
        <v>44</v>
      </c>
      <c r="I936" s="89" t="s">
        <v>44</v>
      </c>
      <c r="J936" s="89" t="s">
        <v>44</v>
      </c>
      <c r="K936" s="90">
        <v>192535</v>
      </c>
    </row>
    <row r="937" ht="15.75" customHeight="1" spans="1:11">
      <c r="A937" s="87">
        <v>936</v>
      </c>
      <c r="B937" s="88" t="s">
        <v>46</v>
      </c>
      <c r="C937" s="88" t="s">
        <v>139</v>
      </c>
      <c r="D937" s="87">
        <v>2025</v>
      </c>
      <c r="E937" s="88" t="s">
        <v>31</v>
      </c>
      <c r="F937" s="88" t="s">
        <v>152</v>
      </c>
      <c r="G937" s="89" t="s">
        <v>44</v>
      </c>
      <c r="H937" s="89" t="s">
        <v>44</v>
      </c>
      <c r="I937" s="89" t="s">
        <v>44</v>
      </c>
      <c r="J937" s="89" t="s">
        <v>44</v>
      </c>
      <c r="K937" s="90">
        <v>11075</v>
      </c>
    </row>
    <row r="938" ht="15.75" customHeight="1" spans="1:11">
      <c r="A938" s="87">
        <v>937</v>
      </c>
      <c r="B938" s="88" t="s">
        <v>46</v>
      </c>
      <c r="C938" s="88" t="s">
        <v>139</v>
      </c>
      <c r="D938" s="87">
        <v>2025</v>
      </c>
      <c r="E938" s="88" t="s">
        <v>33</v>
      </c>
      <c r="F938" s="88" t="s">
        <v>150</v>
      </c>
      <c r="G938" s="89" t="s">
        <v>44</v>
      </c>
      <c r="H938" s="89" t="s">
        <v>44</v>
      </c>
      <c r="I938" s="89" t="s">
        <v>44</v>
      </c>
      <c r="J938" s="89" t="s">
        <v>44</v>
      </c>
      <c r="K938" s="89">
        <v>18</v>
      </c>
    </row>
    <row r="939" ht="15.75" customHeight="1" spans="1:11">
      <c r="A939" s="87">
        <v>938</v>
      </c>
      <c r="B939" s="88" t="s">
        <v>46</v>
      </c>
      <c r="C939" s="88" t="s">
        <v>139</v>
      </c>
      <c r="D939" s="87">
        <v>2025</v>
      </c>
      <c r="E939" s="88" t="s">
        <v>33</v>
      </c>
      <c r="F939" s="88" t="s">
        <v>151</v>
      </c>
      <c r="G939" s="89" t="s">
        <v>44</v>
      </c>
      <c r="H939" s="89" t="s">
        <v>44</v>
      </c>
      <c r="I939" s="89" t="s">
        <v>44</v>
      </c>
      <c r="J939" s="89" t="s">
        <v>44</v>
      </c>
      <c r="K939" s="90">
        <v>106525</v>
      </c>
    </row>
    <row r="940" ht="15.75" customHeight="1" spans="1:11">
      <c r="A940" s="87">
        <v>939</v>
      </c>
      <c r="B940" s="88" t="s">
        <v>46</v>
      </c>
      <c r="C940" s="88" t="s">
        <v>139</v>
      </c>
      <c r="D940" s="87">
        <v>2025</v>
      </c>
      <c r="E940" s="88" t="s">
        <v>33</v>
      </c>
      <c r="F940" s="88" t="s">
        <v>152</v>
      </c>
      <c r="G940" s="89" t="s">
        <v>44</v>
      </c>
      <c r="H940" s="89" t="s">
        <v>44</v>
      </c>
      <c r="I940" s="89" t="s">
        <v>44</v>
      </c>
      <c r="J940" s="89" t="s">
        <v>44</v>
      </c>
      <c r="K940" s="90">
        <v>5882</v>
      </c>
    </row>
    <row r="941" ht="15.75" customHeight="1" spans="1:11">
      <c r="A941" s="87">
        <v>940</v>
      </c>
      <c r="B941" s="88" t="s">
        <v>46</v>
      </c>
      <c r="C941" s="88" t="s">
        <v>139</v>
      </c>
      <c r="D941" s="87">
        <v>2025</v>
      </c>
      <c r="E941" s="88" t="s">
        <v>34</v>
      </c>
      <c r="F941" s="88" t="s">
        <v>150</v>
      </c>
      <c r="G941" s="89" t="s">
        <v>44</v>
      </c>
      <c r="H941" s="89" t="s">
        <v>44</v>
      </c>
      <c r="I941" s="89" t="s">
        <v>44</v>
      </c>
      <c r="J941" s="89" t="s">
        <v>44</v>
      </c>
      <c r="K941" s="89">
        <v>4</v>
      </c>
    </row>
    <row r="942" ht="15.75" customHeight="1" spans="1:11">
      <c r="A942" s="87">
        <v>941</v>
      </c>
      <c r="B942" s="88" t="s">
        <v>46</v>
      </c>
      <c r="C942" s="88" t="s">
        <v>139</v>
      </c>
      <c r="D942" s="87">
        <v>2025</v>
      </c>
      <c r="E942" s="88" t="s">
        <v>34</v>
      </c>
      <c r="F942" s="88" t="s">
        <v>151</v>
      </c>
      <c r="G942" s="89" t="s">
        <v>44</v>
      </c>
      <c r="H942" s="89" t="s">
        <v>44</v>
      </c>
      <c r="I942" s="89" t="s">
        <v>44</v>
      </c>
      <c r="J942" s="89" t="s">
        <v>44</v>
      </c>
      <c r="K942" s="90">
        <v>23031</v>
      </c>
    </row>
    <row r="943" ht="15.75" customHeight="1" spans="1:11">
      <c r="A943" s="87">
        <v>942</v>
      </c>
      <c r="B943" s="88" t="s">
        <v>46</v>
      </c>
      <c r="C943" s="88" t="s">
        <v>139</v>
      </c>
      <c r="D943" s="87">
        <v>2025</v>
      </c>
      <c r="E943" s="88" t="s">
        <v>34</v>
      </c>
      <c r="F943" s="88" t="s">
        <v>152</v>
      </c>
      <c r="G943" s="89" t="s">
        <v>44</v>
      </c>
      <c r="H943" s="89" t="s">
        <v>44</v>
      </c>
      <c r="I943" s="89" t="s">
        <v>44</v>
      </c>
      <c r="J943" s="89" t="s">
        <v>44</v>
      </c>
      <c r="K943" s="90">
        <v>1879</v>
      </c>
    </row>
    <row r="944" ht="15.75" customHeight="1" spans="1:11">
      <c r="A944" s="87">
        <v>943</v>
      </c>
      <c r="B944" s="88" t="s">
        <v>46</v>
      </c>
      <c r="C944" s="88" t="s">
        <v>139</v>
      </c>
      <c r="D944" s="87">
        <v>2025</v>
      </c>
      <c r="E944" s="88" t="s">
        <v>35</v>
      </c>
      <c r="F944" s="88" t="s">
        <v>150</v>
      </c>
      <c r="G944" s="89" t="s">
        <v>44</v>
      </c>
      <c r="H944" s="89" t="s">
        <v>44</v>
      </c>
      <c r="I944" s="89" t="s">
        <v>44</v>
      </c>
      <c r="J944" s="89" t="s">
        <v>44</v>
      </c>
      <c r="K944" s="89">
        <v>7</v>
      </c>
    </row>
    <row r="945" ht="15.75" customHeight="1" spans="1:11">
      <c r="A945" s="87">
        <v>944</v>
      </c>
      <c r="B945" s="88" t="s">
        <v>46</v>
      </c>
      <c r="C945" s="88" t="s">
        <v>139</v>
      </c>
      <c r="D945" s="87">
        <v>2025</v>
      </c>
      <c r="E945" s="88" t="s">
        <v>35</v>
      </c>
      <c r="F945" s="88" t="s">
        <v>151</v>
      </c>
      <c r="G945" s="89" t="s">
        <v>44</v>
      </c>
      <c r="H945" s="89" t="s">
        <v>44</v>
      </c>
      <c r="I945" s="89" t="s">
        <v>44</v>
      </c>
      <c r="J945" s="89" t="s">
        <v>44</v>
      </c>
      <c r="K945" s="90">
        <v>6060</v>
      </c>
    </row>
    <row r="946" ht="15.75" customHeight="1" spans="1:11">
      <c r="A946" s="87">
        <v>945</v>
      </c>
      <c r="B946" s="88" t="s">
        <v>46</v>
      </c>
      <c r="C946" s="88" t="s">
        <v>139</v>
      </c>
      <c r="D946" s="87">
        <v>2025</v>
      </c>
      <c r="E946" s="88" t="s">
        <v>35</v>
      </c>
      <c r="F946" s="88" t="s">
        <v>152</v>
      </c>
      <c r="G946" s="89" t="s">
        <v>44</v>
      </c>
      <c r="H946" s="89" t="s">
        <v>44</v>
      </c>
      <c r="I946" s="89" t="s">
        <v>44</v>
      </c>
      <c r="J946" s="89" t="s">
        <v>44</v>
      </c>
      <c r="K946" s="89">
        <v>74</v>
      </c>
    </row>
    <row r="947" ht="15.75" customHeight="1" spans="1:11">
      <c r="A947" s="87">
        <v>946</v>
      </c>
      <c r="B947" s="88" t="s">
        <v>46</v>
      </c>
      <c r="C947" s="88" t="s">
        <v>139</v>
      </c>
      <c r="D947" s="87">
        <v>2025</v>
      </c>
      <c r="E947" s="88" t="s">
        <v>36</v>
      </c>
      <c r="F947" s="88" t="s">
        <v>150</v>
      </c>
      <c r="G947" s="89" t="s">
        <v>44</v>
      </c>
      <c r="H947" s="89" t="s">
        <v>44</v>
      </c>
      <c r="I947" s="89" t="s">
        <v>44</v>
      </c>
      <c r="J947" s="89" t="s">
        <v>44</v>
      </c>
      <c r="K947" s="89">
        <v>6</v>
      </c>
    </row>
    <row r="948" ht="15.75" customHeight="1" spans="1:11">
      <c r="A948" s="87">
        <v>947</v>
      </c>
      <c r="B948" s="88" t="s">
        <v>46</v>
      </c>
      <c r="C948" s="88" t="s">
        <v>139</v>
      </c>
      <c r="D948" s="87">
        <v>2025</v>
      </c>
      <c r="E948" s="88" t="s">
        <v>36</v>
      </c>
      <c r="F948" s="88" t="s">
        <v>151</v>
      </c>
      <c r="G948" s="89" t="s">
        <v>44</v>
      </c>
      <c r="H948" s="89" t="s">
        <v>44</v>
      </c>
      <c r="I948" s="89" t="s">
        <v>44</v>
      </c>
      <c r="J948" s="89" t="s">
        <v>44</v>
      </c>
      <c r="K948" s="90">
        <v>8416</v>
      </c>
    </row>
    <row r="949" ht="15.75" customHeight="1" spans="1:11">
      <c r="A949" s="87">
        <v>948</v>
      </c>
      <c r="B949" s="88" t="s">
        <v>46</v>
      </c>
      <c r="C949" s="88" t="s">
        <v>139</v>
      </c>
      <c r="D949" s="87">
        <v>2025</v>
      </c>
      <c r="E949" s="88" t="s">
        <v>36</v>
      </c>
      <c r="F949" s="88" t="s">
        <v>152</v>
      </c>
      <c r="G949" s="89" t="s">
        <v>44</v>
      </c>
      <c r="H949" s="89" t="s">
        <v>44</v>
      </c>
      <c r="I949" s="89" t="s">
        <v>44</v>
      </c>
      <c r="J949" s="89" t="s">
        <v>44</v>
      </c>
      <c r="K949" s="89">
        <v>742</v>
      </c>
    </row>
    <row r="950" ht="15.75" customHeight="1" spans="1:11">
      <c r="A950" s="87">
        <v>949</v>
      </c>
      <c r="B950" s="88" t="s">
        <v>46</v>
      </c>
      <c r="C950" s="88" t="s">
        <v>139</v>
      </c>
      <c r="D950" s="87">
        <v>2025</v>
      </c>
      <c r="E950" s="88" t="s">
        <v>37</v>
      </c>
      <c r="F950" s="88" t="s">
        <v>150</v>
      </c>
      <c r="G950" s="89" t="s">
        <v>44</v>
      </c>
      <c r="H950" s="89" t="s">
        <v>44</v>
      </c>
      <c r="I950" s="89" t="s">
        <v>44</v>
      </c>
      <c r="J950" s="89" t="s">
        <v>44</v>
      </c>
      <c r="K950" s="89">
        <v>3</v>
      </c>
    </row>
    <row r="951" ht="15.75" customHeight="1" spans="1:11">
      <c r="A951" s="87">
        <v>950</v>
      </c>
      <c r="B951" s="88" t="s">
        <v>46</v>
      </c>
      <c r="C951" s="88" t="s">
        <v>139</v>
      </c>
      <c r="D951" s="87">
        <v>2025</v>
      </c>
      <c r="E951" s="88" t="s">
        <v>37</v>
      </c>
      <c r="F951" s="88" t="s">
        <v>151</v>
      </c>
      <c r="G951" s="89" t="s">
        <v>44</v>
      </c>
      <c r="H951" s="89" t="s">
        <v>44</v>
      </c>
      <c r="I951" s="89" t="s">
        <v>44</v>
      </c>
      <c r="J951" s="89" t="s">
        <v>44</v>
      </c>
      <c r="K951" s="90">
        <v>11225</v>
      </c>
    </row>
    <row r="952" ht="15.75" customHeight="1" spans="1:11">
      <c r="A952" s="87">
        <v>951</v>
      </c>
      <c r="B952" s="88" t="s">
        <v>46</v>
      </c>
      <c r="C952" s="88" t="s">
        <v>139</v>
      </c>
      <c r="D952" s="87">
        <v>2025</v>
      </c>
      <c r="E952" s="88" t="s">
        <v>37</v>
      </c>
      <c r="F952" s="88" t="s">
        <v>152</v>
      </c>
      <c r="G952" s="89" t="s">
        <v>44</v>
      </c>
      <c r="H952" s="89" t="s">
        <v>44</v>
      </c>
      <c r="I952" s="89" t="s">
        <v>44</v>
      </c>
      <c r="J952" s="89" t="s">
        <v>44</v>
      </c>
      <c r="K952" s="89">
        <v>862</v>
      </c>
    </row>
    <row r="953" ht="15.75" customHeight="1" spans="1:11">
      <c r="A953" s="87">
        <v>952</v>
      </c>
      <c r="B953" s="88" t="s">
        <v>46</v>
      </c>
      <c r="C953" s="88" t="s">
        <v>139</v>
      </c>
      <c r="D953" s="87">
        <v>2025</v>
      </c>
      <c r="E953" s="88" t="s">
        <v>38</v>
      </c>
      <c r="F953" s="88" t="s">
        <v>150</v>
      </c>
      <c r="G953" s="89" t="s">
        <v>44</v>
      </c>
      <c r="H953" s="89" t="s">
        <v>44</v>
      </c>
      <c r="I953" s="89" t="s">
        <v>44</v>
      </c>
      <c r="J953" s="89" t="s">
        <v>44</v>
      </c>
      <c r="K953" s="90">
        <v>8093</v>
      </c>
    </row>
    <row r="954" ht="15.75" customHeight="1" spans="1:11">
      <c r="A954" s="87">
        <v>953</v>
      </c>
      <c r="B954" s="88" t="s">
        <v>46</v>
      </c>
      <c r="C954" s="88" t="s">
        <v>139</v>
      </c>
      <c r="D954" s="87">
        <v>2025</v>
      </c>
      <c r="E954" s="88" t="s">
        <v>38</v>
      </c>
      <c r="F954" s="88" t="s">
        <v>151</v>
      </c>
      <c r="G954" s="89" t="s">
        <v>44</v>
      </c>
      <c r="H954" s="89" t="s">
        <v>44</v>
      </c>
      <c r="I954" s="89" t="s">
        <v>44</v>
      </c>
      <c r="J954" s="89" t="s">
        <v>44</v>
      </c>
      <c r="K954" s="90">
        <v>9404378</v>
      </c>
    </row>
    <row r="955" ht="15.75" customHeight="1" spans="1:11">
      <c r="A955" s="87">
        <v>954</v>
      </c>
      <c r="B955" s="88" t="s">
        <v>46</v>
      </c>
      <c r="C955" s="88" t="s">
        <v>139</v>
      </c>
      <c r="D955" s="87">
        <v>2025</v>
      </c>
      <c r="E955" s="88" t="s">
        <v>38</v>
      </c>
      <c r="F955" s="88" t="s">
        <v>152</v>
      </c>
      <c r="G955" s="89" t="s">
        <v>44</v>
      </c>
      <c r="H955" s="89" t="s">
        <v>44</v>
      </c>
      <c r="I955" s="89" t="s">
        <v>44</v>
      </c>
      <c r="J955" s="89" t="s">
        <v>44</v>
      </c>
      <c r="K955" s="90">
        <v>612240</v>
      </c>
    </row>
    <row r="956" ht="15.75" customHeight="1" spans="1:11">
      <c r="A956" s="87">
        <v>955</v>
      </c>
      <c r="B956" s="88" t="s">
        <v>46</v>
      </c>
      <c r="C956" s="88" t="s">
        <v>139</v>
      </c>
      <c r="D956" s="87">
        <v>2025</v>
      </c>
      <c r="E956" s="88" t="s">
        <v>39</v>
      </c>
      <c r="F956" s="88" t="s">
        <v>150</v>
      </c>
      <c r="G956" s="89" t="s">
        <v>44</v>
      </c>
      <c r="H956" s="89" t="s">
        <v>44</v>
      </c>
      <c r="I956" s="89" t="s">
        <v>44</v>
      </c>
      <c r="J956" s="89" t="s">
        <v>44</v>
      </c>
      <c r="K956" s="90">
        <v>44682</v>
      </c>
    </row>
    <row r="957" ht="15.75" customHeight="1" spans="1:11">
      <c r="A957" s="87">
        <v>956</v>
      </c>
      <c r="B957" s="88" t="s">
        <v>46</v>
      </c>
      <c r="C957" s="88" t="s">
        <v>139</v>
      </c>
      <c r="D957" s="87">
        <v>2025</v>
      </c>
      <c r="E957" s="88" t="s">
        <v>39</v>
      </c>
      <c r="F957" s="88" t="s">
        <v>151</v>
      </c>
      <c r="G957" s="89" t="s">
        <v>44</v>
      </c>
      <c r="H957" s="89" t="s">
        <v>44</v>
      </c>
      <c r="I957" s="89" t="s">
        <v>44</v>
      </c>
      <c r="J957" s="89" t="s">
        <v>44</v>
      </c>
      <c r="K957" s="90">
        <v>22649102</v>
      </c>
    </row>
    <row r="958" ht="15.75" customHeight="1" spans="1:11">
      <c r="A958" s="87">
        <v>957</v>
      </c>
      <c r="B958" s="88" t="s">
        <v>46</v>
      </c>
      <c r="C958" s="88" t="s">
        <v>139</v>
      </c>
      <c r="D958" s="87">
        <v>2025</v>
      </c>
      <c r="E958" s="88" t="s">
        <v>39</v>
      </c>
      <c r="F958" s="88" t="s">
        <v>152</v>
      </c>
      <c r="G958" s="89" t="s">
        <v>44</v>
      </c>
      <c r="H958" s="89" t="s">
        <v>44</v>
      </c>
      <c r="I958" s="89" t="s">
        <v>44</v>
      </c>
      <c r="J958" s="89" t="s">
        <v>44</v>
      </c>
      <c r="K958" s="90">
        <v>1044202</v>
      </c>
    </row>
    <row r="959" ht="15.75" customHeight="1" spans="1:11">
      <c r="A959" s="87">
        <v>958</v>
      </c>
      <c r="B959" s="88" t="s">
        <v>46</v>
      </c>
      <c r="C959" s="88" t="s">
        <v>139</v>
      </c>
      <c r="D959" s="87">
        <v>2025</v>
      </c>
      <c r="E959" s="88" t="s">
        <v>40</v>
      </c>
      <c r="F959" s="88" t="s">
        <v>150</v>
      </c>
      <c r="G959" s="89" t="s">
        <v>44</v>
      </c>
      <c r="H959" s="89" t="s">
        <v>44</v>
      </c>
      <c r="I959" s="89" t="s">
        <v>44</v>
      </c>
      <c r="J959" s="89" t="s">
        <v>44</v>
      </c>
      <c r="K959" s="90">
        <v>28050</v>
      </c>
    </row>
    <row r="960" ht="15.75" customHeight="1" spans="1:11">
      <c r="A960" s="87">
        <v>959</v>
      </c>
      <c r="B960" s="88" t="s">
        <v>46</v>
      </c>
      <c r="C960" s="88" t="s">
        <v>139</v>
      </c>
      <c r="D960" s="87">
        <v>2025</v>
      </c>
      <c r="E960" s="88" t="s">
        <v>40</v>
      </c>
      <c r="F960" s="88" t="s">
        <v>153</v>
      </c>
      <c r="G960" s="90">
        <v>48286</v>
      </c>
      <c r="H960" s="89">
        <v>2</v>
      </c>
      <c r="I960" s="89" t="s">
        <v>44</v>
      </c>
      <c r="J960" s="89" t="s">
        <v>44</v>
      </c>
      <c r="K960" s="90">
        <v>48286</v>
      </c>
    </row>
    <row r="961" ht="15.75" customHeight="1" spans="1:11">
      <c r="A961" s="87">
        <v>960</v>
      </c>
      <c r="B961" s="88" t="s">
        <v>46</v>
      </c>
      <c r="C961" s="88" t="s">
        <v>139</v>
      </c>
      <c r="D961" s="87">
        <v>2025</v>
      </c>
      <c r="E961" s="88" t="s">
        <v>40</v>
      </c>
      <c r="F961" s="88" t="s">
        <v>151</v>
      </c>
      <c r="G961" s="89" t="s">
        <v>44</v>
      </c>
      <c r="H961" s="89" t="s">
        <v>44</v>
      </c>
      <c r="I961" s="89" t="s">
        <v>44</v>
      </c>
      <c r="J961" s="89" t="s">
        <v>44</v>
      </c>
      <c r="K961" s="90">
        <v>28985405</v>
      </c>
    </row>
    <row r="962" ht="15.75" customHeight="1" spans="1:11">
      <c r="A962" s="87">
        <v>961</v>
      </c>
      <c r="B962" s="88" t="s">
        <v>46</v>
      </c>
      <c r="C962" s="88" t="s">
        <v>139</v>
      </c>
      <c r="D962" s="87">
        <v>2025</v>
      </c>
      <c r="E962" s="88" t="s">
        <v>40</v>
      </c>
      <c r="F962" s="88" t="s">
        <v>152</v>
      </c>
      <c r="G962" s="89" t="s">
        <v>44</v>
      </c>
      <c r="H962" s="89" t="s">
        <v>44</v>
      </c>
      <c r="I962" s="89" t="s">
        <v>44</v>
      </c>
      <c r="J962" s="89" t="s">
        <v>44</v>
      </c>
      <c r="K962" s="90">
        <v>1620744</v>
      </c>
    </row>
    <row r="963" ht="15.75" customHeight="1" spans="1:11">
      <c r="A963" s="87">
        <v>962</v>
      </c>
      <c r="B963" s="88" t="s">
        <v>46</v>
      </c>
      <c r="C963" s="88" t="s">
        <v>139</v>
      </c>
      <c r="D963" s="87">
        <v>2025</v>
      </c>
      <c r="E963" s="88" t="s">
        <v>41</v>
      </c>
      <c r="F963" s="88" t="s">
        <v>150</v>
      </c>
      <c r="G963" s="89" t="s">
        <v>44</v>
      </c>
      <c r="H963" s="89" t="s">
        <v>44</v>
      </c>
      <c r="I963" s="89" t="s">
        <v>44</v>
      </c>
      <c r="J963" s="89" t="s">
        <v>44</v>
      </c>
      <c r="K963" s="90">
        <v>23909</v>
      </c>
    </row>
    <row r="964" ht="15.75" customHeight="1" spans="1:11">
      <c r="A964" s="87">
        <v>963</v>
      </c>
      <c r="B964" s="88" t="s">
        <v>46</v>
      </c>
      <c r="C964" s="88" t="s">
        <v>139</v>
      </c>
      <c r="D964" s="87">
        <v>2025</v>
      </c>
      <c r="E964" s="88" t="s">
        <v>41</v>
      </c>
      <c r="F964" s="88" t="s">
        <v>151</v>
      </c>
      <c r="G964" s="89" t="s">
        <v>44</v>
      </c>
      <c r="H964" s="89" t="s">
        <v>44</v>
      </c>
      <c r="I964" s="89" t="s">
        <v>44</v>
      </c>
      <c r="J964" s="89" t="s">
        <v>44</v>
      </c>
      <c r="K964" s="90">
        <v>23511625</v>
      </c>
    </row>
    <row r="965" ht="15.75" customHeight="1" spans="1:11">
      <c r="A965" s="87">
        <v>964</v>
      </c>
      <c r="B965" s="88" t="s">
        <v>46</v>
      </c>
      <c r="C965" s="88" t="s">
        <v>139</v>
      </c>
      <c r="D965" s="87">
        <v>2025</v>
      </c>
      <c r="E965" s="88" t="s">
        <v>41</v>
      </c>
      <c r="F965" s="88" t="s">
        <v>152</v>
      </c>
      <c r="G965" s="89" t="s">
        <v>44</v>
      </c>
      <c r="H965" s="89" t="s">
        <v>44</v>
      </c>
      <c r="I965" s="89" t="s">
        <v>44</v>
      </c>
      <c r="J965" s="89" t="s">
        <v>44</v>
      </c>
      <c r="K965" s="90">
        <v>1613787</v>
      </c>
    </row>
    <row r="966" ht="15.75" customHeight="1" spans="1:11">
      <c r="A966" s="87">
        <v>965</v>
      </c>
      <c r="B966" s="88" t="s">
        <v>46</v>
      </c>
      <c r="C966" s="88" t="s">
        <v>139</v>
      </c>
      <c r="D966" s="87">
        <v>2025</v>
      </c>
      <c r="E966" s="88" t="s">
        <v>42</v>
      </c>
      <c r="F966" s="88" t="s">
        <v>150</v>
      </c>
      <c r="G966" s="89" t="s">
        <v>44</v>
      </c>
      <c r="H966" s="89" t="s">
        <v>44</v>
      </c>
      <c r="I966" s="89" t="s">
        <v>44</v>
      </c>
      <c r="J966" s="89" t="s">
        <v>44</v>
      </c>
      <c r="K966" s="90">
        <v>35723</v>
      </c>
    </row>
    <row r="967" ht="15.75" customHeight="1" spans="1:11">
      <c r="A967" s="87">
        <v>966</v>
      </c>
      <c r="B967" s="88" t="s">
        <v>46</v>
      </c>
      <c r="C967" s="88" t="s">
        <v>139</v>
      </c>
      <c r="D967" s="87">
        <v>2025</v>
      </c>
      <c r="E967" s="88" t="s">
        <v>42</v>
      </c>
      <c r="F967" s="88" t="s">
        <v>151</v>
      </c>
      <c r="G967" s="89" t="s">
        <v>44</v>
      </c>
      <c r="H967" s="89" t="s">
        <v>44</v>
      </c>
      <c r="I967" s="89" t="s">
        <v>44</v>
      </c>
      <c r="J967" s="89" t="s">
        <v>44</v>
      </c>
      <c r="K967" s="90">
        <v>37144406</v>
      </c>
    </row>
    <row r="968" ht="15.75" customHeight="1" spans="1:11">
      <c r="A968" s="87">
        <v>967</v>
      </c>
      <c r="B968" s="88" t="s">
        <v>46</v>
      </c>
      <c r="C968" s="88" t="s">
        <v>139</v>
      </c>
      <c r="D968" s="87">
        <v>2025</v>
      </c>
      <c r="E968" s="88" t="s">
        <v>42</v>
      </c>
      <c r="F968" s="88" t="s">
        <v>152</v>
      </c>
      <c r="G968" s="89" t="s">
        <v>44</v>
      </c>
      <c r="H968" s="89" t="s">
        <v>44</v>
      </c>
      <c r="I968" s="89" t="s">
        <v>44</v>
      </c>
      <c r="J968" s="89" t="s">
        <v>44</v>
      </c>
      <c r="K968" s="90">
        <v>2744915</v>
      </c>
    </row>
    <row r="969" ht="15.75" customHeight="1" spans="1:11">
      <c r="A969" s="87">
        <v>968</v>
      </c>
      <c r="B969" s="88" t="s">
        <v>46</v>
      </c>
      <c r="C969" s="88" t="s">
        <v>139</v>
      </c>
      <c r="D969" s="87">
        <v>2025</v>
      </c>
      <c r="E969" s="88" t="s">
        <v>43</v>
      </c>
      <c r="F969" s="88" t="s">
        <v>150</v>
      </c>
      <c r="G969" s="89" t="s">
        <v>44</v>
      </c>
      <c r="H969" s="89" t="s">
        <v>44</v>
      </c>
      <c r="I969" s="89" t="s">
        <v>44</v>
      </c>
      <c r="J969" s="89" t="s">
        <v>44</v>
      </c>
      <c r="K969" s="90">
        <v>26981</v>
      </c>
    </row>
    <row r="970" ht="15.75" customHeight="1" spans="1:11">
      <c r="A970" s="87">
        <v>969</v>
      </c>
      <c r="B970" s="88" t="s">
        <v>46</v>
      </c>
      <c r="C970" s="88" t="s">
        <v>139</v>
      </c>
      <c r="D970" s="87">
        <v>2025</v>
      </c>
      <c r="E970" s="88" t="s">
        <v>43</v>
      </c>
      <c r="F970" s="88" t="s">
        <v>153</v>
      </c>
      <c r="G970" s="90">
        <v>13782</v>
      </c>
      <c r="H970" s="89">
        <v>1</v>
      </c>
      <c r="I970" s="89" t="s">
        <v>44</v>
      </c>
      <c r="J970" s="89" t="s">
        <v>44</v>
      </c>
      <c r="K970" s="90">
        <v>13782</v>
      </c>
    </row>
    <row r="971" ht="15.75" customHeight="1" spans="1:11">
      <c r="A971" s="87">
        <v>970</v>
      </c>
      <c r="B971" s="88" t="s">
        <v>46</v>
      </c>
      <c r="C971" s="88" t="s">
        <v>139</v>
      </c>
      <c r="D971" s="87">
        <v>2025</v>
      </c>
      <c r="E971" s="88" t="s">
        <v>43</v>
      </c>
      <c r="F971" s="88" t="s">
        <v>151</v>
      </c>
      <c r="G971" s="89" t="s">
        <v>44</v>
      </c>
      <c r="H971" s="89" t="s">
        <v>44</v>
      </c>
      <c r="I971" s="89" t="s">
        <v>44</v>
      </c>
      <c r="J971" s="89" t="s">
        <v>44</v>
      </c>
      <c r="K971" s="90">
        <v>57093426</v>
      </c>
    </row>
    <row r="972" ht="15.75" customHeight="1" spans="1:11">
      <c r="A972" s="87">
        <v>971</v>
      </c>
      <c r="B972" s="88" t="s">
        <v>46</v>
      </c>
      <c r="C972" s="88" t="s">
        <v>139</v>
      </c>
      <c r="D972" s="87">
        <v>2025</v>
      </c>
      <c r="E972" s="88" t="s">
        <v>43</v>
      </c>
      <c r="F972" s="88" t="s">
        <v>152</v>
      </c>
      <c r="G972" s="89" t="s">
        <v>44</v>
      </c>
      <c r="H972" s="89" t="s">
        <v>44</v>
      </c>
      <c r="I972" s="89" t="s">
        <v>44</v>
      </c>
      <c r="J972" s="89" t="s">
        <v>44</v>
      </c>
      <c r="K972" s="90">
        <v>5004270</v>
      </c>
    </row>
    <row r="973" ht="15.75" customHeight="1" spans="1:11">
      <c r="A973" s="87">
        <v>972</v>
      </c>
      <c r="B973" s="88" t="s">
        <v>46</v>
      </c>
      <c r="C973" s="88" t="s">
        <v>139</v>
      </c>
      <c r="D973" s="87">
        <v>2026</v>
      </c>
      <c r="E973" s="88" t="s">
        <v>31</v>
      </c>
      <c r="F973" s="88" t="s">
        <v>149</v>
      </c>
      <c r="G973" s="89" t="s">
        <v>44</v>
      </c>
      <c r="H973" s="90">
        <v>2348</v>
      </c>
      <c r="I973" s="90">
        <v>210453156</v>
      </c>
      <c r="J973" s="90">
        <v>1820</v>
      </c>
      <c r="K973" s="90">
        <v>8074120</v>
      </c>
    </row>
    <row r="974" ht="15.75" customHeight="1" spans="1:11">
      <c r="A974" s="87">
        <v>973</v>
      </c>
      <c r="B974" s="88" t="s">
        <v>46</v>
      </c>
      <c r="C974" s="88" t="s">
        <v>139</v>
      </c>
      <c r="D974" s="87">
        <v>2026</v>
      </c>
      <c r="E974" s="88" t="s">
        <v>31</v>
      </c>
      <c r="F974" s="88" t="s">
        <v>150</v>
      </c>
      <c r="G974" s="89" t="s">
        <v>44</v>
      </c>
      <c r="H974" s="89" t="s">
        <v>44</v>
      </c>
      <c r="I974" s="89" t="s">
        <v>44</v>
      </c>
      <c r="J974" s="89" t="s">
        <v>44</v>
      </c>
      <c r="K974" s="90">
        <v>21122</v>
      </c>
    </row>
    <row r="975" ht="15.75" customHeight="1" spans="1:11">
      <c r="A975" s="87">
        <v>974</v>
      </c>
      <c r="B975" s="88" t="s">
        <v>46</v>
      </c>
      <c r="C975" s="88" t="s">
        <v>139</v>
      </c>
      <c r="D975" s="87">
        <v>2026</v>
      </c>
      <c r="E975" s="88" t="s">
        <v>31</v>
      </c>
      <c r="F975" s="88" t="s">
        <v>153</v>
      </c>
      <c r="G975" s="90">
        <v>31280</v>
      </c>
      <c r="H975" s="89">
        <v>2</v>
      </c>
      <c r="I975" s="89" t="s">
        <v>44</v>
      </c>
      <c r="J975" s="89" t="s">
        <v>44</v>
      </c>
      <c r="K975" s="90">
        <v>31280</v>
      </c>
    </row>
    <row r="976" ht="15.75" customHeight="1" spans="1:11">
      <c r="A976" s="87">
        <v>975</v>
      </c>
      <c r="B976" s="88" t="s">
        <v>46</v>
      </c>
      <c r="C976" s="88" t="s">
        <v>139</v>
      </c>
      <c r="D976" s="87">
        <v>2026</v>
      </c>
      <c r="E976" s="88" t="s">
        <v>31</v>
      </c>
      <c r="F976" s="88" t="s">
        <v>151</v>
      </c>
      <c r="G976" s="89" t="s">
        <v>44</v>
      </c>
      <c r="H976" s="89" t="s">
        <v>44</v>
      </c>
      <c r="I976" s="89" t="s">
        <v>44</v>
      </c>
      <c r="J976" s="89" t="s">
        <v>44</v>
      </c>
      <c r="K976" s="90">
        <v>24264363</v>
      </c>
    </row>
    <row r="977" ht="15.75" customHeight="1" spans="1:11">
      <c r="A977" s="87">
        <v>976</v>
      </c>
      <c r="B977" s="88" t="s">
        <v>46</v>
      </c>
      <c r="C977" s="88" t="s">
        <v>139</v>
      </c>
      <c r="D977" s="87">
        <v>2026</v>
      </c>
      <c r="E977" s="88" t="s">
        <v>31</v>
      </c>
      <c r="F977" s="88" t="s">
        <v>152</v>
      </c>
      <c r="G977" s="89" t="s">
        <v>44</v>
      </c>
      <c r="H977" s="89" t="s">
        <v>44</v>
      </c>
      <c r="I977" s="89" t="s">
        <v>44</v>
      </c>
      <c r="J977" s="89" t="s">
        <v>44</v>
      </c>
      <c r="K977" s="90">
        <v>3451101</v>
      </c>
    </row>
    <row r="978" ht="15.75" customHeight="1" spans="1:11">
      <c r="A978" s="87">
        <v>977</v>
      </c>
      <c r="B978" s="88" t="s">
        <v>46</v>
      </c>
      <c r="C978" s="88" t="s">
        <v>139</v>
      </c>
      <c r="D978" s="87">
        <v>2026</v>
      </c>
      <c r="E978" s="88" t="s">
        <v>33</v>
      </c>
      <c r="F978" s="88" t="s">
        <v>151</v>
      </c>
      <c r="G978" s="89" t="s">
        <v>44</v>
      </c>
      <c r="H978" s="89" t="s">
        <v>44</v>
      </c>
      <c r="I978" s="89" t="s">
        <v>44</v>
      </c>
      <c r="J978" s="89" t="s">
        <v>44</v>
      </c>
      <c r="K978" s="90">
        <v>34425345</v>
      </c>
    </row>
    <row r="979" ht="15.75" customHeight="1" spans="1:11">
      <c r="A979" s="87">
        <v>978</v>
      </c>
      <c r="B979" s="88" t="s">
        <v>46</v>
      </c>
      <c r="C979" s="88" t="s">
        <v>139</v>
      </c>
      <c r="D979" s="87">
        <v>2026</v>
      </c>
      <c r="E979" s="88" t="s">
        <v>33</v>
      </c>
      <c r="F979" s="88" t="s">
        <v>152</v>
      </c>
      <c r="G979" s="89" t="s">
        <v>44</v>
      </c>
      <c r="H979" s="89" t="s">
        <v>44</v>
      </c>
      <c r="I979" s="89" t="s">
        <v>44</v>
      </c>
      <c r="J979" s="89" t="s">
        <v>44</v>
      </c>
      <c r="K979" s="90">
        <v>4262355</v>
      </c>
    </row>
    <row r="980" ht="15.75" customHeight="1" spans="1:11">
      <c r="A980" s="87">
        <v>979</v>
      </c>
      <c r="B980" s="88" t="s">
        <v>46</v>
      </c>
      <c r="C980" s="88" t="s">
        <v>139</v>
      </c>
      <c r="D980" s="87">
        <v>2026</v>
      </c>
      <c r="E980" s="88" t="s">
        <v>33</v>
      </c>
      <c r="F980" s="88" t="s">
        <v>149</v>
      </c>
      <c r="G980" s="89" t="s">
        <v>44</v>
      </c>
      <c r="H980" s="90">
        <v>2852</v>
      </c>
      <c r="I980" s="90">
        <v>251354467</v>
      </c>
      <c r="J980" s="90">
        <v>2210</v>
      </c>
      <c r="K980" s="90">
        <v>9717735</v>
      </c>
    </row>
    <row r="981" ht="15.75" customHeight="1" spans="1:11">
      <c r="A981" s="87">
        <v>980</v>
      </c>
      <c r="B981" s="88" t="s">
        <v>46</v>
      </c>
      <c r="C981" s="88" t="s">
        <v>139</v>
      </c>
      <c r="D981" s="87">
        <v>2026</v>
      </c>
      <c r="E981" s="88" t="s">
        <v>33</v>
      </c>
      <c r="F981" s="88" t="s">
        <v>150</v>
      </c>
      <c r="G981" s="89" t="s">
        <v>44</v>
      </c>
      <c r="H981" s="89" t="s">
        <v>44</v>
      </c>
      <c r="I981" s="89" t="s">
        <v>44</v>
      </c>
      <c r="J981" s="89" t="s">
        <v>44</v>
      </c>
      <c r="K981" s="90">
        <v>20652</v>
      </c>
    </row>
    <row r="982" ht="15.75" customHeight="1" spans="1:11">
      <c r="A982" s="87">
        <v>981</v>
      </c>
      <c r="B982" s="88" t="s">
        <v>46</v>
      </c>
      <c r="C982" s="88" t="s">
        <v>139</v>
      </c>
      <c r="D982" s="87">
        <v>2026</v>
      </c>
      <c r="E982" s="88" t="s">
        <v>34</v>
      </c>
      <c r="F982" s="88" t="s">
        <v>149</v>
      </c>
      <c r="G982" s="89" t="s">
        <v>44</v>
      </c>
      <c r="H982" s="90">
        <v>1985</v>
      </c>
      <c r="I982" s="90">
        <v>198849355</v>
      </c>
      <c r="J982" s="90">
        <v>1551</v>
      </c>
      <c r="K982" s="90">
        <v>7764403</v>
      </c>
    </row>
    <row r="983" ht="15.75" customHeight="1" spans="1:11">
      <c r="A983" s="87">
        <v>982</v>
      </c>
      <c r="B983" s="88" t="s">
        <v>46</v>
      </c>
      <c r="C983" s="88" t="s">
        <v>139</v>
      </c>
      <c r="D983" s="87">
        <v>2026</v>
      </c>
      <c r="E983" s="88" t="s">
        <v>34</v>
      </c>
      <c r="F983" s="88" t="s">
        <v>152</v>
      </c>
      <c r="G983" s="89" t="s">
        <v>44</v>
      </c>
      <c r="H983" s="89" t="s">
        <v>44</v>
      </c>
      <c r="I983" s="89" t="s">
        <v>44</v>
      </c>
      <c r="J983" s="89" t="s">
        <v>44</v>
      </c>
      <c r="K983" s="90">
        <v>4398142</v>
      </c>
    </row>
    <row r="984" ht="15.75" customHeight="1" spans="1:11">
      <c r="A984" s="87">
        <v>983</v>
      </c>
      <c r="B984" s="88" t="s">
        <v>46</v>
      </c>
      <c r="C984" s="88" t="s">
        <v>139</v>
      </c>
      <c r="D984" s="87">
        <v>2026</v>
      </c>
      <c r="E984" s="88" t="s">
        <v>34</v>
      </c>
      <c r="F984" s="88" t="s">
        <v>150</v>
      </c>
      <c r="G984" s="89" t="s">
        <v>44</v>
      </c>
      <c r="H984" s="89" t="s">
        <v>44</v>
      </c>
      <c r="I984" s="89" t="s">
        <v>44</v>
      </c>
      <c r="J984" s="89" t="s">
        <v>44</v>
      </c>
      <c r="K984" s="90">
        <v>29005</v>
      </c>
    </row>
    <row r="985" ht="15.75" customHeight="1" spans="1:11">
      <c r="A985" s="87">
        <v>984</v>
      </c>
      <c r="B985" s="88" t="s">
        <v>46</v>
      </c>
      <c r="C985" s="88" t="s">
        <v>139</v>
      </c>
      <c r="D985" s="87">
        <v>2026</v>
      </c>
      <c r="E985" s="88" t="s">
        <v>34</v>
      </c>
      <c r="F985" s="88" t="s">
        <v>151</v>
      </c>
      <c r="G985" s="89" t="s">
        <v>44</v>
      </c>
      <c r="H985" s="89" t="s">
        <v>44</v>
      </c>
      <c r="I985" s="89" t="s">
        <v>44</v>
      </c>
      <c r="J985" s="89" t="s">
        <v>44</v>
      </c>
      <c r="K985" s="90">
        <v>37647467</v>
      </c>
    </row>
    <row r="986" ht="15.75" customHeight="1" spans="1:11">
      <c r="A986" s="87">
        <v>985</v>
      </c>
      <c r="B986" s="88" t="s">
        <v>46</v>
      </c>
      <c r="C986" s="88" t="s">
        <v>52</v>
      </c>
      <c r="D986" s="87">
        <v>2024</v>
      </c>
      <c r="E986" s="88" t="s">
        <v>31</v>
      </c>
      <c r="F986" s="88" t="s">
        <v>150</v>
      </c>
      <c r="G986" s="89" t="s">
        <v>44</v>
      </c>
      <c r="H986" s="89" t="s">
        <v>44</v>
      </c>
      <c r="I986" s="89" t="s">
        <v>44</v>
      </c>
      <c r="J986" s="89" t="s">
        <v>44</v>
      </c>
      <c r="K986" s="90">
        <v>31183</v>
      </c>
    </row>
    <row r="987" ht="15.75" customHeight="1" spans="1:11">
      <c r="A987" s="87">
        <v>986</v>
      </c>
      <c r="B987" s="88" t="s">
        <v>46</v>
      </c>
      <c r="C987" s="88" t="s">
        <v>52</v>
      </c>
      <c r="D987" s="87">
        <v>2024</v>
      </c>
      <c r="E987" s="88" t="s">
        <v>31</v>
      </c>
      <c r="F987" s="88" t="s">
        <v>151</v>
      </c>
      <c r="G987" s="89" t="s">
        <v>44</v>
      </c>
      <c r="H987" s="89" t="s">
        <v>44</v>
      </c>
      <c r="I987" s="89" t="s">
        <v>44</v>
      </c>
      <c r="J987" s="89" t="s">
        <v>44</v>
      </c>
      <c r="K987" s="90">
        <v>28460050</v>
      </c>
    </row>
    <row r="988" ht="15.75" customHeight="1" spans="1:11">
      <c r="A988" s="87">
        <v>987</v>
      </c>
      <c r="B988" s="88" t="s">
        <v>46</v>
      </c>
      <c r="C988" s="88" t="s">
        <v>52</v>
      </c>
      <c r="D988" s="87">
        <v>2024</v>
      </c>
      <c r="E988" s="88" t="s">
        <v>31</v>
      </c>
      <c r="F988" s="88" t="s">
        <v>152</v>
      </c>
      <c r="G988" s="89" t="s">
        <v>44</v>
      </c>
      <c r="H988" s="89" t="s">
        <v>44</v>
      </c>
      <c r="I988" s="89" t="s">
        <v>44</v>
      </c>
      <c r="J988" s="89" t="s">
        <v>44</v>
      </c>
      <c r="K988" s="90">
        <v>572763</v>
      </c>
    </row>
    <row r="989" ht="15.75" customHeight="1" spans="1:11">
      <c r="A989" s="87">
        <v>988</v>
      </c>
      <c r="B989" s="88" t="s">
        <v>46</v>
      </c>
      <c r="C989" s="88" t="s">
        <v>52</v>
      </c>
      <c r="D989" s="87">
        <v>2024</v>
      </c>
      <c r="E989" s="88" t="s">
        <v>33</v>
      </c>
      <c r="F989" s="88" t="s">
        <v>150</v>
      </c>
      <c r="G989" s="89" t="s">
        <v>44</v>
      </c>
      <c r="H989" s="89" t="s">
        <v>44</v>
      </c>
      <c r="I989" s="89" t="s">
        <v>44</v>
      </c>
      <c r="J989" s="89" t="s">
        <v>44</v>
      </c>
      <c r="K989" s="90">
        <v>19921</v>
      </c>
    </row>
    <row r="990" ht="15.75" customHeight="1" spans="1:11">
      <c r="A990" s="87">
        <v>989</v>
      </c>
      <c r="B990" s="88" t="s">
        <v>46</v>
      </c>
      <c r="C990" s="88" t="s">
        <v>52</v>
      </c>
      <c r="D990" s="87">
        <v>2024</v>
      </c>
      <c r="E990" s="88" t="s">
        <v>33</v>
      </c>
      <c r="F990" s="88" t="s">
        <v>151</v>
      </c>
      <c r="G990" s="89" t="s">
        <v>44</v>
      </c>
      <c r="H990" s="89" t="s">
        <v>44</v>
      </c>
      <c r="I990" s="89" t="s">
        <v>44</v>
      </c>
      <c r="J990" s="89" t="s">
        <v>44</v>
      </c>
      <c r="K990" s="90">
        <v>62471753</v>
      </c>
    </row>
    <row r="991" ht="15.75" customHeight="1" spans="1:11">
      <c r="A991" s="87">
        <v>990</v>
      </c>
      <c r="B991" s="88" t="s">
        <v>46</v>
      </c>
      <c r="C991" s="88" t="s">
        <v>52</v>
      </c>
      <c r="D991" s="87">
        <v>2024</v>
      </c>
      <c r="E991" s="88" t="s">
        <v>33</v>
      </c>
      <c r="F991" s="88" t="s">
        <v>152</v>
      </c>
      <c r="G991" s="89" t="s">
        <v>44</v>
      </c>
      <c r="H991" s="89" t="s">
        <v>44</v>
      </c>
      <c r="I991" s="89" t="s">
        <v>44</v>
      </c>
      <c r="J991" s="89" t="s">
        <v>44</v>
      </c>
      <c r="K991" s="90">
        <v>998659</v>
      </c>
    </row>
    <row r="992" ht="15.75" customHeight="1" spans="1:11">
      <c r="A992" s="87">
        <v>991</v>
      </c>
      <c r="B992" s="88" t="s">
        <v>46</v>
      </c>
      <c r="C992" s="88" t="s">
        <v>52</v>
      </c>
      <c r="D992" s="87">
        <v>2024</v>
      </c>
      <c r="E992" s="88" t="s">
        <v>34</v>
      </c>
      <c r="F992" s="88" t="s">
        <v>150</v>
      </c>
      <c r="G992" s="89" t="s">
        <v>44</v>
      </c>
      <c r="H992" s="89" t="s">
        <v>44</v>
      </c>
      <c r="I992" s="89" t="s">
        <v>44</v>
      </c>
      <c r="J992" s="89" t="s">
        <v>44</v>
      </c>
      <c r="K992" s="90">
        <v>15503</v>
      </c>
    </row>
    <row r="993" ht="15.75" customHeight="1" spans="1:11">
      <c r="A993" s="87">
        <v>992</v>
      </c>
      <c r="B993" s="88" t="s">
        <v>46</v>
      </c>
      <c r="C993" s="88" t="s">
        <v>52</v>
      </c>
      <c r="D993" s="87">
        <v>2024</v>
      </c>
      <c r="E993" s="88" t="s">
        <v>34</v>
      </c>
      <c r="F993" s="88" t="s">
        <v>151</v>
      </c>
      <c r="G993" s="89" t="s">
        <v>44</v>
      </c>
      <c r="H993" s="89" t="s">
        <v>44</v>
      </c>
      <c r="I993" s="89" t="s">
        <v>44</v>
      </c>
      <c r="J993" s="89" t="s">
        <v>44</v>
      </c>
      <c r="K993" s="90">
        <v>33004112</v>
      </c>
    </row>
    <row r="994" ht="15.75" customHeight="1" spans="1:11">
      <c r="A994" s="87">
        <v>993</v>
      </c>
      <c r="B994" s="88" t="s">
        <v>46</v>
      </c>
      <c r="C994" s="88" t="s">
        <v>52</v>
      </c>
      <c r="D994" s="87">
        <v>2024</v>
      </c>
      <c r="E994" s="88" t="s">
        <v>34</v>
      </c>
      <c r="F994" s="88" t="s">
        <v>152</v>
      </c>
      <c r="G994" s="89" t="s">
        <v>44</v>
      </c>
      <c r="H994" s="89" t="s">
        <v>44</v>
      </c>
      <c r="I994" s="89" t="s">
        <v>44</v>
      </c>
      <c r="J994" s="89" t="s">
        <v>44</v>
      </c>
      <c r="K994" s="90">
        <v>566112</v>
      </c>
    </row>
    <row r="995" ht="15.75" customHeight="1" spans="1:11">
      <c r="A995" s="87">
        <v>994</v>
      </c>
      <c r="B995" s="88" t="s">
        <v>46</v>
      </c>
      <c r="C995" s="88" t="s">
        <v>52</v>
      </c>
      <c r="D995" s="87">
        <v>2024</v>
      </c>
      <c r="E995" s="88" t="s">
        <v>35</v>
      </c>
      <c r="F995" s="88" t="s">
        <v>150</v>
      </c>
      <c r="G995" s="89" t="s">
        <v>44</v>
      </c>
      <c r="H995" s="89" t="s">
        <v>44</v>
      </c>
      <c r="I995" s="89" t="s">
        <v>44</v>
      </c>
      <c r="J995" s="89" t="s">
        <v>44</v>
      </c>
      <c r="K995" s="90">
        <v>30855</v>
      </c>
    </row>
    <row r="996" ht="15.75" customHeight="1" spans="1:11">
      <c r="A996" s="87">
        <v>995</v>
      </c>
      <c r="B996" s="88" t="s">
        <v>46</v>
      </c>
      <c r="C996" s="88" t="s">
        <v>52</v>
      </c>
      <c r="D996" s="87">
        <v>2024</v>
      </c>
      <c r="E996" s="88" t="s">
        <v>35</v>
      </c>
      <c r="F996" s="88" t="s">
        <v>151</v>
      </c>
      <c r="G996" s="89" t="s">
        <v>44</v>
      </c>
      <c r="H996" s="89" t="s">
        <v>44</v>
      </c>
      <c r="I996" s="89" t="s">
        <v>44</v>
      </c>
      <c r="J996" s="89" t="s">
        <v>44</v>
      </c>
      <c r="K996" s="90">
        <v>10905119</v>
      </c>
    </row>
    <row r="997" ht="15.75" customHeight="1" spans="1:11">
      <c r="A997" s="87">
        <v>996</v>
      </c>
      <c r="B997" s="88" t="s">
        <v>46</v>
      </c>
      <c r="C997" s="88" t="s">
        <v>52</v>
      </c>
      <c r="D997" s="87">
        <v>2024</v>
      </c>
      <c r="E997" s="88" t="s">
        <v>35</v>
      </c>
      <c r="F997" s="88" t="s">
        <v>152</v>
      </c>
      <c r="G997" s="89" t="s">
        <v>44</v>
      </c>
      <c r="H997" s="89" t="s">
        <v>44</v>
      </c>
      <c r="I997" s="89" t="s">
        <v>44</v>
      </c>
      <c r="J997" s="89" t="s">
        <v>44</v>
      </c>
      <c r="K997" s="90">
        <v>196777</v>
      </c>
    </row>
    <row r="998" ht="15.75" customHeight="1" spans="1:11">
      <c r="A998" s="87">
        <v>997</v>
      </c>
      <c r="B998" s="88" t="s">
        <v>46</v>
      </c>
      <c r="C998" s="88" t="s">
        <v>52</v>
      </c>
      <c r="D998" s="87">
        <v>2024</v>
      </c>
      <c r="E998" s="88" t="s">
        <v>36</v>
      </c>
      <c r="F998" s="88" t="s">
        <v>150</v>
      </c>
      <c r="G998" s="89" t="s">
        <v>44</v>
      </c>
      <c r="H998" s="89" t="s">
        <v>44</v>
      </c>
      <c r="I998" s="89" t="s">
        <v>44</v>
      </c>
      <c r="J998" s="89" t="s">
        <v>44</v>
      </c>
      <c r="K998" s="90">
        <v>9893</v>
      </c>
    </row>
    <row r="999" ht="15.75" customHeight="1" spans="1:11">
      <c r="A999" s="87">
        <v>998</v>
      </c>
      <c r="B999" s="88" t="s">
        <v>46</v>
      </c>
      <c r="C999" s="88" t="s">
        <v>52</v>
      </c>
      <c r="D999" s="87">
        <v>2024</v>
      </c>
      <c r="E999" s="88" t="s">
        <v>36</v>
      </c>
      <c r="F999" s="88" t="s">
        <v>153</v>
      </c>
      <c r="G999" s="90">
        <v>529220</v>
      </c>
      <c r="H999" s="89">
        <v>9</v>
      </c>
      <c r="I999" s="89" t="s">
        <v>44</v>
      </c>
      <c r="J999" s="89" t="s">
        <v>44</v>
      </c>
      <c r="K999" s="90">
        <v>529220</v>
      </c>
    </row>
    <row r="1000" ht="15.75" customHeight="1" spans="1:11">
      <c r="A1000" s="87">
        <v>999</v>
      </c>
      <c r="B1000" s="88" t="s">
        <v>46</v>
      </c>
      <c r="C1000" s="88" t="s">
        <v>52</v>
      </c>
      <c r="D1000" s="87">
        <v>2024</v>
      </c>
      <c r="E1000" s="88" t="s">
        <v>36</v>
      </c>
      <c r="F1000" s="88" t="s">
        <v>151</v>
      </c>
      <c r="G1000" s="89" t="s">
        <v>44</v>
      </c>
      <c r="H1000" s="89" t="s">
        <v>44</v>
      </c>
      <c r="I1000" s="89" t="s">
        <v>44</v>
      </c>
      <c r="J1000" s="89" t="s">
        <v>44</v>
      </c>
      <c r="K1000" s="90">
        <v>13995948</v>
      </c>
    </row>
    <row r="1001" ht="15.75" customHeight="1" spans="1:11">
      <c r="A1001" s="87">
        <v>1000</v>
      </c>
      <c r="B1001" s="88" t="s">
        <v>46</v>
      </c>
      <c r="C1001" s="88" t="s">
        <v>52</v>
      </c>
      <c r="D1001" s="87">
        <v>2024</v>
      </c>
      <c r="E1001" s="88" t="s">
        <v>36</v>
      </c>
      <c r="F1001" s="88" t="s">
        <v>152</v>
      </c>
      <c r="G1001" s="89" t="s">
        <v>44</v>
      </c>
      <c r="H1001" s="89" t="s">
        <v>44</v>
      </c>
      <c r="I1001" s="89" t="s">
        <v>44</v>
      </c>
      <c r="J1001" s="89" t="s">
        <v>44</v>
      </c>
      <c r="K1001" s="90">
        <v>253915</v>
      </c>
    </row>
    <row r="1002" ht="15.75" customHeight="1" spans="1:11">
      <c r="A1002" s="87">
        <v>1001</v>
      </c>
      <c r="B1002" s="88" t="s">
        <v>46</v>
      </c>
      <c r="C1002" s="88" t="s">
        <v>52</v>
      </c>
      <c r="D1002" s="87">
        <v>2024</v>
      </c>
      <c r="E1002" s="88" t="s">
        <v>37</v>
      </c>
      <c r="F1002" s="88" t="s">
        <v>150</v>
      </c>
      <c r="G1002" s="89" t="s">
        <v>44</v>
      </c>
      <c r="H1002" s="89" t="s">
        <v>44</v>
      </c>
      <c r="I1002" s="89" t="s">
        <v>44</v>
      </c>
      <c r="J1002" s="89" t="s">
        <v>44</v>
      </c>
      <c r="K1002" s="90">
        <v>8533</v>
      </c>
    </row>
    <row r="1003" ht="15.75" customHeight="1" spans="1:11">
      <c r="A1003" s="87">
        <v>1002</v>
      </c>
      <c r="B1003" s="88" t="s">
        <v>46</v>
      </c>
      <c r="C1003" s="88" t="s">
        <v>52</v>
      </c>
      <c r="D1003" s="87">
        <v>2024</v>
      </c>
      <c r="E1003" s="88" t="s">
        <v>37</v>
      </c>
      <c r="F1003" s="88" t="s">
        <v>153</v>
      </c>
      <c r="G1003" s="90">
        <v>27167</v>
      </c>
      <c r="H1003" s="89">
        <v>2</v>
      </c>
      <c r="I1003" s="89" t="s">
        <v>44</v>
      </c>
      <c r="J1003" s="89" t="s">
        <v>44</v>
      </c>
      <c r="K1003" s="90">
        <v>27167</v>
      </c>
    </row>
    <row r="1004" ht="15.75" customHeight="1" spans="1:11">
      <c r="A1004" s="87">
        <v>1003</v>
      </c>
      <c r="B1004" s="88" t="s">
        <v>46</v>
      </c>
      <c r="C1004" s="88" t="s">
        <v>52</v>
      </c>
      <c r="D1004" s="87">
        <v>2024</v>
      </c>
      <c r="E1004" s="88" t="s">
        <v>37</v>
      </c>
      <c r="F1004" s="88" t="s">
        <v>151</v>
      </c>
      <c r="G1004" s="89" t="s">
        <v>44</v>
      </c>
      <c r="H1004" s="89" t="s">
        <v>44</v>
      </c>
      <c r="I1004" s="89" t="s">
        <v>44</v>
      </c>
      <c r="J1004" s="89" t="s">
        <v>44</v>
      </c>
      <c r="K1004" s="90">
        <v>13754194</v>
      </c>
    </row>
    <row r="1005" ht="15.75" customHeight="1" spans="1:11">
      <c r="A1005" s="87">
        <v>1004</v>
      </c>
      <c r="B1005" s="88" t="s">
        <v>46</v>
      </c>
      <c r="C1005" s="88" t="s">
        <v>52</v>
      </c>
      <c r="D1005" s="87">
        <v>2024</v>
      </c>
      <c r="E1005" s="88" t="s">
        <v>37</v>
      </c>
      <c r="F1005" s="88" t="s">
        <v>152</v>
      </c>
      <c r="G1005" s="89" t="s">
        <v>44</v>
      </c>
      <c r="H1005" s="89" t="s">
        <v>44</v>
      </c>
      <c r="I1005" s="89" t="s">
        <v>44</v>
      </c>
      <c r="J1005" s="89" t="s">
        <v>44</v>
      </c>
      <c r="K1005" s="90">
        <v>131298</v>
      </c>
    </row>
    <row r="1006" ht="15.75" customHeight="1" spans="1:11">
      <c r="A1006" s="87">
        <v>1005</v>
      </c>
      <c r="B1006" s="88" t="s">
        <v>46</v>
      </c>
      <c r="C1006" s="88" t="s">
        <v>52</v>
      </c>
      <c r="D1006" s="87">
        <v>2024</v>
      </c>
      <c r="E1006" s="88" t="s">
        <v>38</v>
      </c>
      <c r="F1006" s="88" t="s">
        <v>150</v>
      </c>
      <c r="G1006" s="89" t="s">
        <v>44</v>
      </c>
      <c r="H1006" s="89" t="s">
        <v>44</v>
      </c>
      <c r="I1006" s="89" t="s">
        <v>44</v>
      </c>
      <c r="J1006" s="89" t="s">
        <v>44</v>
      </c>
      <c r="K1006" s="90">
        <v>8069</v>
      </c>
    </row>
    <row r="1007" ht="15.75" customHeight="1" spans="1:11">
      <c r="A1007" s="87">
        <v>1006</v>
      </c>
      <c r="B1007" s="88" t="s">
        <v>46</v>
      </c>
      <c r="C1007" s="88" t="s">
        <v>52</v>
      </c>
      <c r="D1007" s="87">
        <v>2024</v>
      </c>
      <c r="E1007" s="88" t="s">
        <v>38</v>
      </c>
      <c r="F1007" s="88" t="s">
        <v>153</v>
      </c>
      <c r="G1007" s="90">
        <v>27162</v>
      </c>
      <c r="H1007" s="89">
        <v>2</v>
      </c>
      <c r="I1007" s="89" t="s">
        <v>44</v>
      </c>
      <c r="J1007" s="89" t="s">
        <v>44</v>
      </c>
      <c r="K1007" s="90">
        <v>27162</v>
      </c>
    </row>
    <row r="1008" ht="15.75" customHeight="1" spans="1:11">
      <c r="A1008" s="87">
        <v>1007</v>
      </c>
      <c r="B1008" s="88" t="s">
        <v>46</v>
      </c>
      <c r="C1008" s="88" t="s">
        <v>52</v>
      </c>
      <c r="D1008" s="87">
        <v>2024</v>
      </c>
      <c r="E1008" s="88" t="s">
        <v>38</v>
      </c>
      <c r="F1008" s="88" t="s">
        <v>151</v>
      </c>
      <c r="G1008" s="89" t="s">
        <v>44</v>
      </c>
      <c r="H1008" s="89" t="s">
        <v>44</v>
      </c>
      <c r="I1008" s="89" t="s">
        <v>44</v>
      </c>
      <c r="J1008" s="89" t="s">
        <v>44</v>
      </c>
      <c r="K1008" s="90">
        <v>12643937</v>
      </c>
    </row>
    <row r="1009" ht="15.75" customHeight="1" spans="1:11">
      <c r="A1009" s="87">
        <v>1008</v>
      </c>
      <c r="B1009" s="88" t="s">
        <v>46</v>
      </c>
      <c r="C1009" s="88" t="s">
        <v>52</v>
      </c>
      <c r="D1009" s="87">
        <v>2024</v>
      </c>
      <c r="E1009" s="88" t="s">
        <v>38</v>
      </c>
      <c r="F1009" s="88" t="s">
        <v>152</v>
      </c>
      <c r="G1009" s="89" t="s">
        <v>44</v>
      </c>
      <c r="H1009" s="89" t="s">
        <v>44</v>
      </c>
      <c r="I1009" s="89" t="s">
        <v>44</v>
      </c>
      <c r="J1009" s="89" t="s">
        <v>44</v>
      </c>
      <c r="K1009" s="90">
        <v>205529</v>
      </c>
    </row>
    <row r="1010" ht="15.75" customHeight="1" spans="1:11">
      <c r="A1010" s="87">
        <v>1009</v>
      </c>
      <c r="B1010" s="88" t="s">
        <v>46</v>
      </c>
      <c r="C1010" s="88" t="s">
        <v>52</v>
      </c>
      <c r="D1010" s="87">
        <v>2024</v>
      </c>
      <c r="E1010" s="88" t="s">
        <v>39</v>
      </c>
      <c r="F1010" s="88" t="s">
        <v>150</v>
      </c>
      <c r="G1010" s="89" t="s">
        <v>44</v>
      </c>
      <c r="H1010" s="89" t="s">
        <v>44</v>
      </c>
      <c r="I1010" s="89" t="s">
        <v>44</v>
      </c>
      <c r="J1010" s="89" t="s">
        <v>44</v>
      </c>
      <c r="K1010" s="90">
        <v>14780</v>
      </c>
    </row>
    <row r="1011" ht="15.75" customHeight="1" spans="1:11">
      <c r="A1011" s="87">
        <v>1010</v>
      </c>
      <c r="B1011" s="88" t="s">
        <v>46</v>
      </c>
      <c r="C1011" s="88" t="s">
        <v>52</v>
      </c>
      <c r="D1011" s="87">
        <v>2024</v>
      </c>
      <c r="E1011" s="88" t="s">
        <v>39</v>
      </c>
      <c r="F1011" s="88" t="s">
        <v>153</v>
      </c>
      <c r="G1011" s="90">
        <v>27803</v>
      </c>
      <c r="H1011" s="89">
        <v>2</v>
      </c>
      <c r="I1011" s="89" t="s">
        <v>44</v>
      </c>
      <c r="J1011" s="89" t="s">
        <v>44</v>
      </c>
      <c r="K1011" s="90">
        <v>27803</v>
      </c>
    </row>
    <row r="1012" ht="15.75" customHeight="1" spans="1:11">
      <c r="A1012" s="87">
        <v>1011</v>
      </c>
      <c r="B1012" s="88" t="s">
        <v>46</v>
      </c>
      <c r="C1012" s="88" t="s">
        <v>52</v>
      </c>
      <c r="D1012" s="87">
        <v>2024</v>
      </c>
      <c r="E1012" s="88" t="s">
        <v>39</v>
      </c>
      <c r="F1012" s="88" t="s">
        <v>151</v>
      </c>
      <c r="G1012" s="89" t="s">
        <v>44</v>
      </c>
      <c r="H1012" s="89" t="s">
        <v>44</v>
      </c>
      <c r="I1012" s="89" t="s">
        <v>44</v>
      </c>
      <c r="J1012" s="89" t="s">
        <v>44</v>
      </c>
      <c r="K1012" s="90">
        <v>21827542</v>
      </c>
    </row>
    <row r="1013" ht="15.75" customHeight="1" spans="1:11">
      <c r="A1013" s="87">
        <v>1012</v>
      </c>
      <c r="B1013" s="88" t="s">
        <v>46</v>
      </c>
      <c r="C1013" s="88" t="s">
        <v>52</v>
      </c>
      <c r="D1013" s="87">
        <v>2024</v>
      </c>
      <c r="E1013" s="88" t="s">
        <v>39</v>
      </c>
      <c r="F1013" s="88" t="s">
        <v>152</v>
      </c>
      <c r="G1013" s="89" t="s">
        <v>44</v>
      </c>
      <c r="H1013" s="89" t="s">
        <v>44</v>
      </c>
      <c r="I1013" s="89" t="s">
        <v>44</v>
      </c>
      <c r="J1013" s="89" t="s">
        <v>44</v>
      </c>
      <c r="K1013" s="90">
        <v>470157</v>
      </c>
    </row>
    <row r="1014" ht="15.75" customHeight="1" spans="1:11">
      <c r="A1014" s="87">
        <v>1013</v>
      </c>
      <c r="B1014" s="88" t="s">
        <v>46</v>
      </c>
      <c r="C1014" s="88" t="s">
        <v>52</v>
      </c>
      <c r="D1014" s="87">
        <v>2024</v>
      </c>
      <c r="E1014" s="88" t="s">
        <v>40</v>
      </c>
      <c r="F1014" s="88" t="s">
        <v>150</v>
      </c>
      <c r="G1014" s="89" t="s">
        <v>44</v>
      </c>
      <c r="H1014" s="89" t="s">
        <v>44</v>
      </c>
      <c r="I1014" s="89" t="s">
        <v>44</v>
      </c>
      <c r="J1014" s="89" t="s">
        <v>44</v>
      </c>
      <c r="K1014" s="90">
        <v>11657</v>
      </c>
    </row>
    <row r="1015" ht="15.75" customHeight="1" spans="1:11">
      <c r="A1015" s="87">
        <v>1014</v>
      </c>
      <c r="B1015" s="88" t="s">
        <v>46</v>
      </c>
      <c r="C1015" s="88" t="s">
        <v>52</v>
      </c>
      <c r="D1015" s="87">
        <v>2024</v>
      </c>
      <c r="E1015" s="88" t="s">
        <v>40</v>
      </c>
      <c r="F1015" s="88" t="s">
        <v>153</v>
      </c>
      <c r="G1015" s="90">
        <v>274679</v>
      </c>
      <c r="H1015" s="89">
        <v>5</v>
      </c>
      <c r="I1015" s="89" t="s">
        <v>44</v>
      </c>
      <c r="J1015" s="89" t="s">
        <v>44</v>
      </c>
      <c r="K1015" s="90">
        <v>274679</v>
      </c>
    </row>
    <row r="1016" ht="15.75" customHeight="1" spans="1:11">
      <c r="A1016" s="87">
        <v>1015</v>
      </c>
      <c r="B1016" s="88" t="s">
        <v>46</v>
      </c>
      <c r="C1016" s="88" t="s">
        <v>52</v>
      </c>
      <c r="D1016" s="87">
        <v>2024</v>
      </c>
      <c r="E1016" s="88" t="s">
        <v>40</v>
      </c>
      <c r="F1016" s="88" t="s">
        <v>151</v>
      </c>
      <c r="G1016" s="89" t="s">
        <v>44</v>
      </c>
      <c r="H1016" s="89" t="s">
        <v>44</v>
      </c>
      <c r="I1016" s="89" t="s">
        <v>44</v>
      </c>
      <c r="J1016" s="89" t="s">
        <v>44</v>
      </c>
      <c r="K1016" s="90">
        <v>13039416</v>
      </c>
    </row>
    <row r="1017" ht="15.75" customHeight="1" spans="1:11">
      <c r="A1017" s="87">
        <v>1016</v>
      </c>
      <c r="B1017" s="88" t="s">
        <v>46</v>
      </c>
      <c r="C1017" s="88" t="s">
        <v>52</v>
      </c>
      <c r="D1017" s="87">
        <v>2024</v>
      </c>
      <c r="E1017" s="88" t="s">
        <v>40</v>
      </c>
      <c r="F1017" s="88" t="s">
        <v>152</v>
      </c>
      <c r="G1017" s="89" t="s">
        <v>44</v>
      </c>
      <c r="H1017" s="89" t="s">
        <v>44</v>
      </c>
      <c r="I1017" s="89" t="s">
        <v>44</v>
      </c>
      <c r="J1017" s="89" t="s">
        <v>44</v>
      </c>
      <c r="K1017" s="90">
        <v>230600</v>
      </c>
    </row>
    <row r="1018" ht="15.75" customHeight="1" spans="1:11">
      <c r="A1018" s="87">
        <v>1017</v>
      </c>
      <c r="B1018" s="88" t="s">
        <v>46</v>
      </c>
      <c r="C1018" s="88" t="s">
        <v>52</v>
      </c>
      <c r="D1018" s="87">
        <v>2024</v>
      </c>
      <c r="E1018" s="88" t="s">
        <v>41</v>
      </c>
      <c r="F1018" s="88" t="s">
        <v>150</v>
      </c>
      <c r="G1018" s="89" t="s">
        <v>44</v>
      </c>
      <c r="H1018" s="89" t="s">
        <v>44</v>
      </c>
      <c r="I1018" s="89" t="s">
        <v>44</v>
      </c>
      <c r="J1018" s="89" t="s">
        <v>44</v>
      </c>
      <c r="K1018" s="90">
        <v>75558</v>
      </c>
    </row>
    <row r="1019" ht="15.75" customHeight="1" spans="1:11">
      <c r="A1019" s="87">
        <v>1018</v>
      </c>
      <c r="B1019" s="88" t="s">
        <v>46</v>
      </c>
      <c r="C1019" s="88" t="s">
        <v>52</v>
      </c>
      <c r="D1019" s="87">
        <v>2024</v>
      </c>
      <c r="E1019" s="88" t="s">
        <v>41</v>
      </c>
      <c r="F1019" s="88" t="s">
        <v>153</v>
      </c>
      <c r="G1019" s="90">
        <v>42139</v>
      </c>
      <c r="H1019" s="89">
        <v>3</v>
      </c>
      <c r="I1019" s="89" t="s">
        <v>44</v>
      </c>
      <c r="J1019" s="89" t="s">
        <v>44</v>
      </c>
      <c r="K1019" s="90">
        <v>42139</v>
      </c>
    </row>
    <row r="1020" ht="15.75" customHeight="1" spans="1:11">
      <c r="A1020" s="87">
        <v>1019</v>
      </c>
      <c r="B1020" s="88" t="s">
        <v>46</v>
      </c>
      <c r="C1020" s="88" t="s">
        <v>52</v>
      </c>
      <c r="D1020" s="87">
        <v>2024</v>
      </c>
      <c r="E1020" s="88" t="s">
        <v>41</v>
      </c>
      <c r="F1020" s="88" t="s">
        <v>151</v>
      </c>
      <c r="G1020" s="89" t="s">
        <v>44</v>
      </c>
      <c r="H1020" s="89" t="s">
        <v>44</v>
      </c>
      <c r="I1020" s="89" t="s">
        <v>44</v>
      </c>
      <c r="J1020" s="89" t="s">
        <v>44</v>
      </c>
      <c r="K1020" s="90">
        <v>12522085</v>
      </c>
    </row>
    <row r="1021" ht="15.75" customHeight="1" spans="1:11">
      <c r="A1021" s="87">
        <v>1020</v>
      </c>
      <c r="B1021" s="88" t="s">
        <v>46</v>
      </c>
      <c r="C1021" s="88" t="s">
        <v>52</v>
      </c>
      <c r="D1021" s="87">
        <v>2024</v>
      </c>
      <c r="E1021" s="88" t="s">
        <v>41</v>
      </c>
      <c r="F1021" s="88" t="s">
        <v>152</v>
      </c>
      <c r="G1021" s="89" t="s">
        <v>44</v>
      </c>
      <c r="H1021" s="89" t="s">
        <v>44</v>
      </c>
      <c r="I1021" s="89" t="s">
        <v>44</v>
      </c>
      <c r="J1021" s="89" t="s">
        <v>44</v>
      </c>
      <c r="K1021" s="90">
        <v>208213</v>
      </c>
    </row>
    <row r="1022" ht="15.75" customHeight="1" spans="1:11">
      <c r="A1022" s="87">
        <v>1021</v>
      </c>
      <c r="B1022" s="88" t="s">
        <v>46</v>
      </c>
      <c r="C1022" s="88" t="s">
        <v>52</v>
      </c>
      <c r="D1022" s="87">
        <v>2024</v>
      </c>
      <c r="E1022" s="88" t="s">
        <v>42</v>
      </c>
      <c r="F1022" s="88" t="s">
        <v>150</v>
      </c>
      <c r="G1022" s="89" t="s">
        <v>44</v>
      </c>
      <c r="H1022" s="89" t="s">
        <v>44</v>
      </c>
      <c r="I1022" s="89" t="s">
        <v>44</v>
      </c>
      <c r="J1022" s="89" t="s">
        <v>44</v>
      </c>
      <c r="K1022" s="90">
        <v>69788</v>
      </c>
    </row>
    <row r="1023" ht="15.75" customHeight="1" spans="1:11">
      <c r="A1023" s="87">
        <v>1022</v>
      </c>
      <c r="B1023" s="88" t="s">
        <v>46</v>
      </c>
      <c r="C1023" s="88" t="s">
        <v>52</v>
      </c>
      <c r="D1023" s="87">
        <v>2024</v>
      </c>
      <c r="E1023" s="88" t="s">
        <v>42</v>
      </c>
      <c r="F1023" s="88" t="s">
        <v>153</v>
      </c>
      <c r="G1023" s="90">
        <v>34447</v>
      </c>
      <c r="H1023" s="89">
        <v>1</v>
      </c>
      <c r="I1023" s="89" t="s">
        <v>44</v>
      </c>
      <c r="J1023" s="89" t="s">
        <v>44</v>
      </c>
      <c r="K1023" s="90">
        <v>34447</v>
      </c>
    </row>
    <row r="1024" ht="15.75" customHeight="1" spans="1:11">
      <c r="A1024" s="87">
        <v>1023</v>
      </c>
      <c r="B1024" s="88" t="s">
        <v>46</v>
      </c>
      <c r="C1024" s="88" t="s">
        <v>52</v>
      </c>
      <c r="D1024" s="87">
        <v>2024</v>
      </c>
      <c r="E1024" s="88" t="s">
        <v>42</v>
      </c>
      <c r="F1024" s="88" t="s">
        <v>151</v>
      </c>
      <c r="G1024" s="89" t="s">
        <v>44</v>
      </c>
      <c r="H1024" s="89" t="s">
        <v>44</v>
      </c>
      <c r="I1024" s="89" t="s">
        <v>44</v>
      </c>
      <c r="J1024" s="89" t="s">
        <v>44</v>
      </c>
      <c r="K1024" s="90">
        <v>15484902</v>
      </c>
    </row>
    <row r="1025" ht="15.75" customHeight="1" spans="1:11">
      <c r="A1025" s="87">
        <v>1024</v>
      </c>
      <c r="B1025" s="88" t="s">
        <v>46</v>
      </c>
      <c r="C1025" s="88" t="s">
        <v>52</v>
      </c>
      <c r="D1025" s="87">
        <v>2024</v>
      </c>
      <c r="E1025" s="88" t="s">
        <v>42</v>
      </c>
      <c r="F1025" s="88" t="s">
        <v>152</v>
      </c>
      <c r="G1025" s="89" t="s">
        <v>44</v>
      </c>
      <c r="H1025" s="89" t="s">
        <v>44</v>
      </c>
      <c r="I1025" s="89" t="s">
        <v>44</v>
      </c>
      <c r="J1025" s="89" t="s">
        <v>44</v>
      </c>
      <c r="K1025" s="90">
        <v>253632</v>
      </c>
    </row>
    <row r="1026" ht="15.75" customHeight="1" spans="1:11">
      <c r="A1026" s="87">
        <v>1025</v>
      </c>
      <c r="B1026" s="88" t="s">
        <v>46</v>
      </c>
      <c r="C1026" s="88" t="s">
        <v>52</v>
      </c>
      <c r="D1026" s="87">
        <v>2024</v>
      </c>
      <c r="E1026" s="88" t="s">
        <v>43</v>
      </c>
      <c r="F1026" s="88" t="s">
        <v>150</v>
      </c>
      <c r="G1026" s="89" t="s">
        <v>44</v>
      </c>
      <c r="H1026" s="89" t="s">
        <v>44</v>
      </c>
      <c r="I1026" s="89" t="s">
        <v>44</v>
      </c>
      <c r="J1026" s="89" t="s">
        <v>44</v>
      </c>
      <c r="K1026" s="90">
        <v>26252</v>
      </c>
    </row>
    <row r="1027" ht="15.75" customHeight="1" spans="1:11">
      <c r="A1027" s="87">
        <v>1026</v>
      </c>
      <c r="B1027" s="88" t="s">
        <v>46</v>
      </c>
      <c r="C1027" s="88" t="s">
        <v>52</v>
      </c>
      <c r="D1027" s="87">
        <v>2024</v>
      </c>
      <c r="E1027" s="88" t="s">
        <v>43</v>
      </c>
      <c r="F1027" s="88" t="s">
        <v>151</v>
      </c>
      <c r="G1027" s="89" t="s">
        <v>44</v>
      </c>
      <c r="H1027" s="89" t="s">
        <v>44</v>
      </c>
      <c r="I1027" s="89" t="s">
        <v>44</v>
      </c>
      <c r="J1027" s="89" t="s">
        <v>44</v>
      </c>
      <c r="K1027" s="90">
        <v>19429961</v>
      </c>
    </row>
    <row r="1028" ht="15.75" customHeight="1" spans="1:11">
      <c r="A1028" s="87">
        <v>1027</v>
      </c>
      <c r="B1028" s="88" t="s">
        <v>46</v>
      </c>
      <c r="C1028" s="88" t="s">
        <v>52</v>
      </c>
      <c r="D1028" s="87">
        <v>2024</v>
      </c>
      <c r="E1028" s="88" t="s">
        <v>43</v>
      </c>
      <c r="F1028" s="88" t="s">
        <v>152</v>
      </c>
      <c r="G1028" s="89" t="s">
        <v>44</v>
      </c>
      <c r="H1028" s="89" t="s">
        <v>44</v>
      </c>
      <c r="I1028" s="89" t="s">
        <v>44</v>
      </c>
      <c r="J1028" s="89" t="s">
        <v>44</v>
      </c>
      <c r="K1028" s="90">
        <v>467005</v>
      </c>
    </row>
    <row r="1029" ht="15.75" customHeight="1" spans="1:11">
      <c r="A1029" s="87">
        <v>1028</v>
      </c>
      <c r="B1029" s="88" t="s">
        <v>46</v>
      </c>
      <c r="C1029" s="88" t="s">
        <v>52</v>
      </c>
      <c r="D1029" s="87">
        <v>2025</v>
      </c>
      <c r="E1029" s="88" t="s">
        <v>31</v>
      </c>
      <c r="F1029" s="88" t="s">
        <v>150</v>
      </c>
      <c r="G1029" s="89" t="s">
        <v>44</v>
      </c>
      <c r="H1029" s="89" t="s">
        <v>44</v>
      </c>
      <c r="I1029" s="89" t="s">
        <v>44</v>
      </c>
      <c r="J1029" s="89" t="s">
        <v>44</v>
      </c>
      <c r="K1029" s="90">
        <v>14602</v>
      </c>
    </row>
    <row r="1030" ht="15.75" customHeight="1" spans="1:11">
      <c r="A1030" s="87">
        <v>1029</v>
      </c>
      <c r="B1030" s="88" t="s">
        <v>46</v>
      </c>
      <c r="C1030" s="88" t="s">
        <v>52</v>
      </c>
      <c r="D1030" s="87">
        <v>2025</v>
      </c>
      <c r="E1030" s="88" t="s">
        <v>31</v>
      </c>
      <c r="F1030" s="88" t="s">
        <v>151</v>
      </c>
      <c r="G1030" s="89" t="s">
        <v>44</v>
      </c>
      <c r="H1030" s="89" t="s">
        <v>44</v>
      </c>
      <c r="I1030" s="89" t="s">
        <v>44</v>
      </c>
      <c r="J1030" s="89" t="s">
        <v>44</v>
      </c>
      <c r="K1030" s="90">
        <v>9908382</v>
      </c>
    </row>
    <row r="1031" ht="15.75" customHeight="1" spans="1:11">
      <c r="A1031" s="87">
        <v>1030</v>
      </c>
      <c r="B1031" s="88" t="s">
        <v>46</v>
      </c>
      <c r="C1031" s="88" t="s">
        <v>52</v>
      </c>
      <c r="D1031" s="87">
        <v>2025</v>
      </c>
      <c r="E1031" s="88" t="s">
        <v>31</v>
      </c>
      <c r="F1031" s="88" t="s">
        <v>152</v>
      </c>
      <c r="G1031" s="89" t="s">
        <v>44</v>
      </c>
      <c r="H1031" s="89" t="s">
        <v>44</v>
      </c>
      <c r="I1031" s="89" t="s">
        <v>44</v>
      </c>
      <c r="J1031" s="89" t="s">
        <v>44</v>
      </c>
      <c r="K1031" s="90">
        <v>325283</v>
      </c>
    </row>
    <row r="1032" ht="15.75" customHeight="1" spans="1:11">
      <c r="A1032" s="87">
        <v>1031</v>
      </c>
      <c r="B1032" s="88" t="s">
        <v>46</v>
      </c>
      <c r="C1032" s="88" t="s">
        <v>52</v>
      </c>
      <c r="D1032" s="87">
        <v>2025</v>
      </c>
      <c r="E1032" s="88" t="s">
        <v>33</v>
      </c>
      <c r="F1032" s="88" t="s">
        <v>150</v>
      </c>
      <c r="G1032" s="89" t="s">
        <v>44</v>
      </c>
      <c r="H1032" s="89" t="s">
        <v>44</v>
      </c>
      <c r="I1032" s="89" t="s">
        <v>44</v>
      </c>
      <c r="J1032" s="89" t="s">
        <v>44</v>
      </c>
      <c r="K1032" s="90">
        <v>26109</v>
      </c>
    </row>
    <row r="1033" ht="15.75" customHeight="1" spans="1:11">
      <c r="A1033" s="87">
        <v>1032</v>
      </c>
      <c r="B1033" s="88" t="s">
        <v>46</v>
      </c>
      <c r="C1033" s="88" t="s">
        <v>52</v>
      </c>
      <c r="D1033" s="87">
        <v>2025</v>
      </c>
      <c r="E1033" s="88" t="s">
        <v>33</v>
      </c>
      <c r="F1033" s="88" t="s">
        <v>151</v>
      </c>
      <c r="G1033" s="89" t="s">
        <v>44</v>
      </c>
      <c r="H1033" s="89" t="s">
        <v>44</v>
      </c>
      <c r="I1033" s="89" t="s">
        <v>44</v>
      </c>
      <c r="J1033" s="89" t="s">
        <v>44</v>
      </c>
      <c r="K1033" s="90">
        <v>10261863</v>
      </c>
    </row>
    <row r="1034" ht="15.75" customHeight="1" spans="1:11">
      <c r="A1034" s="87">
        <v>1033</v>
      </c>
      <c r="B1034" s="88" t="s">
        <v>46</v>
      </c>
      <c r="C1034" s="88" t="s">
        <v>52</v>
      </c>
      <c r="D1034" s="87">
        <v>2025</v>
      </c>
      <c r="E1034" s="88" t="s">
        <v>33</v>
      </c>
      <c r="F1034" s="88" t="s">
        <v>152</v>
      </c>
      <c r="G1034" s="89" t="s">
        <v>44</v>
      </c>
      <c r="H1034" s="89" t="s">
        <v>44</v>
      </c>
      <c r="I1034" s="89" t="s">
        <v>44</v>
      </c>
      <c r="J1034" s="89" t="s">
        <v>44</v>
      </c>
      <c r="K1034" s="90">
        <v>261943</v>
      </c>
    </row>
    <row r="1035" ht="15.75" customHeight="1" spans="1:11">
      <c r="A1035" s="87">
        <v>1034</v>
      </c>
      <c r="B1035" s="88" t="s">
        <v>46</v>
      </c>
      <c r="C1035" s="88" t="s">
        <v>52</v>
      </c>
      <c r="D1035" s="87">
        <v>2025</v>
      </c>
      <c r="E1035" s="88" t="s">
        <v>34</v>
      </c>
      <c r="F1035" s="88" t="s">
        <v>150</v>
      </c>
      <c r="G1035" s="89" t="s">
        <v>44</v>
      </c>
      <c r="H1035" s="89" t="s">
        <v>44</v>
      </c>
      <c r="I1035" s="89" t="s">
        <v>44</v>
      </c>
      <c r="J1035" s="89" t="s">
        <v>44</v>
      </c>
      <c r="K1035" s="90">
        <v>40270</v>
      </c>
    </row>
    <row r="1036" ht="15.75" customHeight="1" spans="1:11">
      <c r="A1036" s="87">
        <v>1035</v>
      </c>
      <c r="B1036" s="88" t="s">
        <v>46</v>
      </c>
      <c r="C1036" s="88" t="s">
        <v>52</v>
      </c>
      <c r="D1036" s="87">
        <v>2025</v>
      </c>
      <c r="E1036" s="88" t="s">
        <v>34</v>
      </c>
      <c r="F1036" s="88" t="s">
        <v>151</v>
      </c>
      <c r="G1036" s="89" t="s">
        <v>44</v>
      </c>
      <c r="H1036" s="89" t="s">
        <v>44</v>
      </c>
      <c r="I1036" s="89" t="s">
        <v>44</v>
      </c>
      <c r="J1036" s="89" t="s">
        <v>44</v>
      </c>
      <c r="K1036" s="90">
        <v>9194367</v>
      </c>
    </row>
    <row r="1037" ht="15.75" customHeight="1" spans="1:11">
      <c r="A1037" s="87">
        <v>1036</v>
      </c>
      <c r="B1037" s="88" t="s">
        <v>46</v>
      </c>
      <c r="C1037" s="88" t="s">
        <v>52</v>
      </c>
      <c r="D1037" s="87">
        <v>2025</v>
      </c>
      <c r="E1037" s="88" t="s">
        <v>34</v>
      </c>
      <c r="F1037" s="88" t="s">
        <v>152</v>
      </c>
      <c r="G1037" s="89" t="s">
        <v>44</v>
      </c>
      <c r="H1037" s="89" t="s">
        <v>44</v>
      </c>
      <c r="I1037" s="89" t="s">
        <v>44</v>
      </c>
      <c r="J1037" s="89" t="s">
        <v>44</v>
      </c>
      <c r="K1037" s="90">
        <v>139171</v>
      </c>
    </row>
    <row r="1038" ht="15.75" customHeight="1" spans="1:11">
      <c r="A1038" s="87">
        <v>1037</v>
      </c>
      <c r="B1038" s="88" t="s">
        <v>46</v>
      </c>
      <c r="C1038" s="88" t="s">
        <v>52</v>
      </c>
      <c r="D1038" s="87">
        <v>2025</v>
      </c>
      <c r="E1038" s="88" t="s">
        <v>35</v>
      </c>
      <c r="F1038" s="88" t="s">
        <v>150</v>
      </c>
      <c r="G1038" s="89" t="s">
        <v>44</v>
      </c>
      <c r="H1038" s="89" t="s">
        <v>44</v>
      </c>
      <c r="I1038" s="89" t="s">
        <v>44</v>
      </c>
      <c r="J1038" s="89" t="s">
        <v>44</v>
      </c>
      <c r="K1038" s="90">
        <v>39592</v>
      </c>
    </row>
    <row r="1039" ht="15.75" customHeight="1" spans="1:11">
      <c r="A1039" s="87">
        <v>1038</v>
      </c>
      <c r="B1039" s="88" t="s">
        <v>46</v>
      </c>
      <c r="C1039" s="88" t="s">
        <v>52</v>
      </c>
      <c r="D1039" s="87">
        <v>2025</v>
      </c>
      <c r="E1039" s="88" t="s">
        <v>35</v>
      </c>
      <c r="F1039" s="88" t="s">
        <v>151</v>
      </c>
      <c r="G1039" s="89" t="s">
        <v>44</v>
      </c>
      <c r="H1039" s="89" t="s">
        <v>44</v>
      </c>
      <c r="I1039" s="89" t="s">
        <v>44</v>
      </c>
      <c r="J1039" s="89" t="s">
        <v>44</v>
      </c>
      <c r="K1039" s="90">
        <v>5491026</v>
      </c>
    </row>
    <row r="1040" ht="15.75" customHeight="1" spans="1:11">
      <c r="A1040" s="87">
        <v>1039</v>
      </c>
      <c r="B1040" s="88" t="s">
        <v>46</v>
      </c>
      <c r="C1040" s="88" t="s">
        <v>52</v>
      </c>
      <c r="D1040" s="87">
        <v>2025</v>
      </c>
      <c r="E1040" s="88" t="s">
        <v>35</v>
      </c>
      <c r="F1040" s="88" t="s">
        <v>152</v>
      </c>
      <c r="G1040" s="89" t="s">
        <v>44</v>
      </c>
      <c r="H1040" s="89" t="s">
        <v>44</v>
      </c>
      <c r="I1040" s="89" t="s">
        <v>44</v>
      </c>
      <c r="J1040" s="89" t="s">
        <v>44</v>
      </c>
      <c r="K1040" s="90">
        <v>144047</v>
      </c>
    </row>
    <row r="1041" ht="15.75" customHeight="1" spans="1:11">
      <c r="A1041" s="87">
        <v>1040</v>
      </c>
      <c r="B1041" s="88" t="s">
        <v>46</v>
      </c>
      <c r="C1041" s="88" t="s">
        <v>52</v>
      </c>
      <c r="D1041" s="87">
        <v>2025</v>
      </c>
      <c r="E1041" s="88" t="s">
        <v>36</v>
      </c>
      <c r="F1041" s="88" t="s">
        <v>150</v>
      </c>
      <c r="G1041" s="89" t="s">
        <v>44</v>
      </c>
      <c r="H1041" s="89" t="s">
        <v>44</v>
      </c>
      <c r="I1041" s="89" t="s">
        <v>44</v>
      </c>
      <c r="J1041" s="89" t="s">
        <v>44</v>
      </c>
      <c r="K1041" s="90">
        <v>24027</v>
      </c>
    </row>
    <row r="1042" ht="15.75" customHeight="1" spans="1:11">
      <c r="A1042" s="87">
        <v>1041</v>
      </c>
      <c r="B1042" s="88" t="s">
        <v>46</v>
      </c>
      <c r="C1042" s="88" t="s">
        <v>52</v>
      </c>
      <c r="D1042" s="87">
        <v>2025</v>
      </c>
      <c r="E1042" s="88" t="s">
        <v>36</v>
      </c>
      <c r="F1042" s="88" t="s">
        <v>151</v>
      </c>
      <c r="G1042" s="89" t="s">
        <v>44</v>
      </c>
      <c r="H1042" s="89" t="s">
        <v>44</v>
      </c>
      <c r="I1042" s="89" t="s">
        <v>44</v>
      </c>
      <c r="J1042" s="89" t="s">
        <v>44</v>
      </c>
      <c r="K1042" s="90">
        <v>3222799</v>
      </c>
    </row>
    <row r="1043" ht="15.75" customHeight="1" spans="1:11">
      <c r="A1043" s="87">
        <v>1042</v>
      </c>
      <c r="B1043" s="88" t="s">
        <v>46</v>
      </c>
      <c r="C1043" s="88" t="s">
        <v>52</v>
      </c>
      <c r="D1043" s="87">
        <v>2025</v>
      </c>
      <c r="E1043" s="88" t="s">
        <v>36</v>
      </c>
      <c r="F1043" s="88" t="s">
        <v>152</v>
      </c>
      <c r="G1043" s="89" t="s">
        <v>44</v>
      </c>
      <c r="H1043" s="89" t="s">
        <v>44</v>
      </c>
      <c r="I1043" s="89" t="s">
        <v>44</v>
      </c>
      <c r="J1043" s="89" t="s">
        <v>44</v>
      </c>
      <c r="K1043" s="90">
        <v>75301</v>
      </c>
    </row>
    <row r="1044" ht="15.75" customHeight="1" spans="1:11">
      <c r="A1044" s="87">
        <v>1043</v>
      </c>
      <c r="B1044" s="88" t="s">
        <v>46</v>
      </c>
      <c r="C1044" s="88" t="s">
        <v>52</v>
      </c>
      <c r="D1044" s="87">
        <v>2025</v>
      </c>
      <c r="E1044" s="88" t="s">
        <v>37</v>
      </c>
      <c r="F1044" s="88" t="s">
        <v>150</v>
      </c>
      <c r="G1044" s="89" t="s">
        <v>44</v>
      </c>
      <c r="H1044" s="89" t="s">
        <v>44</v>
      </c>
      <c r="I1044" s="89" t="s">
        <v>44</v>
      </c>
      <c r="J1044" s="89" t="s">
        <v>44</v>
      </c>
      <c r="K1044" s="90">
        <v>8630</v>
      </c>
    </row>
    <row r="1045" ht="15.75" customHeight="1" spans="1:11">
      <c r="A1045" s="87">
        <v>1044</v>
      </c>
      <c r="B1045" s="88" t="s">
        <v>46</v>
      </c>
      <c r="C1045" s="88" t="s">
        <v>52</v>
      </c>
      <c r="D1045" s="87">
        <v>2025</v>
      </c>
      <c r="E1045" s="88" t="s">
        <v>37</v>
      </c>
      <c r="F1045" s="88" t="s">
        <v>151</v>
      </c>
      <c r="G1045" s="89" t="s">
        <v>44</v>
      </c>
      <c r="H1045" s="89" t="s">
        <v>44</v>
      </c>
      <c r="I1045" s="89" t="s">
        <v>44</v>
      </c>
      <c r="J1045" s="89" t="s">
        <v>44</v>
      </c>
      <c r="K1045" s="90">
        <v>4521459</v>
      </c>
    </row>
    <row r="1046" ht="15.75" customHeight="1" spans="1:11">
      <c r="A1046" s="87">
        <v>1045</v>
      </c>
      <c r="B1046" s="88" t="s">
        <v>46</v>
      </c>
      <c r="C1046" s="88" t="s">
        <v>52</v>
      </c>
      <c r="D1046" s="87">
        <v>2025</v>
      </c>
      <c r="E1046" s="88" t="s">
        <v>37</v>
      </c>
      <c r="F1046" s="88" t="s">
        <v>152</v>
      </c>
      <c r="G1046" s="89" t="s">
        <v>44</v>
      </c>
      <c r="H1046" s="89" t="s">
        <v>44</v>
      </c>
      <c r="I1046" s="89" t="s">
        <v>44</v>
      </c>
      <c r="J1046" s="89" t="s">
        <v>44</v>
      </c>
      <c r="K1046" s="90">
        <v>116044</v>
      </c>
    </row>
    <row r="1047" ht="15.75" customHeight="1" spans="1:11">
      <c r="A1047" s="87">
        <v>1046</v>
      </c>
      <c r="B1047" s="88" t="s">
        <v>46</v>
      </c>
      <c r="C1047" s="88" t="s">
        <v>52</v>
      </c>
      <c r="D1047" s="87">
        <v>2025</v>
      </c>
      <c r="E1047" s="88" t="s">
        <v>38</v>
      </c>
      <c r="F1047" s="88" t="s">
        <v>150</v>
      </c>
      <c r="G1047" s="89" t="s">
        <v>44</v>
      </c>
      <c r="H1047" s="89" t="s">
        <v>44</v>
      </c>
      <c r="I1047" s="89" t="s">
        <v>44</v>
      </c>
      <c r="J1047" s="89" t="s">
        <v>44</v>
      </c>
      <c r="K1047" s="90">
        <v>8429</v>
      </c>
    </row>
    <row r="1048" ht="15.75" customHeight="1" spans="1:11">
      <c r="A1048" s="87">
        <v>1047</v>
      </c>
      <c r="B1048" s="88" t="s">
        <v>46</v>
      </c>
      <c r="C1048" s="88" t="s">
        <v>52</v>
      </c>
      <c r="D1048" s="87">
        <v>2025</v>
      </c>
      <c r="E1048" s="88" t="s">
        <v>38</v>
      </c>
      <c r="F1048" s="88" t="s">
        <v>151</v>
      </c>
      <c r="G1048" s="89" t="s">
        <v>44</v>
      </c>
      <c r="H1048" s="89" t="s">
        <v>44</v>
      </c>
      <c r="I1048" s="89" t="s">
        <v>44</v>
      </c>
      <c r="J1048" s="89" t="s">
        <v>44</v>
      </c>
      <c r="K1048" s="90">
        <v>3836021</v>
      </c>
    </row>
    <row r="1049" ht="15.75" customHeight="1" spans="1:11">
      <c r="A1049" s="87">
        <v>1048</v>
      </c>
      <c r="B1049" s="88" t="s">
        <v>46</v>
      </c>
      <c r="C1049" s="88" t="s">
        <v>52</v>
      </c>
      <c r="D1049" s="87">
        <v>2025</v>
      </c>
      <c r="E1049" s="88" t="s">
        <v>38</v>
      </c>
      <c r="F1049" s="88" t="s">
        <v>152</v>
      </c>
      <c r="G1049" s="89" t="s">
        <v>44</v>
      </c>
      <c r="H1049" s="89" t="s">
        <v>44</v>
      </c>
      <c r="I1049" s="89" t="s">
        <v>44</v>
      </c>
      <c r="J1049" s="89" t="s">
        <v>44</v>
      </c>
      <c r="K1049" s="90">
        <v>136101</v>
      </c>
    </row>
    <row r="1050" ht="15.75" customHeight="1" spans="1:11">
      <c r="A1050" s="87">
        <v>1049</v>
      </c>
      <c r="B1050" s="88" t="s">
        <v>46</v>
      </c>
      <c r="C1050" s="88" t="s">
        <v>52</v>
      </c>
      <c r="D1050" s="87">
        <v>2025</v>
      </c>
      <c r="E1050" s="88" t="s">
        <v>39</v>
      </c>
      <c r="F1050" s="88" t="s">
        <v>149</v>
      </c>
      <c r="G1050" s="89" t="s">
        <v>44</v>
      </c>
      <c r="H1050" s="89">
        <v>83</v>
      </c>
      <c r="I1050" s="90">
        <v>5496361</v>
      </c>
      <c r="J1050" s="89">
        <v>59</v>
      </c>
      <c r="K1050" s="90">
        <v>246187</v>
      </c>
    </row>
    <row r="1051" ht="15.75" customHeight="1" spans="1:11">
      <c r="A1051" s="87">
        <v>1050</v>
      </c>
      <c r="B1051" s="88" t="s">
        <v>46</v>
      </c>
      <c r="C1051" s="88" t="s">
        <v>52</v>
      </c>
      <c r="D1051" s="87">
        <v>2025</v>
      </c>
      <c r="E1051" s="88" t="s">
        <v>39</v>
      </c>
      <c r="F1051" s="88" t="s">
        <v>150</v>
      </c>
      <c r="G1051" s="89" t="s">
        <v>44</v>
      </c>
      <c r="H1051" s="89" t="s">
        <v>44</v>
      </c>
      <c r="I1051" s="89" t="s">
        <v>44</v>
      </c>
      <c r="J1051" s="89" t="s">
        <v>44</v>
      </c>
      <c r="K1051" s="90">
        <v>9573</v>
      </c>
    </row>
    <row r="1052" ht="15.75" customHeight="1" spans="1:11">
      <c r="A1052" s="87">
        <v>1051</v>
      </c>
      <c r="B1052" s="88" t="s">
        <v>46</v>
      </c>
      <c r="C1052" s="88" t="s">
        <v>52</v>
      </c>
      <c r="D1052" s="87">
        <v>2025</v>
      </c>
      <c r="E1052" s="88" t="s">
        <v>39</v>
      </c>
      <c r="F1052" s="88" t="s">
        <v>151</v>
      </c>
      <c r="G1052" s="89" t="s">
        <v>44</v>
      </c>
      <c r="H1052" s="89" t="s">
        <v>44</v>
      </c>
      <c r="I1052" s="89" t="s">
        <v>44</v>
      </c>
      <c r="J1052" s="89" t="s">
        <v>44</v>
      </c>
      <c r="K1052" s="90">
        <v>14348231</v>
      </c>
    </row>
    <row r="1053" ht="15.75" customHeight="1" spans="1:11">
      <c r="A1053" s="87">
        <v>1052</v>
      </c>
      <c r="B1053" s="88" t="s">
        <v>46</v>
      </c>
      <c r="C1053" s="88" t="s">
        <v>52</v>
      </c>
      <c r="D1053" s="87">
        <v>2025</v>
      </c>
      <c r="E1053" s="88" t="s">
        <v>39</v>
      </c>
      <c r="F1053" s="88" t="s">
        <v>152</v>
      </c>
      <c r="G1053" s="89" t="s">
        <v>44</v>
      </c>
      <c r="H1053" s="89" t="s">
        <v>44</v>
      </c>
      <c r="I1053" s="89" t="s">
        <v>44</v>
      </c>
      <c r="J1053" s="89" t="s">
        <v>44</v>
      </c>
      <c r="K1053" s="90">
        <v>443520</v>
      </c>
    </row>
    <row r="1054" ht="15.75" customHeight="1" spans="1:11">
      <c r="A1054" s="87">
        <v>1053</v>
      </c>
      <c r="B1054" s="88" t="s">
        <v>46</v>
      </c>
      <c r="C1054" s="88" t="s">
        <v>52</v>
      </c>
      <c r="D1054" s="87">
        <v>2025</v>
      </c>
      <c r="E1054" s="88" t="s">
        <v>40</v>
      </c>
      <c r="F1054" s="88" t="s">
        <v>149</v>
      </c>
      <c r="G1054" s="89" t="s">
        <v>44</v>
      </c>
      <c r="H1054" s="89">
        <v>5</v>
      </c>
      <c r="I1054" s="90">
        <v>624413</v>
      </c>
      <c r="J1054" s="89">
        <v>5</v>
      </c>
      <c r="K1054" s="90">
        <v>18432</v>
      </c>
    </row>
    <row r="1055" ht="15.75" customHeight="1" spans="1:11">
      <c r="A1055" s="87">
        <v>1054</v>
      </c>
      <c r="B1055" s="88" t="s">
        <v>46</v>
      </c>
      <c r="C1055" s="88" t="s">
        <v>52</v>
      </c>
      <c r="D1055" s="87">
        <v>2025</v>
      </c>
      <c r="E1055" s="88" t="s">
        <v>40</v>
      </c>
      <c r="F1055" s="88" t="s">
        <v>150</v>
      </c>
      <c r="G1055" s="89" t="s">
        <v>44</v>
      </c>
      <c r="H1055" s="89" t="s">
        <v>44</v>
      </c>
      <c r="I1055" s="89" t="s">
        <v>44</v>
      </c>
      <c r="J1055" s="89" t="s">
        <v>44</v>
      </c>
      <c r="K1055" s="90">
        <v>15890</v>
      </c>
    </row>
    <row r="1056" ht="15.75" customHeight="1" spans="1:11">
      <c r="A1056" s="87">
        <v>1055</v>
      </c>
      <c r="B1056" s="88" t="s">
        <v>46</v>
      </c>
      <c r="C1056" s="88" t="s">
        <v>52</v>
      </c>
      <c r="D1056" s="87">
        <v>2025</v>
      </c>
      <c r="E1056" s="88" t="s">
        <v>40</v>
      </c>
      <c r="F1056" s="88" t="s">
        <v>153</v>
      </c>
      <c r="G1056" s="90">
        <v>15435</v>
      </c>
      <c r="H1056" s="89">
        <v>1</v>
      </c>
      <c r="I1056" s="89" t="s">
        <v>44</v>
      </c>
      <c r="J1056" s="89" t="s">
        <v>44</v>
      </c>
      <c r="K1056" s="90">
        <v>15435</v>
      </c>
    </row>
    <row r="1057" ht="15.75" customHeight="1" spans="1:11">
      <c r="A1057" s="87">
        <v>1056</v>
      </c>
      <c r="B1057" s="88" t="s">
        <v>46</v>
      </c>
      <c r="C1057" s="88" t="s">
        <v>52</v>
      </c>
      <c r="D1057" s="87">
        <v>2025</v>
      </c>
      <c r="E1057" s="88" t="s">
        <v>40</v>
      </c>
      <c r="F1057" s="88" t="s">
        <v>151</v>
      </c>
      <c r="G1057" s="89" t="s">
        <v>44</v>
      </c>
      <c r="H1057" s="89" t="s">
        <v>44</v>
      </c>
      <c r="I1057" s="89" t="s">
        <v>44</v>
      </c>
      <c r="J1057" s="89" t="s">
        <v>44</v>
      </c>
      <c r="K1057" s="90">
        <v>15903036</v>
      </c>
    </row>
    <row r="1058" ht="15.75" customHeight="1" spans="1:11">
      <c r="A1058" s="87">
        <v>1057</v>
      </c>
      <c r="B1058" s="88" t="s">
        <v>46</v>
      </c>
      <c r="C1058" s="88" t="s">
        <v>52</v>
      </c>
      <c r="D1058" s="87">
        <v>2025</v>
      </c>
      <c r="E1058" s="88" t="s">
        <v>40</v>
      </c>
      <c r="F1058" s="88" t="s">
        <v>152</v>
      </c>
      <c r="G1058" s="89" t="s">
        <v>44</v>
      </c>
      <c r="H1058" s="89" t="s">
        <v>44</v>
      </c>
      <c r="I1058" s="89" t="s">
        <v>44</v>
      </c>
      <c r="J1058" s="89" t="s">
        <v>44</v>
      </c>
      <c r="K1058" s="90">
        <v>1121288</v>
      </c>
    </row>
    <row r="1059" ht="15.75" customHeight="1" spans="1:11">
      <c r="A1059" s="87">
        <v>1058</v>
      </c>
      <c r="B1059" s="88" t="s">
        <v>46</v>
      </c>
      <c r="C1059" s="88" t="s">
        <v>52</v>
      </c>
      <c r="D1059" s="87">
        <v>2025</v>
      </c>
      <c r="E1059" s="88" t="s">
        <v>41</v>
      </c>
      <c r="F1059" s="88" t="s">
        <v>149</v>
      </c>
      <c r="G1059" s="89" t="s">
        <v>44</v>
      </c>
      <c r="H1059" s="89">
        <v>7</v>
      </c>
      <c r="I1059" s="90">
        <v>973666</v>
      </c>
      <c r="J1059" s="89">
        <v>5</v>
      </c>
      <c r="K1059" s="90">
        <v>30742</v>
      </c>
    </row>
    <row r="1060" ht="15.75" customHeight="1" spans="1:11">
      <c r="A1060" s="87">
        <v>1059</v>
      </c>
      <c r="B1060" s="88" t="s">
        <v>46</v>
      </c>
      <c r="C1060" s="88" t="s">
        <v>52</v>
      </c>
      <c r="D1060" s="87">
        <v>2025</v>
      </c>
      <c r="E1060" s="88" t="s">
        <v>41</v>
      </c>
      <c r="F1060" s="88" t="s">
        <v>150</v>
      </c>
      <c r="G1060" s="89" t="s">
        <v>44</v>
      </c>
      <c r="H1060" s="89" t="s">
        <v>44</v>
      </c>
      <c r="I1060" s="89" t="s">
        <v>44</v>
      </c>
      <c r="J1060" s="89" t="s">
        <v>44</v>
      </c>
      <c r="K1060" s="90">
        <v>8058</v>
      </c>
    </row>
    <row r="1061" ht="15.75" customHeight="1" spans="1:11">
      <c r="A1061" s="87">
        <v>1060</v>
      </c>
      <c r="B1061" s="88" t="s">
        <v>46</v>
      </c>
      <c r="C1061" s="88" t="s">
        <v>52</v>
      </c>
      <c r="D1061" s="87">
        <v>2025</v>
      </c>
      <c r="E1061" s="88" t="s">
        <v>41</v>
      </c>
      <c r="F1061" s="88" t="s">
        <v>151</v>
      </c>
      <c r="G1061" s="89" t="s">
        <v>44</v>
      </c>
      <c r="H1061" s="89" t="s">
        <v>44</v>
      </c>
      <c r="I1061" s="89" t="s">
        <v>44</v>
      </c>
      <c r="J1061" s="89" t="s">
        <v>44</v>
      </c>
      <c r="K1061" s="90">
        <v>11438522</v>
      </c>
    </row>
    <row r="1062" ht="15.75" customHeight="1" spans="1:11">
      <c r="A1062" s="87">
        <v>1061</v>
      </c>
      <c r="B1062" s="88" t="s">
        <v>46</v>
      </c>
      <c r="C1062" s="88" t="s">
        <v>52</v>
      </c>
      <c r="D1062" s="87">
        <v>2025</v>
      </c>
      <c r="E1062" s="88" t="s">
        <v>41</v>
      </c>
      <c r="F1062" s="88" t="s">
        <v>152</v>
      </c>
      <c r="G1062" s="89" t="s">
        <v>44</v>
      </c>
      <c r="H1062" s="89" t="s">
        <v>44</v>
      </c>
      <c r="I1062" s="89" t="s">
        <v>44</v>
      </c>
      <c r="J1062" s="89" t="s">
        <v>44</v>
      </c>
      <c r="K1062" s="90">
        <v>493176</v>
      </c>
    </row>
    <row r="1063" ht="15.75" customHeight="1" spans="1:11">
      <c r="A1063" s="87">
        <v>1062</v>
      </c>
      <c r="B1063" s="88" t="s">
        <v>46</v>
      </c>
      <c r="C1063" s="88" t="s">
        <v>52</v>
      </c>
      <c r="D1063" s="87">
        <v>2025</v>
      </c>
      <c r="E1063" s="88" t="s">
        <v>42</v>
      </c>
      <c r="F1063" s="88" t="s">
        <v>149</v>
      </c>
      <c r="G1063" s="89" t="s">
        <v>44</v>
      </c>
      <c r="H1063" s="89">
        <v>49</v>
      </c>
      <c r="I1063" s="90">
        <v>3737929</v>
      </c>
      <c r="J1063" s="89">
        <v>45</v>
      </c>
      <c r="K1063" s="90">
        <v>171188</v>
      </c>
    </row>
    <row r="1064" ht="15.75" customHeight="1" spans="1:11">
      <c r="A1064" s="87">
        <v>1063</v>
      </c>
      <c r="B1064" s="88" t="s">
        <v>46</v>
      </c>
      <c r="C1064" s="88" t="s">
        <v>52</v>
      </c>
      <c r="D1064" s="87">
        <v>2025</v>
      </c>
      <c r="E1064" s="88" t="s">
        <v>42</v>
      </c>
      <c r="F1064" s="88" t="s">
        <v>150</v>
      </c>
      <c r="G1064" s="89" t="s">
        <v>44</v>
      </c>
      <c r="H1064" s="89" t="s">
        <v>44</v>
      </c>
      <c r="I1064" s="89" t="s">
        <v>44</v>
      </c>
      <c r="J1064" s="89" t="s">
        <v>44</v>
      </c>
      <c r="K1064" s="90">
        <v>18273</v>
      </c>
    </row>
    <row r="1065" ht="15.75" customHeight="1" spans="1:11">
      <c r="A1065" s="87">
        <v>1064</v>
      </c>
      <c r="B1065" s="88" t="s">
        <v>46</v>
      </c>
      <c r="C1065" s="88" t="s">
        <v>52</v>
      </c>
      <c r="D1065" s="87">
        <v>2025</v>
      </c>
      <c r="E1065" s="88" t="s">
        <v>42</v>
      </c>
      <c r="F1065" s="88" t="s">
        <v>151</v>
      </c>
      <c r="G1065" s="89" t="s">
        <v>44</v>
      </c>
      <c r="H1065" s="89" t="s">
        <v>44</v>
      </c>
      <c r="I1065" s="89" t="s">
        <v>44</v>
      </c>
      <c r="J1065" s="89" t="s">
        <v>44</v>
      </c>
      <c r="K1065" s="90">
        <v>15006324</v>
      </c>
    </row>
    <row r="1066" ht="15.75" customHeight="1" spans="1:11">
      <c r="A1066" s="87">
        <v>1065</v>
      </c>
      <c r="B1066" s="88" t="s">
        <v>46</v>
      </c>
      <c r="C1066" s="88" t="s">
        <v>52</v>
      </c>
      <c r="D1066" s="87">
        <v>2025</v>
      </c>
      <c r="E1066" s="88" t="s">
        <v>42</v>
      </c>
      <c r="F1066" s="88" t="s">
        <v>152</v>
      </c>
      <c r="G1066" s="89" t="s">
        <v>44</v>
      </c>
      <c r="H1066" s="89" t="s">
        <v>44</v>
      </c>
      <c r="I1066" s="89" t="s">
        <v>44</v>
      </c>
      <c r="J1066" s="89" t="s">
        <v>44</v>
      </c>
      <c r="K1066" s="90">
        <v>608604</v>
      </c>
    </row>
    <row r="1067" ht="15.75" customHeight="1" spans="1:11">
      <c r="A1067" s="87">
        <v>1066</v>
      </c>
      <c r="B1067" s="88" t="s">
        <v>46</v>
      </c>
      <c r="C1067" s="88" t="s">
        <v>52</v>
      </c>
      <c r="D1067" s="87">
        <v>2025</v>
      </c>
      <c r="E1067" s="88" t="s">
        <v>43</v>
      </c>
      <c r="F1067" s="88" t="s">
        <v>149</v>
      </c>
      <c r="G1067" s="89" t="s">
        <v>44</v>
      </c>
      <c r="H1067" s="89">
        <v>5</v>
      </c>
      <c r="I1067" s="90">
        <v>297144</v>
      </c>
      <c r="J1067" s="89">
        <v>5</v>
      </c>
      <c r="K1067" s="90">
        <v>14667</v>
      </c>
    </row>
    <row r="1068" ht="15.75" customHeight="1" spans="1:11">
      <c r="A1068" s="87">
        <v>1067</v>
      </c>
      <c r="B1068" s="88" t="s">
        <v>46</v>
      </c>
      <c r="C1068" s="88" t="s">
        <v>52</v>
      </c>
      <c r="D1068" s="87">
        <v>2025</v>
      </c>
      <c r="E1068" s="88" t="s">
        <v>43</v>
      </c>
      <c r="F1068" s="88" t="s">
        <v>150</v>
      </c>
      <c r="G1068" s="89" t="s">
        <v>44</v>
      </c>
      <c r="H1068" s="89" t="s">
        <v>44</v>
      </c>
      <c r="I1068" s="89" t="s">
        <v>44</v>
      </c>
      <c r="J1068" s="89" t="s">
        <v>44</v>
      </c>
      <c r="K1068" s="90">
        <v>18997</v>
      </c>
    </row>
    <row r="1069" ht="15.75" customHeight="1" spans="1:11">
      <c r="A1069" s="87">
        <v>1068</v>
      </c>
      <c r="B1069" s="88" t="s">
        <v>46</v>
      </c>
      <c r="C1069" s="88" t="s">
        <v>52</v>
      </c>
      <c r="D1069" s="87">
        <v>2025</v>
      </c>
      <c r="E1069" s="88" t="s">
        <v>43</v>
      </c>
      <c r="F1069" s="88" t="s">
        <v>151</v>
      </c>
      <c r="G1069" s="89" t="s">
        <v>44</v>
      </c>
      <c r="H1069" s="89" t="s">
        <v>44</v>
      </c>
      <c r="I1069" s="89" t="s">
        <v>44</v>
      </c>
      <c r="J1069" s="89" t="s">
        <v>44</v>
      </c>
      <c r="K1069" s="90">
        <v>11048056</v>
      </c>
    </row>
    <row r="1070" ht="15.75" customHeight="1" spans="1:11">
      <c r="A1070" s="87">
        <v>1069</v>
      </c>
      <c r="B1070" s="88" t="s">
        <v>46</v>
      </c>
      <c r="C1070" s="88" t="s">
        <v>52</v>
      </c>
      <c r="D1070" s="87">
        <v>2025</v>
      </c>
      <c r="E1070" s="88" t="s">
        <v>43</v>
      </c>
      <c r="F1070" s="88" t="s">
        <v>152</v>
      </c>
      <c r="G1070" s="89" t="s">
        <v>44</v>
      </c>
      <c r="H1070" s="89" t="s">
        <v>44</v>
      </c>
      <c r="I1070" s="89" t="s">
        <v>44</v>
      </c>
      <c r="J1070" s="89" t="s">
        <v>44</v>
      </c>
      <c r="K1070" s="90">
        <v>477328</v>
      </c>
    </row>
    <row r="1071" ht="15.75" customHeight="1" spans="1:11">
      <c r="A1071" s="87">
        <v>1070</v>
      </c>
      <c r="B1071" s="88" t="s">
        <v>46</v>
      </c>
      <c r="C1071" s="88" t="s">
        <v>52</v>
      </c>
      <c r="D1071" s="87">
        <v>2026</v>
      </c>
      <c r="E1071" s="88" t="s">
        <v>31</v>
      </c>
      <c r="F1071" s="88" t="s">
        <v>149</v>
      </c>
      <c r="G1071" s="89" t="s">
        <v>44</v>
      </c>
      <c r="H1071" s="89">
        <v>10</v>
      </c>
      <c r="I1071" s="90">
        <v>835790</v>
      </c>
      <c r="J1071" s="89">
        <v>9</v>
      </c>
      <c r="K1071" s="90">
        <v>38968</v>
      </c>
    </row>
    <row r="1072" ht="15.75" customHeight="1" spans="1:11">
      <c r="A1072" s="87">
        <v>1071</v>
      </c>
      <c r="B1072" s="88" t="s">
        <v>46</v>
      </c>
      <c r="C1072" s="88" t="s">
        <v>52</v>
      </c>
      <c r="D1072" s="87">
        <v>2026</v>
      </c>
      <c r="E1072" s="88" t="s">
        <v>31</v>
      </c>
      <c r="F1072" s="88" t="s">
        <v>154</v>
      </c>
      <c r="G1072" s="89" t="s">
        <v>44</v>
      </c>
      <c r="H1072" s="89" t="s">
        <v>44</v>
      </c>
      <c r="I1072" s="89" t="s">
        <v>44</v>
      </c>
      <c r="J1072" s="89" t="s">
        <v>44</v>
      </c>
      <c r="K1072" s="90">
        <v>167855</v>
      </c>
    </row>
    <row r="1073" ht="15.75" customHeight="1" spans="1:11">
      <c r="A1073" s="87">
        <v>1072</v>
      </c>
      <c r="B1073" s="88" t="s">
        <v>46</v>
      </c>
      <c r="C1073" s="88" t="s">
        <v>52</v>
      </c>
      <c r="D1073" s="87">
        <v>2026</v>
      </c>
      <c r="E1073" s="88" t="s">
        <v>31</v>
      </c>
      <c r="F1073" s="88" t="s">
        <v>150</v>
      </c>
      <c r="G1073" s="89" t="s">
        <v>44</v>
      </c>
      <c r="H1073" s="89" t="s">
        <v>44</v>
      </c>
      <c r="I1073" s="89" t="s">
        <v>44</v>
      </c>
      <c r="J1073" s="89" t="s">
        <v>44</v>
      </c>
      <c r="K1073" s="90">
        <v>8878</v>
      </c>
    </row>
    <row r="1074" ht="15.75" customHeight="1" spans="1:11">
      <c r="A1074" s="87">
        <v>1073</v>
      </c>
      <c r="B1074" s="88" t="s">
        <v>46</v>
      </c>
      <c r="C1074" s="88" t="s">
        <v>52</v>
      </c>
      <c r="D1074" s="87">
        <v>2026</v>
      </c>
      <c r="E1074" s="88" t="s">
        <v>31</v>
      </c>
      <c r="F1074" s="88" t="s">
        <v>151</v>
      </c>
      <c r="G1074" s="89" t="s">
        <v>44</v>
      </c>
      <c r="H1074" s="89" t="s">
        <v>44</v>
      </c>
      <c r="I1074" s="89" t="s">
        <v>44</v>
      </c>
      <c r="J1074" s="89" t="s">
        <v>44</v>
      </c>
      <c r="K1074" s="90">
        <v>6023024</v>
      </c>
    </row>
    <row r="1075" ht="15.75" customHeight="1" spans="1:11">
      <c r="A1075" s="87">
        <v>1074</v>
      </c>
      <c r="B1075" s="88" t="s">
        <v>46</v>
      </c>
      <c r="C1075" s="88" t="s">
        <v>52</v>
      </c>
      <c r="D1075" s="87">
        <v>2026</v>
      </c>
      <c r="E1075" s="88" t="s">
        <v>31</v>
      </c>
      <c r="F1075" s="88" t="s">
        <v>152</v>
      </c>
      <c r="G1075" s="89" t="s">
        <v>44</v>
      </c>
      <c r="H1075" s="89" t="s">
        <v>44</v>
      </c>
      <c r="I1075" s="89" t="s">
        <v>44</v>
      </c>
      <c r="J1075" s="89" t="s">
        <v>44</v>
      </c>
      <c r="K1075" s="90">
        <v>361643</v>
      </c>
    </row>
    <row r="1076" ht="15.75" customHeight="1" spans="1:11">
      <c r="A1076" s="87">
        <v>1075</v>
      </c>
      <c r="B1076" s="88" t="s">
        <v>46</v>
      </c>
      <c r="C1076" s="88" t="s">
        <v>52</v>
      </c>
      <c r="D1076" s="87">
        <v>2026</v>
      </c>
      <c r="E1076" s="88" t="s">
        <v>33</v>
      </c>
      <c r="F1076" s="88" t="s">
        <v>151</v>
      </c>
      <c r="G1076" s="89" t="s">
        <v>44</v>
      </c>
      <c r="H1076" s="89" t="s">
        <v>44</v>
      </c>
      <c r="I1076" s="89" t="s">
        <v>44</v>
      </c>
      <c r="J1076" s="89" t="s">
        <v>44</v>
      </c>
      <c r="K1076" s="90">
        <v>7498497</v>
      </c>
    </row>
    <row r="1077" ht="15.75" customHeight="1" spans="1:11">
      <c r="A1077" s="87">
        <v>1076</v>
      </c>
      <c r="B1077" s="88" t="s">
        <v>46</v>
      </c>
      <c r="C1077" s="88" t="s">
        <v>52</v>
      </c>
      <c r="D1077" s="87">
        <v>2026</v>
      </c>
      <c r="E1077" s="88" t="s">
        <v>33</v>
      </c>
      <c r="F1077" s="88" t="s">
        <v>152</v>
      </c>
      <c r="G1077" s="89" t="s">
        <v>44</v>
      </c>
      <c r="H1077" s="89" t="s">
        <v>44</v>
      </c>
      <c r="I1077" s="89" t="s">
        <v>44</v>
      </c>
      <c r="J1077" s="89" t="s">
        <v>44</v>
      </c>
      <c r="K1077" s="90">
        <v>412136</v>
      </c>
    </row>
    <row r="1078" ht="15.75" customHeight="1" spans="1:11">
      <c r="A1078" s="87">
        <v>1077</v>
      </c>
      <c r="B1078" s="88" t="s">
        <v>46</v>
      </c>
      <c r="C1078" s="88" t="s">
        <v>52</v>
      </c>
      <c r="D1078" s="87">
        <v>2026</v>
      </c>
      <c r="E1078" s="88" t="s">
        <v>33</v>
      </c>
      <c r="F1078" s="88" t="s">
        <v>149</v>
      </c>
      <c r="G1078" s="89" t="s">
        <v>44</v>
      </c>
      <c r="H1078" s="89">
        <v>10</v>
      </c>
      <c r="I1078" s="90">
        <v>1007095</v>
      </c>
      <c r="J1078" s="89">
        <v>10</v>
      </c>
      <c r="K1078" s="90">
        <v>31643</v>
      </c>
    </row>
    <row r="1079" ht="15.75" customHeight="1" spans="1:11">
      <c r="A1079" s="87">
        <v>1078</v>
      </c>
      <c r="B1079" s="88" t="s">
        <v>46</v>
      </c>
      <c r="C1079" s="88" t="s">
        <v>52</v>
      </c>
      <c r="D1079" s="87">
        <v>2026</v>
      </c>
      <c r="E1079" s="88" t="s">
        <v>33</v>
      </c>
      <c r="F1079" s="88" t="s">
        <v>150</v>
      </c>
      <c r="G1079" s="89" t="s">
        <v>44</v>
      </c>
      <c r="H1079" s="89" t="s">
        <v>44</v>
      </c>
      <c r="I1079" s="89" t="s">
        <v>44</v>
      </c>
      <c r="J1079" s="89" t="s">
        <v>44</v>
      </c>
      <c r="K1079" s="90">
        <v>53431</v>
      </c>
    </row>
    <row r="1080" ht="15.75" customHeight="1" spans="1:11">
      <c r="A1080" s="87">
        <v>1079</v>
      </c>
      <c r="B1080" s="88" t="s">
        <v>46</v>
      </c>
      <c r="C1080" s="88" t="s">
        <v>52</v>
      </c>
      <c r="D1080" s="87">
        <v>2026</v>
      </c>
      <c r="E1080" s="88" t="s">
        <v>34</v>
      </c>
      <c r="F1080" s="88" t="s">
        <v>149</v>
      </c>
      <c r="G1080" s="89" t="s">
        <v>44</v>
      </c>
      <c r="H1080" s="89">
        <v>10</v>
      </c>
      <c r="I1080" s="90">
        <v>2520122</v>
      </c>
      <c r="J1080" s="89">
        <v>11</v>
      </c>
      <c r="K1080" s="90">
        <v>110171</v>
      </c>
    </row>
    <row r="1081" ht="15.75" customHeight="1" spans="1:11">
      <c r="A1081" s="87">
        <v>1080</v>
      </c>
      <c r="B1081" s="88" t="s">
        <v>46</v>
      </c>
      <c r="C1081" s="88" t="s">
        <v>52</v>
      </c>
      <c r="D1081" s="87">
        <v>2026</v>
      </c>
      <c r="E1081" s="88" t="s">
        <v>34</v>
      </c>
      <c r="F1081" s="88" t="s">
        <v>152</v>
      </c>
      <c r="G1081" s="89" t="s">
        <v>44</v>
      </c>
      <c r="H1081" s="89" t="s">
        <v>44</v>
      </c>
      <c r="I1081" s="89" t="s">
        <v>44</v>
      </c>
      <c r="J1081" s="89" t="s">
        <v>44</v>
      </c>
      <c r="K1081" s="90">
        <v>1760579</v>
      </c>
    </row>
    <row r="1082" ht="15.75" customHeight="1" spans="1:11">
      <c r="A1082" s="87">
        <v>1081</v>
      </c>
      <c r="B1082" s="88" t="s">
        <v>46</v>
      </c>
      <c r="C1082" s="88" t="s">
        <v>52</v>
      </c>
      <c r="D1082" s="87">
        <v>2026</v>
      </c>
      <c r="E1082" s="88" t="s">
        <v>34</v>
      </c>
      <c r="F1082" s="88" t="s">
        <v>150</v>
      </c>
      <c r="G1082" s="89" t="s">
        <v>44</v>
      </c>
      <c r="H1082" s="89" t="s">
        <v>44</v>
      </c>
      <c r="I1082" s="89" t="s">
        <v>44</v>
      </c>
      <c r="J1082" s="89" t="s">
        <v>44</v>
      </c>
      <c r="K1082" s="90">
        <v>47189</v>
      </c>
    </row>
    <row r="1083" ht="15.75" customHeight="1" spans="1:11">
      <c r="A1083" s="87">
        <v>1082</v>
      </c>
      <c r="B1083" s="88" t="s">
        <v>46</v>
      </c>
      <c r="C1083" s="88" t="s">
        <v>52</v>
      </c>
      <c r="D1083" s="87">
        <v>2026</v>
      </c>
      <c r="E1083" s="88" t="s">
        <v>34</v>
      </c>
      <c r="F1083" s="88" t="s">
        <v>151</v>
      </c>
      <c r="G1083" s="89" t="s">
        <v>44</v>
      </c>
      <c r="H1083" s="89" t="s">
        <v>44</v>
      </c>
      <c r="I1083" s="89" t="s">
        <v>44</v>
      </c>
      <c r="J1083" s="89" t="s">
        <v>44</v>
      </c>
      <c r="K1083" s="90">
        <v>47204066</v>
      </c>
    </row>
    <row r="1084" ht="15.75" customHeight="1" spans="1:11">
      <c r="A1084" s="87">
        <v>1083</v>
      </c>
      <c r="B1084" s="88" t="s">
        <v>46</v>
      </c>
      <c r="C1084" s="88" t="s">
        <v>140</v>
      </c>
      <c r="D1084" s="87">
        <v>2024</v>
      </c>
      <c r="E1084" s="88" t="s">
        <v>31</v>
      </c>
      <c r="F1084" s="88" t="s">
        <v>150</v>
      </c>
      <c r="G1084" s="89" t="s">
        <v>44</v>
      </c>
      <c r="H1084" s="89" t="s">
        <v>44</v>
      </c>
      <c r="I1084" s="89" t="s">
        <v>44</v>
      </c>
      <c r="J1084" s="89" t="s">
        <v>44</v>
      </c>
      <c r="K1084" s="90">
        <v>9623</v>
      </c>
    </row>
    <row r="1085" ht="15.75" customHeight="1" spans="1:11">
      <c r="A1085" s="87">
        <v>1084</v>
      </c>
      <c r="B1085" s="88" t="s">
        <v>46</v>
      </c>
      <c r="C1085" s="88" t="s">
        <v>140</v>
      </c>
      <c r="D1085" s="87">
        <v>2024</v>
      </c>
      <c r="E1085" s="88" t="s">
        <v>31</v>
      </c>
      <c r="F1085" s="88" t="s">
        <v>151</v>
      </c>
      <c r="G1085" s="89" t="s">
        <v>44</v>
      </c>
      <c r="H1085" s="89" t="s">
        <v>44</v>
      </c>
      <c r="I1085" s="89" t="s">
        <v>44</v>
      </c>
      <c r="J1085" s="89" t="s">
        <v>44</v>
      </c>
      <c r="K1085" s="90">
        <v>1083187</v>
      </c>
    </row>
    <row r="1086" ht="15.75" customHeight="1" spans="1:11">
      <c r="A1086" s="87">
        <v>1085</v>
      </c>
      <c r="B1086" s="88" t="s">
        <v>46</v>
      </c>
      <c r="C1086" s="88" t="s">
        <v>140</v>
      </c>
      <c r="D1086" s="87">
        <v>2024</v>
      </c>
      <c r="E1086" s="88" t="s">
        <v>31</v>
      </c>
      <c r="F1086" s="88" t="s">
        <v>152</v>
      </c>
      <c r="G1086" s="89" t="s">
        <v>44</v>
      </c>
      <c r="H1086" s="89" t="s">
        <v>44</v>
      </c>
      <c r="I1086" s="89" t="s">
        <v>44</v>
      </c>
      <c r="J1086" s="89" t="s">
        <v>44</v>
      </c>
      <c r="K1086" s="90">
        <v>38431</v>
      </c>
    </row>
    <row r="1087" ht="15.75" customHeight="1" spans="1:11">
      <c r="A1087" s="87">
        <v>1086</v>
      </c>
      <c r="B1087" s="88" t="s">
        <v>46</v>
      </c>
      <c r="C1087" s="88" t="s">
        <v>140</v>
      </c>
      <c r="D1087" s="87">
        <v>2024</v>
      </c>
      <c r="E1087" s="88" t="s">
        <v>33</v>
      </c>
      <c r="F1087" s="88" t="s">
        <v>150</v>
      </c>
      <c r="G1087" s="89" t="s">
        <v>44</v>
      </c>
      <c r="H1087" s="89" t="s">
        <v>44</v>
      </c>
      <c r="I1087" s="89" t="s">
        <v>44</v>
      </c>
      <c r="J1087" s="89" t="s">
        <v>44</v>
      </c>
      <c r="K1087" s="90">
        <v>12757</v>
      </c>
    </row>
    <row r="1088" ht="15.75" customHeight="1" spans="1:11">
      <c r="A1088" s="87">
        <v>1087</v>
      </c>
      <c r="B1088" s="88" t="s">
        <v>46</v>
      </c>
      <c r="C1088" s="88" t="s">
        <v>140</v>
      </c>
      <c r="D1088" s="87">
        <v>2024</v>
      </c>
      <c r="E1088" s="88" t="s">
        <v>33</v>
      </c>
      <c r="F1088" s="88" t="s">
        <v>151</v>
      </c>
      <c r="G1088" s="89" t="s">
        <v>44</v>
      </c>
      <c r="H1088" s="89" t="s">
        <v>44</v>
      </c>
      <c r="I1088" s="89" t="s">
        <v>44</v>
      </c>
      <c r="J1088" s="89" t="s">
        <v>44</v>
      </c>
      <c r="K1088" s="90">
        <v>1794363</v>
      </c>
    </row>
    <row r="1089" ht="15.75" customHeight="1" spans="1:11">
      <c r="A1089" s="87">
        <v>1088</v>
      </c>
      <c r="B1089" s="88" t="s">
        <v>46</v>
      </c>
      <c r="C1089" s="88" t="s">
        <v>140</v>
      </c>
      <c r="D1089" s="87">
        <v>2024</v>
      </c>
      <c r="E1089" s="88" t="s">
        <v>33</v>
      </c>
      <c r="F1089" s="88" t="s">
        <v>152</v>
      </c>
      <c r="G1089" s="89" t="s">
        <v>44</v>
      </c>
      <c r="H1089" s="89" t="s">
        <v>44</v>
      </c>
      <c r="I1089" s="89" t="s">
        <v>44</v>
      </c>
      <c r="J1089" s="89" t="s">
        <v>44</v>
      </c>
      <c r="K1089" s="90">
        <v>51328</v>
      </c>
    </row>
    <row r="1090" ht="15.75" customHeight="1" spans="1:11">
      <c r="A1090" s="87">
        <v>1089</v>
      </c>
      <c r="B1090" s="88" t="s">
        <v>46</v>
      </c>
      <c r="C1090" s="88" t="s">
        <v>140</v>
      </c>
      <c r="D1090" s="87">
        <v>2024</v>
      </c>
      <c r="E1090" s="88" t="s">
        <v>34</v>
      </c>
      <c r="F1090" s="88" t="s">
        <v>150</v>
      </c>
      <c r="G1090" s="89" t="s">
        <v>44</v>
      </c>
      <c r="H1090" s="89" t="s">
        <v>44</v>
      </c>
      <c r="I1090" s="89" t="s">
        <v>44</v>
      </c>
      <c r="J1090" s="89" t="s">
        <v>44</v>
      </c>
      <c r="K1090" s="90">
        <v>14240</v>
      </c>
    </row>
    <row r="1091" ht="15.75" customHeight="1" spans="1:11">
      <c r="A1091" s="87">
        <v>1090</v>
      </c>
      <c r="B1091" s="88" t="s">
        <v>46</v>
      </c>
      <c r="C1091" s="88" t="s">
        <v>140</v>
      </c>
      <c r="D1091" s="87">
        <v>2024</v>
      </c>
      <c r="E1091" s="88" t="s">
        <v>34</v>
      </c>
      <c r="F1091" s="88" t="s">
        <v>151</v>
      </c>
      <c r="G1091" s="89" t="s">
        <v>44</v>
      </c>
      <c r="H1091" s="89" t="s">
        <v>44</v>
      </c>
      <c r="I1091" s="89" t="s">
        <v>44</v>
      </c>
      <c r="J1091" s="89" t="s">
        <v>44</v>
      </c>
      <c r="K1091" s="90">
        <v>1694726</v>
      </c>
    </row>
    <row r="1092" ht="15.75" customHeight="1" spans="1:11">
      <c r="A1092" s="87">
        <v>1091</v>
      </c>
      <c r="B1092" s="88" t="s">
        <v>46</v>
      </c>
      <c r="C1092" s="88" t="s">
        <v>140</v>
      </c>
      <c r="D1092" s="87">
        <v>2024</v>
      </c>
      <c r="E1092" s="88" t="s">
        <v>34</v>
      </c>
      <c r="F1092" s="88" t="s">
        <v>152</v>
      </c>
      <c r="G1092" s="89" t="s">
        <v>44</v>
      </c>
      <c r="H1092" s="89" t="s">
        <v>44</v>
      </c>
      <c r="I1092" s="89" t="s">
        <v>44</v>
      </c>
      <c r="J1092" s="89" t="s">
        <v>44</v>
      </c>
      <c r="K1092" s="90">
        <v>34133</v>
      </c>
    </row>
    <row r="1093" ht="15.75" customHeight="1" spans="1:11">
      <c r="A1093" s="87">
        <v>1092</v>
      </c>
      <c r="B1093" s="88" t="s">
        <v>46</v>
      </c>
      <c r="C1093" s="88" t="s">
        <v>140</v>
      </c>
      <c r="D1093" s="87">
        <v>2024</v>
      </c>
      <c r="E1093" s="88" t="s">
        <v>35</v>
      </c>
      <c r="F1093" s="88" t="s">
        <v>150</v>
      </c>
      <c r="G1093" s="89" t="s">
        <v>44</v>
      </c>
      <c r="H1093" s="89" t="s">
        <v>44</v>
      </c>
      <c r="I1093" s="89" t="s">
        <v>44</v>
      </c>
      <c r="J1093" s="89" t="s">
        <v>44</v>
      </c>
      <c r="K1093" s="90">
        <v>17863</v>
      </c>
    </row>
    <row r="1094" ht="15.75" customHeight="1" spans="1:11">
      <c r="A1094" s="87">
        <v>1093</v>
      </c>
      <c r="B1094" s="88" t="s">
        <v>46</v>
      </c>
      <c r="C1094" s="88" t="s">
        <v>140</v>
      </c>
      <c r="D1094" s="87">
        <v>2024</v>
      </c>
      <c r="E1094" s="88" t="s">
        <v>35</v>
      </c>
      <c r="F1094" s="88" t="s">
        <v>151</v>
      </c>
      <c r="G1094" s="89" t="s">
        <v>44</v>
      </c>
      <c r="H1094" s="89" t="s">
        <v>44</v>
      </c>
      <c r="I1094" s="89" t="s">
        <v>44</v>
      </c>
      <c r="J1094" s="89" t="s">
        <v>44</v>
      </c>
      <c r="K1094" s="90">
        <v>912108</v>
      </c>
    </row>
    <row r="1095" ht="15.75" customHeight="1" spans="1:11">
      <c r="A1095" s="87">
        <v>1094</v>
      </c>
      <c r="B1095" s="88" t="s">
        <v>46</v>
      </c>
      <c r="C1095" s="88" t="s">
        <v>140</v>
      </c>
      <c r="D1095" s="87">
        <v>2024</v>
      </c>
      <c r="E1095" s="88" t="s">
        <v>35</v>
      </c>
      <c r="F1095" s="88" t="s">
        <v>152</v>
      </c>
      <c r="G1095" s="89" t="s">
        <v>44</v>
      </c>
      <c r="H1095" s="89" t="s">
        <v>44</v>
      </c>
      <c r="I1095" s="89" t="s">
        <v>44</v>
      </c>
      <c r="J1095" s="89" t="s">
        <v>44</v>
      </c>
      <c r="K1095" s="90">
        <v>27225</v>
      </c>
    </row>
    <row r="1096" ht="15.75" customHeight="1" spans="1:11">
      <c r="A1096" s="87">
        <v>1095</v>
      </c>
      <c r="B1096" s="88" t="s">
        <v>46</v>
      </c>
      <c r="C1096" s="88" t="s">
        <v>140</v>
      </c>
      <c r="D1096" s="87">
        <v>2024</v>
      </c>
      <c r="E1096" s="88" t="s">
        <v>36</v>
      </c>
      <c r="F1096" s="88" t="s">
        <v>150</v>
      </c>
      <c r="G1096" s="89" t="s">
        <v>44</v>
      </c>
      <c r="H1096" s="89" t="s">
        <v>44</v>
      </c>
      <c r="I1096" s="89" t="s">
        <v>44</v>
      </c>
      <c r="J1096" s="89" t="s">
        <v>44</v>
      </c>
      <c r="K1096" s="90">
        <v>7015</v>
      </c>
    </row>
    <row r="1097" ht="15.75" customHeight="1" spans="1:11">
      <c r="A1097" s="87">
        <v>1096</v>
      </c>
      <c r="B1097" s="88" t="s">
        <v>46</v>
      </c>
      <c r="C1097" s="88" t="s">
        <v>140</v>
      </c>
      <c r="D1097" s="87">
        <v>2024</v>
      </c>
      <c r="E1097" s="88" t="s">
        <v>36</v>
      </c>
      <c r="F1097" s="88" t="s">
        <v>151</v>
      </c>
      <c r="G1097" s="89" t="s">
        <v>44</v>
      </c>
      <c r="H1097" s="89" t="s">
        <v>44</v>
      </c>
      <c r="I1097" s="89" t="s">
        <v>44</v>
      </c>
      <c r="J1097" s="89" t="s">
        <v>44</v>
      </c>
      <c r="K1097" s="90">
        <v>881979</v>
      </c>
    </row>
    <row r="1098" ht="15.75" customHeight="1" spans="1:11">
      <c r="A1098" s="87">
        <v>1097</v>
      </c>
      <c r="B1098" s="88" t="s">
        <v>46</v>
      </c>
      <c r="C1098" s="88" t="s">
        <v>140</v>
      </c>
      <c r="D1098" s="87">
        <v>2024</v>
      </c>
      <c r="E1098" s="88" t="s">
        <v>36</v>
      </c>
      <c r="F1098" s="88" t="s">
        <v>152</v>
      </c>
      <c r="G1098" s="89" t="s">
        <v>44</v>
      </c>
      <c r="H1098" s="89" t="s">
        <v>44</v>
      </c>
      <c r="I1098" s="89" t="s">
        <v>44</v>
      </c>
      <c r="J1098" s="89" t="s">
        <v>44</v>
      </c>
      <c r="K1098" s="90">
        <v>20819</v>
      </c>
    </row>
    <row r="1099" ht="15.75" customHeight="1" spans="1:11">
      <c r="A1099" s="87">
        <v>1098</v>
      </c>
      <c r="B1099" s="88" t="s">
        <v>46</v>
      </c>
      <c r="C1099" s="88" t="s">
        <v>140</v>
      </c>
      <c r="D1099" s="87">
        <v>2024</v>
      </c>
      <c r="E1099" s="88" t="s">
        <v>37</v>
      </c>
      <c r="F1099" s="88" t="s">
        <v>150</v>
      </c>
      <c r="G1099" s="89" t="s">
        <v>44</v>
      </c>
      <c r="H1099" s="89" t="s">
        <v>44</v>
      </c>
      <c r="I1099" s="89" t="s">
        <v>44</v>
      </c>
      <c r="J1099" s="89" t="s">
        <v>44</v>
      </c>
      <c r="K1099" s="90">
        <v>4844</v>
      </c>
    </row>
    <row r="1100" ht="15.75" customHeight="1" spans="1:11">
      <c r="A1100" s="87">
        <v>1099</v>
      </c>
      <c r="B1100" s="88" t="s">
        <v>46</v>
      </c>
      <c r="C1100" s="88" t="s">
        <v>140</v>
      </c>
      <c r="D1100" s="87">
        <v>2024</v>
      </c>
      <c r="E1100" s="88" t="s">
        <v>37</v>
      </c>
      <c r="F1100" s="88" t="s">
        <v>151</v>
      </c>
      <c r="G1100" s="89" t="s">
        <v>44</v>
      </c>
      <c r="H1100" s="89" t="s">
        <v>44</v>
      </c>
      <c r="I1100" s="89" t="s">
        <v>44</v>
      </c>
      <c r="J1100" s="89" t="s">
        <v>44</v>
      </c>
      <c r="K1100" s="90">
        <v>1319264</v>
      </c>
    </row>
    <row r="1101" ht="15.75" customHeight="1" spans="1:11">
      <c r="A1101" s="87">
        <v>1100</v>
      </c>
      <c r="B1101" s="88" t="s">
        <v>46</v>
      </c>
      <c r="C1101" s="88" t="s">
        <v>140</v>
      </c>
      <c r="D1101" s="87">
        <v>2024</v>
      </c>
      <c r="E1101" s="88" t="s">
        <v>37</v>
      </c>
      <c r="F1101" s="88" t="s">
        <v>152</v>
      </c>
      <c r="G1101" s="89" t="s">
        <v>44</v>
      </c>
      <c r="H1101" s="89" t="s">
        <v>44</v>
      </c>
      <c r="I1101" s="89" t="s">
        <v>44</v>
      </c>
      <c r="J1101" s="89" t="s">
        <v>44</v>
      </c>
      <c r="K1101" s="90">
        <v>62734</v>
      </c>
    </row>
    <row r="1102" ht="15.75" customHeight="1" spans="1:11">
      <c r="A1102" s="87">
        <v>1101</v>
      </c>
      <c r="B1102" s="88" t="s">
        <v>46</v>
      </c>
      <c r="C1102" s="88" t="s">
        <v>140</v>
      </c>
      <c r="D1102" s="87">
        <v>2024</v>
      </c>
      <c r="E1102" s="88" t="s">
        <v>38</v>
      </c>
      <c r="F1102" s="88" t="s">
        <v>150</v>
      </c>
      <c r="G1102" s="89" t="s">
        <v>44</v>
      </c>
      <c r="H1102" s="89" t="s">
        <v>44</v>
      </c>
      <c r="I1102" s="89" t="s">
        <v>44</v>
      </c>
      <c r="J1102" s="89" t="s">
        <v>44</v>
      </c>
      <c r="K1102" s="90">
        <v>4313</v>
      </c>
    </row>
    <row r="1103" ht="15.75" customHeight="1" spans="1:11">
      <c r="A1103" s="87">
        <v>1102</v>
      </c>
      <c r="B1103" s="88" t="s">
        <v>46</v>
      </c>
      <c r="C1103" s="88" t="s">
        <v>140</v>
      </c>
      <c r="D1103" s="87">
        <v>2024</v>
      </c>
      <c r="E1103" s="88" t="s">
        <v>38</v>
      </c>
      <c r="F1103" s="88" t="s">
        <v>151</v>
      </c>
      <c r="G1103" s="89" t="s">
        <v>44</v>
      </c>
      <c r="H1103" s="89" t="s">
        <v>44</v>
      </c>
      <c r="I1103" s="89" t="s">
        <v>44</v>
      </c>
      <c r="J1103" s="89" t="s">
        <v>44</v>
      </c>
      <c r="K1103" s="90">
        <v>2099085</v>
      </c>
    </row>
    <row r="1104" ht="15.75" customHeight="1" spans="1:11">
      <c r="A1104" s="87">
        <v>1103</v>
      </c>
      <c r="B1104" s="88" t="s">
        <v>46</v>
      </c>
      <c r="C1104" s="88" t="s">
        <v>140</v>
      </c>
      <c r="D1104" s="87">
        <v>2024</v>
      </c>
      <c r="E1104" s="88" t="s">
        <v>38</v>
      </c>
      <c r="F1104" s="88" t="s">
        <v>152</v>
      </c>
      <c r="G1104" s="89" t="s">
        <v>44</v>
      </c>
      <c r="H1104" s="89" t="s">
        <v>44</v>
      </c>
      <c r="I1104" s="89" t="s">
        <v>44</v>
      </c>
      <c r="J1104" s="89" t="s">
        <v>44</v>
      </c>
      <c r="K1104" s="90">
        <v>136357</v>
      </c>
    </row>
    <row r="1105" ht="15.75" customHeight="1" spans="1:11">
      <c r="A1105" s="87">
        <v>1104</v>
      </c>
      <c r="B1105" s="88" t="s">
        <v>46</v>
      </c>
      <c r="C1105" s="88" t="s">
        <v>140</v>
      </c>
      <c r="D1105" s="87">
        <v>2024</v>
      </c>
      <c r="E1105" s="88" t="s">
        <v>39</v>
      </c>
      <c r="F1105" s="88" t="s">
        <v>150</v>
      </c>
      <c r="G1105" s="89" t="s">
        <v>44</v>
      </c>
      <c r="H1105" s="89" t="s">
        <v>44</v>
      </c>
      <c r="I1105" s="89" t="s">
        <v>44</v>
      </c>
      <c r="J1105" s="89" t="s">
        <v>44</v>
      </c>
      <c r="K1105" s="90">
        <v>3105</v>
      </c>
    </row>
    <row r="1106" ht="15.75" customHeight="1" spans="1:11">
      <c r="A1106" s="87">
        <v>1105</v>
      </c>
      <c r="B1106" s="88" t="s">
        <v>46</v>
      </c>
      <c r="C1106" s="88" t="s">
        <v>140</v>
      </c>
      <c r="D1106" s="87">
        <v>2024</v>
      </c>
      <c r="E1106" s="88" t="s">
        <v>39</v>
      </c>
      <c r="F1106" s="88" t="s">
        <v>155</v>
      </c>
      <c r="G1106" s="90">
        <v>20734</v>
      </c>
      <c r="H1106" s="89">
        <v>2</v>
      </c>
      <c r="I1106" s="89" t="s">
        <v>44</v>
      </c>
      <c r="J1106" s="89" t="s">
        <v>44</v>
      </c>
      <c r="K1106" s="90">
        <v>20734</v>
      </c>
    </row>
    <row r="1107" ht="15.75" customHeight="1" spans="1:11">
      <c r="A1107" s="87">
        <v>1106</v>
      </c>
      <c r="B1107" s="88" t="s">
        <v>46</v>
      </c>
      <c r="C1107" s="88" t="s">
        <v>140</v>
      </c>
      <c r="D1107" s="87">
        <v>2024</v>
      </c>
      <c r="E1107" s="88" t="s">
        <v>39</v>
      </c>
      <c r="F1107" s="88" t="s">
        <v>151</v>
      </c>
      <c r="G1107" s="89" t="s">
        <v>44</v>
      </c>
      <c r="H1107" s="89" t="s">
        <v>44</v>
      </c>
      <c r="I1107" s="89" t="s">
        <v>44</v>
      </c>
      <c r="J1107" s="89" t="s">
        <v>44</v>
      </c>
      <c r="K1107" s="90">
        <v>5382525</v>
      </c>
    </row>
    <row r="1108" ht="15.75" customHeight="1" spans="1:11">
      <c r="A1108" s="87">
        <v>1107</v>
      </c>
      <c r="B1108" s="88" t="s">
        <v>46</v>
      </c>
      <c r="C1108" s="88" t="s">
        <v>140</v>
      </c>
      <c r="D1108" s="87">
        <v>2024</v>
      </c>
      <c r="E1108" s="88" t="s">
        <v>39</v>
      </c>
      <c r="F1108" s="88" t="s">
        <v>152</v>
      </c>
      <c r="G1108" s="89" t="s">
        <v>44</v>
      </c>
      <c r="H1108" s="89" t="s">
        <v>44</v>
      </c>
      <c r="I1108" s="89" t="s">
        <v>44</v>
      </c>
      <c r="J1108" s="89" t="s">
        <v>44</v>
      </c>
      <c r="K1108" s="90">
        <v>206327</v>
      </c>
    </row>
    <row r="1109" ht="15.75" customHeight="1" spans="1:11">
      <c r="A1109" s="87">
        <v>1108</v>
      </c>
      <c r="B1109" s="88" t="s">
        <v>46</v>
      </c>
      <c r="C1109" s="88" t="s">
        <v>140</v>
      </c>
      <c r="D1109" s="87">
        <v>2024</v>
      </c>
      <c r="E1109" s="88" t="s">
        <v>40</v>
      </c>
      <c r="F1109" s="88" t="s">
        <v>150</v>
      </c>
      <c r="G1109" s="89" t="s">
        <v>44</v>
      </c>
      <c r="H1109" s="89" t="s">
        <v>44</v>
      </c>
      <c r="I1109" s="89" t="s">
        <v>44</v>
      </c>
      <c r="J1109" s="89" t="s">
        <v>44</v>
      </c>
      <c r="K1109" s="90">
        <v>3400</v>
      </c>
    </row>
    <row r="1110" ht="15.75" customHeight="1" spans="1:11">
      <c r="A1110" s="87">
        <v>1109</v>
      </c>
      <c r="B1110" s="88" t="s">
        <v>46</v>
      </c>
      <c r="C1110" s="88" t="s">
        <v>140</v>
      </c>
      <c r="D1110" s="87">
        <v>2024</v>
      </c>
      <c r="E1110" s="88" t="s">
        <v>40</v>
      </c>
      <c r="F1110" s="88" t="s">
        <v>151</v>
      </c>
      <c r="G1110" s="89" t="s">
        <v>44</v>
      </c>
      <c r="H1110" s="89" t="s">
        <v>44</v>
      </c>
      <c r="I1110" s="89" t="s">
        <v>44</v>
      </c>
      <c r="J1110" s="89" t="s">
        <v>44</v>
      </c>
      <c r="K1110" s="90">
        <v>1903969</v>
      </c>
    </row>
    <row r="1111" ht="15.75" customHeight="1" spans="1:11">
      <c r="A1111" s="87">
        <v>1110</v>
      </c>
      <c r="B1111" s="88" t="s">
        <v>46</v>
      </c>
      <c r="C1111" s="88" t="s">
        <v>140</v>
      </c>
      <c r="D1111" s="87">
        <v>2024</v>
      </c>
      <c r="E1111" s="88" t="s">
        <v>40</v>
      </c>
      <c r="F1111" s="88" t="s">
        <v>152</v>
      </c>
      <c r="G1111" s="89" t="s">
        <v>44</v>
      </c>
      <c r="H1111" s="89" t="s">
        <v>44</v>
      </c>
      <c r="I1111" s="89" t="s">
        <v>44</v>
      </c>
      <c r="J1111" s="89" t="s">
        <v>44</v>
      </c>
      <c r="K1111" s="90">
        <v>67692</v>
      </c>
    </row>
    <row r="1112" ht="15.75" customHeight="1" spans="1:11">
      <c r="A1112" s="87">
        <v>1111</v>
      </c>
      <c r="B1112" s="88" t="s">
        <v>46</v>
      </c>
      <c r="C1112" s="88" t="s">
        <v>140</v>
      </c>
      <c r="D1112" s="87">
        <v>2024</v>
      </c>
      <c r="E1112" s="88" t="s">
        <v>41</v>
      </c>
      <c r="F1112" s="88" t="s">
        <v>150</v>
      </c>
      <c r="G1112" s="89" t="s">
        <v>44</v>
      </c>
      <c r="H1112" s="89" t="s">
        <v>44</v>
      </c>
      <c r="I1112" s="89" t="s">
        <v>44</v>
      </c>
      <c r="J1112" s="89" t="s">
        <v>44</v>
      </c>
      <c r="K1112" s="89">
        <v>678</v>
      </c>
    </row>
    <row r="1113" ht="15.75" customHeight="1" spans="1:11">
      <c r="A1113" s="87">
        <v>1112</v>
      </c>
      <c r="B1113" s="88" t="s">
        <v>46</v>
      </c>
      <c r="C1113" s="88" t="s">
        <v>140</v>
      </c>
      <c r="D1113" s="87">
        <v>2024</v>
      </c>
      <c r="E1113" s="88" t="s">
        <v>41</v>
      </c>
      <c r="F1113" s="88" t="s">
        <v>151</v>
      </c>
      <c r="G1113" s="89" t="s">
        <v>44</v>
      </c>
      <c r="H1113" s="89" t="s">
        <v>44</v>
      </c>
      <c r="I1113" s="89" t="s">
        <v>44</v>
      </c>
      <c r="J1113" s="89" t="s">
        <v>44</v>
      </c>
      <c r="K1113" s="90">
        <v>1520786</v>
      </c>
    </row>
    <row r="1114" ht="15.75" customHeight="1" spans="1:11">
      <c r="A1114" s="87">
        <v>1113</v>
      </c>
      <c r="B1114" s="88" t="s">
        <v>46</v>
      </c>
      <c r="C1114" s="88" t="s">
        <v>140</v>
      </c>
      <c r="D1114" s="87">
        <v>2024</v>
      </c>
      <c r="E1114" s="88" t="s">
        <v>41</v>
      </c>
      <c r="F1114" s="88" t="s">
        <v>152</v>
      </c>
      <c r="G1114" s="89" t="s">
        <v>44</v>
      </c>
      <c r="H1114" s="89" t="s">
        <v>44</v>
      </c>
      <c r="I1114" s="89" t="s">
        <v>44</v>
      </c>
      <c r="J1114" s="89" t="s">
        <v>44</v>
      </c>
      <c r="K1114" s="90">
        <v>37616</v>
      </c>
    </row>
    <row r="1115" ht="15.75" customHeight="1" spans="1:11">
      <c r="A1115" s="87">
        <v>1114</v>
      </c>
      <c r="B1115" s="88" t="s">
        <v>46</v>
      </c>
      <c r="C1115" s="88" t="s">
        <v>140</v>
      </c>
      <c r="D1115" s="87">
        <v>2024</v>
      </c>
      <c r="E1115" s="88" t="s">
        <v>42</v>
      </c>
      <c r="F1115" s="88" t="s">
        <v>150</v>
      </c>
      <c r="G1115" s="89" t="s">
        <v>44</v>
      </c>
      <c r="H1115" s="89" t="s">
        <v>44</v>
      </c>
      <c r="I1115" s="89" t="s">
        <v>44</v>
      </c>
      <c r="J1115" s="89" t="s">
        <v>44</v>
      </c>
      <c r="K1115" s="90">
        <v>1132</v>
      </c>
    </row>
    <row r="1116" ht="15.75" customHeight="1" spans="1:11">
      <c r="A1116" s="87">
        <v>1115</v>
      </c>
      <c r="B1116" s="88" t="s">
        <v>46</v>
      </c>
      <c r="C1116" s="88" t="s">
        <v>140</v>
      </c>
      <c r="D1116" s="87">
        <v>2024</v>
      </c>
      <c r="E1116" s="88" t="s">
        <v>42</v>
      </c>
      <c r="F1116" s="88" t="s">
        <v>151</v>
      </c>
      <c r="G1116" s="89" t="s">
        <v>44</v>
      </c>
      <c r="H1116" s="89" t="s">
        <v>44</v>
      </c>
      <c r="I1116" s="89" t="s">
        <v>44</v>
      </c>
      <c r="J1116" s="89" t="s">
        <v>44</v>
      </c>
      <c r="K1116" s="90">
        <v>813693</v>
      </c>
    </row>
    <row r="1117" ht="15.75" customHeight="1" spans="1:11">
      <c r="A1117" s="87">
        <v>1116</v>
      </c>
      <c r="B1117" s="88" t="s">
        <v>46</v>
      </c>
      <c r="C1117" s="88" t="s">
        <v>140</v>
      </c>
      <c r="D1117" s="87">
        <v>2024</v>
      </c>
      <c r="E1117" s="88" t="s">
        <v>42</v>
      </c>
      <c r="F1117" s="88" t="s">
        <v>152</v>
      </c>
      <c r="G1117" s="89" t="s">
        <v>44</v>
      </c>
      <c r="H1117" s="89" t="s">
        <v>44</v>
      </c>
      <c r="I1117" s="89" t="s">
        <v>44</v>
      </c>
      <c r="J1117" s="89" t="s">
        <v>44</v>
      </c>
      <c r="K1117" s="90">
        <v>23552</v>
      </c>
    </row>
    <row r="1118" ht="15.75" customHeight="1" spans="1:11">
      <c r="A1118" s="87">
        <v>1117</v>
      </c>
      <c r="B1118" s="88" t="s">
        <v>46</v>
      </c>
      <c r="C1118" s="88" t="s">
        <v>140</v>
      </c>
      <c r="D1118" s="87">
        <v>2024</v>
      </c>
      <c r="E1118" s="88" t="s">
        <v>43</v>
      </c>
      <c r="F1118" s="88" t="s">
        <v>150</v>
      </c>
      <c r="G1118" s="89" t="s">
        <v>44</v>
      </c>
      <c r="H1118" s="89" t="s">
        <v>44</v>
      </c>
      <c r="I1118" s="89" t="s">
        <v>44</v>
      </c>
      <c r="J1118" s="89" t="s">
        <v>44</v>
      </c>
      <c r="K1118" s="90">
        <v>2354</v>
      </c>
    </row>
    <row r="1119" ht="15.75" customHeight="1" spans="1:11">
      <c r="A1119" s="87">
        <v>1118</v>
      </c>
      <c r="B1119" s="88" t="s">
        <v>46</v>
      </c>
      <c r="C1119" s="88" t="s">
        <v>140</v>
      </c>
      <c r="D1119" s="87">
        <v>2024</v>
      </c>
      <c r="E1119" s="88" t="s">
        <v>43</v>
      </c>
      <c r="F1119" s="88" t="s">
        <v>151</v>
      </c>
      <c r="G1119" s="89" t="s">
        <v>44</v>
      </c>
      <c r="H1119" s="89" t="s">
        <v>44</v>
      </c>
      <c r="I1119" s="89" t="s">
        <v>44</v>
      </c>
      <c r="J1119" s="89" t="s">
        <v>44</v>
      </c>
      <c r="K1119" s="90">
        <v>1348835</v>
      </c>
    </row>
    <row r="1120" ht="15.75" customHeight="1" spans="1:11">
      <c r="A1120" s="87">
        <v>1119</v>
      </c>
      <c r="B1120" s="88" t="s">
        <v>46</v>
      </c>
      <c r="C1120" s="88" t="s">
        <v>140</v>
      </c>
      <c r="D1120" s="87">
        <v>2024</v>
      </c>
      <c r="E1120" s="88" t="s">
        <v>43</v>
      </c>
      <c r="F1120" s="88" t="s">
        <v>152</v>
      </c>
      <c r="G1120" s="89" t="s">
        <v>44</v>
      </c>
      <c r="H1120" s="89" t="s">
        <v>44</v>
      </c>
      <c r="I1120" s="89" t="s">
        <v>44</v>
      </c>
      <c r="J1120" s="89" t="s">
        <v>44</v>
      </c>
      <c r="K1120" s="90">
        <v>32102</v>
      </c>
    </row>
    <row r="1121" ht="15.75" customHeight="1" spans="1:11">
      <c r="A1121" s="87">
        <v>1120</v>
      </c>
      <c r="B1121" s="88" t="s">
        <v>46</v>
      </c>
      <c r="C1121" s="88" t="s">
        <v>140</v>
      </c>
      <c r="D1121" s="87">
        <v>2025</v>
      </c>
      <c r="E1121" s="88" t="s">
        <v>31</v>
      </c>
      <c r="F1121" s="88" t="s">
        <v>150</v>
      </c>
      <c r="G1121" s="89" t="s">
        <v>44</v>
      </c>
      <c r="H1121" s="89" t="s">
        <v>44</v>
      </c>
      <c r="I1121" s="89" t="s">
        <v>44</v>
      </c>
      <c r="J1121" s="89" t="s">
        <v>44</v>
      </c>
      <c r="K1121" s="89">
        <v>107</v>
      </c>
    </row>
    <row r="1122" ht="15.75" customHeight="1" spans="1:11">
      <c r="A1122" s="87">
        <v>1121</v>
      </c>
      <c r="B1122" s="88" t="s">
        <v>46</v>
      </c>
      <c r="C1122" s="88" t="s">
        <v>140</v>
      </c>
      <c r="D1122" s="87">
        <v>2025</v>
      </c>
      <c r="E1122" s="88" t="s">
        <v>31</v>
      </c>
      <c r="F1122" s="88" t="s">
        <v>150</v>
      </c>
      <c r="G1122" s="89" t="s">
        <v>44</v>
      </c>
      <c r="H1122" s="89" t="s">
        <v>44</v>
      </c>
      <c r="I1122" s="89" t="s">
        <v>44</v>
      </c>
      <c r="J1122" s="89" t="s">
        <v>44</v>
      </c>
      <c r="K1122" s="89">
        <v>791</v>
      </c>
    </row>
    <row r="1123" ht="15.75" customHeight="1" spans="1:11">
      <c r="A1123" s="87">
        <v>1122</v>
      </c>
      <c r="B1123" s="88" t="s">
        <v>46</v>
      </c>
      <c r="C1123" s="88" t="s">
        <v>140</v>
      </c>
      <c r="D1123" s="87">
        <v>2025</v>
      </c>
      <c r="E1123" s="88" t="s">
        <v>31</v>
      </c>
      <c r="F1123" s="88" t="s">
        <v>152</v>
      </c>
      <c r="G1123" s="89" t="s">
        <v>44</v>
      </c>
      <c r="H1123" s="89" t="s">
        <v>44</v>
      </c>
      <c r="I1123" s="89" t="s">
        <v>44</v>
      </c>
      <c r="J1123" s="89" t="s">
        <v>44</v>
      </c>
      <c r="K1123" s="90">
        <v>41329</v>
      </c>
    </row>
    <row r="1124" ht="15.75" customHeight="1" spans="1:11">
      <c r="A1124" s="87">
        <v>1123</v>
      </c>
      <c r="B1124" s="88" t="s">
        <v>46</v>
      </c>
      <c r="C1124" s="88" t="s">
        <v>140</v>
      </c>
      <c r="D1124" s="87">
        <v>2025</v>
      </c>
      <c r="E1124" s="88" t="s">
        <v>33</v>
      </c>
      <c r="F1124" s="88" t="s">
        <v>150</v>
      </c>
      <c r="G1124" s="89" t="s">
        <v>44</v>
      </c>
      <c r="H1124" s="89" t="s">
        <v>44</v>
      </c>
      <c r="I1124" s="89" t="s">
        <v>44</v>
      </c>
      <c r="J1124" s="89" t="s">
        <v>44</v>
      </c>
      <c r="K1124" s="89">
        <v>818</v>
      </c>
    </row>
    <row r="1125" ht="15.75" customHeight="1" spans="1:11">
      <c r="A1125" s="87">
        <v>1124</v>
      </c>
      <c r="B1125" s="88" t="s">
        <v>46</v>
      </c>
      <c r="C1125" s="88" t="s">
        <v>140</v>
      </c>
      <c r="D1125" s="87">
        <v>2025</v>
      </c>
      <c r="E1125" s="88" t="s">
        <v>33</v>
      </c>
      <c r="F1125" s="88" t="s">
        <v>151</v>
      </c>
      <c r="G1125" s="89" t="s">
        <v>44</v>
      </c>
      <c r="H1125" s="89" t="s">
        <v>44</v>
      </c>
      <c r="I1125" s="89" t="s">
        <v>44</v>
      </c>
      <c r="J1125" s="89" t="s">
        <v>44</v>
      </c>
      <c r="K1125" s="90">
        <v>804578</v>
      </c>
    </row>
    <row r="1126" ht="15.75" customHeight="1" spans="1:11">
      <c r="A1126" s="87">
        <v>1125</v>
      </c>
      <c r="B1126" s="88" t="s">
        <v>46</v>
      </c>
      <c r="C1126" s="88" t="s">
        <v>140</v>
      </c>
      <c r="D1126" s="87">
        <v>2025</v>
      </c>
      <c r="E1126" s="88" t="s">
        <v>33</v>
      </c>
      <c r="F1126" s="88" t="s">
        <v>152</v>
      </c>
      <c r="G1126" s="89" t="s">
        <v>44</v>
      </c>
      <c r="H1126" s="89" t="s">
        <v>44</v>
      </c>
      <c r="I1126" s="89" t="s">
        <v>44</v>
      </c>
      <c r="J1126" s="89" t="s">
        <v>44</v>
      </c>
      <c r="K1126" s="90">
        <v>36560</v>
      </c>
    </row>
    <row r="1127" ht="15.75" customHeight="1" spans="1:11">
      <c r="A1127" s="87">
        <v>1126</v>
      </c>
      <c r="B1127" s="88" t="s">
        <v>46</v>
      </c>
      <c r="C1127" s="88" t="s">
        <v>140</v>
      </c>
      <c r="D1127" s="87">
        <v>2025</v>
      </c>
      <c r="E1127" s="88" t="s">
        <v>34</v>
      </c>
      <c r="F1127" s="88" t="s">
        <v>150</v>
      </c>
      <c r="G1127" s="89" t="s">
        <v>44</v>
      </c>
      <c r="H1127" s="89" t="s">
        <v>44</v>
      </c>
      <c r="I1127" s="89" t="s">
        <v>44</v>
      </c>
      <c r="J1127" s="89" t="s">
        <v>44</v>
      </c>
      <c r="K1127" s="90">
        <v>1013</v>
      </c>
    </row>
    <row r="1128" ht="15.75" customHeight="1" spans="1:11">
      <c r="A1128" s="87">
        <v>1127</v>
      </c>
      <c r="B1128" s="88" t="s">
        <v>46</v>
      </c>
      <c r="C1128" s="88" t="s">
        <v>140</v>
      </c>
      <c r="D1128" s="87">
        <v>2025</v>
      </c>
      <c r="E1128" s="88" t="s">
        <v>34</v>
      </c>
      <c r="F1128" s="88" t="s">
        <v>151</v>
      </c>
      <c r="G1128" s="89" t="s">
        <v>44</v>
      </c>
      <c r="H1128" s="89" t="s">
        <v>44</v>
      </c>
      <c r="I1128" s="89" t="s">
        <v>44</v>
      </c>
      <c r="J1128" s="89" t="s">
        <v>44</v>
      </c>
      <c r="K1128" s="90">
        <v>681174</v>
      </c>
    </row>
    <row r="1129" ht="15.75" customHeight="1" spans="1:11">
      <c r="A1129" s="87">
        <v>1128</v>
      </c>
      <c r="B1129" s="88" t="s">
        <v>46</v>
      </c>
      <c r="C1129" s="88" t="s">
        <v>140</v>
      </c>
      <c r="D1129" s="87">
        <v>2025</v>
      </c>
      <c r="E1129" s="88" t="s">
        <v>34</v>
      </c>
      <c r="F1129" s="88" t="s">
        <v>152</v>
      </c>
      <c r="G1129" s="89" t="s">
        <v>44</v>
      </c>
      <c r="H1129" s="89" t="s">
        <v>44</v>
      </c>
      <c r="I1129" s="89" t="s">
        <v>44</v>
      </c>
      <c r="J1129" s="89" t="s">
        <v>44</v>
      </c>
      <c r="K1129" s="90">
        <v>15826</v>
      </c>
    </row>
    <row r="1130" ht="15.75" customHeight="1" spans="1:11">
      <c r="A1130" s="87">
        <v>1129</v>
      </c>
      <c r="B1130" s="88" t="s">
        <v>46</v>
      </c>
      <c r="C1130" s="88" t="s">
        <v>140</v>
      </c>
      <c r="D1130" s="87">
        <v>2025</v>
      </c>
      <c r="E1130" s="88" t="s">
        <v>35</v>
      </c>
      <c r="F1130" s="88" t="s">
        <v>150</v>
      </c>
      <c r="G1130" s="89" t="s">
        <v>44</v>
      </c>
      <c r="H1130" s="89" t="s">
        <v>44</v>
      </c>
      <c r="I1130" s="89" t="s">
        <v>44</v>
      </c>
      <c r="J1130" s="89" t="s">
        <v>44</v>
      </c>
      <c r="K1130" s="89">
        <v>694</v>
      </c>
    </row>
    <row r="1131" ht="15.75" customHeight="1" spans="1:11">
      <c r="A1131" s="87">
        <v>1130</v>
      </c>
      <c r="B1131" s="88" t="s">
        <v>46</v>
      </c>
      <c r="C1131" s="88" t="s">
        <v>140</v>
      </c>
      <c r="D1131" s="87">
        <v>2025</v>
      </c>
      <c r="E1131" s="88" t="s">
        <v>35</v>
      </c>
      <c r="F1131" s="88" t="s">
        <v>151</v>
      </c>
      <c r="G1131" s="89" t="s">
        <v>44</v>
      </c>
      <c r="H1131" s="89" t="s">
        <v>44</v>
      </c>
      <c r="I1131" s="89" t="s">
        <v>44</v>
      </c>
      <c r="J1131" s="89" t="s">
        <v>44</v>
      </c>
      <c r="K1131" s="90">
        <v>260839</v>
      </c>
    </row>
    <row r="1132" ht="15.75" customHeight="1" spans="1:11">
      <c r="A1132" s="87">
        <v>1131</v>
      </c>
      <c r="B1132" s="88" t="s">
        <v>46</v>
      </c>
      <c r="C1132" s="88" t="s">
        <v>140</v>
      </c>
      <c r="D1132" s="87">
        <v>2025</v>
      </c>
      <c r="E1132" s="88" t="s">
        <v>35</v>
      </c>
      <c r="F1132" s="88" t="s">
        <v>152</v>
      </c>
      <c r="G1132" s="89" t="s">
        <v>44</v>
      </c>
      <c r="H1132" s="89" t="s">
        <v>44</v>
      </c>
      <c r="I1132" s="89" t="s">
        <v>44</v>
      </c>
      <c r="J1132" s="89" t="s">
        <v>44</v>
      </c>
      <c r="K1132" s="90">
        <v>8253</v>
      </c>
    </row>
    <row r="1133" ht="15.75" customHeight="1" spans="1:11">
      <c r="A1133" s="87">
        <v>1132</v>
      </c>
      <c r="B1133" s="88" t="s">
        <v>46</v>
      </c>
      <c r="C1133" s="88" t="s">
        <v>140</v>
      </c>
      <c r="D1133" s="87">
        <v>2025</v>
      </c>
      <c r="E1133" s="88" t="s">
        <v>36</v>
      </c>
      <c r="F1133" s="88" t="s">
        <v>150</v>
      </c>
      <c r="G1133" s="89" t="s">
        <v>44</v>
      </c>
      <c r="H1133" s="89" t="s">
        <v>44</v>
      </c>
      <c r="I1133" s="89" t="s">
        <v>44</v>
      </c>
      <c r="J1133" s="89" t="s">
        <v>44</v>
      </c>
      <c r="K1133" s="89">
        <v>625</v>
      </c>
    </row>
    <row r="1134" ht="15.75" customHeight="1" spans="1:11">
      <c r="A1134" s="87">
        <v>1133</v>
      </c>
      <c r="B1134" s="88" t="s">
        <v>46</v>
      </c>
      <c r="C1134" s="88" t="s">
        <v>140</v>
      </c>
      <c r="D1134" s="87">
        <v>2025</v>
      </c>
      <c r="E1134" s="88" t="s">
        <v>36</v>
      </c>
      <c r="F1134" s="88" t="s">
        <v>151</v>
      </c>
      <c r="G1134" s="89" t="s">
        <v>44</v>
      </c>
      <c r="H1134" s="89" t="s">
        <v>44</v>
      </c>
      <c r="I1134" s="89" t="s">
        <v>44</v>
      </c>
      <c r="J1134" s="89" t="s">
        <v>44</v>
      </c>
      <c r="K1134" s="90">
        <v>334895</v>
      </c>
    </row>
    <row r="1135" ht="15.75" customHeight="1" spans="1:11">
      <c r="A1135" s="87">
        <v>1134</v>
      </c>
      <c r="B1135" s="88" t="s">
        <v>46</v>
      </c>
      <c r="C1135" s="88" t="s">
        <v>140</v>
      </c>
      <c r="D1135" s="87">
        <v>2025</v>
      </c>
      <c r="E1135" s="88" t="s">
        <v>36</v>
      </c>
      <c r="F1135" s="88" t="s">
        <v>152</v>
      </c>
      <c r="G1135" s="89" t="s">
        <v>44</v>
      </c>
      <c r="H1135" s="89" t="s">
        <v>44</v>
      </c>
      <c r="I1135" s="89" t="s">
        <v>44</v>
      </c>
      <c r="J1135" s="89" t="s">
        <v>44</v>
      </c>
      <c r="K1135" s="90">
        <v>12683</v>
      </c>
    </row>
    <row r="1136" ht="15.75" customHeight="1" spans="1:11">
      <c r="A1136" s="87">
        <v>1135</v>
      </c>
      <c r="B1136" s="88" t="s">
        <v>46</v>
      </c>
      <c r="C1136" s="88" t="s">
        <v>140</v>
      </c>
      <c r="D1136" s="87">
        <v>2025</v>
      </c>
      <c r="E1136" s="88" t="s">
        <v>37</v>
      </c>
      <c r="F1136" s="88" t="s">
        <v>150</v>
      </c>
      <c r="G1136" s="89" t="s">
        <v>44</v>
      </c>
      <c r="H1136" s="89" t="s">
        <v>44</v>
      </c>
      <c r="I1136" s="89" t="s">
        <v>44</v>
      </c>
      <c r="J1136" s="89" t="s">
        <v>44</v>
      </c>
      <c r="K1136" s="89">
        <v>633</v>
      </c>
    </row>
    <row r="1137" ht="15.75" customHeight="1" spans="1:11">
      <c r="A1137" s="87">
        <v>1136</v>
      </c>
      <c r="B1137" s="88" t="s">
        <v>46</v>
      </c>
      <c r="C1137" s="88" t="s">
        <v>140</v>
      </c>
      <c r="D1137" s="87">
        <v>2025</v>
      </c>
      <c r="E1137" s="88" t="s">
        <v>37</v>
      </c>
      <c r="F1137" s="88" t="s">
        <v>151</v>
      </c>
      <c r="G1137" s="89" t="s">
        <v>44</v>
      </c>
      <c r="H1137" s="89" t="s">
        <v>44</v>
      </c>
      <c r="I1137" s="89" t="s">
        <v>44</v>
      </c>
      <c r="J1137" s="89" t="s">
        <v>44</v>
      </c>
      <c r="K1137" s="90">
        <v>2289297</v>
      </c>
    </row>
    <row r="1138" ht="15.75" customHeight="1" spans="1:11">
      <c r="A1138" s="87">
        <v>1137</v>
      </c>
      <c r="B1138" s="88" t="s">
        <v>46</v>
      </c>
      <c r="C1138" s="88" t="s">
        <v>140</v>
      </c>
      <c r="D1138" s="87">
        <v>2025</v>
      </c>
      <c r="E1138" s="88" t="s">
        <v>37</v>
      </c>
      <c r="F1138" s="88" t="s">
        <v>152</v>
      </c>
      <c r="G1138" s="89" t="s">
        <v>44</v>
      </c>
      <c r="H1138" s="89" t="s">
        <v>44</v>
      </c>
      <c r="I1138" s="89" t="s">
        <v>44</v>
      </c>
      <c r="J1138" s="89" t="s">
        <v>44</v>
      </c>
      <c r="K1138" s="90">
        <v>150929</v>
      </c>
    </row>
    <row r="1139" ht="15.75" customHeight="1" spans="1:11">
      <c r="A1139" s="87">
        <v>1138</v>
      </c>
      <c r="B1139" s="88" t="s">
        <v>46</v>
      </c>
      <c r="C1139" s="88" t="s">
        <v>140</v>
      </c>
      <c r="D1139" s="87">
        <v>2025</v>
      </c>
      <c r="E1139" s="88" t="s">
        <v>38</v>
      </c>
      <c r="F1139" s="88" t="s">
        <v>150</v>
      </c>
      <c r="G1139" s="89" t="s">
        <v>44</v>
      </c>
      <c r="H1139" s="89" t="s">
        <v>44</v>
      </c>
      <c r="I1139" s="89" t="s">
        <v>44</v>
      </c>
      <c r="J1139" s="89" t="s">
        <v>44</v>
      </c>
      <c r="K1139" s="90">
        <v>16751</v>
      </c>
    </row>
    <row r="1140" ht="15.75" customHeight="1" spans="1:11">
      <c r="A1140" s="87">
        <v>1139</v>
      </c>
      <c r="B1140" s="88" t="s">
        <v>46</v>
      </c>
      <c r="C1140" s="88" t="s">
        <v>140</v>
      </c>
      <c r="D1140" s="87">
        <v>2025</v>
      </c>
      <c r="E1140" s="88" t="s">
        <v>38</v>
      </c>
      <c r="F1140" s="88" t="s">
        <v>151</v>
      </c>
      <c r="G1140" s="89" t="s">
        <v>44</v>
      </c>
      <c r="H1140" s="89" t="s">
        <v>44</v>
      </c>
      <c r="I1140" s="89" t="s">
        <v>44</v>
      </c>
      <c r="J1140" s="89" t="s">
        <v>44</v>
      </c>
      <c r="K1140" s="90">
        <v>1680319</v>
      </c>
    </row>
    <row r="1141" ht="15.75" customHeight="1" spans="1:11">
      <c r="A1141" s="87">
        <v>1140</v>
      </c>
      <c r="B1141" s="88" t="s">
        <v>46</v>
      </c>
      <c r="C1141" s="88" t="s">
        <v>140</v>
      </c>
      <c r="D1141" s="87">
        <v>2025</v>
      </c>
      <c r="E1141" s="88" t="s">
        <v>38</v>
      </c>
      <c r="F1141" s="88" t="s">
        <v>152</v>
      </c>
      <c r="G1141" s="89" t="s">
        <v>44</v>
      </c>
      <c r="H1141" s="89" t="s">
        <v>44</v>
      </c>
      <c r="I1141" s="89" t="s">
        <v>44</v>
      </c>
      <c r="J1141" s="89" t="s">
        <v>44</v>
      </c>
      <c r="K1141" s="90">
        <v>75517</v>
      </c>
    </row>
    <row r="1142" ht="15.75" customHeight="1" spans="1:11">
      <c r="A1142" s="87">
        <v>1141</v>
      </c>
      <c r="B1142" s="88" t="s">
        <v>46</v>
      </c>
      <c r="C1142" s="88" t="s">
        <v>140</v>
      </c>
      <c r="D1142" s="87">
        <v>2025</v>
      </c>
      <c r="E1142" s="88" t="s">
        <v>39</v>
      </c>
      <c r="F1142" s="88" t="s">
        <v>149</v>
      </c>
      <c r="G1142" s="89" t="s">
        <v>44</v>
      </c>
      <c r="H1142" s="89">
        <v>4</v>
      </c>
      <c r="I1142" s="90">
        <v>380047</v>
      </c>
      <c r="J1142" s="89">
        <v>4</v>
      </c>
      <c r="K1142" s="90">
        <v>19988</v>
      </c>
    </row>
    <row r="1143" ht="15.75" customHeight="1" spans="1:11">
      <c r="A1143" s="87">
        <v>1142</v>
      </c>
      <c r="B1143" s="88" t="s">
        <v>46</v>
      </c>
      <c r="C1143" s="88" t="s">
        <v>140</v>
      </c>
      <c r="D1143" s="87">
        <v>2025</v>
      </c>
      <c r="E1143" s="88" t="s">
        <v>39</v>
      </c>
      <c r="F1143" s="88" t="s">
        <v>150</v>
      </c>
      <c r="G1143" s="89" t="s">
        <v>44</v>
      </c>
      <c r="H1143" s="89" t="s">
        <v>44</v>
      </c>
      <c r="I1143" s="89" t="s">
        <v>44</v>
      </c>
      <c r="J1143" s="89" t="s">
        <v>44</v>
      </c>
      <c r="K1143" s="90">
        <v>62281</v>
      </c>
    </row>
    <row r="1144" ht="15.75" customHeight="1" spans="1:11">
      <c r="A1144" s="87">
        <v>1143</v>
      </c>
      <c r="B1144" s="88" t="s">
        <v>46</v>
      </c>
      <c r="C1144" s="88" t="s">
        <v>140</v>
      </c>
      <c r="D1144" s="87">
        <v>2025</v>
      </c>
      <c r="E1144" s="88" t="s">
        <v>39</v>
      </c>
      <c r="F1144" s="88" t="s">
        <v>157</v>
      </c>
      <c r="G1144" s="90">
        <v>13844</v>
      </c>
      <c r="H1144" s="89">
        <v>1</v>
      </c>
      <c r="I1144" s="89" t="s">
        <v>44</v>
      </c>
      <c r="J1144" s="89" t="s">
        <v>44</v>
      </c>
      <c r="K1144" s="90">
        <v>13844</v>
      </c>
    </row>
    <row r="1145" ht="15.75" customHeight="1" spans="1:11">
      <c r="A1145" s="87">
        <v>1144</v>
      </c>
      <c r="B1145" s="88" t="s">
        <v>46</v>
      </c>
      <c r="C1145" s="88" t="s">
        <v>140</v>
      </c>
      <c r="D1145" s="87">
        <v>2025</v>
      </c>
      <c r="E1145" s="88" t="s">
        <v>39</v>
      </c>
      <c r="F1145" s="88" t="s">
        <v>151</v>
      </c>
      <c r="G1145" s="89" t="s">
        <v>44</v>
      </c>
      <c r="H1145" s="89" t="s">
        <v>44</v>
      </c>
      <c r="I1145" s="89" t="s">
        <v>44</v>
      </c>
      <c r="J1145" s="89" t="s">
        <v>44</v>
      </c>
      <c r="K1145" s="90">
        <v>2801131</v>
      </c>
    </row>
    <row r="1146" ht="15.75" customHeight="1" spans="1:11">
      <c r="A1146" s="87">
        <v>1145</v>
      </c>
      <c r="B1146" s="88" t="s">
        <v>46</v>
      </c>
      <c r="C1146" s="88" t="s">
        <v>140</v>
      </c>
      <c r="D1146" s="87">
        <v>2025</v>
      </c>
      <c r="E1146" s="88" t="s">
        <v>39</v>
      </c>
      <c r="F1146" s="88" t="s">
        <v>152</v>
      </c>
      <c r="G1146" s="89" t="s">
        <v>44</v>
      </c>
      <c r="H1146" s="89" t="s">
        <v>44</v>
      </c>
      <c r="I1146" s="89" t="s">
        <v>44</v>
      </c>
      <c r="J1146" s="89" t="s">
        <v>44</v>
      </c>
      <c r="K1146" s="90">
        <v>103074</v>
      </c>
    </row>
    <row r="1147" ht="15.75" customHeight="1" spans="1:11">
      <c r="A1147" s="87">
        <v>1146</v>
      </c>
      <c r="B1147" s="88" t="s">
        <v>46</v>
      </c>
      <c r="C1147" s="88" t="s">
        <v>140</v>
      </c>
      <c r="D1147" s="87">
        <v>2025</v>
      </c>
      <c r="E1147" s="88" t="s">
        <v>40</v>
      </c>
      <c r="F1147" s="88" t="s">
        <v>149</v>
      </c>
      <c r="G1147" s="89" t="s">
        <v>44</v>
      </c>
      <c r="H1147" s="89">
        <v>12</v>
      </c>
      <c r="I1147" s="90">
        <v>2435403</v>
      </c>
      <c r="J1147" s="89">
        <v>9</v>
      </c>
      <c r="K1147" s="90">
        <v>89460</v>
      </c>
    </row>
    <row r="1148" ht="15.75" customHeight="1" spans="1:11">
      <c r="A1148" s="87">
        <v>1147</v>
      </c>
      <c r="B1148" s="88" t="s">
        <v>46</v>
      </c>
      <c r="C1148" s="88" t="s">
        <v>140</v>
      </c>
      <c r="D1148" s="87">
        <v>2025</v>
      </c>
      <c r="E1148" s="88" t="s">
        <v>40</v>
      </c>
      <c r="F1148" s="88" t="s">
        <v>150</v>
      </c>
      <c r="G1148" s="89" t="s">
        <v>44</v>
      </c>
      <c r="H1148" s="89" t="s">
        <v>44</v>
      </c>
      <c r="I1148" s="89" t="s">
        <v>44</v>
      </c>
      <c r="J1148" s="89" t="s">
        <v>44</v>
      </c>
      <c r="K1148" s="90">
        <v>67507</v>
      </c>
    </row>
    <row r="1149" ht="15.75" customHeight="1" spans="1:11">
      <c r="A1149" s="87">
        <v>1148</v>
      </c>
      <c r="B1149" s="88" t="s">
        <v>46</v>
      </c>
      <c r="C1149" s="88" t="s">
        <v>140</v>
      </c>
      <c r="D1149" s="87">
        <v>2025</v>
      </c>
      <c r="E1149" s="88" t="s">
        <v>40</v>
      </c>
      <c r="F1149" s="88" t="s">
        <v>151</v>
      </c>
      <c r="G1149" s="89" t="s">
        <v>44</v>
      </c>
      <c r="H1149" s="89" t="s">
        <v>44</v>
      </c>
      <c r="I1149" s="89" t="s">
        <v>44</v>
      </c>
      <c r="J1149" s="89" t="s">
        <v>44</v>
      </c>
      <c r="K1149" s="90">
        <v>28349766</v>
      </c>
    </row>
    <row r="1150" ht="15.75" customHeight="1" spans="1:11">
      <c r="A1150" s="87">
        <v>1149</v>
      </c>
      <c r="B1150" s="88" t="s">
        <v>46</v>
      </c>
      <c r="C1150" s="88" t="s">
        <v>140</v>
      </c>
      <c r="D1150" s="87">
        <v>2025</v>
      </c>
      <c r="E1150" s="88" t="s">
        <v>40</v>
      </c>
      <c r="F1150" s="88" t="s">
        <v>152</v>
      </c>
      <c r="G1150" s="89" t="s">
        <v>44</v>
      </c>
      <c r="H1150" s="89" t="s">
        <v>44</v>
      </c>
      <c r="I1150" s="89" t="s">
        <v>44</v>
      </c>
      <c r="J1150" s="89" t="s">
        <v>44</v>
      </c>
      <c r="K1150" s="90">
        <v>909133</v>
      </c>
    </row>
    <row r="1151" ht="15.75" customHeight="1" spans="1:11">
      <c r="A1151" s="87">
        <v>1150</v>
      </c>
      <c r="B1151" s="88" t="s">
        <v>46</v>
      </c>
      <c r="C1151" s="88" t="s">
        <v>140</v>
      </c>
      <c r="D1151" s="87">
        <v>2025</v>
      </c>
      <c r="E1151" s="88" t="s">
        <v>41</v>
      </c>
      <c r="F1151" s="88" t="s">
        <v>150</v>
      </c>
      <c r="G1151" s="89" t="s">
        <v>44</v>
      </c>
      <c r="H1151" s="89" t="s">
        <v>44</v>
      </c>
      <c r="I1151" s="89" t="s">
        <v>44</v>
      </c>
      <c r="J1151" s="89" t="s">
        <v>44</v>
      </c>
      <c r="K1151" s="90">
        <v>75479</v>
      </c>
    </row>
    <row r="1152" ht="15.75" customHeight="1" spans="1:11">
      <c r="A1152" s="87">
        <v>1151</v>
      </c>
      <c r="B1152" s="88" t="s">
        <v>46</v>
      </c>
      <c r="C1152" s="88" t="s">
        <v>140</v>
      </c>
      <c r="D1152" s="87">
        <v>2025</v>
      </c>
      <c r="E1152" s="88" t="s">
        <v>41</v>
      </c>
      <c r="F1152" s="88" t="s">
        <v>151</v>
      </c>
      <c r="G1152" s="89" t="s">
        <v>44</v>
      </c>
      <c r="H1152" s="89" t="s">
        <v>44</v>
      </c>
      <c r="I1152" s="89" t="s">
        <v>44</v>
      </c>
      <c r="J1152" s="89" t="s">
        <v>44</v>
      </c>
      <c r="K1152" s="90">
        <v>39345909</v>
      </c>
    </row>
    <row r="1153" ht="15.75" customHeight="1" spans="1:11">
      <c r="A1153" s="87">
        <v>1152</v>
      </c>
      <c r="B1153" s="88" t="s">
        <v>46</v>
      </c>
      <c r="C1153" s="88" t="s">
        <v>140</v>
      </c>
      <c r="D1153" s="87">
        <v>2025</v>
      </c>
      <c r="E1153" s="88" t="s">
        <v>41</v>
      </c>
      <c r="F1153" s="88" t="s">
        <v>152</v>
      </c>
      <c r="G1153" s="89" t="s">
        <v>44</v>
      </c>
      <c r="H1153" s="89" t="s">
        <v>44</v>
      </c>
      <c r="I1153" s="89" t="s">
        <v>44</v>
      </c>
      <c r="J1153" s="89" t="s">
        <v>44</v>
      </c>
      <c r="K1153" s="90">
        <v>1281843</v>
      </c>
    </row>
    <row r="1154" ht="15.75" customHeight="1" spans="1:11">
      <c r="A1154" s="87">
        <v>1153</v>
      </c>
      <c r="B1154" s="88" t="s">
        <v>46</v>
      </c>
      <c r="C1154" s="88" t="s">
        <v>140</v>
      </c>
      <c r="D1154" s="87">
        <v>2025</v>
      </c>
      <c r="E1154" s="88" t="s">
        <v>42</v>
      </c>
      <c r="F1154" s="88" t="s">
        <v>154</v>
      </c>
      <c r="G1154" s="89" t="s">
        <v>44</v>
      </c>
      <c r="H1154" s="89" t="s">
        <v>44</v>
      </c>
      <c r="I1154" s="89" t="s">
        <v>44</v>
      </c>
      <c r="J1154" s="89" t="s">
        <v>44</v>
      </c>
      <c r="K1154" s="90">
        <v>250100</v>
      </c>
    </row>
    <row r="1155" ht="15.75" customHeight="1" spans="1:11">
      <c r="A1155" s="87">
        <v>1154</v>
      </c>
      <c r="B1155" s="88" t="s">
        <v>46</v>
      </c>
      <c r="C1155" s="88" t="s">
        <v>140</v>
      </c>
      <c r="D1155" s="87">
        <v>2025</v>
      </c>
      <c r="E1155" s="88" t="s">
        <v>42</v>
      </c>
      <c r="F1155" s="88" t="s">
        <v>150</v>
      </c>
      <c r="G1155" s="89" t="s">
        <v>44</v>
      </c>
      <c r="H1155" s="89" t="s">
        <v>44</v>
      </c>
      <c r="I1155" s="89" t="s">
        <v>44</v>
      </c>
      <c r="J1155" s="89" t="s">
        <v>44</v>
      </c>
      <c r="K1155" s="90">
        <v>49172</v>
      </c>
    </row>
    <row r="1156" ht="15.75" customHeight="1" spans="1:11">
      <c r="A1156" s="87">
        <v>1155</v>
      </c>
      <c r="B1156" s="88" t="s">
        <v>46</v>
      </c>
      <c r="C1156" s="88" t="s">
        <v>140</v>
      </c>
      <c r="D1156" s="87">
        <v>2025</v>
      </c>
      <c r="E1156" s="88" t="s">
        <v>42</v>
      </c>
      <c r="F1156" s="88" t="s">
        <v>151</v>
      </c>
      <c r="G1156" s="89" t="s">
        <v>44</v>
      </c>
      <c r="H1156" s="89" t="s">
        <v>44</v>
      </c>
      <c r="I1156" s="89" t="s">
        <v>44</v>
      </c>
      <c r="J1156" s="89" t="s">
        <v>44</v>
      </c>
      <c r="K1156" s="90">
        <v>44963327</v>
      </c>
    </row>
    <row r="1157" ht="15.75" customHeight="1" spans="1:11">
      <c r="A1157" s="87">
        <v>1156</v>
      </c>
      <c r="B1157" s="88" t="s">
        <v>46</v>
      </c>
      <c r="C1157" s="88" t="s">
        <v>140</v>
      </c>
      <c r="D1157" s="87">
        <v>2025</v>
      </c>
      <c r="E1157" s="88" t="s">
        <v>42</v>
      </c>
      <c r="F1157" s="88" t="s">
        <v>152</v>
      </c>
      <c r="G1157" s="89" t="s">
        <v>44</v>
      </c>
      <c r="H1157" s="89" t="s">
        <v>44</v>
      </c>
      <c r="I1157" s="89" t="s">
        <v>44</v>
      </c>
      <c r="J1157" s="89" t="s">
        <v>44</v>
      </c>
      <c r="K1157" s="90">
        <v>1467130</v>
      </c>
    </row>
    <row r="1158" ht="15.75" customHeight="1" spans="1:11">
      <c r="A1158" s="87">
        <v>1157</v>
      </c>
      <c r="B1158" s="88" t="s">
        <v>46</v>
      </c>
      <c r="C1158" s="88" t="s">
        <v>140</v>
      </c>
      <c r="D1158" s="87">
        <v>2025</v>
      </c>
      <c r="E1158" s="88" t="s">
        <v>43</v>
      </c>
      <c r="F1158" s="88" t="s">
        <v>150</v>
      </c>
      <c r="G1158" s="89" t="s">
        <v>44</v>
      </c>
      <c r="H1158" s="89" t="s">
        <v>44</v>
      </c>
      <c r="I1158" s="89" t="s">
        <v>44</v>
      </c>
      <c r="J1158" s="89" t="s">
        <v>44</v>
      </c>
      <c r="K1158" s="90">
        <v>36633</v>
      </c>
    </row>
    <row r="1159" ht="15.75" customHeight="1" spans="1:11">
      <c r="A1159" s="87">
        <v>1158</v>
      </c>
      <c r="B1159" s="88" t="s">
        <v>46</v>
      </c>
      <c r="C1159" s="88" t="s">
        <v>140</v>
      </c>
      <c r="D1159" s="87">
        <v>2025</v>
      </c>
      <c r="E1159" s="88" t="s">
        <v>43</v>
      </c>
      <c r="F1159" s="88" t="s">
        <v>151</v>
      </c>
      <c r="G1159" s="89" t="s">
        <v>44</v>
      </c>
      <c r="H1159" s="89" t="s">
        <v>44</v>
      </c>
      <c r="I1159" s="89" t="s">
        <v>44</v>
      </c>
      <c r="J1159" s="89" t="s">
        <v>44</v>
      </c>
      <c r="K1159" s="90">
        <v>35383291</v>
      </c>
    </row>
    <row r="1160" ht="15.75" customHeight="1" spans="1:11">
      <c r="A1160" s="87">
        <v>1159</v>
      </c>
      <c r="B1160" s="88" t="s">
        <v>46</v>
      </c>
      <c r="C1160" s="88" t="s">
        <v>140</v>
      </c>
      <c r="D1160" s="87">
        <v>2025</v>
      </c>
      <c r="E1160" s="88" t="s">
        <v>43</v>
      </c>
      <c r="F1160" s="88" t="s">
        <v>152</v>
      </c>
      <c r="G1160" s="89" t="s">
        <v>44</v>
      </c>
      <c r="H1160" s="89" t="s">
        <v>44</v>
      </c>
      <c r="I1160" s="89" t="s">
        <v>44</v>
      </c>
      <c r="J1160" s="89" t="s">
        <v>44</v>
      </c>
      <c r="K1160" s="90">
        <v>827066</v>
      </c>
    </row>
    <row r="1161" ht="15.75" customHeight="1" spans="1:11">
      <c r="A1161" s="87">
        <v>1160</v>
      </c>
      <c r="B1161" s="88" t="s">
        <v>46</v>
      </c>
      <c r="C1161" s="88" t="s">
        <v>140</v>
      </c>
      <c r="D1161" s="87">
        <v>2026</v>
      </c>
      <c r="E1161" s="88" t="s">
        <v>31</v>
      </c>
      <c r="F1161" s="88" t="s">
        <v>150</v>
      </c>
      <c r="G1161" s="89" t="s">
        <v>44</v>
      </c>
      <c r="H1161" s="89" t="s">
        <v>44</v>
      </c>
      <c r="I1161" s="89" t="s">
        <v>44</v>
      </c>
      <c r="J1161" s="89" t="s">
        <v>44</v>
      </c>
      <c r="K1161" s="90">
        <v>211912</v>
      </c>
    </row>
    <row r="1162" ht="15.75" customHeight="1" spans="1:11">
      <c r="A1162" s="87">
        <v>1161</v>
      </c>
      <c r="B1162" s="88" t="s">
        <v>46</v>
      </c>
      <c r="C1162" s="88" t="s">
        <v>140</v>
      </c>
      <c r="D1162" s="87">
        <v>2026</v>
      </c>
      <c r="E1162" s="88" t="s">
        <v>31</v>
      </c>
      <c r="F1162" s="88" t="s">
        <v>151</v>
      </c>
      <c r="G1162" s="89" t="s">
        <v>44</v>
      </c>
      <c r="H1162" s="89" t="s">
        <v>44</v>
      </c>
      <c r="I1162" s="89" t="s">
        <v>44</v>
      </c>
      <c r="J1162" s="89" t="s">
        <v>44</v>
      </c>
      <c r="K1162" s="90">
        <v>31723965</v>
      </c>
    </row>
    <row r="1163" ht="15.75" customHeight="1" spans="1:11">
      <c r="A1163" s="87">
        <v>1162</v>
      </c>
      <c r="B1163" s="88" t="s">
        <v>46</v>
      </c>
      <c r="C1163" s="88" t="s">
        <v>140</v>
      </c>
      <c r="D1163" s="87">
        <v>2026</v>
      </c>
      <c r="E1163" s="88" t="s">
        <v>31</v>
      </c>
      <c r="F1163" s="88" t="s">
        <v>152</v>
      </c>
      <c r="G1163" s="89" t="s">
        <v>44</v>
      </c>
      <c r="H1163" s="89" t="s">
        <v>44</v>
      </c>
      <c r="I1163" s="89" t="s">
        <v>44</v>
      </c>
      <c r="J1163" s="89" t="s">
        <v>44</v>
      </c>
      <c r="K1163" s="90">
        <v>1112158</v>
      </c>
    </row>
    <row r="1164" ht="15.75" customHeight="1" spans="1:11">
      <c r="A1164" s="87">
        <v>1163</v>
      </c>
      <c r="B1164" s="88" t="s">
        <v>46</v>
      </c>
      <c r="C1164" s="88" t="s">
        <v>140</v>
      </c>
      <c r="D1164" s="87">
        <v>2026</v>
      </c>
      <c r="E1164" s="88" t="s">
        <v>33</v>
      </c>
      <c r="F1164" s="88" t="s">
        <v>151</v>
      </c>
      <c r="G1164" s="89" t="s">
        <v>44</v>
      </c>
      <c r="H1164" s="89" t="s">
        <v>44</v>
      </c>
      <c r="I1164" s="89" t="s">
        <v>44</v>
      </c>
      <c r="J1164" s="89" t="s">
        <v>44</v>
      </c>
      <c r="K1164" s="90">
        <v>20440393</v>
      </c>
    </row>
    <row r="1165" ht="15.75" customHeight="1" spans="1:11">
      <c r="A1165" s="87">
        <v>1164</v>
      </c>
      <c r="B1165" s="88" t="s">
        <v>46</v>
      </c>
      <c r="C1165" s="88" t="s">
        <v>140</v>
      </c>
      <c r="D1165" s="87">
        <v>2026</v>
      </c>
      <c r="E1165" s="88" t="s">
        <v>33</v>
      </c>
      <c r="F1165" s="88" t="s">
        <v>152</v>
      </c>
      <c r="G1165" s="89" t="s">
        <v>44</v>
      </c>
      <c r="H1165" s="89" t="s">
        <v>44</v>
      </c>
      <c r="I1165" s="89" t="s">
        <v>44</v>
      </c>
      <c r="J1165" s="89" t="s">
        <v>44</v>
      </c>
      <c r="K1165" s="90">
        <v>704092</v>
      </c>
    </row>
    <row r="1166" ht="15.75" customHeight="1" spans="1:11">
      <c r="A1166" s="87">
        <v>1165</v>
      </c>
      <c r="B1166" s="88" t="s">
        <v>46</v>
      </c>
      <c r="C1166" s="88" t="s">
        <v>140</v>
      </c>
      <c r="D1166" s="87">
        <v>2026</v>
      </c>
      <c r="E1166" s="88" t="s">
        <v>33</v>
      </c>
      <c r="F1166" s="88" t="s">
        <v>150</v>
      </c>
      <c r="G1166" s="89" t="s">
        <v>44</v>
      </c>
      <c r="H1166" s="89" t="s">
        <v>44</v>
      </c>
      <c r="I1166" s="89" t="s">
        <v>44</v>
      </c>
      <c r="J1166" s="89" t="s">
        <v>44</v>
      </c>
      <c r="K1166" s="90">
        <v>35574</v>
      </c>
    </row>
    <row r="1167" ht="15.75" customHeight="1" spans="1:11">
      <c r="A1167" s="87">
        <v>1166</v>
      </c>
      <c r="B1167" s="88" t="s">
        <v>46</v>
      </c>
      <c r="C1167" s="88" t="s">
        <v>140</v>
      </c>
      <c r="D1167" s="87">
        <v>2026</v>
      </c>
      <c r="E1167" s="88" t="s">
        <v>34</v>
      </c>
      <c r="F1167" s="88" t="s">
        <v>149</v>
      </c>
      <c r="G1167" s="89" t="s">
        <v>44</v>
      </c>
      <c r="H1167" s="89">
        <v>1</v>
      </c>
      <c r="I1167" s="90">
        <v>43081</v>
      </c>
      <c r="J1167" s="89">
        <v>1</v>
      </c>
      <c r="K1167" s="90">
        <v>2326</v>
      </c>
    </row>
    <row r="1168" ht="15.75" customHeight="1" spans="1:11">
      <c r="A1168" s="87">
        <v>1167</v>
      </c>
      <c r="B1168" s="88" t="s">
        <v>46</v>
      </c>
      <c r="C1168" s="88" t="s">
        <v>140</v>
      </c>
      <c r="D1168" s="87">
        <v>2026</v>
      </c>
      <c r="E1168" s="88" t="s">
        <v>34</v>
      </c>
      <c r="F1168" s="88" t="s">
        <v>152</v>
      </c>
      <c r="G1168" s="89" t="s">
        <v>44</v>
      </c>
      <c r="H1168" s="89" t="s">
        <v>44</v>
      </c>
      <c r="I1168" s="89" t="s">
        <v>44</v>
      </c>
      <c r="J1168" s="89" t="s">
        <v>44</v>
      </c>
      <c r="K1168" s="90">
        <v>1693972</v>
      </c>
    </row>
    <row r="1169" ht="15.75" customHeight="1" spans="1:11">
      <c r="A1169" s="87">
        <v>1168</v>
      </c>
      <c r="B1169" s="88" t="s">
        <v>46</v>
      </c>
      <c r="C1169" s="88" t="s">
        <v>140</v>
      </c>
      <c r="D1169" s="87">
        <v>2026</v>
      </c>
      <c r="E1169" s="88" t="s">
        <v>34</v>
      </c>
      <c r="F1169" s="88" t="s">
        <v>150</v>
      </c>
      <c r="G1169" s="89" t="s">
        <v>44</v>
      </c>
      <c r="H1169" s="89" t="s">
        <v>44</v>
      </c>
      <c r="I1169" s="89" t="s">
        <v>44</v>
      </c>
      <c r="J1169" s="89" t="s">
        <v>44</v>
      </c>
      <c r="K1169" s="90">
        <v>90856</v>
      </c>
    </row>
    <row r="1170" ht="15.75" customHeight="1" spans="1:11">
      <c r="A1170" s="87">
        <v>1169</v>
      </c>
      <c r="B1170" s="88" t="s">
        <v>46</v>
      </c>
      <c r="C1170" s="88" t="s">
        <v>140</v>
      </c>
      <c r="D1170" s="87">
        <v>2026</v>
      </c>
      <c r="E1170" s="88" t="s">
        <v>34</v>
      </c>
      <c r="F1170" s="88" t="s">
        <v>151</v>
      </c>
      <c r="G1170" s="89" t="s">
        <v>44</v>
      </c>
      <c r="H1170" s="89" t="s">
        <v>44</v>
      </c>
      <c r="I1170" s="89" t="s">
        <v>44</v>
      </c>
      <c r="J1170" s="89" t="s">
        <v>44</v>
      </c>
      <c r="K1170" s="90">
        <v>59887814</v>
      </c>
    </row>
    <row r="1171" ht="15.75" customHeight="1" spans="1:11">
      <c r="A1171" s="87">
        <v>1170</v>
      </c>
      <c r="B1171" s="88" t="s">
        <v>53</v>
      </c>
      <c r="C1171" s="88" t="s">
        <v>53</v>
      </c>
      <c r="D1171" s="87">
        <v>2024</v>
      </c>
      <c r="E1171" s="88" t="s">
        <v>31</v>
      </c>
      <c r="F1171" s="88" t="s">
        <v>150</v>
      </c>
      <c r="G1171" s="89" t="s">
        <v>44</v>
      </c>
      <c r="H1171" s="89" t="s">
        <v>44</v>
      </c>
      <c r="I1171" s="89" t="s">
        <v>44</v>
      </c>
      <c r="J1171" s="89" t="s">
        <v>44</v>
      </c>
      <c r="K1171" s="90">
        <v>118685</v>
      </c>
    </row>
    <row r="1172" ht="15.75" customHeight="1" spans="1:11">
      <c r="A1172" s="87">
        <v>1171</v>
      </c>
      <c r="B1172" s="88" t="s">
        <v>53</v>
      </c>
      <c r="C1172" s="88" t="s">
        <v>53</v>
      </c>
      <c r="D1172" s="87">
        <v>2024</v>
      </c>
      <c r="E1172" s="88" t="s">
        <v>31</v>
      </c>
      <c r="F1172" s="88" t="s">
        <v>151</v>
      </c>
      <c r="G1172" s="89" t="s">
        <v>44</v>
      </c>
      <c r="H1172" s="89" t="s">
        <v>44</v>
      </c>
      <c r="I1172" s="89" t="s">
        <v>44</v>
      </c>
      <c r="J1172" s="89" t="s">
        <v>44</v>
      </c>
      <c r="K1172" s="90">
        <v>22928733</v>
      </c>
    </row>
    <row r="1173" ht="15.75" customHeight="1" spans="1:11">
      <c r="A1173" s="87">
        <v>1172</v>
      </c>
      <c r="B1173" s="88" t="s">
        <v>53</v>
      </c>
      <c r="C1173" s="88" t="s">
        <v>53</v>
      </c>
      <c r="D1173" s="87">
        <v>2024</v>
      </c>
      <c r="E1173" s="88" t="s">
        <v>31</v>
      </c>
      <c r="F1173" s="88" t="s">
        <v>152</v>
      </c>
      <c r="G1173" s="89" t="s">
        <v>44</v>
      </c>
      <c r="H1173" s="89" t="s">
        <v>44</v>
      </c>
      <c r="I1173" s="89" t="s">
        <v>44</v>
      </c>
      <c r="J1173" s="89" t="s">
        <v>44</v>
      </c>
      <c r="K1173" s="90">
        <v>781044</v>
      </c>
    </row>
    <row r="1174" ht="15.75" customHeight="1" spans="1:11">
      <c r="A1174" s="87">
        <v>1173</v>
      </c>
      <c r="B1174" s="88" t="s">
        <v>53</v>
      </c>
      <c r="C1174" s="88" t="s">
        <v>53</v>
      </c>
      <c r="D1174" s="87">
        <v>2024</v>
      </c>
      <c r="E1174" s="88" t="s">
        <v>33</v>
      </c>
      <c r="F1174" s="88" t="s">
        <v>150</v>
      </c>
      <c r="G1174" s="89" t="s">
        <v>44</v>
      </c>
      <c r="H1174" s="89" t="s">
        <v>44</v>
      </c>
      <c r="I1174" s="89" t="s">
        <v>44</v>
      </c>
      <c r="J1174" s="89" t="s">
        <v>44</v>
      </c>
      <c r="K1174" s="90">
        <v>145873</v>
      </c>
    </row>
    <row r="1175" ht="15.75" customHeight="1" spans="1:11">
      <c r="A1175" s="87">
        <v>1174</v>
      </c>
      <c r="B1175" s="88" t="s">
        <v>53</v>
      </c>
      <c r="C1175" s="88" t="s">
        <v>53</v>
      </c>
      <c r="D1175" s="87">
        <v>2024</v>
      </c>
      <c r="E1175" s="88" t="s">
        <v>33</v>
      </c>
      <c r="F1175" s="88" t="s">
        <v>151</v>
      </c>
      <c r="G1175" s="89" t="s">
        <v>44</v>
      </c>
      <c r="H1175" s="89" t="s">
        <v>44</v>
      </c>
      <c r="I1175" s="89" t="s">
        <v>44</v>
      </c>
      <c r="J1175" s="89" t="s">
        <v>44</v>
      </c>
      <c r="K1175" s="90">
        <v>21686096</v>
      </c>
    </row>
    <row r="1176" ht="15.75" customHeight="1" spans="1:11">
      <c r="A1176" s="87">
        <v>1175</v>
      </c>
      <c r="B1176" s="88" t="s">
        <v>53</v>
      </c>
      <c r="C1176" s="88" t="s">
        <v>53</v>
      </c>
      <c r="D1176" s="87">
        <v>2024</v>
      </c>
      <c r="E1176" s="88" t="s">
        <v>33</v>
      </c>
      <c r="F1176" s="88" t="s">
        <v>152</v>
      </c>
      <c r="G1176" s="89" t="s">
        <v>44</v>
      </c>
      <c r="H1176" s="89" t="s">
        <v>44</v>
      </c>
      <c r="I1176" s="89" t="s">
        <v>44</v>
      </c>
      <c r="J1176" s="89" t="s">
        <v>44</v>
      </c>
      <c r="K1176" s="90">
        <v>835421</v>
      </c>
    </row>
    <row r="1177" ht="15.75" customHeight="1" spans="1:11">
      <c r="A1177" s="87">
        <v>1176</v>
      </c>
      <c r="B1177" s="88" t="s">
        <v>53</v>
      </c>
      <c r="C1177" s="88" t="s">
        <v>53</v>
      </c>
      <c r="D1177" s="87">
        <v>2024</v>
      </c>
      <c r="E1177" s="88" t="s">
        <v>34</v>
      </c>
      <c r="F1177" s="88" t="s">
        <v>150</v>
      </c>
      <c r="G1177" s="89" t="s">
        <v>44</v>
      </c>
      <c r="H1177" s="89" t="s">
        <v>44</v>
      </c>
      <c r="I1177" s="89" t="s">
        <v>44</v>
      </c>
      <c r="J1177" s="89" t="s">
        <v>44</v>
      </c>
      <c r="K1177" s="90">
        <v>372331</v>
      </c>
    </row>
    <row r="1178" ht="15.75" customHeight="1" spans="1:11">
      <c r="A1178" s="87">
        <v>1177</v>
      </c>
      <c r="B1178" s="88" t="s">
        <v>53</v>
      </c>
      <c r="C1178" s="88" t="s">
        <v>53</v>
      </c>
      <c r="D1178" s="87">
        <v>2024</v>
      </c>
      <c r="E1178" s="88" t="s">
        <v>34</v>
      </c>
      <c r="F1178" s="88" t="s">
        <v>151</v>
      </c>
      <c r="G1178" s="89" t="s">
        <v>44</v>
      </c>
      <c r="H1178" s="89" t="s">
        <v>44</v>
      </c>
      <c r="I1178" s="89" t="s">
        <v>44</v>
      </c>
      <c r="J1178" s="89" t="s">
        <v>44</v>
      </c>
      <c r="K1178" s="90">
        <v>41091381</v>
      </c>
    </row>
    <row r="1179" ht="15.75" customHeight="1" spans="1:11">
      <c r="A1179" s="87">
        <v>1178</v>
      </c>
      <c r="B1179" s="88" t="s">
        <v>53</v>
      </c>
      <c r="C1179" s="88" t="s">
        <v>53</v>
      </c>
      <c r="D1179" s="87">
        <v>2024</v>
      </c>
      <c r="E1179" s="88" t="s">
        <v>34</v>
      </c>
      <c r="F1179" s="88" t="s">
        <v>152</v>
      </c>
      <c r="G1179" s="89" t="s">
        <v>44</v>
      </c>
      <c r="H1179" s="89" t="s">
        <v>44</v>
      </c>
      <c r="I1179" s="89" t="s">
        <v>44</v>
      </c>
      <c r="J1179" s="89" t="s">
        <v>44</v>
      </c>
      <c r="K1179" s="90">
        <v>1303800</v>
      </c>
    </row>
    <row r="1180" ht="15.75" customHeight="1" spans="1:11">
      <c r="A1180" s="87">
        <v>1179</v>
      </c>
      <c r="B1180" s="88" t="s">
        <v>53</v>
      </c>
      <c r="C1180" s="88" t="s">
        <v>53</v>
      </c>
      <c r="D1180" s="87">
        <v>2024</v>
      </c>
      <c r="E1180" s="88" t="s">
        <v>35</v>
      </c>
      <c r="F1180" s="88" t="s">
        <v>150</v>
      </c>
      <c r="G1180" s="89" t="s">
        <v>44</v>
      </c>
      <c r="H1180" s="89" t="s">
        <v>44</v>
      </c>
      <c r="I1180" s="89" t="s">
        <v>44</v>
      </c>
      <c r="J1180" s="89" t="s">
        <v>44</v>
      </c>
      <c r="K1180" s="90">
        <v>350649</v>
      </c>
    </row>
    <row r="1181" ht="15.75" customHeight="1" spans="1:11">
      <c r="A1181" s="87">
        <v>1180</v>
      </c>
      <c r="B1181" s="88" t="s">
        <v>53</v>
      </c>
      <c r="C1181" s="88" t="s">
        <v>53</v>
      </c>
      <c r="D1181" s="87">
        <v>2024</v>
      </c>
      <c r="E1181" s="88" t="s">
        <v>35</v>
      </c>
      <c r="F1181" s="88" t="s">
        <v>151</v>
      </c>
      <c r="G1181" s="89" t="s">
        <v>44</v>
      </c>
      <c r="H1181" s="89" t="s">
        <v>44</v>
      </c>
      <c r="I1181" s="89" t="s">
        <v>44</v>
      </c>
      <c r="J1181" s="89" t="s">
        <v>44</v>
      </c>
      <c r="K1181" s="90">
        <v>22884831</v>
      </c>
    </row>
    <row r="1182" ht="15.75" customHeight="1" spans="1:11">
      <c r="A1182" s="87">
        <v>1181</v>
      </c>
      <c r="B1182" s="88" t="s">
        <v>53</v>
      </c>
      <c r="C1182" s="88" t="s">
        <v>53</v>
      </c>
      <c r="D1182" s="87">
        <v>2024</v>
      </c>
      <c r="E1182" s="88" t="s">
        <v>35</v>
      </c>
      <c r="F1182" s="88" t="s">
        <v>152</v>
      </c>
      <c r="G1182" s="89" t="s">
        <v>44</v>
      </c>
      <c r="H1182" s="89" t="s">
        <v>44</v>
      </c>
      <c r="I1182" s="89" t="s">
        <v>44</v>
      </c>
      <c r="J1182" s="89" t="s">
        <v>44</v>
      </c>
      <c r="K1182" s="90">
        <v>835901</v>
      </c>
    </row>
    <row r="1183" ht="15.75" customHeight="1" spans="1:11">
      <c r="A1183" s="87">
        <v>1182</v>
      </c>
      <c r="B1183" s="88" t="s">
        <v>53</v>
      </c>
      <c r="C1183" s="88" t="s">
        <v>53</v>
      </c>
      <c r="D1183" s="87">
        <v>2024</v>
      </c>
      <c r="E1183" s="88" t="s">
        <v>36</v>
      </c>
      <c r="F1183" s="88" t="s">
        <v>150</v>
      </c>
      <c r="G1183" s="89" t="s">
        <v>44</v>
      </c>
      <c r="H1183" s="89" t="s">
        <v>44</v>
      </c>
      <c r="I1183" s="89" t="s">
        <v>44</v>
      </c>
      <c r="J1183" s="89" t="s">
        <v>44</v>
      </c>
      <c r="K1183" s="90">
        <v>134419</v>
      </c>
    </row>
    <row r="1184" ht="15.75" customHeight="1" spans="1:11">
      <c r="A1184" s="87">
        <v>1183</v>
      </c>
      <c r="B1184" s="88" t="s">
        <v>53</v>
      </c>
      <c r="C1184" s="88" t="s">
        <v>53</v>
      </c>
      <c r="D1184" s="87">
        <v>2024</v>
      </c>
      <c r="E1184" s="88" t="s">
        <v>36</v>
      </c>
      <c r="F1184" s="88" t="s">
        <v>151</v>
      </c>
      <c r="G1184" s="89" t="s">
        <v>44</v>
      </c>
      <c r="H1184" s="89" t="s">
        <v>44</v>
      </c>
      <c r="I1184" s="89" t="s">
        <v>44</v>
      </c>
      <c r="J1184" s="89" t="s">
        <v>44</v>
      </c>
      <c r="K1184" s="90">
        <v>13507914</v>
      </c>
    </row>
    <row r="1185" ht="15.75" customHeight="1" spans="1:11">
      <c r="A1185" s="87">
        <v>1184</v>
      </c>
      <c r="B1185" s="88" t="s">
        <v>53</v>
      </c>
      <c r="C1185" s="88" t="s">
        <v>53</v>
      </c>
      <c r="D1185" s="87">
        <v>2024</v>
      </c>
      <c r="E1185" s="88" t="s">
        <v>36</v>
      </c>
      <c r="F1185" s="88" t="s">
        <v>152</v>
      </c>
      <c r="G1185" s="89" t="s">
        <v>44</v>
      </c>
      <c r="H1185" s="89" t="s">
        <v>44</v>
      </c>
      <c r="I1185" s="89" t="s">
        <v>44</v>
      </c>
      <c r="J1185" s="89" t="s">
        <v>44</v>
      </c>
      <c r="K1185" s="90">
        <v>572182</v>
      </c>
    </row>
    <row r="1186" ht="15.75" customHeight="1" spans="1:11">
      <c r="A1186" s="87">
        <v>1185</v>
      </c>
      <c r="B1186" s="88" t="s">
        <v>53</v>
      </c>
      <c r="C1186" s="88" t="s">
        <v>53</v>
      </c>
      <c r="D1186" s="87">
        <v>2024</v>
      </c>
      <c r="E1186" s="88" t="s">
        <v>37</v>
      </c>
      <c r="F1186" s="88" t="s">
        <v>150</v>
      </c>
      <c r="G1186" s="89" t="s">
        <v>44</v>
      </c>
      <c r="H1186" s="89" t="s">
        <v>44</v>
      </c>
      <c r="I1186" s="89" t="s">
        <v>44</v>
      </c>
      <c r="J1186" s="89" t="s">
        <v>44</v>
      </c>
      <c r="K1186" s="90">
        <v>231912</v>
      </c>
    </row>
    <row r="1187" ht="15.75" customHeight="1" spans="1:11">
      <c r="A1187" s="87">
        <v>1186</v>
      </c>
      <c r="B1187" s="88" t="s">
        <v>53</v>
      </c>
      <c r="C1187" s="88" t="s">
        <v>53</v>
      </c>
      <c r="D1187" s="87">
        <v>2024</v>
      </c>
      <c r="E1187" s="88" t="s">
        <v>37</v>
      </c>
      <c r="F1187" s="88" t="s">
        <v>151</v>
      </c>
      <c r="G1187" s="89" t="s">
        <v>44</v>
      </c>
      <c r="H1187" s="89" t="s">
        <v>44</v>
      </c>
      <c r="I1187" s="89" t="s">
        <v>44</v>
      </c>
      <c r="J1187" s="89" t="s">
        <v>44</v>
      </c>
      <c r="K1187" s="90">
        <v>9492050</v>
      </c>
    </row>
    <row r="1188" ht="15.75" customHeight="1" spans="1:11">
      <c r="A1188" s="87">
        <v>1187</v>
      </c>
      <c r="B1188" s="88" t="s">
        <v>53</v>
      </c>
      <c r="C1188" s="88" t="s">
        <v>53</v>
      </c>
      <c r="D1188" s="87">
        <v>2024</v>
      </c>
      <c r="E1188" s="88" t="s">
        <v>37</v>
      </c>
      <c r="F1188" s="88" t="s">
        <v>152</v>
      </c>
      <c r="G1188" s="89" t="s">
        <v>44</v>
      </c>
      <c r="H1188" s="89" t="s">
        <v>44</v>
      </c>
      <c r="I1188" s="89" t="s">
        <v>44</v>
      </c>
      <c r="J1188" s="89" t="s">
        <v>44</v>
      </c>
      <c r="K1188" s="90">
        <v>297562</v>
      </c>
    </row>
    <row r="1189" ht="15.75" customHeight="1" spans="1:11">
      <c r="A1189" s="87">
        <v>1188</v>
      </c>
      <c r="B1189" s="88" t="s">
        <v>53</v>
      </c>
      <c r="C1189" s="88" t="s">
        <v>53</v>
      </c>
      <c r="D1189" s="87">
        <v>2024</v>
      </c>
      <c r="E1189" s="88" t="s">
        <v>38</v>
      </c>
      <c r="F1189" s="88" t="s">
        <v>150</v>
      </c>
      <c r="G1189" s="89" t="s">
        <v>44</v>
      </c>
      <c r="H1189" s="89" t="s">
        <v>44</v>
      </c>
      <c r="I1189" s="89" t="s">
        <v>44</v>
      </c>
      <c r="J1189" s="89" t="s">
        <v>44</v>
      </c>
      <c r="K1189" s="90">
        <v>289581</v>
      </c>
    </row>
    <row r="1190" ht="15.75" customHeight="1" spans="1:11">
      <c r="A1190" s="87">
        <v>1189</v>
      </c>
      <c r="B1190" s="88" t="s">
        <v>53</v>
      </c>
      <c r="C1190" s="88" t="s">
        <v>53</v>
      </c>
      <c r="D1190" s="87">
        <v>2024</v>
      </c>
      <c r="E1190" s="88" t="s">
        <v>38</v>
      </c>
      <c r="F1190" s="88" t="s">
        <v>151</v>
      </c>
      <c r="G1190" s="89" t="s">
        <v>44</v>
      </c>
      <c r="H1190" s="89" t="s">
        <v>44</v>
      </c>
      <c r="I1190" s="89" t="s">
        <v>44</v>
      </c>
      <c r="J1190" s="89" t="s">
        <v>44</v>
      </c>
      <c r="K1190" s="90">
        <v>13740749</v>
      </c>
    </row>
    <row r="1191" ht="15.75" customHeight="1" spans="1:11">
      <c r="A1191" s="87">
        <v>1190</v>
      </c>
      <c r="B1191" s="88" t="s">
        <v>53</v>
      </c>
      <c r="C1191" s="88" t="s">
        <v>53</v>
      </c>
      <c r="D1191" s="87">
        <v>2024</v>
      </c>
      <c r="E1191" s="88" t="s">
        <v>38</v>
      </c>
      <c r="F1191" s="88" t="s">
        <v>152</v>
      </c>
      <c r="G1191" s="89" t="s">
        <v>44</v>
      </c>
      <c r="H1191" s="89" t="s">
        <v>44</v>
      </c>
      <c r="I1191" s="89" t="s">
        <v>44</v>
      </c>
      <c r="J1191" s="89" t="s">
        <v>44</v>
      </c>
      <c r="K1191" s="90">
        <v>413147</v>
      </c>
    </row>
    <row r="1192" ht="15.75" customHeight="1" spans="1:11">
      <c r="A1192" s="87">
        <v>1191</v>
      </c>
      <c r="B1192" s="88" t="s">
        <v>53</v>
      </c>
      <c r="C1192" s="88" t="s">
        <v>53</v>
      </c>
      <c r="D1192" s="87">
        <v>2024</v>
      </c>
      <c r="E1192" s="88" t="s">
        <v>39</v>
      </c>
      <c r="F1192" s="88" t="s">
        <v>150</v>
      </c>
      <c r="G1192" s="89" t="s">
        <v>44</v>
      </c>
      <c r="H1192" s="89" t="s">
        <v>44</v>
      </c>
      <c r="I1192" s="89" t="s">
        <v>44</v>
      </c>
      <c r="J1192" s="89" t="s">
        <v>44</v>
      </c>
      <c r="K1192" s="90">
        <v>162592</v>
      </c>
    </row>
    <row r="1193" ht="15.75" customHeight="1" spans="1:11">
      <c r="A1193" s="87">
        <v>1192</v>
      </c>
      <c r="B1193" s="88" t="s">
        <v>53</v>
      </c>
      <c r="C1193" s="88" t="s">
        <v>53</v>
      </c>
      <c r="D1193" s="87">
        <v>2024</v>
      </c>
      <c r="E1193" s="88" t="s">
        <v>39</v>
      </c>
      <c r="F1193" s="88" t="s">
        <v>153</v>
      </c>
      <c r="G1193" s="90">
        <v>13981</v>
      </c>
      <c r="H1193" s="89">
        <v>1</v>
      </c>
      <c r="I1193" s="89" t="s">
        <v>44</v>
      </c>
      <c r="J1193" s="89" t="s">
        <v>44</v>
      </c>
      <c r="K1193" s="90">
        <v>13981</v>
      </c>
    </row>
    <row r="1194" ht="15.75" customHeight="1" spans="1:11">
      <c r="A1194" s="87">
        <v>1193</v>
      </c>
      <c r="B1194" s="88" t="s">
        <v>53</v>
      </c>
      <c r="C1194" s="88" t="s">
        <v>53</v>
      </c>
      <c r="D1194" s="87">
        <v>2024</v>
      </c>
      <c r="E1194" s="88" t="s">
        <v>39</v>
      </c>
      <c r="F1194" s="88" t="s">
        <v>151</v>
      </c>
      <c r="G1194" s="89" t="s">
        <v>44</v>
      </c>
      <c r="H1194" s="89" t="s">
        <v>44</v>
      </c>
      <c r="I1194" s="89" t="s">
        <v>44</v>
      </c>
      <c r="J1194" s="89" t="s">
        <v>44</v>
      </c>
      <c r="K1194" s="90">
        <v>13765443</v>
      </c>
    </row>
    <row r="1195" ht="15.75" customHeight="1" spans="1:11">
      <c r="A1195" s="87">
        <v>1194</v>
      </c>
      <c r="B1195" s="88" t="s">
        <v>53</v>
      </c>
      <c r="C1195" s="88" t="s">
        <v>53</v>
      </c>
      <c r="D1195" s="87">
        <v>2024</v>
      </c>
      <c r="E1195" s="88" t="s">
        <v>39</v>
      </c>
      <c r="F1195" s="88" t="s">
        <v>152</v>
      </c>
      <c r="G1195" s="89" t="s">
        <v>44</v>
      </c>
      <c r="H1195" s="89" t="s">
        <v>44</v>
      </c>
      <c r="I1195" s="89" t="s">
        <v>44</v>
      </c>
      <c r="J1195" s="89" t="s">
        <v>44</v>
      </c>
      <c r="K1195" s="90">
        <v>592470</v>
      </c>
    </row>
    <row r="1196" ht="15.75" customHeight="1" spans="1:11">
      <c r="A1196" s="87">
        <v>1195</v>
      </c>
      <c r="B1196" s="88" t="s">
        <v>53</v>
      </c>
      <c r="C1196" s="88" t="s">
        <v>53</v>
      </c>
      <c r="D1196" s="87">
        <v>2024</v>
      </c>
      <c r="E1196" s="88" t="s">
        <v>40</v>
      </c>
      <c r="F1196" s="88" t="s">
        <v>150</v>
      </c>
      <c r="G1196" s="89" t="s">
        <v>44</v>
      </c>
      <c r="H1196" s="89" t="s">
        <v>44</v>
      </c>
      <c r="I1196" s="89" t="s">
        <v>44</v>
      </c>
      <c r="J1196" s="89" t="s">
        <v>44</v>
      </c>
      <c r="K1196" s="90">
        <v>171955</v>
      </c>
    </row>
    <row r="1197" ht="15.75" customHeight="1" spans="1:11">
      <c r="A1197" s="87">
        <v>1196</v>
      </c>
      <c r="B1197" s="88" t="s">
        <v>53</v>
      </c>
      <c r="C1197" s="88" t="s">
        <v>53</v>
      </c>
      <c r="D1197" s="87">
        <v>2024</v>
      </c>
      <c r="E1197" s="88" t="s">
        <v>40</v>
      </c>
      <c r="F1197" s="88" t="s">
        <v>151</v>
      </c>
      <c r="G1197" s="89" t="s">
        <v>44</v>
      </c>
      <c r="H1197" s="89" t="s">
        <v>44</v>
      </c>
      <c r="I1197" s="89" t="s">
        <v>44</v>
      </c>
      <c r="J1197" s="89" t="s">
        <v>44</v>
      </c>
      <c r="K1197" s="90">
        <v>16963840</v>
      </c>
    </row>
    <row r="1198" ht="15.75" customHeight="1" spans="1:11">
      <c r="A1198" s="87">
        <v>1197</v>
      </c>
      <c r="B1198" s="88" t="s">
        <v>53</v>
      </c>
      <c r="C1198" s="88" t="s">
        <v>53</v>
      </c>
      <c r="D1198" s="87">
        <v>2024</v>
      </c>
      <c r="E1198" s="88" t="s">
        <v>40</v>
      </c>
      <c r="F1198" s="88" t="s">
        <v>152</v>
      </c>
      <c r="G1198" s="89" t="s">
        <v>44</v>
      </c>
      <c r="H1198" s="89" t="s">
        <v>44</v>
      </c>
      <c r="I1198" s="89" t="s">
        <v>44</v>
      </c>
      <c r="J1198" s="89" t="s">
        <v>44</v>
      </c>
      <c r="K1198" s="90">
        <v>592396</v>
      </c>
    </row>
    <row r="1199" ht="15.75" customHeight="1" spans="1:11">
      <c r="A1199" s="87">
        <v>1198</v>
      </c>
      <c r="B1199" s="88" t="s">
        <v>53</v>
      </c>
      <c r="C1199" s="88" t="s">
        <v>53</v>
      </c>
      <c r="D1199" s="87">
        <v>2024</v>
      </c>
      <c r="E1199" s="88" t="s">
        <v>41</v>
      </c>
      <c r="F1199" s="88" t="s">
        <v>149</v>
      </c>
      <c r="G1199" s="89" t="s">
        <v>44</v>
      </c>
      <c r="H1199" s="89">
        <v>2</v>
      </c>
      <c r="I1199" s="90">
        <v>272488</v>
      </c>
      <c r="J1199" s="89">
        <v>2</v>
      </c>
      <c r="K1199" s="90">
        <v>14714</v>
      </c>
    </row>
    <row r="1200" ht="15.75" customHeight="1" spans="1:11">
      <c r="A1200" s="87">
        <v>1199</v>
      </c>
      <c r="B1200" s="88" t="s">
        <v>53</v>
      </c>
      <c r="C1200" s="88" t="s">
        <v>53</v>
      </c>
      <c r="D1200" s="87">
        <v>2024</v>
      </c>
      <c r="E1200" s="88" t="s">
        <v>41</v>
      </c>
      <c r="F1200" s="88" t="s">
        <v>150</v>
      </c>
      <c r="G1200" s="89" t="s">
        <v>44</v>
      </c>
      <c r="H1200" s="89" t="s">
        <v>44</v>
      </c>
      <c r="I1200" s="89" t="s">
        <v>44</v>
      </c>
      <c r="J1200" s="89" t="s">
        <v>44</v>
      </c>
      <c r="K1200" s="90">
        <v>177941</v>
      </c>
    </row>
    <row r="1201" ht="15.75" customHeight="1" spans="1:11">
      <c r="A1201" s="87">
        <v>1200</v>
      </c>
      <c r="B1201" s="88" t="s">
        <v>53</v>
      </c>
      <c r="C1201" s="88" t="s">
        <v>53</v>
      </c>
      <c r="D1201" s="87">
        <v>2024</v>
      </c>
      <c r="E1201" s="88" t="s">
        <v>41</v>
      </c>
      <c r="F1201" s="88" t="s">
        <v>151</v>
      </c>
      <c r="G1201" s="89" t="s">
        <v>44</v>
      </c>
      <c r="H1201" s="89" t="s">
        <v>44</v>
      </c>
      <c r="I1201" s="89" t="s">
        <v>44</v>
      </c>
      <c r="J1201" s="89" t="s">
        <v>44</v>
      </c>
      <c r="K1201" s="90">
        <v>13036800</v>
      </c>
    </row>
    <row r="1202" ht="15.75" customHeight="1" spans="1:11">
      <c r="A1202" s="87">
        <v>1201</v>
      </c>
      <c r="B1202" s="88" t="s">
        <v>53</v>
      </c>
      <c r="C1202" s="88" t="s">
        <v>53</v>
      </c>
      <c r="D1202" s="87">
        <v>2024</v>
      </c>
      <c r="E1202" s="88" t="s">
        <v>41</v>
      </c>
      <c r="F1202" s="88" t="s">
        <v>152</v>
      </c>
      <c r="G1202" s="89" t="s">
        <v>44</v>
      </c>
      <c r="H1202" s="89" t="s">
        <v>44</v>
      </c>
      <c r="I1202" s="89" t="s">
        <v>44</v>
      </c>
      <c r="J1202" s="89" t="s">
        <v>44</v>
      </c>
      <c r="K1202" s="90">
        <v>445260</v>
      </c>
    </row>
    <row r="1203" ht="15.75" customHeight="1" spans="1:11">
      <c r="A1203" s="87">
        <v>1202</v>
      </c>
      <c r="B1203" s="88" t="s">
        <v>53</v>
      </c>
      <c r="C1203" s="88" t="s">
        <v>53</v>
      </c>
      <c r="D1203" s="87">
        <v>2024</v>
      </c>
      <c r="E1203" s="88" t="s">
        <v>42</v>
      </c>
      <c r="F1203" s="88" t="s">
        <v>149</v>
      </c>
      <c r="G1203" s="89" t="s">
        <v>44</v>
      </c>
      <c r="H1203" s="89">
        <v>45</v>
      </c>
      <c r="I1203" s="90">
        <v>2297553</v>
      </c>
      <c r="J1203" s="89">
        <v>12</v>
      </c>
      <c r="K1203" s="90">
        <v>117348</v>
      </c>
    </row>
    <row r="1204" ht="15.75" customHeight="1" spans="1:11">
      <c r="A1204" s="87">
        <v>1203</v>
      </c>
      <c r="B1204" s="88" t="s">
        <v>53</v>
      </c>
      <c r="C1204" s="88" t="s">
        <v>53</v>
      </c>
      <c r="D1204" s="87">
        <v>2024</v>
      </c>
      <c r="E1204" s="88" t="s">
        <v>42</v>
      </c>
      <c r="F1204" s="88" t="s">
        <v>150</v>
      </c>
      <c r="G1204" s="89" t="s">
        <v>44</v>
      </c>
      <c r="H1204" s="89" t="s">
        <v>44</v>
      </c>
      <c r="I1204" s="89" t="s">
        <v>44</v>
      </c>
      <c r="J1204" s="89" t="s">
        <v>44</v>
      </c>
      <c r="K1204" s="90">
        <v>153862</v>
      </c>
    </row>
    <row r="1205" ht="15.75" customHeight="1" spans="1:11">
      <c r="A1205" s="87">
        <v>1204</v>
      </c>
      <c r="B1205" s="88" t="s">
        <v>53</v>
      </c>
      <c r="C1205" s="88" t="s">
        <v>53</v>
      </c>
      <c r="D1205" s="87">
        <v>2024</v>
      </c>
      <c r="E1205" s="88" t="s">
        <v>42</v>
      </c>
      <c r="F1205" s="88" t="s">
        <v>151</v>
      </c>
      <c r="G1205" s="89" t="s">
        <v>44</v>
      </c>
      <c r="H1205" s="89" t="s">
        <v>44</v>
      </c>
      <c r="I1205" s="89" t="s">
        <v>44</v>
      </c>
      <c r="J1205" s="89" t="s">
        <v>44</v>
      </c>
      <c r="K1205" s="90">
        <v>12121278</v>
      </c>
    </row>
    <row r="1206" ht="15.75" customHeight="1" spans="1:11">
      <c r="A1206" s="87">
        <v>1205</v>
      </c>
      <c r="B1206" s="88" t="s">
        <v>53</v>
      </c>
      <c r="C1206" s="88" t="s">
        <v>53</v>
      </c>
      <c r="D1206" s="87">
        <v>2024</v>
      </c>
      <c r="E1206" s="88" t="s">
        <v>42</v>
      </c>
      <c r="F1206" s="88" t="s">
        <v>152</v>
      </c>
      <c r="G1206" s="89" t="s">
        <v>44</v>
      </c>
      <c r="H1206" s="89" t="s">
        <v>44</v>
      </c>
      <c r="I1206" s="89" t="s">
        <v>44</v>
      </c>
      <c r="J1206" s="89" t="s">
        <v>44</v>
      </c>
      <c r="K1206" s="90">
        <v>408356</v>
      </c>
    </row>
    <row r="1207" ht="15.75" customHeight="1" spans="1:11">
      <c r="A1207" s="87">
        <v>1206</v>
      </c>
      <c r="B1207" s="88" t="s">
        <v>53</v>
      </c>
      <c r="C1207" s="88" t="s">
        <v>53</v>
      </c>
      <c r="D1207" s="87">
        <v>2024</v>
      </c>
      <c r="E1207" s="88" t="s">
        <v>43</v>
      </c>
      <c r="F1207" s="88" t="s">
        <v>149</v>
      </c>
      <c r="G1207" s="89" t="s">
        <v>44</v>
      </c>
      <c r="H1207" s="89">
        <v>12</v>
      </c>
      <c r="I1207" s="90">
        <v>316386</v>
      </c>
      <c r="J1207" s="89">
        <v>8</v>
      </c>
      <c r="K1207" s="90">
        <v>12881</v>
      </c>
    </row>
    <row r="1208" ht="15.75" customHeight="1" spans="1:11">
      <c r="A1208" s="87">
        <v>1207</v>
      </c>
      <c r="B1208" s="88" t="s">
        <v>53</v>
      </c>
      <c r="C1208" s="88" t="s">
        <v>53</v>
      </c>
      <c r="D1208" s="87">
        <v>2024</v>
      </c>
      <c r="E1208" s="88" t="s">
        <v>43</v>
      </c>
      <c r="F1208" s="88" t="s">
        <v>150</v>
      </c>
      <c r="G1208" s="89" t="s">
        <v>44</v>
      </c>
      <c r="H1208" s="89" t="s">
        <v>44</v>
      </c>
      <c r="I1208" s="89" t="s">
        <v>44</v>
      </c>
      <c r="J1208" s="89" t="s">
        <v>44</v>
      </c>
      <c r="K1208" s="90">
        <v>103927</v>
      </c>
    </row>
    <row r="1209" ht="15.75" customHeight="1" spans="1:11">
      <c r="A1209" s="87">
        <v>1208</v>
      </c>
      <c r="B1209" s="88" t="s">
        <v>53</v>
      </c>
      <c r="C1209" s="88" t="s">
        <v>53</v>
      </c>
      <c r="D1209" s="87">
        <v>2024</v>
      </c>
      <c r="E1209" s="88" t="s">
        <v>43</v>
      </c>
      <c r="F1209" s="88" t="s">
        <v>157</v>
      </c>
      <c r="G1209" s="90">
        <v>13784</v>
      </c>
      <c r="H1209" s="89">
        <v>1</v>
      </c>
      <c r="I1209" s="89" t="s">
        <v>44</v>
      </c>
      <c r="J1209" s="89" t="s">
        <v>44</v>
      </c>
      <c r="K1209" s="90">
        <v>13784</v>
      </c>
    </row>
    <row r="1210" ht="15.75" customHeight="1" spans="1:11">
      <c r="A1210" s="87">
        <v>1209</v>
      </c>
      <c r="B1210" s="88" t="s">
        <v>53</v>
      </c>
      <c r="C1210" s="88" t="s">
        <v>53</v>
      </c>
      <c r="D1210" s="87">
        <v>2024</v>
      </c>
      <c r="E1210" s="88" t="s">
        <v>43</v>
      </c>
      <c r="F1210" s="88" t="s">
        <v>153</v>
      </c>
      <c r="G1210" s="90">
        <v>13989</v>
      </c>
      <c r="H1210" s="89">
        <v>1</v>
      </c>
      <c r="I1210" s="89" t="s">
        <v>44</v>
      </c>
      <c r="J1210" s="89" t="s">
        <v>44</v>
      </c>
      <c r="K1210" s="90">
        <v>13989</v>
      </c>
    </row>
    <row r="1211" ht="15.75" customHeight="1" spans="1:11">
      <c r="A1211" s="87">
        <v>1210</v>
      </c>
      <c r="B1211" s="88" t="s">
        <v>53</v>
      </c>
      <c r="C1211" s="88" t="s">
        <v>53</v>
      </c>
      <c r="D1211" s="87">
        <v>2024</v>
      </c>
      <c r="E1211" s="88" t="s">
        <v>43</v>
      </c>
      <c r="F1211" s="88" t="s">
        <v>151</v>
      </c>
      <c r="G1211" s="89" t="s">
        <v>44</v>
      </c>
      <c r="H1211" s="89" t="s">
        <v>44</v>
      </c>
      <c r="I1211" s="89" t="s">
        <v>44</v>
      </c>
      <c r="J1211" s="89" t="s">
        <v>44</v>
      </c>
      <c r="K1211" s="90">
        <v>12911302</v>
      </c>
    </row>
    <row r="1212" ht="15.75" customHeight="1" spans="1:11">
      <c r="A1212" s="87">
        <v>1211</v>
      </c>
      <c r="B1212" s="88" t="s">
        <v>53</v>
      </c>
      <c r="C1212" s="88" t="s">
        <v>53</v>
      </c>
      <c r="D1212" s="87">
        <v>2024</v>
      </c>
      <c r="E1212" s="88" t="s">
        <v>43</v>
      </c>
      <c r="F1212" s="88" t="s">
        <v>152</v>
      </c>
      <c r="G1212" s="89" t="s">
        <v>44</v>
      </c>
      <c r="H1212" s="89" t="s">
        <v>44</v>
      </c>
      <c r="I1212" s="89" t="s">
        <v>44</v>
      </c>
      <c r="J1212" s="89" t="s">
        <v>44</v>
      </c>
      <c r="K1212" s="90">
        <v>449252</v>
      </c>
    </row>
    <row r="1213" ht="15.75" customHeight="1" spans="1:11">
      <c r="A1213" s="87">
        <v>1212</v>
      </c>
      <c r="B1213" s="88" t="s">
        <v>53</v>
      </c>
      <c r="C1213" s="88" t="s">
        <v>53</v>
      </c>
      <c r="D1213" s="87">
        <v>2025</v>
      </c>
      <c r="E1213" s="88" t="s">
        <v>31</v>
      </c>
      <c r="F1213" s="88" t="s">
        <v>149</v>
      </c>
      <c r="G1213" s="89" t="s">
        <v>44</v>
      </c>
      <c r="H1213" s="89">
        <v>49</v>
      </c>
      <c r="I1213" s="90">
        <v>2340492</v>
      </c>
      <c r="J1213" s="89">
        <v>38</v>
      </c>
      <c r="K1213" s="90">
        <v>103820</v>
      </c>
    </row>
    <row r="1214" ht="15.75" customHeight="1" spans="1:11">
      <c r="A1214" s="87">
        <v>1213</v>
      </c>
      <c r="B1214" s="88" t="s">
        <v>53</v>
      </c>
      <c r="C1214" s="88" t="s">
        <v>53</v>
      </c>
      <c r="D1214" s="87">
        <v>2025</v>
      </c>
      <c r="E1214" s="88" t="s">
        <v>31</v>
      </c>
      <c r="F1214" s="88" t="s">
        <v>150</v>
      </c>
      <c r="G1214" s="89" t="s">
        <v>44</v>
      </c>
      <c r="H1214" s="89" t="s">
        <v>44</v>
      </c>
      <c r="I1214" s="89" t="s">
        <v>44</v>
      </c>
      <c r="J1214" s="89" t="s">
        <v>44</v>
      </c>
      <c r="K1214" s="90">
        <v>72709</v>
      </c>
    </row>
    <row r="1215" ht="15.75" customHeight="1" spans="1:11">
      <c r="A1215" s="87">
        <v>1214</v>
      </c>
      <c r="B1215" s="88" t="s">
        <v>53</v>
      </c>
      <c r="C1215" s="88" t="s">
        <v>53</v>
      </c>
      <c r="D1215" s="87">
        <v>2025</v>
      </c>
      <c r="E1215" s="88" t="s">
        <v>31</v>
      </c>
      <c r="F1215" s="88" t="s">
        <v>151</v>
      </c>
      <c r="G1215" s="89" t="s">
        <v>44</v>
      </c>
      <c r="H1215" s="89" t="s">
        <v>44</v>
      </c>
      <c r="I1215" s="89" t="s">
        <v>44</v>
      </c>
      <c r="J1215" s="89" t="s">
        <v>44</v>
      </c>
      <c r="K1215" s="90">
        <v>9187550</v>
      </c>
    </row>
    <row r="1216" ht="15.75" customHeight="1" spans="1:11">
      <c r="A1216" s="87">
        <v>1215</v>
      </c>
      <c r="B1216" s="88" t="s">
        <v>53</v>
      </c>
      <c r="C1216" s="88" t="s">
        <v>53</v>
      </c>
      <c r="D1216" s="87">
        <v>2025</v>
      </c>
      <c r="E1216" s="88" t="s">
        <v>31</v>
      </c>
      <c r="F1216" s="88" t="s">
        <v>152</v>
      </c>
      <c r="G1216" s="89" t="s">
        <v>44</v>
      </c>
      <c r="H1216" s="89" t="s">
        <v>44</v>
      </c>
      <c r="I1216" s="89" t="s">
        <v>44</v>
      </c>
      <c r="J1216" s="89" t="s">
        <v>44</v>
      </c>
      <c r="K1216" s="90">
        <v>527242</v>
      </c>
    </row>
    <row r="1217" ht="15.75" customHeight="1" spans="1:11">
      <c r="A1217" s="87">
        <v>1216</v>
      </c>
      <c r="B1217" s="88" t="s">
        <v>53</v>
      </c>
      <c r="C1217" s="88" t="s">
        <v>53</v>
      </c>
      <c r="D1217" s="87">
        <v>2025</v>
      </c>
      <c r="E1217" s="88" t="s">
        <v>33</v>
      </c>
      <c r="F1217" s="88" t="s">
        <v>150</v>
      </c>
      <c r="G1217" s="89" t="s">
        <v>44</v>
      </c>
      <c r="H1217" s="89" t="s">
        <v>44</v>
      </c>
      <c r="I1217" s="89" t="s">
        <v>44</v>
      </c>
      <c r="J1217" s="89" t="s">
        <v>44</v>
      </c>
      <c r="K1217" s="90">
        <v>91062</v>
      </c>
    </row>
    <row r="1218" ht="15.75" customHeight="1" spans="1:11">
      <c r="A1218" s="87">
        <v>1217</v>
      </c>
      <c r="B1218" s="88" t="s">
        <v>53</v>
      </c>
      <c r="C1218" s="88" t="s">
        <v>53</v>
      </c>
      <c r="D1218" s="87">
        <v>2025</v>
      </c>
      <c r="E1218" s="88" t="s">
        <v>33</v>
      </c>
      <c r="F1218" s="88" t="s">
        <v>151</v>
      </c>
      <c r="G1218" s="89" t="s">
        <v>44</v>
      </c>
      <c r="H1218" s="89" t="s">
        <v>44</v>
      </c>
      <c r="I1218" s="89" t="s">
        <v>44</v>
      </c>
      <c r="J1218" s="89" t="s">
        <v>44</v>
      </c>
      <c r="K1218" s="90">
        <v>7409072</v>
      </c>
    </row>
    <row r="1219" ht="15.75" customHeight="1" spans="1:11">
      <c r="A1219" s="87">
        <v>1218</v>
      </c>
      <c r="B1219" s="88" t="s">
        <v>53</v>
      </c>
      <c r="C1219" s="88" t="s">
        <v>53</v>
      </c>
      <c r="D1219" s="87">
        <v>2025</v>
      </c>
      <c r="E1219" s="88" t="s">
        <v>33</v>
      </c>
      <c r="F1219" s="88" t="s">
        <v>152</v>
      </c>
      <c r="G1219" s="89" t="s">
        <v>44</v>
      </c>
      <c r="H1219" s="89" t="s">
        <v>44</v>
      </c>
      <c r="I1219" s="89" t="s">
        <v>44</v>
      </c>
      <c r="J1219" s="89" t="s">
        <v>44</v>
      </c>
      <c r="K1219" s="90">
        <v>325470</v>
      </c>
    </row>
    <row r="1220" ht="15.75" customHeight="1" spans="1:11">
      <c r="A1220" s="87">
        <v>1219</v>
      </c>
      <c r="B1220" s="88" t="s">
        <v>53</v>
      </c>
      <c r="C1220" s="88" t="s">
        <v>53</v>
      </c>
      <c r="D1220" s="87">
        <v>2025</v>
      </c>
      <c r="E1220" s="88" t="s">
        <v>34</v>
      </c>
      <c r="F1220" s="88" t="s">
        <v>149</v>
      </c>
      <c r="G1220" s="89" t="s">
        <v>44</v>
      </c>
      <c r="H1220" s="89">
        <v>14</v>
      </c>
      <c r="I1220" s="90">
        <v>1793857</v>
      </c>
      <c r="J1220" s="89">
        <v>13</v>
      </c>
      <c r="K1220" s="90">
        <v>77758</v>
      </c>
    </row>
    <row r="1221" ht="15.75" customHeight="1" spans="1:11">
      <c r="A1221" s="87">
        <v>1220</v>
      </c>
      <c r="B1221" s="88" t="s">
        <v>53</v>
      </c>
      <c r="C1221" s="88" t="s">
        <v>53</v>
      </c>
      <c r="D1221" s="87">
        <v>2025</v>
      </c>
      <c r="E1221" s="88" t="s">
        <v>34</v>
      </c>
      <c r="F1221" s="88" t="s">
        <v>150</v>
      </c>
      <c r="G1221" s="89" t="s">
        <v>44</v>
      </c>
      <c r="H1221" s="89" t="s">
        <v>44</v>
      </c>
      <c r="I1221" s="89" t="s">
        <v>44</v>
      </c>
      <c r="J1221" s="89" t="s">
        <v>44</v>
      </c>
      <c r="K1221" s="90">
        <v>136706</v>
      </c>
    </row>
    <row r="1222" ht="15.75" customHeight="1" spans="1:11">
      <c r="A1222" s="87">
        <v>1221</v>
      </c>
      <c r="B1222" s="88" t="s">
        <v>53</v>
      </c>
      <c r="C1222" s="88" t="s">
        <v>53</v>
      </c>
      <c r="D1222" s="87">
        <v>2025</v>
      </c>
      <c r="E1222" s="88" t="s">
        <v>34</v>
      </c>
      <c r="F1222" s="88" t="s">
        <v>151</v>
      </c>
      <c r="G1222" s="89" t="s">
        <v>44</v>
      </c>
      <c r="H1222" s="89" t="s">
        <v>44</v>
      </c>
      <c r="I1222" s="89" t="s">
        <v>44</v>
      </c>
      <c r="J1222" s="89" t="s">
        <v>44</v>
      </c>
      <c r="K1222" s="90">
        <v>7936480</v>
      </c>
    </row>
    <row r="1223" ht="15.75" customHeight="1" spans="1:11">
      <c r="A1223" s="87">
        <v>1222</v>
      </c>
      <c r="B1223" s="88" t="s">
        <v>53</v>
      </c>
      <c r="C1223" s="88" t="s">
        <v>53</v>
      </c>
      <c r="D1223" s="87">
        <v>2025</v>
      </c>
      <c r="E1223" s="88" t="s">
        <v>34</v>
      </c>
      <c r="F1223" s="88" t="s">
        <v>152</v>
      </c>
      <c r="G1223" s="89" t="s">
        <v>44</v>
      </c>
      <c r="H1223" s="89" t="s">
        <v>44</v>
      </c>
      <c r="I1223" s="89" t="s">
        <v>44</v>
      </c>
      <c r="J1223" s="89" t="s">
        <v>44</v>
      </c>
      <c r="K1223" s="90">
        <v>296508</v>
      </c>
    </row>
    <row r="1224" ht="15.75" customHeight="1" spans="1:11">
      <c r="A1224" s="87">
        <v>1223</v>
      </c>
      <c r="B1224" s="88" t="s">
        <v>53</v>
      </c>
      <c r="C1224" s="88" t="s">
        <v>53</v>
      </c>
      <c r="D1224" s="87">
        <v>2025</v>
      </c>
      <c r="E1224" s="88" t="s">
        <v>35</v>
      </c>
      <c r="F1224" s="88" t="s">
        <v>149</v>
      </c>
      <c r="G1224" s="89" t="s">
        <v>44</v>
      </c>
      <c r="H1224" s="89">
        <v>35</v>
      </c>
      <c r="I1224" s="90">
        <v>2138069</v>
      </c>
      <c r="J1224" s="89">
        <v>26</v>
      </c>
      <c r="K1224" s="90">
        <v>96793</v>
      </c>
    </row>
    <row r="1225" ht="15.75" customHeight="1" spans="1:11">
      <c r="A1225" s="87">
        <v>1224</v>
      </c>
      <c r="B1225" s="88" t="s">
        <v>53</v>
      </c>
      <c r="C1225" s="88" t="s">
        <v>53</v>
      </c>
      <c r="D1225" s="87">
        <v>2025</v>
      </c>
      <c r="E1225" s="88" t="s">
        <v>35</v>
      </c>
      <c r="F1225" s="88" t="s">
        <v>150</v>
      </c>
      <c r="G1225" s="89" t="s">
        <v>44</v>
      </c>
      <c r="H1225" s="89" t="s">
        <v>44</v>
      </c>
      <c r="I1225" s="89" t="s">
        <v>44</v>
      </c>
      <c r="J1225" s="89" t="s">
        <v>44</v>
      </c>
      <c r="K1225" s="90">
        <v>85440</v>
      </c>
    </row>
    <row r="1226" ht="15.75" customHeight="1" spans="1:11">
      <c r="A1226" s="87">
        <v>1225</v>
      </c>
      <c r="B1226" s="88" t="s">
        <v>53</v>
      </c>
      <c r="C1226" s="88" t="s">
        <v>53</v>
      </c>
      <c r="D1226" s="87">
        <v>2025</v>
      </c>
      <c r="E1226" s="88" t="s">
        <v>35</v>
      </c>
      <c r="F1226" s="88" t="s">
        <v>151</v>
      </c>
      <c r="G1226" s="89" t="s">
        <v>44</v>
      </c>
      <c r="H1226" s="89" t="s">
        <v>44</v>
      </c>
      <c r="I1226" s="89" t="s">
        <v>44</v>
      </c>
      <c r="J1226" s="89" t="s">
        <v>44</v>
      </c>
      <c r="K1226" s="90">
        <v>9946793</v>
      </c>
    </row>
    <row r="1227" ht="15.75" customHeight="1" spans="1:11">
      <c r="A1227" s="87">
        <v>1226</v>
      </c>
      <c r="B1227" s="88" t="s">
        <v>53</v>
      </c>
      <c r="C1227" s="88" t="s">
        <v>53</v>
      </c>
      <c r="D1227" s="87">
        <v>2025</v>
      </c>
      <c r="E1227" s="88" t="s">
        <v>35</v>
      </c>
      <c r="F1227" s="88" t="s">
        <v>152</v>
      </c>
      <c r="G1227" s="89" t="s">
        <v>44</v>
      </c>
      <c r="H1227" s="89" t="s">
        <v>44</v>
      </c>
      <c r="I1227" s="89" t="s">
        <v>44</v>
      </c>
      <c r="J1227" s="89" t="s">
        <v>44</v>
      </c>
      <c r="K1227" s="90">
        <v>427616</v>
      </c>
    </row>
    <row r="1228" ht="15.75" customHeight="1" spans="1:11">
      <c r="A1228" s="87">
        <v>1227</v>
      </c>
      <c r="B1228" s="88" t="s">
        <v>53</v>
      </c>
      <c r="C1228" s="88" t="s">
        <v>53</v>
      </c>
      <c r="D1228" s="87">
        <v>2025</v>
      </c>
      <c r="E1228" s="88" t="s">
        <v>36</v>
      </c>
      <c r="F1228" s="88" t="s">
        <v>149</v>
      </c>
      <c r="G1228" s="89" t="s">
        <v>44</v>
      </c>
      <c r="H1228" s="89">
        <v>127</v>
      </c>
      <c r="I1228" s="90">
        <v>7768654</v>
      </c>
      <c r="J1228" s="89">
        <v>101</v>
      </c>
      <c r="K1228" s="90">
        <v>299076</v>
      </c>
    </row>
    <row r="1229" ht="15.75" customHeight="1" spans="1:11">
      <c r="A1229" s="87">
        <v>1228</v>
      </c>
      <c r="B1229" s="88" t="s">
        <v>53</v>
      </c>
      <c r="C1229" s="88" t="s">
        <v>53</v>
      </c>
      <c r="D1229" s="87">
        <v>2025</v>
      </c>
      <c r="E1229" s="88" t="s">
        <v>36</v>
      </c>
      <c r="F1229" s="88" t="s">
        <v>150</v>
      </c>
      <c r="G1229" s="89" t="s">
        <v>44</v>
      </c>
      <c r="H1229" s="89" t="s">
        <v>44</v>
      </c>
      <c r="I1229" s="89" t="s">
        <v>44</v>
      </c>
      <c r="J1229" s="89" t="s">
        <v>44</v>
      </c>
      <c r="K1229" s="90">
        <v>117427</v>
      </c>
    </row>
    <row r="1230" ht="15.75" customHeight="1" spans="1:11">
      <c r="A1230" s="87">
        <v>1229</v>
      </c>
      <c r="B1230" s="88" t="s">
        <v>53</v>
      </c>
      <c r="C1230" s="88" t="s">
        <v>53</v>
      </c>
      <c r="D1230" s="87">
        <v>2025</v>
      </c>
      <c r="E1230" s="88" t="s">
        <v>36</v>
      </c>
      <c r="F1230" s="88" t="s">
        <v>151</v>
      </c>
      <c r="G1230" s="89" t="s">
        <v>44</v>
      </c>
      <c r="H1230" s="89" t="s">
        <v>44</v>
      </c>
      <c r="I1230" s="89" t="s">
        <v>44</v>
      </c>
      <c r="J1230" s="89" t="s">
        <v>44</v>
      </c>
      <c r="K1230" s="90">
        <v>26201367</v>
      </c>
    </row>
    <row r="1231" ht="15.75" customHeight="1" spans="1:11">
      <c r="A1231" s="87">
        <v>1230</v>
      </c>
      <c r="B1231" s="88" t="s">
        <v>53</v>
      </c>
      <c r="C1231" s="88" t="s">
        <v>53</v>
      </c>
      <c r="D1231" s="87">
        <v>2025</v>
      </c>
      <c r="E1231" s="88" t="s">
        <v>36</v>
      </c>
      <c r="F1231" s="88" t="s">
        <v>152</v>
      </c>
      <c r="G1231" s="89" t="s">
        <v>44</v>
      </c>
      <c r="H1231" s="89" t="s">
        <v>44</v>
      </c>
      <c r="I1231" s="89" t="s">
        <v>44</v>
      </c>
      <c r="J1231" s="89" t="s">
        <v>44</v>
      </c>
      <c r="K1231" s="90">
        <v>1059473</v>
      </c>
    </row>
    <row r="1232" ht="15.75" customHeight="1" spans="1:11">
      <c r="A1232" s="87">
        <v>1231</v>
      </c>
      <c r="B1232" s="88" t="s">
        <v>53</v>
      </c>
      <c r="C1232" s="88" t="s">
        <v>53</v>
      </c>
      <c r="D1232" s="87">
        <v>2025</v>
      </c>
      <c r="E1232" s="88" t="s">
        <v>37</v>
      </c>
      <c r="F1232" s="88" t="s">
        <v>149</v>
      </c>
      <c r="G1232" s="89" t="s">
        <v>44</v>
      </c>
      <c r="H1232" s="89">
        <v>55</v>
      </c>
      <c r="I1232" s="90">
        <v>3807763</v>
      </c>
      <c r="J1232" s="89">
        <v>46</v>
      </c>
      <c r="K1232" s="90">
        <v>174194</v>
      </c>
    </row>
    <row r="1233" ht="15.75" customHeight="1" spans="1:11">
      <c r="A1233" s="87">
        <v>1232</v>
      </c>
      <c r="B1233" s="88" t="s">
        <v>53</v>
      </c>
      <c r="C1233" s="88" t="s">
        <v>53</v>
      </c>
      <c r="D1233" s="87">
        <v>2025</v>
      </c>
      <c r="E1233" s="88" t="s">
        <v>37</v>
      </c>
      <c r="F1233" s="88" t="s">
        <v>150</v>
      </c>
      <c r="G1233" s="89" t="s">
        <v>44</v>
      </c>
      <c r="H1233" s="89" t="s">
        <v>44</v>
      </c>
      <c r="I1233" s="89" t="s">
        <v>44</v>
      </c>
      <c r="J1233" s="89" t="s">
        <v>44</v>
      </c>
      <c r="K1233" s="90">
        <v>148007</v>
      </c>
    </row>
    <row r="1234" ht="15.75" customHeight="1" spans="1:11">
      <c r="A1234" s="87">
        <v>1233</v>
      </c>
      <c r="B1234" s="88" t="s">
        <v>53</v>
      </c>
      <c r="C1234" s="88" t="s">
        <v>53</v>
      </c>
      <c r="D1234" s="87">
        <v>2025</v>
      </c>
      <c r="E1234" s="88" t="s">
        <v>37</v>
      </c>
      <c r="F1234" s="88" t="s">
        <v>151</v>
      </c>
      <c r="G1234" s="89" t="s">
        <v>44</v>
      </c>
      <c r="H1234" s="89" t="s">
        <v>44</v>
      </c>
      <c r="I1234" s="89" t="s">
        <v>44</v>
      </c>
      <c r="J1234" s="89" t="s">
        <v>44</v>
      </c>
      <c r="K1234" s="90">
        <v>28972462</v>
      </c>
    </row>
    <row r="1235" ht="15.75" customHeight="1" spans="1:11">
      <c r="A1235" s="87">
        <v>1234</v>
      </c>
      <c r="B1235" s="88" t="s">
        <v>53</v>
      </c>
      <c r="C1235" s="88" t="s">
        <v>53</v>
      </c>
      <c r="D1235" s="87">
        <v>2025</v>
      </c>
      <c r="E1235" s="88" t="s">
        <v>37</v>
      </c>
      <c r="F1235" s="88" t="s">
        <v>152</v>
      </c>
      <c r="G1235" s="89" t="s">
        <v>44</v>
      </c>
      <c r="H1235" s="89" t="s">
        <v>44</v>
      </c>
      <c r="I1235" s="89" t="s">
        <v>44</v>
      </c>
      <c r="J1235" s="89" t="s">
        <v>44</v>
      </c>
      <c r="K1235" s="90">
        <v>1424061</v>
      </c>
    </row>
    <row r="1236" ht="15.75" customHeight="1" spans="1:11">
      <c r="A1236" s="87">
        <v>1235</v>
      </c>
      <c r="B1236" s="88" t="s">
        <v>53</v>
      </c>
      <c r="C1236" s="88" t="s">
        <v>53</v>
      </c>
      <c r="D1236" s="87">
        <v>2025</v>
      </c>
      <c r="E1236" s="88" t="s">
        <v>38</v>
      </c>
      <c r="F1236" s="88" t="s">
        <v>149</v>
      </c>
      <c r="G1236" s="89" t="s">
        <v>44</v>
      </c>
      <c r="H1236" s="89">
        <v>199</v>
      </c>
      <c r="I1236" s="90">
        <v>12336233</v>
      </c>
      <c r="J1236" s="89">
        <v>174</v>
      </c>
      <c r="K1236" s="90">
        <v>592534</v>
      </c>
    </row>
    <row r="1237" ht="15.75" customHeight="1" spans="1:11">
      <c r="A1237" s="87">
        <v>1236</v>
      </c>
      <c r="B1237" s="88" t="s">
        <v>53</v>
      </c>
      <c r="C1237" s="88" t="s">
        <v>53</v>
      </c>
      <c r="D1237" s="87">
        <v>2025</v>
      </c>
      <c r="E1237" s="88" t="s">
        <v>38</v>
      </c>
      <c r="F1237" s="88" t="s">
        <v>150</v>
      </c>
      <c r="G1237" s="89" t="s">
        <v>44</v>
      </c>
      <c r="H1237" s="89" t="s">
        <v>44</v>
      </c>
      <c r="I1237" s="89" t="s">
        <v>44</v>
      </c>
      <c r="J1237" s="89" t="s">
        <v>44</v>
      </c>
      <c r="K1237" s="90">
        <v>162446</v>
      </c>
    </row>
    <row r="1238" ht="15.75" customHeight="1" spans="1:11">
      <c r="A1238" s="87">
        <v>1237</v>
      </c>
      <c r="B1238" s="88" t="s">
        <v>53</v>
      </c>
      <c r="C1238" s="88" t="s">
        <v>53</v>
      </c>
      <c r="D1238" s="87">
        <v>2025</v>
      </c>
      <c r="E1238" s="88" t="s">
        <v>38</v>
      </c>
      <c r="F1238" s="88" t="s">
        <v>151</v>
      </c>
      <c r="G1238" s="89" t="s">
        <v>44</v>
      </c>
      <c r="H1238" s="89" t="s">
        <v>44</v>
      </c>
      <c r="I1238" s="89" t="s">
        <v>44</v>
      </c>
      <c r="J1238" s="89" t="s">
        <v>44</v>
      </c>
      <c r="K1238" s="90">
        <v>51822622</v>
      </c>
    </row>
    <row r="1239" ht="15.75" customHeight="1" spans="1:11">
      <c r="A1239" s="87">
        <v>1238</v>
      </c>
      <c r="B1239" s="88" t="s">
        <v>53</v>
      </c>
      <c r="C1239" s="88" t="s">
        <v>53</v>
      </c>
      <c r="D1239" s="87">
        <v>2025</v>
      </c>
      <c r="E1239" s="88" t="s">
        <v>38</v>
      </c>
      <c r="F1239" s="88" t="s">
        <v>152</v>
      </c>
      <c r="G1239" s="89" t="s">
        <v>44</v>
      </c>
      <c r="H1239" s="89" t="s">
        <v>44</v>
      </c>
      <c r="I1239" s="89" t="s">
        <v>44</v>
      </c>
      <c r="J1239" s="89" t="s">
        <v>44</v>
      </c>
      <c r="K1239" s="90">
        <v>2344400</v>
      </c>
    </row>
    <row r="1240" ht="15.75" customHeight="1" spans="1:11">
      <c r="A1240" s="87">
        <v>1239</v>
      </c>
      <c r="B1240" s="88" t="s">
        <v>53</v>
      </c>
      <c r="C1240" s="88" t="s">
        <v>53</v>
      </c>
      <c r="D1240" s="87">
        <v>2025</v>
      </c>
      <c r="E1240" s="88" t="s">
        <v>39</v>
      </c>
      <c r="F1240" s="88" t="s">
        <v>149</v>
      </c>
      <c r="G1240" s="89" t="s">
        <v>44</v>
      </c>
      <c r="H1240" s="89">
        <v>152</v>
      </c>
      <c r="I1240" s="90">
        <v>7138572</v>
      </c>
      <c r="J1240" s="89">
        <v>142</v>
      </c>
      <c r="K1240" s="90">
        <v>295189</v>
      </c>
    </row>
    <row r="1241" ht="15.75" customHeight="1" spans="1:11">
      <c r="A1241" s="87">
        <v>1240</v>
      </c>
      <c r="B1241" s="88" t="s">
        <v>53</v>
      </c>
      <c r="C1241" s="88" t="s">
        <v>53</v>
      </c>
      <c r="D1241" s="87">
        <v>2025</v>
      </c>
      <c r="E1241" s="88" t="s">
        <v>39</v>
      </c>
      <c r="F1241" s="88" t="s">
        <v>154</v>
      </c>
      <c r="G1241" s="89" t="s">
        <v>44</v>
      </c>
      <c r="H1241" s="89" t="s">
        <v>44</v>
      </c>
      <c r="I1241" s="89" t="s">
        <v>44</v>
      </c>
      <c r="J1241" s="89" t="s">
        <v>44</v>
      </c>
      <c r="K1241" s="90">
        <v>296965</v>
      </c>
    </row>
    <row r="1242" ht="15.75" customHeight="1" spans="1:11">
      <c r="A1242" s="87">
        <v>1241</v>
      </c>
      <c r="B1242" s="88" t="s">
        <v>53</v>
      </c>
      <c r="C1242" s="88" t="s">
        <v>53</v>
      </c>
      <c r="D1242" s="87">
        <v>2025</v>
      </c>
      <c r="E1242" s="88" t="s">
        <v>39</v>
      </c>
      <c r="F1242" s="88" t="s">
        <v>150</v>
      </c>
      <c r="G1242" s="89" t="s">
        <v>44</v>
      </c>
      <c r="H1242" s="89" t="s">
        <v>44</v>
      </c>
      <c r="I1242" s="89" t="s">
        <v>44</v>
      </c>
      <c r="J1242" s="89" t="s">
        <v>44</v>
      </c>
      <c r="K1242" s="90">
        <v>700616</v>
      </c>
    </row>
    <row r="1243" ht="15.75" customHeight="1" spans="1:11">
      <c r="A1243" s="87">
        <v>1242</v>
      </c>
      <c r="B1243" s="88" t="s">
        <v>53</v>
      </c>
      <c r="C1243" s="88" t="s">
        <v>53</v>
      </c>
      <c r="D1243" s="87">
        <v>2025</v>
      </c>
      <c r="E1243" s="88" t="s">
        <v>39</v>
      </c>
      <c r="F1243" s="88" t="s">
        <v>155</v>
      </c>
      <c r="G1243" s="90">
        <v>48825</v>
      </c>
      <c r="H1243" s="89">
        <v>4</v>
      </c>
      <c r="I1243" s="89" t="s">
        <v>44</v>
      </c>
      <c r="J1243" s="89" t="s">
        <v>44</v>
      </c>
      <c r="K1243" s="90">
        <v>48825</v>
      </c>
    </row>
    <row r="1244" ht="15.75" customHeight="1" spans="1:11">
      <c r="A1244" s="87">
        <v>1243</v>
      </c>
      <c r="B1244" s="88" t="s">
        <v>53</v>
      </c>
      <c r="C1244" s="88" t="s">
        <v>53</v>
      </c>
      <c r="D1244" s="87">
        <v>2025</v>
      </c>
      <c r="E1244" s="88" t="s">
        <v>39</v>
      </c>
      <c r="F1244" s="88" t="s">
        <v>157</v>
      </c>
      <c r="G1244" s="90">
        <v>11664</v>
      </c>
      <c r="H1244" s="89">
        <v>1</v>
      </c>
      <c r="I1244" s="89" t="s">
        <v>44</v>
      </c>
      <c r="J1244" s="89" t="s">
        <v>44</v>
      </c>
      <c r="K1244" s="90">
        <v>11664</v>
      </c>
    </row>
    <row r="1245" ht="15.75" customHeight="1" spans="1:11">
      <c r="A1245" s="87">
        <v>1244</v>
      </c>
      <c r="B1245" s="88" t="s">
        <v>53</v>
      </c>
      <c r="C1245" s="88" t="s">
        <v>53</v>
      </c>
      <c r="D1245" s="87">
        <v>2025</v>
      </c>
      <c r="E1245" s="88" t="s">
        <v>39</v>
      </c>
      <c r="F1245" s="88" t="s">
        <v>151</v>
      </c>
      <c r="G1245" s="89" t="s">
        <v>44</v>
      </c>
      <c r="H1245" s="89" t="s">
        <v>44</v>
      </c>
      <c r="I1245" s="89" t="s">
        <v>44</v>
      </c>
      <c r="J1245" s="89" t="s">
        <v>44</v>
      </c>
      <c r="K1245" s="90">
        <v>74608813</v>
      </c>
    </row>
    <row r="1246" ht="15.75" customHeight="1" spans="1:11">
      <c r="A1246" s="87">
        <v>1245</v>
      </c>
      <c r="B1246" s="88" t="s">
        <v>53</v>
      </c>
      <c r="C1246" s="88" t="s">
        <v>53</v>
      </c>
      <c r="D1246" s="87">
        <v>2025</v>
      </c>
      <c r="E1246" s="88" t="s">
        <v>39</v>
      </c>
      <c r="F1246" s="88" t="s">
        <v>152</v>
      </c>
      <c r="G1246" s="89" t="s">
        <v>44</v>
      </c>
      <c r="H1246" s="89" t="s">
        <v>44</v>
      </c>
      <c r="I1246" s="89" t="s">
        <v>44</v>
      </c>
      <c r="J1246" s="89" t="s">
        <v>44</v>
      </c>
      <c r="K1246" s="90">
        <v>3890516</v>
      </c>
    </row>
    <row r="1247" ht="15.75" customHeight="1" spans="1:11">
      <c r="A1247" s="87">
        <v>1246</v>
      </c>
      <c r="B1247" s="88" t="s">
        <v>53</v>
      </c>
      <c r="C1247" s="88" t="s">
        <v>53</v>
      </c>
      <c r="D1247" s="87">
        <v>2025</v>
      </c>
      <c r="E1247" s="88" t="s">
        <v>40</v>
      </c>
      <c r="F1247" s="88" t="s">
        <v>149</v>
      </c>
      <c r="G1247" s="89" t="s">
        <v>44</v>
      </c>
      <c r="H1247" s="89">
        <v>481</v>
      </c>
      <c r="I1247" s="90">
        <v>30516544</v>
      </c>
      <c r="J1247" s="89">
        <v>395</v>
      </c>
      <c r="K1247" s="90">
        <v>1320780</v>
      </c>
    </row>
    <row r="1248" ht="15.75" customHeight="1" spans="1:11">
      <c r="A1248" s="87">
        <v>1247</v>
      </c>
      <c r="B1248" s="88" t="s">
        <v>53</v>
      </c>
      <c r="C1248" s="88" t="s">
        <v>53</v>
      </c>
      <c r="D1248" s="87">
        <v>2025</v>
      </c>
      <c r="E1248" s="88" t="s">
        <v>40</v>
      </c>
      <c r="F1248" s="88" t="s">
        <v>150</v>
      </c>
      <c r="G1248" s="89" t="s">
        <v>44</v>
      </c>
      <c r="H1248" s="89" t="s">
        <v>44</v>
      </c>
      <c r="I1248" s="89" t="s">
        <v>44</v>
      </c>
      <c r="J1248" s="89" t="s">
        <v>44</v>
      </c>
      <c r="K1248" s="90">
        <v>91344</v>
      </c>
    </row>
    <row r="1249" ht="15.75" customHeight="1" spans="1:11">
      <c r="A1249" s="87">
        <v>1248</v>
      </c>
      <c r="B1249" s="88" t="s">
        <v>53</v>
      </c>
      <c r="C1249" s="88" t="s">
        <v>53</v>
      </c>
      <c r="D1249" s="87">
        <v>2025</v>
      </c>
      <c r="E1249" s="88" t="s">
        <v>40</v>
      </c>
      <c r="F1249" s="88" t="s">
        <v>151</v>
      </c>
      <c r="G1249" s="89" t="s">
        <v>44</v>
      </c>
      <c r="H1249" s="89" t="s">
        <v>44</v>
      </c>
      <c r="I1249" s="89" t="s">
        <v>44</v>
      </c>
      <c r="J1249" s="89" t="s">
        <v>44</v>
      </c>
      <c r="K1249" s="90">
        <v>104739868</v>
      </c>
    </row>
    <row r="1250" ht="15.75" customHeight="1" spans="1:11">
      <c r="A1250" s="87">
        <v>1249</v>
      </c>
      <c r="B1250" s="88" t="s">
        <v>53</v>
      </c>
      <c r="C1250" s="88" t="s">
        <v>53</v>
      </c>
      <c r="D1250" s="87">
        <v>2025</v>
      </c>
      <c r="E1250" s="88" t="s">
        <v>40</v>
      </c>
      <c r="F1250" s="88" t="s">
        <v>152</v>
      </c>
      <c r="G1250" s="89" t="s">
        <v>44</v>
      </c>
      <c r="H1250" s="89" t="s">
        <v>44</v>
      </c>
      <c r="I1250" s="89" t="s">
        <v>44</v>
      </c>
      <c r="J1250" s="89" t="s">
        <v>44</v>
      </c>
      <c r="K1250" s="90">
        <v>5949936</v>
      </c>
    </row>
    <row r="1251" ht="15.75" customHeight="1" spans="1:11">
      <c r="A1251" s="87">
        <v>1250</v>
      </c>
      <c r="B1251" s="88" t="s">
        <v>53</v>
      </c>
      <c r="C1251" s="88" t="s">
        <v>53</v>
      </c>
      <c r="D1251" s="87">
        <v>2025</v>
      </c>
      <c r="E1251" s="88" t="s">
        <v>41</v>
      </c>
      <c r="F1251" s="88" t="s">
        <v>149</v>
      </c>
      <c r="G1251" s="89" t="s">
        <v>44</v>
      </c>
      <c r="H1251" s="89">
        <v>184</v>
      </c>
      <c r="I1251" s="90">
        <v>10985538</v>
      </c>
      <c r="J1251" s="89">
        <v>145</v>
      </c>
      <c r="K1251" s="90">
        <v>428668</v>
      </c>
    </row>
    <row r="1252" ht="15.75" customHeight="1" spans="1:11">
      <c r="A1252" s="87">
        <v>1251</v>
      </c>
      <c r="B1252" s="88" t="s">
        <v>53</v>
      </c>
      <c r="C1252" s="88" t="s">
        <v>53</v>
      </c>
      <c r="D1252" s="87">
        <v>2025</v>
      </c>
      <c r="E1252" s="88" t="s">
        <v>41</v>
      </c>
      <c r="F1252" s="88" t="s">
        <v>150</v>
      </c>
      <c r="G1252" s="89" t="s">
        <v>44</v>
      </c>
      <c r="H1252" s="89" t="s">
        <v>44</v>
      </c>
      <c r="I1252" s="89" t="s">
        <v>44</v>
      </c>
      <c r="J1252" s="89" t="s">
        <v>44</v>
      </c>
      <c r="K1252" s="90">
        <v>66185</v>
      </c>
    </row>
    <row r="1253" ht="15.75" customHeight="1" spans="1:11">
      <c r="A1253" s="87">
        <v>1252</v>
      </c>
      <c r="B1253" s="88" t="s">
        <v>53</v>
      </c>
      <c r="C1253" s="88" t="s">
        <v>53</v>
      </c>
      <c r="D1253" s="87">
        <v>2025</v>
      </c>
      <c r="E1253" s="88" t="s">
        <v>41</v>
      </c>
      <c r="F1253" s="88" t="s">
        <v>155</v>
      </c>
      <c r="G1253" s="90">
        <v>14979</v>
      </c>
      <c r="H1253" s="89">
        <v>1</v>
      </c>
      <c r="I1253" s="89" t="s">
        <v>44</v>
      </c>
      <c r="J1253" s="89" t="s">
        <v>44</v>
      </c>
      <c r="K1253" s="90">
        <v>14979</v>
      </c>
    </row>
    <row r="1254" ht="15.75" customHeight="1" spans="1:11">
      <c r="A1254" s="87">
        <v>1253</v>
      </c>
      <c r="B1254" s="88" t="s">
        <v>53</v>
      </c>
      <c r="C1254" s="88" t="s">
        <v>53</v>
      </c>
      <c r="D1254" s="87">
        <v>2025</v>
      </c>
      <c r="E1254" s="88" t="s">
        <v>41</v>
      </c>
      <c r="F1254" s="88" t="s">
        <v>151</v>
      </c>
      <c r="G1254" s="89" t="s">
        <v>44</v>
      </c>
      <c r="H1254" s="89" t="s">
        <v>44</v>
      </c>
      <c r="I1254" s="89" t="s">
        <v>44</v>
      </c>
      <c r="J1254" s="89" t="s">
        <v>44</v>
      </c>
      <c r="K1254" s="90">
        <v>58723930</v>
      </c>
    </row>
    <row r="1255" ht="15.75" customHeight="1" spans="1:11">
      <c r="A1255" s="87">
        <v>1254</v>
      </c>
      <c r="B1255" s="88" t="s">
        <v>53</v>
      </c>
      <c r="C1255" s="88" t="s">
        <v>53</v>
      </c>
      <c r="D1255" s="87">
        <v>2025</v>
      </c>
      <c r="E1255" s="88" t="s">
        <v>41</v>
      </c>
      <c r="F1255" s="88" t="s">
        <v>152</v>
      </c>
      <c r="G1255" s="89" t="s">
        <v>44</v>
      </c>
      <c r="H1255" s="89" t="s">
        <v>44</v>
      </c>
      <c r="I1255" s="89" t="s">
        <v>44</v>
      </c>
      <c r="J1255" s="89" t="s">
        <v>44</v>
      </c>
      <c r="K1255" s="90">
        <v>3329248</v>
      </c>
    </row>
    <row r="1256" ht="15.75" customHeight="1" spans="1:11">
      <c r="A1256" s="87">
        <v>1255</v>
      </c>
      <c r="B1256" s="88" t="s">
        <v>53</v>
      </c>
      <c r="C1256" s="88" t="s">
        <v>53</v>
      </c>
      <c r="D1256" s="87">
        <v>2025</v>
      </c>
      <c r="E1256" s="88" t="s">
        <v>42</v>
      </c>
      <c r="F1256" s="88" t="s">
        <v>149</v>
      </c>
      <c r="G1256" s="89" t="s">
        <v>44</v>
      </c>
      <c r="H1256" s="89">
        <v>146</v>
      </c>
      <c r="I1256" s="90">
        <v>10282150</v>
      </c>
      <c r="J1256" s="89">
        <v>110</v>
      </c>
      <c r="K1256" s="90">
        <v>450191</v>
      </c>
    </row>
    <row r="1257" ht="15.75" customHeight="1" spans="1:11">
      <c r="A1257" s="87">
        <v>1256</v>
      </c>
      <c r="B1257" s="88" t="s">
        <v>53</v>
      </c>
      <c r="C1257" s="88" t="s">
        <v>53</v>
      </c>
      <c r="D1257" s="87">
        <v>2025</v>
      </c>
      <c r="E1257" s="88" t="s">
        <v>42</v>
      </c>
      <c r="F1257" s="88" t="s">
        <v>150</v>
      </c>
      <c r="G1257" s="89" t="s">
        <v>44</v>
      </c>
      <c r="H1257" s="89" t="s">
        <v>44</v>
      </c>
      <c r="I1257" s="89" t="s">
        <v>44</v>
      </c>
      <c r="J1257" s="89" t="s">
        <v>44</v>
      </c>
      <c r="K1257" s="90">
        <v>228407</v>
      </c>
    </row>
    <row r="1258" ht="15.75" customHeight="1" spans="1:11">
      <c r="A1258" s="87">
        <v>1257</v>
      </c>
      <c r="B1258" s="88" t="s">
        <v>53</v>
      </c>
      <c r="C1258" s="88" t="s">
        <v>53</v>
      </c>
      <c r="D1258" s="87">
        <v>2025</v>
      </c>
      <c r="E1258" s="88" t="s">
        <v>42</v>
      </c>
      <c r="F1258" s="88" t="s">
        <v>153</v>
      </c>
      <c r="G1258" s="90">
        <v>15701</v>
      </c>
      <c r="H1258" s="89">
        <v>1</v>
      </c>
      <c r="I1258" s="89" t="s">
        <v>44</v>
      </c>
      <c r="J1258" s="89" t="s">
        <v>44</v>
      </c>
      <c r="K1258" s="90">
        <v>15701</v>
      </c>
    </row>
    <row r="1259" ht="15.75" customHeight="1" spans="1:11">
      <c r="A1259" s="87">
        <v>1258</v>
      </c>
      <c r="B1259" s="88" t="s">
        <v>53</v>
      </c>
      <c r="C1259" s="88" t="s">
        <v>53</v>
      </c>
      <c r="D1259" s="87">
        <v>2025</v>
      </c>
      <c r="E1259" s="88" t="s">
        <v>42</v>
      </c>
      <c r="F1259" s="88" t="s">
        <v>151</v>
      </c>
      <c r="G1259" s="89" t="s">
        <v>44</v>
      </c>
      <c r="H1259" s="89" t="s">
        <v>44</v>
      </c>
      <c r="I1259" s="89" t="s">
        <v>44</v>
      </c>
      <c r="J1259" s="89" t="s">
        <v>44</v>
      </c>
      <c r="K1259" s="90">
        <v>70009512</v>
      </c>
    </row>
    <row r="1260" ht="15.75" customHeight="1" spans="1:11">
      <c r="A1260" s="87">
        <v>1259</v>
      </c>
      <c r="B1260" s="88" t="s">
        <v>53</v>
      </c>
      <c r="C1260" s="88" t="s">
        <v>53</v>
      </c>
      <c r="D1260" s="87">
        <v>2025</v>
      </c>
      <c r="E1260" s="88" t="s">
        <v>42</v>
      </c>
      <c r="F1260" s="88" t="s">
        <v>152</v>
      </c>
      <c r="G1260" s="89" t="s">
        <v>44</v>
      </c>
      <c r="H1260" s="89" t="s">
        <v>44</v>
      </c>
      <c r="I1260" s="89" t="s">
        <v>44</v>
      </c>
      <c r="J1260" s="89" t="s">
        <v>44</v>
      </c>
      <c r="K1260" s="90">
        <v>3152336</v>
      </c>
    </row>
    <row r="1261" ht="15.75" customHeight="1" spans="1:11">
      <c r="A1261" s="87">
        <v>1260</v>
      </c>
      <c r="B1261" s="88" t="s">
        <v>53</v>
      </c>
      <c r="C1261" s="88" t="s">
        <v>53</v>
      </c>
      <c r="D1261" s="87">
        <v>2025</v>
      </c>
      <c r="E1261" s="88" t="s">
        <v>43</v>
      </c>
      <c r="F1261" s="88" t="s">
        <v>149</v>
      </c>
      <c r="G1261" s="89" t="s">
        <v>44</v>
      </c>
      <c r="H1261" s="89">
        <v>329</v>
      </c>
      <c r="I1261" s="90">
        <v>17762307</v>
      </c>
      <c r="J1261" s="89">
        <v>247</v>
      </c>
      <c r="K1261" s="90">
        <v>875978</v>
      </c>
    </row>
    <row r="1262" ht="15.75" customHeight="1" spans="1:11">
      <c r="A1262" s="87">
        <v>1261</v>
      </c>
      <c r="B1262" s="88" t="s">
        <v>53</v>
      </c>
      <c r="C1262" s="88" t="s">
        <v>53</v>
      </c>
      <c r="D1262" s="87">
        <v>2025</v>
      </c>
      <c r="E1262" s="88" t="s">
        <v>43</v>
      </c>
      <c r="F1262" s="88" t="s">
        <v>150</v>
      </c>
      <c r="G1262" s="89" t="s">
        <v>44</v>
      </c>
      <c r="H1262" s="89" t="s">
        <v>44</v>
      </c>
      <c r="I1262" s="89" t="s">
        <v>44</v>
      </c>
      <c r="J1262" s="89" t="s">
        <v>44</v>
      </c>
      <c r="K1262" s="90">
        <v>81290</v>
      </c>
    </row>
    <row r="1263" ht="15.75" customHeight="1" spans="1:11">
      <c r="A1263" s="87">
        <v>1262</v>
      </c>
      <c r="B1263" s="88" t="s">
        <v>53</v>
      </c>
      <c r="C1263" s="88" t="s">
        <v>53</v>
      </c>
      <c r="D1263" s="87">
        <v>2025</v>
      </c>
      <c r="E1263" s="88" t="s">
        <v>43</v>
      </c>
      <c r="F1263" s="88" t="s">
        <v>151</v>
      </c>
      <c r="G1263" s="89" t="s">
        <v>44</v>
      </c>
      <c r="H1263" s="89" t="s">
        <v>44</v>
      </c>
      <c r="I1263" s="89" t="s">
        <v>44</v>
      </c>
      <c r="J1263" s="89" t="s">
        <v>44</v>
      </c>
      <c r="K1263" s="90">
        <v>110401656</v>
      </c>
    </row>
    <row r="1264" ht="15.75" customHeight="1" spans="1:11">
      <c r="A1264" s="87">
        <v>1263</v>
      </c>
      <c r="B1264" s="88" t="s">
        <v>53</v>
      </c>
      <c r="C1264" s="88" t="s">
        <v>53</v>
      </c>
      <c r="D1264" s="87">
        <v>2025</v>
      </c>
      <c r="E1264" s="88" t="s">
        <v>43</v>
      </c>
      <c r="F1264" s="88" t="s">
        <v>152</v>
      </c>
      <c r="G1264" s="89" t="s">
        <v>44</v>
      </c>
      <c r="H1264" s="89" t="s">
        <v>44</v>
      </c>
      <c r="I1264" s="89" t="s">
        <v>44</v>
      </c>
      <c r="J1264" s="89" t="s">
        <v>44</v>
      </c>
      <c r="K1264" s="90">
        <v>5216178</v>
      </c>
    </row>
    <row r="1265" ht="15.75" customHeight="1" spans="1:11">
      <c r="A1265" s="87">
        <v>1264</v>
      </c>
      <c r="B1265" s="88" t="s">
        <v>53</v>
      </c>
      <c r="C1265" s="88" t="s">
        <v>53</v>
      </c>
      <c r="D1265" s="87">
        <v>2026</v>
      </c>
      <c r="E1265" s="88" t="s">
        <v>31</v>
      </c>
      <c r="F1265" s="88" t="s">
        <v>149</v>
      </c>
      <c r="G1265" s="89" t="s">
        <v>44</v>
      </c>
      <c r="H1265" s="89">
        <v>100</v>
      </c>
      <c r="I1265" s="90">
        <v>5425014</v>
      </c>
      <c r="J1265" s="89">
        <v>88</v>
      </c>
      <c r="K1265" s="90">
        <v>233867</v>
      </c>
    </row>
    <row r="1266" ht="15.75" customHeight="1" spans="1:11">
      <c r="A1266" s="87">
        <v>1265</v>
      </c>
      <c r="B1266" s="88" t="s">
        <v>53</v>
      </c>
      <c r="C1266" s="88" t="s">
        <v>53</v>
      </c>
      <c r="D1266" s="87">
        <v>2026</v>
      </c>
      <c r="E1266" s="88" t="s">
        <v>31</v>
      </c>
      <c r="F1266" s="88" t="s">
        <v>154</v>
      </c>
      <c r="G1266" s="89" t="s">
        <v>44</v>
      </c>
      <c r="H1266" s="89" t="s">
        <v>44</v>
      </c>
      <c r="I1266" s="89" t="s">
        <v>44</v>
      </c>
      <c r="J1266" s="89" t="s">
        <v>44</v>
      </c>
      <c r="K1266" s="90">
        <v>419637</v>
      </c>
    </row>
    <row r="1267" ht="15.75" customHeight="1" spans="1:11">
      <c r="A1267" s="87">
        <v>1266</v>
      </c>
      <c r="B1267" s="88" t="s">
        <v>53</v>
      </c>
      <c r="C1267" s="88" t="s">
        <v>53</v>
      </c>
      <c r="D1267" s="87">
        <v>2026</v>
      </c>
      <c r="E1267" s="88" t="s">
        <v>31</v>
      </c>
      <c r="F1267" s="88" t="s">
        <v>150</v>
      </c>
      <c r="G1267" s="89" t="s">
        <v>44</v>
      </c>
      <c r="H1267" s="89" t="s">
        <v>44</v>
      </c>
      <c r="I1267" s="89" t="s">
        <v>44</v>
      </c>
      <c r="J1267" s="89" t="s">
        <v>44</v>
      </c>
      <c r="K1267" s="90">
        <v>99385</v>
      </c>
    </row>
    <row r="1268" ht="15.75" customHeight="1" spans="1:11">
      <c r="A1268" s="87">
        <v>1267</v>
      </c>
      <c r="B1268" s="88" t="s">
        <v>53</v>
      </c>
      <c r="C1268" s="88" t="s">
        <v>53</v>
      </c>
      <c r="D1268" s="87">
        <v>2026</v>
      </c>
      <c r="E1268" s="88" t="s">
        <v>31</v>
      </c>
      <c r="F1268" s="88" t="s">
        <v>151</v>
      </c>
      <c r="G1268" s="89" t="s">
        <v>44</v>
      </c>
      <c r="H1268" s="89" t="s">
        <v>44</v>
      </c>
      <c r="I1268" s="89" t="s">
        <v>44</v>
      </c>
      <c r="J1268" s="89" t="s">
        <v>44</v>
      </c>
      <c r="K1268" s="90">
        <v>51815885</v>
      </c>
    </row>
    <row r="1269" ht="15.75" customHeight="1" spans="1:11">
      <c r="A1269" s="87">
        <v>1268</v>
      </c>
      <c r="B1269" s="88" t="s">
        <v>53</v>
      </c>
      <c r="C1269" s="88" t="s">
        <v>53</v>
      </c>
      <c r="D1269" s="87">
        <v>2026</v>
      </c>
      <c r="E1269" s="88" t="s">
        <v>31</v>
      </c>
      <c r="F1269" s="88" t="s">
        <v>152</v>
      </c>
      <c r="G1269" s="89" t="s">
        <v>44</v>
      </c>
      <c r="H1269" s="89" t="s">
        <v>44</v>
      </c>
      <c r="I1269" s="89" t="s">
        <v>44</v>
      </c>
      <c r="J1269" s="89" t="s">
        <v>44</v>
      </c>
      <c r="K1269" s="90">
        <v>3066961</v>
      </c>
    </row>
    <row r="1270" ht="15.75" customHeight="1" spans="1:11">
      <c r="A1270" s="87">
        <v>1269</v>
      </c>
      <c r="B1270" s="88" t="s">
        <v>53</v>
      </c>
      <c r="C1270" s="88" t="s">
        <v>53</v>
      </c>
      <c r="D1270" s="87">
        <v>2026</v>
      </c>
      <c r="E1270" s="88" t="s">
        <v>33</v>
      </c>
      <c r="F1270" s="88" t="s">
        <v>151</v>
      </c>
      <c r="G1270" s="89" t="s">
        <v>44</v>
      </c>
      <c r="H1270" s="89" t="s">
        <v>44</v>
      </c>
      <c r="I1270" s="89" t="s">
        <v>44</v>
      </c>
      <c r="J1270" s="89" t="s">
        <v>44</v>
      </c>
      <c r="K1270" s="90">
        <v>66513664</v>
      </c>
    </row>
    <row r="1271" ht="15.75" customHeight="1" spans="1:11">
      <c r="A1271" s="87">
        <v>1270</v>
      </c>
      <c r="B1271" s="88" t="s">
        <v>53</v>
      </c>
      <c r="C1271" s="88" t="s">
        <v>53</v>
      </c>
      <c r="D1271" s="87">
        <v>2026</v>
      </c>
      <c r="E1271" s="88" t="s">
        <v>33</v>
      </c>
      <c r="F1271" s="88" t="s">
        <v>152</v>
      </c>
      <c r="G1271" s="89" t="s">
        <v>44</v>
      </c>
      <c r="H1271" s="89" t="s">
        <v>44</v>
      </c>
      <c r="I1271" s="89" t="s">
        <v>44</v>
      </c>
      <c r="J1271" s="89" t="s">
        <v>44</v>
      </c>
      <c r="K1271" s="90">
        <v>4424864</v>
      </c>
    </row>
    <row r="1272" ht="15.75" customHeight="1" spans="1:11">
      <c r="A1272" s="87">
        <v>1271</v>
      </c>
      <c r="B1272" s="88" t="s">
        <v>53</v>
      </c>
      <c r="C1272" s="88" t="s">
        <v>53</v>
      </c>
      <c r="D1272" s="87">
        <v>2026</v>
      </c>
      <c r="E1272" s="88" t="s">
        <v>33</v>
      </c>
      <c r="F1272" s="88" t="s">
        <v>149</v>
      </c>
      <c r="G1272" s="89" t="s">
        <v>44</v>
      </c>
      <c r="H1272" s="89">
        <v>76</v>
      </c>
      <c r="I1272" s="90">
        <v>4253111</v>
      </c>
      <c r="J1272" s="89">
        <v>66</v>
      </c>
      <c r="K1272" s="90">
        <v>203032</v>
      </c>
    </row>
    <row r="1273" ht="15.75" customHeight="1" spans="1:11">
      <c r="A1273" s="87">
        <v>1272</v>
      </c>
      <c r="B1273" s="88" t="s">
        <v>53</v>
      </c>
      <c r="C1273" s="88" t="s">
        <v>53</v>
      </c>
      <c r="D1273" s="87">
        <v>2026</v>
      </c>
      <c r="E1273" s="88" t="s">
        <v>33</v>
      </c>
      <c r="F1273" s="88" t="s">
        <v>150</v>
      </c>
      <c r="G1273" s="89" t="s">
        <v>44</v>
      </c>
      <c r="H1273" s="89" t="s">
        <v>44</v>
      </c>
      <c r="I1273" s="89" t="s">
        <v>44</v>
      </c>
      <c r="J1273" s="89" t="s">
        <v>44</v>
      </c>
      <c r="K1273" s="90">
        <v>334517</v>
      </c>
    </row>
    <row r="1274" ht="15.75" customHeight="1" spans="1:11">
      <c r="A1274" s="87">
        <v>1273</v>
      </c>
      <c r="B1274" s="88" t="s">
        <v>53</v>
      </c>
      <c r="C1274" s="88" t="s">
        <v>53</v>
      </c>
      <c r="D1274" s="87">
        <v>2026</v>
      </c>
      <c r="E1274" s="88" t="s">
        <v>34</v>
      </c>
      <c r="F1274" s="88" t="s">
        <v>149</v>
      </c>
      <c r="G1274" s="89" t="s">
        <v>44</v>
      </c>
      <c r="H1274" s="89">
        <v>194</v>
      </c>
      <c r="I1274" s="90">
        <v>15309458</v>
      </c>
      <c r="J1274" s="89">
        <v>161</v>
      </c>
      <c r="K1274" s="90">
        <v>605857</v>
      </c>
    </row>
    <row r="1275" ht="15.75" customHeight="1" spans="1:11">
      <c r="A1275" s="87">
        <v>1274</v>
      </c>
      <c r="B1275" s="88" t="s">
        <v>53</v>
      </c>
      <c r="C1275" s="88" t="s">
        <v>53</v>
      </c>
      <c r="D1275" s="87">
        <v>2026</v>
      </c>
      <c r="E1275" s="88" t="s">
        <v>34</v>
      </c>
      <c r="F1275" s="88" t="s">
        <v>152</v>
      </c>
      <c r="G1275" s="89" t="s">
        <v>44</v>
      </c>
      <c r="H1275" s="89" t="s">
        <v>44</v>
      </c>
      <c r="I1275" s="89" t="s">
        <v>44</v>
      </c>
      <c r="J1275" s="89" t="s">
        <v>44</v>
      </c>
      <c r="K1275" s="90">
        <v>3062948</v>
      </c>
    </row>
    <row r="1276" ht="15.75" customHeight="1" spans="1:11">
      <c r="A1276" s="87">
        <v>1275</v>
      </c>
      <c r="B1276" s="88" t="s">
        <v>53</v>
      </c>
      <c r="C1276" s="88" t="s">
        <v>53</v>
      </c>
      <c r="D1276" s="87">
        <v>2026</v>
      </c>
      <c r="E1276" s="88" t="s">
        <v>34</v>
      </c>
      <c r="F1276" s="88" t="s">
        <v>150</v>
      </c>
      <c r="G1276" s="89" t="s">
        <v>44</v>
      </c>
      <c r="H1276" s="89" t="s">
        <v>44</v>
      </c>
      <c r="I1276" s="89" t="s">
        <v>44</v>
      </c>
      <c r="J1276" s="89" t="s">
        <v>44</v>
      </c>
      <c r="K1276" s="90">
        <v>109999</v>
      </c>
    </row>
    <row r="1277" ht="15.75" customHeight="1" spans="1:11">
      <c r="A1277" s="87">
        <v>1276</v>
      </c>
      <c r="B1277" s="88" t="s">
        <v>53</v>
      </c>
      <c r="C1277" s="88" t="s">
        <v>53</v>
      </c>
      <c r="D1277" s="87">
        <v>2026</v>
      </c>
      <c r="E1277" s="88" t="s">
        <v>34</v>
      </c>
      <c r="F1277" s="88" t="s">
        <v>151</v>
      </c>
      <c r="G1277" s="89" t="s">
        <v>44</v>
      </c>
      <c r="H1277" s="89" t="s">
        <v>44</v>
      </c>
      <c r="I1277" s="89" t="s">
        <v>44</v>
      </c>
      <c r="J1277" s="89" t="s">
        <v>44</v>
      </c>
      <c r="K1277" s="90">
        <v>78952679</v>
      </c>
    </row>
    <row r="1278" ht="15.75" customHeight="1" spans="1:11">
      <c r="A1278" s="87">
        <v>1277</v>
      </c>
      <c r="B1278" s="88" t="s">
        <v>53</v>
      </c>
      <c r="C1278" s="88" t="s">
        <v>161</v>
      </c>
      <c r="D1278" s="87">
        <v>2024</v>
      </c>
      <c r="E1278" s="88" t="s">
        <v>31</v>
      </c>
      <c r="F1278" s="88" t="s">
        <v>150</v>
      </c>
      <c r="G1278" s="89" t="s">
        <v>44</v>
      </c>
      <c r="H1278" s="89" t="s">
        <v>44</v>
      </c>
      <c r="I1278" s="89" t="s">
        <v>44</v>
      </c>
      <c r="J1278" s="89" t="s">
        <v>44</v>
      </c>
      <c r="K1278" s="90">
        <v>1976</v>
      </c>
    </row>
    <row r="1279" ht="15.75" customHeight="1" spans="1:11">
      <c r="A1279" s="87">
        <v>1278</v>
      </c>
      <c r="B1279" s="88" t="s">
        <v>53</v>
      </c>
      <c r="C1279" s="88" t="s">
        <v>161</v>
      </c>
      <c r="D1279" s="87">
        <v>2024</v>
      </c>
      <c r="E1279" s="88" t="s">
        <v>31</v>
      </c>
      <c r="F1279" s="88" t="s">
        <v>151</v>
      </c>
      <c r="G1279" s="89" t="s">
        <v>44</v>
      </c>
      <c r="H1279" s="89" t="s">
        <v>44</v>
      </c>
      <c r="I1279" s="89" t="s">
        <v>44</v>
      </c>
      <c r="J1279" s="89" t="s">
        <v>44</v>
      </c>
      <c r="K1279" s="90">
        <v>1112705</v>
      </c>
    </row>
    <row r="1280" ht="15.75" customHeight="1" spans="1:11">
      <c r="A1280" s="87">
        <v>1279</v>
      </c>
      <c r="B1280" s="88" t="s">
        <v>53</v>
      </c>
      <c r="C1280" s="88" t="s">
        <v>161</v>
      </c>
      <c r="D1280" s="87">
        <v>2024</v>
      </c>
      <c r="E1280" s="88" t="s">
        <v>31</v>
      </c>
      <c r="F1280" s="88" t="s">
        <v>152</v>
      </c>
      <c r="G1280" s="89" t="s">
        <v>44</v>
      </c>
      <c r="H1280" s="89" t="s">
        <v>44</v>
      </c>
      <c r="I1280" s="89" t="s">
        <v>44</v>
      </c>
      <c r="J1280" s="89" t="s">
        <v>44</v>
      </c>
      <c r="K1280" s="90">
        <v>22401</v>
      </c>
    </row>
    <row r="1281" ht="15.75" customHeight="1" spans="1:11">
      <c r="A1281" s="87">
        <v>1280</v>
      </c>
      <c r="B1281" s="88" t="s">
        <v>53</v>
      </c>
      <c r="C1281" s="88" t="s">
        <v>161</v>
      </c>
      <c r="D1281" s="87">
        <v>2024</v>
      </c>
      <c r="E1281" s="88" t="s">
        <v>33</v>
      </c>
      <c r="F1281" s="88" t="s">
        <v>150</v>
      </c>
      <c r="G1281" s="89" t="s">
        <v>44</v>
      </c>
      <c r="H1281" s="89" t="s">
        <v>44</v>
      </c>
      <c r="I1281" s="89" t="s">
        <v>44</v>
      </c>
      <c r="J1281" s="89" t="s">
        <v>44</v>
      </c>
      <c r="K1281" s="89">
        <v>493</v>
      </c>
    </row>
    <row r="1282" ht="15.75" customHeight="1" spans="1:11">
      <c r="A1282" s="87">
        <v>1281</v>
      </c>
      <c r="B1282" s="88" t="s">
        <v>53</v>
      </c>
      <c r="C1282" s="88" t="s">
        <v>161</v>
      </c>
      <c r="D1282" s="87">
        <v>2024</v>
      </c>
      <c r="E1282" s="88" t="s">
        <v>33</v>
      </c>
      <c r="F1282" s="88" t="s">
        <v>151</v>
      </c>
      <c r="G1282" s="89" t="s">
        <v>44</v>
      </c>
      <c r="H1282" s="89" t="s">
        <v>44</v>
      </c>
      <c r="I1282" s="89" t="s">
        <v>44</v>
      </c>
      <c r="J1282" s="89" t="s">
        <v>44</v>
      </c>
      <c r="K1282" s="90">
        <v>828675</v>
      </c>
    </row>
    <row r="1283" ht="15.75" customHeight="1" spans="1:11">
      <c r="A1283" s="87">
        <v>1282</v>
      </c>
      <c r="B1283" s="88" t="s">
        <v>53</v>
      </c>
      <c r="C1283" s="88" t="s">
        <v>161</v>
      </c>
      <c r="D1283" s="87">
        <v>2024</v>
      </c>
      <c r="E1283" s="88" t="s">
        <v>33</v>
      </c>
      <c r="F1283" s="88" t="s">
        <v>152</v>
      </c>
      <c r="G1283" s="89" t="s">
        <v>44</v>
      </c>
      <c r="H1283" s="89" t="s">
        <v>44</v>
      </c>
      <c r="I1283" s="89" t="s">
        <v>44</v>
      </c>
      <c r="J1283" s="89" t="s">
        <v>44</v>
      </c>
      <c r="K1283" s="90">
        <v>18166</v>
      </c>
    </row>
    <row r="1284" ht="15.75" customHeight="1" spans="1:11">
      <c r="A1284" s="87">
        <v>1283</v>
      </c>
      <c r="B1284" s="88" t="s">
        <v>53</v>
      </c>
      <c r="C1284" s="88" t="s">
        <v>161</v>
      </c>
      <c r="D1284" s="87">
        <v>2024</v>
      </c>
      <c r="E1284" s="88" t="s">
        <v>34</v>
      </c>
      <c r="F1284" s="88" t="s">
        <v>150</v>
      </c>
      <c r="G1284" s="89" t="s">
        <v>44</v>
      </c>
      <c r="H1284" s="89" t="s">
        <v>44</v>
      </c>
      <c r="I1284" s="89" t="s">
        <v>44</v>
      </c>
      <c r="J1284" s="89" t="s">
        <v>44</v>
      </c>
      <c r="K1284" s="89">
        <v>903</v>
      </c>
    </row>
    <row r="1285" ht="15.75" customHeight="1" spans="1:11">
      <c r="A1285" s="87">
        <v>1284</v>
      </c>
      <c r="B1285" s="88" t="s">
        <v>53</v>
      </c>
      <c r="C1285" s="88" t="s">
        <v>161</v>
      </c>
      <c r="D1285" s="87">
        <v>2024</v>
      </c>
      <c r="E1285" s="88" t="s">
        <v>34</v>
      </c>
      <c r="F1285" s="88" t="s">
        <v>151</v>
      </c>
      <c r="G1285" s="89" t="s">
        <v>44</v>
      </c>
      <c r="H1285" s="89" t="s">
        <v>44</v>
      </c>
      <c r="I1285" s="89" t="s">
        <v>44</v>
      </c>
      <c r="J1285" s="89" t="s">
        <v>44</v>
      </c>
      <c r="K1285" s="90">
        <v>2185773</v>
      </c>
    </row>
    <row r="1286" ht="15.75" customHeight="1" spans="1:11">
      <c r="A1286" s="87">
        <v>1285</v>
      </c>
      <c r="B1286" s="88" t="s">
        <v>53</v>
      </c>
      <c r="C1286" s="88" t="s">
        <v>161</v>
      </c>
      <c r="D1286" s="87">
        <v>2024</v>
      </c>
      <c r="E1286" s="88" t="s">
        <v>34</v>
      </c>
      <c r="F1286" s="88" t="s">
        <v>152</v>
      </c>
      <c r="G1286" s="89" t="s">
        <v>44</v>
      </c>
      <c r="H1286" s="89" t="s">
        <v>44</v>
      </c>
      <c r="I1286" s="89" t="s">
        <v>44</v>
      </c>
      <c r="J1286" s="89" t="s">
        <v>44</v>
      </c>
      <c r="K1286" s="90">
        <v>29006</v>
      </c>
    </row>
    <row r="1287" ht="15.75" customHeight="1" spans="1:11">
      <c r="A1287" s="87">
        <v>1286</v>
      </c>
      <c r="B1287" s="88" t="s">
        <v>53</v>
      </c>
      <c r="C1287" s="88" t="s">
        <v>161</v>
      </c>
      <c r="D1287" s="87">
        <v>2024</v>
      </c>
      <c r="E1287" s="88" t="s">
        <v>35</v>
      </c>
      <c r="F1287" s="88" t="s">
        <v>150</v>
      </c>
      <c r="G1287" s="89" t="s">
        <v>44</v>
      </c>
      <c r="H1287" s="89" t="s">
        <v>44</v>
      </c>
      <c r="I1287" s="89" t="s">
        <v>44</v>
      </c>
      <c r="J1287" s="89" t="s">
        <v>44</v>
      </c>
      <c r="K1287" s="89">
        <v>530</v>
      </c>
    </row>
    <row r="1288" ht="15.75" customHeight="1" spans="1:11">
      <c r="A1288" s="87">
        <v>1287</v>
      </c>
      <c r="B1288" s="88" t="s">
        <v>53</v>
      </c>
      <c r="C1288" s="88" t="s">
        <v>161</v>
      </c>
      <c r="D1288" s="87">
        <v>2024</v>
      </c>
      <c r="E1288" s="88" t="s">
        <v>35</v>
      </c>
      <c r="F1288" s="88" t="s">
        <v>151</v>
      </c>
      <c r="G1288" s="89" t="s">
        <v>44</v>
      </c>
      <c r="H1288" s="89" t="s">
        <v>44</v>
      </c>
      <c r="I1288" s="89" t="s">
        <v>44</v>
      </c>
      <c r="J1288" s="89" t="s">
        <v>44</v>
      </c>
      <c r="K1288" s="90">
        <v>2841556</v>
      </c>
    </row>
    <row r="1289" ht="15.75" customHeight="1" spans="1:11">
      <c r="A1289" s="87">
        <v>1288</v>
      </c>
      <c r="B1289" s="88" t="s">
        <v>53</v>
      </c>
      <c r="C1289" s="88" t="s">
        <v>161</v>
      </c>
      <c r="D1289" s="87">
        <v>2024</v>
      </c>
      <c r="E1289" s="88" t="s">
        <v>35</v>
      </c>
      <c r="F1289" s="88" t="s">
        <v>152</v>
      </c>
      <c r="G1289" s="89" t="s">
        <v>44</v>
      </c>
      <c r="H1289" s="89" t="s">
        <v>44</v>
      </c>
      <c r="I1289" s="89" t="s">
        <v>44</v>
      </c>
      <c r="J1289" s="89" t="s">
        <v>44</v>
      </c>
      <c r="K1289" s="90">
        <v>66531</v>
      </c>
    </row>
    <row r="1290" ht="15.75" customHeight="1" spans="1:11">
      <c r="A1290" s="87">
        <v>1289</v>
      </c>
      <c r="B1290" s="88" t="s">
        <v>53</v>
      </c>
      <c r="C1290" s="88" t="s">
        <v>161</v>
      </c>
      <c r="D1290" s="87">
        <v>2024</v>
      </c>
      <c r="E1290" s="88" t="s">
        <v>36</v>
      </c>
      <c r="F1290" s="88" t="s">
        <v>150</v>
      </c>
      <c r="G1290" s="89" t="s">
        <v>44</v>
      </c>
      <c r="H1290" s="89" t="s">
        <v>44</v>
      </c>
      <c r="I1290" s="89" t="s">
        <v>44</v>
      </c>
      <c r="J1290" s="89" t="s">
        <v>44</v>
      </c>
      <c r="K1290" s="89">
        <v>555</v>
      </c>
    </row>
    <row r="1291" ht="15.75" customHeight="1" spans="1:11">
      <c r="A1291" s="87">
        <v>1290</v>
      </c>
      <c r="B1291" s="88" t="s">
        <v>53</v>
      </c>
      <c r="C1291" s="88" t="s">
        <v>161</v>
      </c>
      <c r="D1291" s="87">
        <v>2024</v>
      </c>
      <c r="E1291" s="88" t="s">
        <v>36</v>
      </c>
      <c r="F1291" s="88" t="s">
        <v>151</v>
      </c>
      <c r="G1291" s="89" t="s">
        <v>44</v>
      </c>
      <c r="H1291" s="89" t="s">
        <v>44</v>
      </c>
      <c r="I1291" s="89" t="s">
        <v>44</v>
      </c>
      <c r="J1291" s="89" t="s">
        <v>44</v>
      </c>
      <c r="K1291" s="90">
        <v>2892630</v>
      </c>
    </row>
    <row r="1292" ht="15.75" customHeight="1" spans="1:11">
      <c r="A1292" s="87">
        <v>1291</v>
      </c>
      <c r="B1292" s="88" t="s">
        <v>53</v>
      </c>
      <c r="C1292" s="88" t="s">
        <v>161</v>
      </c>
      <c r="D1292" s="87">
        <v>2024</v>
      </c>
      <c r="E1292" s="88" t="s">
        <v>36</v>
      </c>
      <c r="F1292" s="88" t="s">
        <v>152</v>
      </c>
      <c r="G1292" s="89" t="s">
        <v>44</v>
      </c>
      <c r="H1292" s="89" t="s">
        <v>44</v>
      </c>
      <c r="I1292" s="89" t="s">
        <v>44</v>
      </c>
      <c r="J1292" s="89" t="s">
        <v>44</v>
      </c>
      <c r="K1292" s="90">
        <v>59619</v>
      </c>
    </row>
    <row r="1293" ht="15.75" customHeight="1" spans="1:11">
      <c r="A1293" s="87">
        <v>1292</v>
      </c>
      <c r="B1293" s="88" t="s">
        <v>53</v>
      </c>
      <c r="C1293" s="88" t="s">
        <v>161</v>
      </c>
      <c r="D1293" s="87">
        <v>2024</v>
      </c>
      <c r="E1293" s="88" t="s">
        <v>37</v>
      </c>
      <c r="F1293" s="88" t="s">
        <v>150</v>
      </c>
      <c r="G1293" s="89" t="s">
        <v>44</v>
      </c>
      <c r="H1293" s="89" t="s">
        <v>44</v>
      </c>
      <c r="I1293" s="89" t="s">
        <v>44</v>
      </c>
      <c r="J1293" s="89" t="s">
        <v>44</v>
      </c>
      <c r="K1293" s="89">
        <v>903</v>
      </c>
    </row>
    <row r="1294" ht="15.75" customHeight="1" spans="1:11">
      <c r="A1294" s="87">
        <v>1293</v>
      </c>
      <c r="B1294" s="88" t="s">
        <v>53</v>
      </c>
      <c r="C1294" s="88" t="s">
        <v>161</v>
      </c>
      <c r="D1294" s="87">
        <v>2024</v>
      </c>
      <c r="E1294" s="88" t="s">
        <v>37</v>
      </c>
      <c r="F1294" s="88" t="s">
        <v>151</v>
      </c>
      <c r="G1294" s="89" t="s">
        <v>44</v>
      </c>
      <c r="H1294" s="89" t="s">
        <v>44</v>
      </c>
      <c r="I1294" s="89" t="s">
        <v>44</v>
      </c>
      <c r="J1294" s="89" t="s">
        <v>44</v>
      </c>
      <c r="K1294" s="90">
        <v>3080244</v>
      </c>
    </row>
    <row r="1295" ht="15.75" customHeight="1" spans="1:11">
      <c r="A1295" s="87">
        <v>1294</v>
      </c>
      <c r="B1295" s="88" t="s">
        <v>53</v>
      </c>
      <c r="C1295" s="88" t="s">
        <v>161</v>
      </c>
      <c r="D1295" s="87">
        <v>2024</v>
      </c>
      <c r="E1295" s="88" t="s">
        <v>37</v>
      </c>
      <c r="F1295" s="88" t="s">
        <v>152</v>
      </c>
      <c r="G1295" s="89" t="s">
        <v>44</v>
      </c>
      <c r="H1295" s="89" t="s">
        <v>44</v>
      </c>
      <c r="I1295" s="89" t="s">
        <v>44</v>
      </c>
      <c r="J1295" s="89" t="s">
        <v>44</v>
      </c>
      <c r="K1295" s="90">
        <v>61390</v>
      </c>
    </row>
    <row r="1296" ht="15.75" customHeight="1" spans="1:11">
      <c r="A1296" s="87">
        <v>1295</v>
      </c>
      <c r="B1296" s="88" t="s">
        <v>53</v>
      </c>
      <c r="C1296" s="88" t="s">
        <v>161</v>
      </c>
      <c r="D1296" s="87">
        <v>2024</v>
      </c>
      <c r="E1296" s="88" t="s">
        <v>38</v>
      </c>
      <c r="F1296" s="88" t="s">
        <v>150</v>
      </c>
      <c r="G1296" s="89" t="s">
        <v>44</v>
      </c>
      <c r="H1296" s="89" t="s">
        <v>44</v>
      </c>
      <c r="I1296" s="89" t="s">
        <v>44</v>
      </c>
      <c r="J1296" s="89" t="s">
        <v>44</v>
      </c>
      <c r="K1296" s="90">
        <v>1058</v>
      </c>
    </row>
    <row r="1297" ht="15.75" customHeight="1" spans="1:11">
      <c r="A1297" s="87">
        <v>1296</v>
      </c>
      <c r="B1297" s="88" t="s">
        <v>53</v>
      </c>
      <c r="C1297" s="88" t="s">
        <v>161</v>
      </c>
      <c r="D1297" s="87">
        <v>2024</v>
      </c>
      <c r="E1297" s="88" t="s">
        <v>38</v>
      </c>
      <c r="F1297" s="88" t="s">
        <v>151</v>
      </c>
      <c r="G1297" s="89" t="s">
        <v>44</v>
      </c>
      <c r="H1297" s="89" t="s">
        <v>44</v>
      </c>
      <c r="I1297" s="89" t="s">
        <v>44</v>
      </c>
      <c r="J1297" s="89" t="s">
        <v>44</v>
      </c>
      <c r="K1297" s="90">
        <v>2832599</v>
      </c>
    </row>
    <row r="1298" ht="15.75" customHeight="1" spans="1:11">
      <c r="A1298" s="87">
        <v>1297</v>
      </c>
      <c r="B1298" s="88" t="s">
        <v>53</v>
      </c>
      <c r="C1298" s="88" t="s">
        <v>161</v>
      </c>
      <c r="D1298" s="87">
        <v>2024</v>
      </c>
      <c r="E1298" s="88" t="s">
        <v>38</v>
      </c>
      <c r="F1298" s="88" t="s">
        <v>152</v>
      </c>
      <c r="G1298" s="89" t="s">
        <v>44</v>
      </c>
      <c r="H1298" s="89" t="s">
        <v>44</v>
      </c>
      <c r="I1298" s="89" t="s">
        <v>44</v>
      </c>
      <c r="J1298" s="89" t="s">
        <v>44</v>
      </c>
      <c r="K1298" s="90">
        <v>54131</v>
      </c>
    </row>
    <row r="1299" ht="15.75" customHeight="1" spans="1:11">
      <c r="A1299" s="87">
        <v>1298</v>
      </c>
      <c r="B1299" s="88" t="s">
        <v>53</v>
      </c>
      <c r="C1299" s="88" t="s">
        <v>161</v>
      </c>
      <c r="D1299" s="87">
        <v>2024</v>
      </c>
      <c r="E1299" s="88" t="s">
        <v>39</v>
      </c>
      <c r="F1299" s="88" t="s">
        <v>150</v>
      </c>
      <c r="G1299" s="89" t="s">
        <v>44</v>
      </c>
      <c r="H1299" s="89" t="s">
        <v>44</v>
      </c>
      <c r="I1299" s="89" t="s">
        <v>44</v>
      </c>
      <c r="J1299" s="89" t="s">
        <v>44</v>
      </c>
      <c r="K1299" s="90">
        <v>1039</v>
      </c>
    </row>
    <row r="1300" ht="15.75" customHeight="1" spans="1:11">
      <c r="A1300" s="87">
        <v>1299</v>
      </c>
      <c r="B1300" s="88" t="s">
        <v>53</v>
      </c>
      <c r="C1300" s="88" t="s">
        <v>161</v>
      </c>
      <c r="D1300" s="87">
        <v>2024</v>
      </c>
      <c r="E1300" s="88" t="s">
        <v>39</v>
      </c>
      <c r="F1300" s="88" t="s">
        <v>151</v>
      </c>
      <c r="G1300" s="89" t="s">
        <v>44</v>
      </c>
      <c r="H1300" s="89" t="s">
        <v>44</v>
      </c>
      <c r="I1300" s="89" t="s">
        <v>44</v>
      </c>
      <c r="J1300" s="89" t="s">
        <v>44</v>
      </c>
      <c r="K1300" s="90">
        <v>1373313</v>
      </c>
    </row>
    <row r="1301" ht="15.75" customHeight="1" spans="1:11">
      <c r="A1301" s="87">
        <v>1300</v>
      </c>
      <c r="B1301" s="88" t="s">
        <v>53</v>
      </c>
      <c r="C1301" s="88" t="s">
        <v>161</v>
      </c>
      <c r="D1301" s="87">
        <v>2024</v>
      </c>
      <c r="E1301" s="88" t="s">
        <v>39</v>
      </c>
      <c r="F1301" s="88" t="s">
        <v>152</v>
      </c>
      <c r="G1301" s="89" t="s">
        <v>44</v>
      </c>
      <c r="H1301" s="89" t="s">
        <v>44</v>
      </c>
      <c r="I1301" s="89" t="s">
        <v>44</v>
      </c>
      <c r="J1301" s="89" t="s">
        <v>44</v>
      </c>
      <c r="K1301" s="90">
        <v>21574</v>
      </c>
    </row>
    <row r="1302" ht="15.75" customHeight="1" spans="1:11">
      <c r="A1302" s="87">
        <v>1301</v>
      </c>
      <c r="B1302" s="88" t="s">
        <v>53</v>
      </c>
      <c r="C1302" s="88" t="s">
        <v>161</v>
      </c>
      <c r="D1302" s="87">
        <v>2024</v>
      </c>
      <c r="E1302" s="88" t="s">
        <v>40</v>
      </c>
      <c r="F1302" s="88" t="s">
        <v>150</v>
      </c>
      <c r="G1302" s="89" t="s">
        <v>44</v>
      </c>
      <c r="H1302" s="89" t="s">
        <v>44</v>
      </c>
      <c r="I1302" s="89" t="s">
        <v>44</v>
      </c>
      <c r="J1302" s="89" t="s">
        <v>44</v>
      </c>
      <c r="K1302" s="89">
        <v>967</v>
      </c>
    </row>
    <row r="1303" ht="15.75" customHeight="1" spans="1:11">
      <c r="A1303" s="87">
        <v>1302</v>
      </c>
      <c r="B1303" s="88" t="s">
        <v>53</v>
      </c>
      <c r="C1303" s="88" t="s">
        <v>161</v>
      </c>
      <c r="D1303" s="87">
        <v>2024</v>
      </c>
      <c r="E1303" s="88" t="s">
        <v>40</v>
      </c>
      <c r="F1303" s="88" t="s">
        <v>151</v>
      </c>
      <c r="G1303" s="89" t="s">
        <v>44</v>
      </c>
      <c r="H1303" s="89" t="s">
        <v>44</v>
      </c>
      <c r="I1303" s="89" t="s">
        <v>44</v>
      </c>
      <c r="J1303" s="89" t="s">
        <v>44</v>
      </c>
      <c r="K1303" s="90">
        <v>9519096</v>
      </c>
    </row>
    <row r="1304" ht="15.75" customHeight="1" spans="1:11">
      <c r="A1304" s="87">
        <v>1303</v>
      </c>
      <c r="B1304" s="88" t="s">
        <v>53</v>
      </c>
      <c r="C1304" s="88" t="s">
        <v>161</v>
      </c>
      <c r="D1304" s="87">
        <v>2024</v>
      </c>
      <c r="E1304" s="88" t="s">
        <v>40</v>
      </c>
      <c r="F1304" s="88" t="s">
        <v>152</v>
      </c>
      <c r="G1304" s="89" t="s">
        <v>44</v>
      </c>
      <c r="H1304" s="89" t="s">
        <v>44</v>
      </c>
      <c r="I1304" s="89" t="s">
        <v>44</v>
      </c>
      <c r="J1304" s="89" t="s">
        <v>44</v>
      </c>
      <c r="K1304" s="90">
        <v>156779</v>
      </c>
    </row>
    <row r="1305" ht="15.75" customHeight="1" spans="1:11">
      <c r="A1305" s="87">
        <v>1304</v>
      </c>
      <c r="B1305" s="88" t="s">
        <v>53</v>
      </c>
      <c r="C1305" s="88" t="s">
        <v>161</v>
      </c>
      <c r="D1305" s="87">
        <v>2024</v>
      </c>
      <c r="E1305" s="88" t="s">
        <v>41</v>
      </c>
      <c r="F1305" s="88" t="s">
        <v>150</v>
      </c>
      <c r="G1305" s="89" t="s">
        <v>44</v>
      </c>
      <c r="H1305" s="89" t="s">
        <v>44</v>
      </c>
      <c r="I1305" s="89" t="s">
        <v>44</v>
      </c>
      <c r="J1305" s="89" t="s">
        <v>44</v>
      </c>
      <c r="K1305" s="89">
        <v>3</v>
      </c>
    </row>
    <row r="1306" ht="15.75" customHeight="1" spans="1:11">
      <c r="A1306" s="87">
        <v>1305</v>
      </c>
      <c r="B1306" s="88" t="s">
        <v>53</v>
      </c>
      <c r="C1306" s="88" t="s">
        <v>161</v>
      </c>
      <c r="D1306" s="87">
        <v>2024</v>
      </c>
      <c r="E1306" s="88" t="s">
        <v>41</v>
      </c>
      <c r="F1306" s="88" t="s">
        <v>151</v>
      </c>
      <c r="G1306" s="89" t="s">
        <v>44</v>
      </c>
      <c r="H1306" s="89" t="s">
        <v>44</v>
      </c>
      <c r="I1306" s="89" t="s">
        <v>44</v>
      </c>
      <c r="J1306" s="89" t="s">
        <v>44</v>
      </c>
      <c r="K1306" s="90">
        <v>45102</v>
      </c>
    </row>
    <row r="1307" ht="15.75" customHeight="1" spans="1:11">
      <c r="A1307" s="87">
        <v>1306</v>
      </c>
      <c r="B1307" s="88" t="s">
        <v>53</v>
      </c>
      <c r="C1307" s="88" t="s">
        <v>161</v>
      </c>
      <c r="D1307" s="87">
        <v>2024</v>
      </c>
      <c r="E1307" s="88" t="s">
        <v>41</v>
      </c>
      <c r="F1307" s="88" t="s">
        <v>152</v>
      </c>
      <c r="G1307" s="89" t="s">
        <v>44</v>
      </c>
      <c r="H1307" s="89" t="s">
        <v>44</v>
      </c>
      <c r="I1307" s="89" t="s">
        <v>44</v>
      </c>
      <c r="J1307" s="89" t="s">
        <v>44</v>
      </c>
      <c r="K1307" s="90">
        <v>1027</v>
      </c>
    </row>
    <row r="1308" ht="15.75" customHeight="1" spans="1:11">
      <c r="A1308" s="87">
        <v>1307</v>
      </c>
      <c r="B1308" s="88" t="s">
        <v>53</v>
      </c>
      <c r="C1308" s="88" t="s">
        <v>161</v>
      </c>
      <c r="D1308" s="87">
        <v>2024</v>
      </c>
      <c r="E1308" s="88" t="s">
        <v>42</v>
      </c>
      <c r="F1308" s="88" t="s">
        <v>150</v>
      </c>
      <c r="G1308" s="89" t="s">
        <v>44</v>
      </c>
      <c r="H1308" s="89" t="s">
        <v>44</v>
      </c>
      <c r="I1308" s="89" t="s">
        <v>44</v>
      </c>
      <c r="J1308" s="89" t="s">
        <v>44</v>
      </c>
      <c r="K1308" s="90">
        <v>6527</v>
      </c>
    </row>
    <row r="1309" ht="15.75" customHeight="1" spans="1:11">
      <c r="A1309" s="87">
        <v>1308</v>
      </c>
      <c r="B1309" s="88" t="s">
        <v>53</v>
      </c>
      <c r="C1309" s="88" t="s">
        <v>161</v>
      </c>
      <c r="D1309" s="87">
        <v>2024</v>
      </c>
      <c r="E1309" s="88" t="s">
        <v>42</v>
      </c>
      <c r="F1309" s="88" t="s">
        <v>151</v>
      </c>
      <c r="G1309" s="89" t="s">
        <v>44</v>
      </c>
      <c r="H1309" s="89" t="s">
        <v>44</v>
      </c>
      <c r="I1309" s="89" t="s">
        <v>44</v>
      </c>
      <c r="J1309" s="89" t="s">
        <v>44</v>
      </c>
      <c r="K1309" s="90">
        <v>5806228</v>
      </c>
    </row>
    <row r="1310" ht="15.75" customHeight="1" spans="1:11">
      <c r="A1310" s="87">
        <v>1309</v>
      </c>
      <c r="B1310" s="88" t="s">
        <v>53</v>
      </c>
      <c r="C1310" s="88" t="s">
        <v>161</v>
      </c>
      <c r="D1310" s="87">
        <v>2024</v>
      </c>
      <c r="E1310" s="88" t="s">
        <v>42</v>
      </c>
      <c r="F1310" s="88" t="s">
        <v>152</v>
      </c>
      <c r="G1310" s="89" t="s">
        <v>44</v>
      </c>
      <c r="H1310" s="89" t="s">
        <v>44</v>
      </c>
      <c r="I1310" s="89" t="s">
        <v>44</v>
      </c>
      <c r="J1310" s="89" t="s">
        <v>44</v>
      </c>
      <c r="K1310" s="90">
        <v>110035</v>
      </c>
    </row>
    <row r="1311" ht="15.75" customHeight="1" spans="1:11">
      <c r="A1311" s="87">
        <v>1310</v>
      </c>
      <c r="B1311" s="88" t="s">
        <v>53</v>
      </c>
      <c r="C1311" s="88" t="s">
        <v>161</v>
      </c>
      <c r="D1311" s="87">
        <v>2024</v>
      </c>
      <c r="E1311" s="88" t="s">
        <v>43</v>
      </c>
      <c r="F1311" s="88" t="s">
        <v>150</v>
      </c>
      <c r="G1311" s="89" t="s">
        <v>44</v>
      </c>
      <c r="H1311" s="89" t="s">
        <v>44</v>
      </c>
      <c r="I1311" s="89" t="s">
        <v>44</v>
      </c>
      <c r="J1311" s="89" t="s">
        <v>44</v>
      </c>
      <c r="K1311" s="89">
        <v>633</v>
      </c>
    </row>
    <row r="1312" ht="15.75" customHeight="1" spans="1:11">
      <c r="A1312" s="87">
        <v>1311</v>
      </c>
      <c r="B1312" s="88" t="s">
        <v>53</v>
      </c>
      <c r="C1312" s="88" t="s">
        <v>161</v>
      </c>
      <c r="D1312" s="87">
        <v>2024</v>
      </c>
      <c r="E1312" s="88" t="s">
        <v>43</v>
      </c>
      <c r="F1312" s="88" t="s">
        <v>151</v>
      </c>
      <c r="G1312" s="89" t="s">
        <v>44</v>
      </c>
      <c r="H1312" s="89" t="s">
        <v>44</v>
      </c>
      <c r="I1312" s="89" t="s">
        <v>44</v>
      </c>
      <c r="J1312" s="89" t="s">
        <v>44</v>
      </c>
      <c r="K1312" s="90">
        <v>3530492</v>
      </c>
    </row>
    <row r="1313" ht="15.75" customHeight="1" spans="1:11">
      <c r="A1313" s="87">
        <v>1312</v>
      </c>
      <c r="B1313" s="88" t="s">
        <v>53</v>
      </c>
      <c r="C1313" s="88" t="s">
        <v>161</v>
      </c>
      <c r="D1313" s="87">
        <v>2024</v>
      </c>
      <c r="E1313" s="88" t="s">
        <v>43</v>
      </c>
      <c r="F1313" s="88" t="s">
        <v>152</v>
      </c>
      <c r="G1313" s="89" t="s">
        <v>44</v>
      </c>
      <c r="H1313" s="89" t="s">
        <v>44</v>
      </c>
      <c r="I1313" s="89" t="s">
        <v>44</v>
      </c>
      <c r="J1313" s="89" t="s">
        <v>44</v>
      </c>
      <c r="K1313" s="90">
        <v>93060</v>
      </c>
    </row>
    <row r="1314" ht="15.75" customHeight="1" spans="1:11">
      <c r="A1314" s="87">
        <v>1313</v>
      </c>
      <c r="B1314" s="88" t="s">
        <v>53</v>
      </c>
      <c r="C1314" s="88" t="s">
        <v>161</v>
      </c>
      <c r="D1314" s="87">
        <v>2025</v>
      </c>
      <c r="E1314" s="88" t="s">
        <v>31</v>
      </c>
      <c r="F1314" s="88" t="s">
        <v>151</v>
      </c>
      <c r="G1314" s="89" t="s">
        <v>44</v>
      </c>
      <c r="H1314" s="89" t="s">
        <v>44</v>
      </c>
      <c r="I1314" s="89" t="s">
        <v>44</v>
      </c>
      <c r="J1314" s="89" t="s">
        <v>44</v>
      </c>
      <c r="K1314" s="90">
        <v>1779445</v>
      </c>
    </row>
    <row r="1315" ht="15.75" customHeight="1" spans="1:11">
      <c r="A1315" s="87">
        <v>1314</v>
      </c>
      <c r="B1315" s="88" t="s">
        <v>53</v>
      </c>
      <c r="C1315" s="88" t="s">
        <v>161</v>
      </c>
      <c r="D1315" s="87">
        <v>2025</v>
      </c>
      <c r="E1315" s="88" t="s">
        <v>31</v>
      </c>
      <c r="F1315" s="88" t="s">
        <v>152</v>
      </c>
      <c r="G1315" s="89" t="s">
        <v>44</v>
      </c>
      <c r="H1315" s="89" t="s">
        <v>44</v>
      </c>
      <c r="I1315" s="89" t="s">
        <v>44</v>
      </c>
      <c r="J1315" s="89" t="s">
        <v>44</v>
      </c>
      <c r="K1315" s="90">
        <v>44663</v>
      </c>
    </row>
    <row r="1316" ht="15.75" customHeight="1" spans="1:11">
      <c r="A1316" s="87">
        <v>1315</v>
      </c>
      <c r="B1316" s="88" t="s">
        <v>53</v>
      </c>
      <c r="C1316" s="88" t="s">
        <v>161</v>
      </c>
      <c r="D1316" s="87">
        <v>2025</v>
      </c>
      <c r="E1316" s="88" t="s">
        <v>33</v>
      </c>
      <c r="F1316" s="88" t="s">
        <v>150</v>
      </c>
      <c r="G1316" s="89" t="s">
        <v>44</v>
      </c>
      <c r="H1316" s="89" t="s">
        <v>44</v>
      </c>
      <c r="I1316" s="89" t="s">
        <v>44</v>
      </c>
      <c r="J1316" s="89" t="s">
        <v>44</v>
      </c>
      <c r="K1316" s="89">
        <v>338</v>
      </c>
    </row>
    <row r="1317" ht="15.75" customHeight="1" spans="1:11">
      <c r="A1317" s="87">
        <v>1316</v>
      </c>
      <c r="B1317" s="88" t="s">
        <v>53</v>
      </c>
      <c r="C1317" s="88" t="s">
        <v>161</v>
      </c>
      <c r="D1317" s="87">
        <v>2025</v>
      </c>
      <c r="E1317" s="88" t="s">
        <v>33</v>
      </c>
      <c r="F1317" s="88" t="s">
        <v>150</v>
      </c>
      <c r="G1317" s="89" t="s">
        <v>44</v>
      </c>
      <c r="H1317" s="89" t="s">
        <v>44</v>
      </c>
      <c r="I1317" s="89" t="s">
        <v>44</v>
      </c>
      <c r="J1317" s="89" t="s">
        <v>44</v>
      </c>
      <c r="K1317" s="89">
        <v>92</v>
      </c>
    </row>
    <row r="1318" ht="15.75" customHeight="1" spans="1:11">
      <c r="A1318" s="87">
        <v>1317</v>
      </c>
      <c r="B1318" s="88" t="s">
        <v>53</v>
      </c>
      <c r="C1318" s="88" t="s">
        <v>161</v>
      </c>
      <c r="D1318" s="87">
        <v>2025</v>
      </c>
      <c r="E1318" s="88" t="s">
        <v>33</v>
      </c>
      <c r="F1318" s="88" t="s">
        <v>151</v>
      </c>
      <c r="G1318" s="89" t="s">
        <v>44</v>
      </c>
      <c r="H1318" s="89" t="s">
        <v>44</v>
      </c>
      <c r="I1318" s="89" t="s">
        <v>44</v>
      </c>
      <c r="J1318" s="89" t="s">
        <v>44</v>
      </c>
      <c r="K1318" s="90">
        <v>1531452</v>
      </c>
    </row>
    <row r="1319" ht="15.75" customHeight="1" spans="1:11">
      <c r="A1319" s="87">
        <v>1318</v>
      </c>
      <c r="B1319" s="88" t="s">
        <v>53</v>
      </c>
      <c r="C1319" s="88" t="s">
        <v>161</v>
      </c>
      <c r="D1319" s="87">
        <v>2025</v>
      </c>
      <c r="E1319" s="88" t="s">
        <v>33</v>
      </c>
      <c r="F1319" s="88" t="s">
        <v>152</v>
      </c>
      <c r="G1319" s="89" t="s">
        <v>44</v>
      </c>
      <c r="H1319" s="89" t="s">
        <v>44</v>
      </c>
      <c r="I1319" s="89" t="s">
        <v>44</v>
      </c>
      <c r="J1319" s="89" t="s">
        <v>44</v>
      </c>
      <c r="K1319" s="90">
        <v>48509</v>
      </c>
    </row>
    <row r="1320" ht="15.75" customHeight="1" spans="1:11">
      <c r="A1320" s="87">
        <v>1319</v>
      </c>
      <c r="B1320" s="88" t="s">
        <v>53</v>
      </c>
      <c r="C1320" s="88" t="s">
        <v>161</v>
      </c>
      <c r="D1320" s="87">
        <v>2025</v>
      </c>
      <c r="E1320" s="88" t="s">
        <v>34</v>
      </c>
      <c r="F1320" s="88" t="s">
        <v>150</v>
      </c>
      <c r="G1320" s="89" t="s">
        <v>44</v>
      </c>
      <c r="H1320" s="89" t="s">
        <v>44</v>
      </c>
      <c r="I1320" s="89" t="s">
        <v>44</v>
      </c>
      <c r="J1320" s="89" t="s">
        <v>44</v>
      </c>
      <c r="K1320" s="89">
        <v>397</v>
      </c>
    </row>
    <row r="1321" ht="15.75" customHeight="1" spans="1:11">
      <c r="A1321" s="87">
        <v>1320</v>
      </c>
      <c r="B1321" s="88" t="s">
        <v>53</v>
      </c>
      <c r="C1321" s="88" t="s">
        <v>161</v>
      </c>
      <c r="D1321" s="87">
        <v>2025</v>
      </c>
      <c r="E1321" s="88" t="s">
        <v>34</v>
      </c>
      <c r="F1321" s="88" t="s">
        <v>151</v>
      </c>
      <c r="G1321" s="89" t="s">
        <v>44</v>
      </c>
      <c r="H1321" s="89" t="s">
        <v>44</v>
      </c>
      <c r="I1321" s="89" t="s">
        <v>44</v>
      </c>
      <c r="J1321" s="89" t="s">
        <v>44</v>
      </c>
      <c r="K1321" s="90">
        <v>1230312</v>
      </c>
    </row>
    <row r="1322" ht="15.75" customHeight="1" spans="1:11">
      <c r="A1322" s="87">
        <v>1321</v>
      </c>
      <c r="B1322" s="88" t="s">
        <v>53</v>
      </c>
      <c r="C1322" s="88" t="s">
        <v>161</v>
      </c>
      <c r="D1322" s="87">
        <v>2025</v>
      </c>
      <c r="E1322" s="88" t="s">
        <v>34</v>
      </c>
      <c r="F1322" s="88" t="s">
        <v>152</v>
      </c>
      <c r="G1322" s="89" t="s">
        <v>44</v>
      </c>
      <c r="H1322" s="89" t="s">
        <v>44</v>
      </c>
      <c r="I1322" s="89" t="s">
        <v>44</v>
      </c>
      <c r="J1322" s="89" t="s">
        <v>44</v>
      </c>
      <c r="K1322" s="90">
        <v>27178</v>
      </c>
    </row>
    <row r="1323" ht="15.75" customHeight="1" spans="1:11">
      <c r="A1323" s="87">
        <v>1322</v>
      </c>
      <c r="B1323" s="88" t="s">
        <v>53</v>
      </c>
      <c r="C1323" s="88" t="s">
        <v>161</v>
      </c>
      <c r="D1323" s="87">
        <v>2025</v>
      </c>
      <c r="E1323" s="88" t="s">
        <v>35</v>
      </c>
      <c r="F1323" s="88" t="s">
        <v>150</v>
      </c>
      <c r="G1323" s="89" t="s">
        <v>44</v>
      </c>
      <c r="H1323" s="89" t="s">
        <v>44</v>
      </c>
      <c r="I1323" s="89" t="s">
        <v>44</v>
      </c>
      <c r="J1323" s="89" t="s">
        <v>44</v>
      </c>
      <c r="K1323" s="89">
        <v>138</v>
      </c>
    </row>
    <row r="1324" ht="15.75" customHeight="1" spans="1:11">
      <c r="A1324" s="87">
        <v>1323</v>
      </c>
      <c r="B1324" s="88" t="s">
        <v>53</v>
      </c>
      <c r="C1324" s="88" t="s">
        <v>161</v>
      </c>
      <c r="D1324" s="87">
        <v>2025</v>
      </c>
      <c r="E1324" s="88" t="s">
        <v>35</v>
      </c>
      <c r="F1324" s="88" t="s">
        <v>151</v>
      </c>
      <c r="G1324" s="89" t="s">
        <v>44</v>
      </c>
      <c r="H1324" s="89" t="s">
        <v>44</v>
      </c>
      <c r="I1324" s="89" t="s">
        <v>44</v>
      </c>
      <c r="J1324" s="89" t="s">
        <v>44</v>
      </c>
      <c r="K1324" s="90">
        <v>430898</v>
      </c>
    </row>
    <row r="1325" ht="15.75" customHeight="1" spans="1:11">
      <c r="A1325" s="87">
        <v>1324</v>
      </c>
      <c r="B1325" s="88" t="s">
        <v>53</v>
      </c>
      <c r="C1325" s="88" t="s">
        <v>161</v>
      </c>
      <c r="D1325" s="87">
        <v>2025</v>
      </c>
      <c r="E1325" s="88" t="s">
        <v>35</v>
      </c>
      <c r="F1325" s="88" t="s">
        <v>152</v>
      </c>
      <c r="G1325" s="89" t="s">
        <v>44</v>
      </c>
      <c r="H1325" s="89" t="s">
        <v>44</v>
      </c>
      <c r="I1325" s="89" t="s">
        <v>44</v>
      </c>
      <c r="J1325" s="89" t="s">
        <v>44</v>
      </c>
      <c r="K1325" s="90">
        <v>15402</v>
      </c>
    </row>
    <row r="1326" ht="15.75" customHeight="1" spans="1:11">
      <c r="A1326" s="87">
        <v>1325</v>
      </c>
      <c r="B1326" s="88" t="s">
        <v>53</v>
      </c>
      <c r="C1326" s="88" t="s">
        <v>161</v>
      </c>
      <c r="D1326" s="87">
        <v>2025</v>
      </c>
      <c r="E1326" s="88" t="s">
        <v>36</v>
      </c>
      <c r="F1326" s="88" t="s">
        <v>150</v>
      </c>
      <c r="G1326" s="89" t="s">
        <v>44</v>
      </c>
      <c r="H1326" s="89" t="s">
        <v>44</v>
      </c>
      <c r="I1326" s="89" t="s">
        <v>44</v>
      </c>
      <c r="J1326" s="89" t="s">
        <v>44</v>
      </c>
      <c r="K1326" s="89">
        <v>64</v>
      </c>
    </row>
    <row r="1327" ht="15.75" customHeight="1" spans="1:11">
      <c r="A1327" s="87">
        <v>1326</v>
      </c>
      <c r="B1327" s="88" t="s">
        <v>53</v>
      </c>
      <c r="C1327" s="88" t="s">
        <v>161</v>
      </c>
      <c r="D1327" s="87">
        <v>2025</v>
      </c>
      <c r="E1327" s="88" t="s">
        <v>36</v>
      </c>
      <c r="F1327" s="88" t="s">
        <v>151</v>
      </c>
      <c r="G1327" s="89" t="s">
        <v>44</v>
      </c>
      <c r="H1327" s="89" t="s">
        <v>44</v>
      </c>
      <c r="I1327" s="89" t="s">
        <v>44</v>
      </c>
      <c r="J1327" s="89" t="s">
        <v>44</v>
      </c>
      <c r="K1327" s="90">
        <v>653321</v>
      </c>
    </row>
    <row r="1328" ht="15.75" customHeight="1" spans="1:11">
      <c r="A1328" s="87">
        <v>1327</v>
      </c>
      <c r="B1328" s="88" t="s">
        <v>53</v>
      </c>
      <c r="C1328" s="88" t="s">
        <v>161</v>
      </c>
      <c r="D1328" s="87">
        <v>2025</v>
      </c>
      <c r="E1328" s="88" t="s">
        <v>36</v>
      </c>
      <c r="F1328" s="88" t="s">
        <v>152</v>
      </c>
      <c r="G1328" s="89" t="s">
        <v>44</v>
      </c>
      <c r="H1328" s="89" t="s">
        <v>44</v>
      </c>
      <c r="I1328" s="89" t="s">
        <v>44</v>
      </c>
      <c r="J1328" s="89" t="s">
        <v>44</v>
      </c>
      <c r="K1328" s="90">
        <v>28566</v>
      </c>
    </row>
    <row r="1329" ht="15.75" customHeight="1" spans="1:11">
      <c r="A1329" s="87">
        <v>1328</v>
      </c>
      <c r="B1329" s="88" t="s">
        <v>53</v>
      </c>
      <c r="C1329" s="88" t="s">
        <v>161</v>
      </c>
      <c r="D1329" s="87">
        <v>2025</v>
      </c>
      <c r="E1329" s="88" t="s">
        <v>37</v>
      </c>
      <c r="F1329" s="88" t="s">
        <v>150</v>
      </c>
      <c r="G1329" s="89" t="s">
        <v>44</v>
      </c>
      <c r="H1329" s="89" t="s">
        <v>44</v>
      </c>
      <c r="I1329" s="89" t="s">
        <v>44</v>
      </c>
      <c r="J1329" s="89" t="s">
        <v>44</v>
      </c>
      <c r="K1329" s="89">
        <v>26</v>
      </c>
    </row>
    <row r="1330" ht="15.75" customHeight="1" spans="1:11">
      <c r="A1330" s="87">
        <v>1329</v>
      </c>
      <c r="B1330" s="88" t="s">
        <v>53</v>
      </c>
      <c r="C1330" s="88" t="s">
        <v>161</v>
      </c>
      <c r="D1330" s="87">
        <v>2025</v>
      </c>
      <c r="E1330" s="88" t="s">
        <v>37</v>
      </c>
      <c r="F1330" s="88" t="s">
        <v>151</v>
      </c>
      <c r="G1330" s="89" t="s">
        <v>44</v>
      </c>
      <c r="H1330" s="89" t="s">
        <v>44</v>
      </c>
      <c r="I1330" s="89" t="s">
        <v>44</v>
      </c>
      <c r="J1330" s="89" t="s">
        <v>44</v>
      </c>
      <c r="K1330" s="90">
        <v>690039</v>
      </c>
    </row>
    <row r="1331" ht="15.75" customHeight="1" spans="1:11">
      <c r="A1331" s="87">
        <v>1330</v>
      </c>
      <c r="B1331" s="88" t="s">
        <v>53</v>
      </c>
      <c r="C1331" s="88" t="s">
        <v>161</v>
      </c>
      <c r="D1331" s="87">
        <v>2025</v>
      </c>
      <c r="E1331" s="88" t="s">
        <v>37</v>
      </c>
      <c r="F1331" s="88" t="s">
        <v>152</v>
      </c>
      <c r="G1331" s="89" t="s">
        <v>44</v>
      </c>
      <c r="H1331" s="89" t="s">
        <v>44</v>
      </c>
      <c r="I1331" s="89" t="s">
        <v>44</v>
      </c>
      <c r="J1331" s="89" t="s">
        <v>44</v>
      </c>
      <c r="K1331" s="90">
        <v>43121</v>
      </c>
    </row>
    <row r="1332" ht="15.75" customHeight="1" spans="1:11">
      <c r="A1332" s="87">
        <v>1331</v>
      </c>
      <c r="B1332" s="88" t="s">
        <v>53</v>
      </c>
      <c r="C1332" s="88" t="s">
        <v>161</v>
      </c>
      <c r="D1332" s="87">
        <v>2025</v>
      </c>
      <c r="E1332" s="88" t="s">
        <v>38</v>
      </c>
      <c r="F1332" s="88" t="s">
        <v>150</v>
      </c>
      <c r="G1332" s="89" t="s">
        <v>44</v>
      </c>
      <c r="H1332" s="89" t="s">
        <v>44</v>
      </c>
      <c r="I1332" s="89" t="s">
        <v>44</v>
      </c>
      <c r="J1332" s="89" t="s">
        <v>44</v>
      </c>
      <c r="K1332" s="89">
        <v>119</v>
      </c>
    </row>
    <row r="1333" ht="15.75" customHeight="1" spans="1:11">
      <c r="A1333" s="87">
        <v>1332</v>
      </c>
      <c r="B1333" s="88" t="s">
        <v>53</v>
      </c>
      <c r="C1333" s="88" t="s">
        <v>161</v>
      </c>
      <c r="D1333" s="87">
        <v>2025</v>
      </c>
      <c r="E1333" s="88" t="s">
        <v>38</v>
      </c>
      <c r="F1333" s="88" t="s">
        <v>151</v>
      </c>
      <c r="G1333" s="89" t="s">
        <v>44</v>
      </c>
      <c r="H1333" s="89" t="s">
        <v>44</v>
      </c>
      <c r="I1333" s="89" t="s">
        <v>44</v>
      </c>
      <c r="J1333" s="89" t="s">
        <v>44</v>
      </c>
      <c r="K1333" s="90">
        <v>721392</v>
      </c>
    </row>
    <row r="1334" ht="15.75" customHeight="1" spans="1:11">
      <c r="A1334" s="87">
        <v>1333</v>
      </c>
      <c r="B1334" s="88" t="s">
        <v>53</v>
      </c>
      <c r="C1334" s="88" t="s">
        <v>161</v>
      </c>
      <c r="D1334" s="87">
        <v>2025</v>
      </c>
      <c r="E1334" s="88" t="s">
        <v>38</v>
      </c>
      <c r="F1334" s="88" t="s">
        <v>152</v>
      </c>
      <c r="G1334" s="89" t="s">
        <v>44</v>
      </c>
      <c r="H1334" s="89" t="s">
        <v>44</v>
      </c>
      <c r="I1334" s="89" t="s">
        <v>44</v>
      </c>
      <c r="J1334" s="89" t="s">
        <v>44</v>
      </c>
      <c r="K1334" s="90">
        <v>34985</v>
      </c>
    </row>
    <row r="1335" ht="15.75" customHeight="1" spans="1:11">
      <c r="A1335" s="87">
        <v>1334</v>
      </c>
      <c r="B1335" s="88" t="s">
        <v>53</v>
      </c>
      <c r="C1335" s="88" t="s">
        <v>161</v>
      </c>
      <c r="D1335" s="87">
        <v>2025</v>
      </c>
      <c r="E1335" s="88" t="s">
        <v>39</v>
      </c>
      <c r="F1335" s="88" t="s">
        <v>150</v>
      </c>
      <c r="G1335" s="89" t="s">
        <v>44</v>
      </c>
      <c r="H1335" s="89" t="s">
        <v>44</v>
      </c>
      <c r="I1335" s="89" t="s">
        <v>44</v>
      </c>
      <c r="J1335" s="89" t="s">
        <v>44</v>
      </c>
      <c r="K1335" s="89">
        <v>457</v>
      </c>
    </row>
    <row r="1336" ht="15.75" customHeight="1" spans="1:11">
      <c r="A1336" s="87">
        <v>1335</v>
      </c>
      <c r="B1336" s="88" t="s">
        <v>53</v>
      </c>
      <c r="C1336" s="88" t="s">
        <v>161</v>
      </c>
      <c r="D1336" s="87">
        <v>2025</v>
      </c>
      <c r="E1336" s="88" t="s">
        <v>39</v>
      </c>
      <c r="F1336" s="88" t="s">
        <v>157</v>
      </c>
      <c r="G1336" s="90">
        <v>42851</v>
      </c>
      <c r="H1336" s="89">
        <v>1</v>
      </c>
      <c r="I1336" s="89" t="s">
        <v>44</v>
      </c>
      <c r="J1336" s="89" t="s">
        <v>44</v>
      </c>
      <c r="K1336" s="90">
        <v>42851</v>
      </c>
    </row>
    <row r="1337" ht="15.75" customHeight="1" spans="1:11">
      <c r="A1337" s="87">
        <v>1336</v>
      </c>
      <c r="B1337" s="88" t="s">
        <v>53</v>
      </c>
      <c r="C1337" s="88" t="s">
        <v>161</v>
      </c>
      <c r="D1337" s="87">
        <v>2025</v>
      </c>
      <c r="E1337" s="88" t="s">
        <v>39</v>
      </c>
      <c r="F1337" s="88" t="s">
        <v>151</v>
      </c>
      <c r="G1337" s="89" t="s">
        <v>44</v>
      </c>
      <c r="H1337" s="89" t="s">
        <v>44</v>
      </c>
      <c r="I1337" s="89" t="s">
        <v>44</v>
      </c>
      <c r="J1337" s="89" t="s">
        <v>44</v>
      </c>
      <c r="K1337" s="90">
        <v>4579082</v>
      </c>
    </row>
    <row r="1338" ht="15.75" customHeight="1" spans="1:11">
      <c r="A1338" s="87">
        <v>1337</v>
      </c>
      <c r="B1338" s="88" t="s">
        <v>53</v>
      </c>
      <c r="C1338" s="88" t="s">
        <v>161</v>
      </c>
      <c r="D1338" s="87">
        <v>2025</v>
      </c>
      <c r="E1338" s="88" t="s">
        <v>39</v>
      </c>
      <c r="F1338" s="88" t="s">
        <v>152</v>
      </c>
      <c r="G1338" s="89" t="s">
        <v>44</v>
      </c>
      <c r="H1338" s="89" t="s">
        <v>44</v>
      </c>
      <c r="I1338" s="89" t="s">
        <v>44</v>
      </c>
      <c r="J1338" s="89" t="s">
        <v>44</v>
      </c>
      <c r="K1338" s="90">
        <v>199346</v>
      </c>
    </row>
    <row r="1339" ht="15.75" customHeight="1" spans="1:11">
      <c r="A1339" s="87">
        <v>1338</v>
      </c>
      <c r="B1339" s="88" t="s">
        <v>53</v>
      </c>
      <c r="C1339" s="88" t="s">
        <v>161</v>
      </c>
      <c r="D1339" s="87">
        <v>2025</v>
      </c>
      <c r="E1339" s="88" t="s">
        <v>40</v>
      </c>
      <c r="F1339" s="88" t="s">
        <v>150</v>
      </c>
      <c r="G1339" s="89" t="s">
        <v>44</v>
      </c>
      <c r="H1339" s="89" t="s">
        <v>44</v>
      </c>
      <c r="I1339" s="89" t="s">
        <v>44</v>
      </c>
      <c r="J1339" s="89" t="s">
        <v>44</v>
      </c>
      <c r="K1339" s="89">
        <v>426</v>
      </c>
    </row>
    <row r="1340" ht="15.75" customHeight="1" spans="1:11">
      <c r="A1340" s="87">
        <v>1339</v>
      </c>
      <c r="B1340" s="88" t="s">
        <v>53</v>
      </c>
      <c r="C1340" s="88" t="s">
        <v>161</v>
      </c>
      <c r="D1340" s="87">
        <v>2025</v>
      </c>
      <c r="E1340" s="88" t="s">
        <v>40</v>
      </c>
      <c r="F1340" s="88" t="s">
        <v>151</v>
      </c>
      <c r="G1340" s="89" t="s">
        <v>44</v>
      </c>
      <c r="H1340" s="89" t="s">
        <v>44</v>
      </c>
      <c r="I1340" s="89" t="s">
        <v>44</v>
      </c>
      <c r="J1340" s="89" t="s">
        <v>44</v>
      </c>
      <c r="K1340" s="90">
        <v>3086889</v>
      </c>
    </row>
    <row r="1341" ht="15.75" customHeight="1" spans="1:11">
      <c r="A1341" s="87">
        <v>1340</v>
      </c>
      <c r="B1341" s="88" t="s">
        <v>53</v>
      </c>
      <c r="C1341" s="88" t="s">
        <v>161</v>
      </c>
      <c r="D1341" s="87">
        <v>2025</v>
      </c>
      <c r="E1341" s="88" t="s">
        <v>40</v>
      </c>
      <c r="F1341" s="88" t="s">
        <v>152</v>
      </c>
      <c r="G1341" s="89" t="s">
        <v>44</v>
      </c>
      <c r="H1341" s="89" t="s">
        <v>44</v>
      </c>
      <c r="I1341" s="89" t="s">
        <v>44</v>
      </c>
      <c r="J1341" s="89" t="s">
        <v>44</v>
      </c>
      <c r="K1341" s="90">
        <v>116476</v>
      </c>
    </row>
    <row r="1342" ht="15.75" customHeight="1" spans="1:11">
      <c r="A1342" s="87">
        <v>1341</v>
      </c>
      <c r="B1342" s="88" t="s">
        <v>53</v>
      </c>
      <c r="C1342" s="88" t="s">
        <v>161</v>
      </c>
      <c r="D1342" s="87">
        <v>2025</v>
      </c>
      <c r="E1342" s="88" t="s">
        <v>41</v>
      </c>
      <c r="F1342" s="88" t="s">
        <v>149</v>
      </c>
      <c r="G1342" s="89" t="s">
        <v>44</v>
      </c>
      <c r="H1342" s="89">
        <v>4</v>
      </c>
      <c r="I1342" s="90">
        <v>159405</v>
      </c>
      <c r="J1342" s="89">
        <v>2</v>
      </c>
      <c r="K1342" s="90">
        <v>8608</v>
      </c>
    </row>
    <row r="1343" ht="15.75" customHeight="1" spans="1:11">
      <c r="A1343" s="87">
        <v>1342</v>
      </c>
      <c r="B1343" s="88" t="s">
        <v>53</v>
      </c>
      <c r="C1343" s="88" t="s">
        <v>161</v>
      </c>
      <c r="D1343" s="87">
        <v>2025</v>
      </c>
      <c r="E1343" s="88" t="s">
        <v>41</v>
      </c>
      <c r="F1343" s="88" t="s">
        <v>150</v>
      </c>
      <c r="G1343" s="89" t="s">
        <v>44</v>
      </c>
      <c r="H1343" s="89" t="s">
        <v>44</v>
      </c>
      <c r="I1343" s="89" t="s">
        <v>44</v>
      </c>
      <c r="J1343" s="89" t="s">
        <v>44</v>
      </c>
      <c r="K1343" s="89">
        <v>101</v>
      </c>
    </row>
    <row r="1344" ht="15.75" customHeight="1" spans="1:11">
      <c r="A1344" s="87">
        <v>1343</v>
      </c>
      <c r="B1344" s="88" t="s">
        <v>53</v>
      </c>
      <c r="C1344" s="88" t="s">
        <v>161</v>
      </c>
      <c r="D1344" s="87">
        <v>2025</v>
      </c>
      <c r="E1344" s="88" t="s">
        <v>41</v>
      </c>
      <c r="F1344" s="88" t="s">
        <v>151</v>
      </c>
      <c r="G1344" s="89" t="s">
        <v>44</v>
      </c>
      <c r="H1344" s="89" t="s">
        <v>44</v>
      </c>
      <c r="I1344" s="89" t="s">
        <v>44</v>
      </c>
      <c r="J1344" s="89" t="s">
        <v>44</v>
      </c>
      <c r="K1344" s="90">
        <v>3280983</v>
      </c>
    </row>
    <row r="1345" ht="15.75" customHeight="1" spans="1:11">
      <c r="A1345" s="87">
        <v>1344</v>
      </c>
      <c r="B1345" s="88" t="s">
        <v>53</v>
      </c>
      <c r="C1345" s="88" t="s">
        <v>161</v>
      </c>
      <c r="D1345" s="87">
        <v>2025</v>
      </c>
      <c r="E1345" s="88" t="s">
        <v>41</v>
      </c>
      <c r="F1345" s="88" t="s">
        <v>152</v>
      </c>
      <c r="G1345" s="89" t="s">
        <v>44</v>
      </c>
      <c r="H1345" s="89" t="s">
        <v>44</v>
      </c>
      <c r="I1345" s="89" t="s">
        <v>44</v>
      </c>
      <c r="J1345" s="89" t="s">
        <v>44</v>
      </c>
      <c r="K1345" s="90">
        <v>143737</v>
      </c>
    </row>
    <row r="1346" ht="15.75" customHeight="1" spans="1:11">
      <c r="A1346" s="87">
        <v>1345</v>
      </c>
      <c r="B1346" s="88" t="s">
        <v>53</v>
      </c>
      <c r="C1346" s="88" t="s">
        <v>161</v>
      </c>
      <c r="D1346" s="87">
        <v>2025</v>
      </c>
      <c r="E1346" s="88" t="s">
        <v>42</v>
      </c>
      <c r="F1346" s="88" t="s">
        <v>149</v>
      </c>
      <c r="G1346" s="89" t="s">
        <v>44</v>
      </c>
      <c r="H1346" s="89">
        <v>8</v>
      </c>
      <c r="I1346" s="90">
        <v>422950</v>
      </c>
      <c r="J1346" s="89">
        <v>6</v>
      </c>
      <c r="K1346" s="90">
        <v>19300</v>
      </c>
    </row>
    <row r="1347" ht="15.75" customHeight="1" spans="1:11">
      <c r="A1347" s="87">
        <v>1346</v>
      </c>
      <c r="B1347" s="88" t="s">
        <v>53</v>
      </c>
      <c r="C1347" s="88" t="s">
        <v>161</v>
      </c>
      <c r="D1347" s="87">
        <v>2025</v>
      </c>
      <c r="E1347" s="88" t="s">
        <v>42</v>
      </c>
      <c r="F1347" s="88" t="s">
        <v>150</v>
      </c>
      <c r="G1347" s="89" t="s">
        <v>44</v>
      </c>
      <c r="H1347" s="89" t="s">
        <v>44</v>
      </c>
      <c r="I1347" s="89" t="s">
        <v>44</v>
      </c>
      <c r="J1347" s="89" t="s">
        <v>44</v>
      </c>
      <c r="K1347" s="90">
        <v>25177</v>
      </c>
    </row>
    <row r="1348" ht="15.75" customHeight="1" spans="1:11">
      <c r="A1348" s="87">
        <v>1347</v>
      </c>
      <c r="B1348" s="88" t="s">
        <v>53</v>
      </c>
      <c r="C1348" s="88" t="s">
        <v>161</v>
      </c>
      <c r="D1348" s="87">
        <v>2025</v>
      </c>
      <c r="E1348" s="88" t="s">
        <v>42</v>
      </c>
      <c r="F1348" s="88" t="s">
        <v>151</v>
      </c>
      <c r="G1348" s="89" t="s">
        <v>44</v>
      </c>
      <c r="H1348" s="89" t="s">
        <v>44</v>
      </c>
      <c r="I1348" s="89" t="s">
        <v>44</v>
      </c>
      <c r="J1348" s="89" t="s">
        <v>44</v>
      </c>
      <c r="K1348" s="90">
        <v>2326363</v>
      </c>
    </row>
    <row r="1349" ht="15.75" customHeight="1" spans="1:11">
      <c r="A1349" s="87">
        <v>1348</v>
      </c>
      <c r="B1349" s="88" t="s">
        <v>53</v>
      </c>
      <c r="C1349" s="88" t="s">
        <v>161</v>
      </c>
      <c r="D1349" s="87">
        <v>2025</v>
      </c>
      <c r="E1349" s="88" t="s">
        <v>42</v>
      </c>
      <c r="F1349" s="88" t="s">
        <v>152</v>
      </c>
      <c r="G1349" s="89" t="s">
        <v>44</v>
      </c>
      <c r="H1349" s="89" t="s">
        <v>44</v>
      </c>
      <c r="I1349" s="89" t="s">
        <v>44</v>
      </c>
      <c r="J1349" s="89" t="s">
        <v>44</v>
      </c>
      <c r="K1349" s="90">
        <v>70031</v>
      </c>
    </row>
    <row r="1350" ht="15.75" customHeight="1" spans="1:11">
      <c r="A1350" s="87">
        <v>1349</v>
      </c>
      <c r="B1350" s="88" t="s">
        <v>53</v>
      </c>
      <c r="C1350" s="88" t="s">
        <v>161</v>
      </c>
      <c r="D1350" s="87">
        <v>2025</v>
      </c>
      <c r="E1350" s="88" t="s">
        <v>43</v>
      </c>
      <c r="F1350" s="88" t="s">
        <v>149</v>
      </c>
      <c r="G1350" s="89" t="s">
        <v>44</v>
      </c>
      <c r="H1350" s="89">
        <v>3</v>
      </c>
      <c r="I1350" s="90">
        <v>98452</v>
      </c>
      <c r="J1350" s="89">
        <v>3</v>
      </c>
      <c r="K1350" s="90">
        <v>5316</v>
      </c>
    </row>
    <row r="1351" ht="15.75" customHeight="1" spans="1:11">
      <c r="A1351" s="87">
        <v>1350</v>
      </c>
      <c r="B1351" s="88" t="s">
        <v>53</v>
      </c>
      <c r="C1351" s="88" t="s">
        <v>161</v>
      </c>
      <c r="D1351" s="87">
        <v>2025</v>
      </c>
      <c r="E1351" s="88" t="s">
        <v>43</v>
      </c>
      <c r="F1351" s="88" t="s">
        <v>150</v>
      </c>
      <c r="G1351" s="89" t="s">
        <v>44</v>
      </c>
      <c r="H1351" s="89" t="s">
        <v>44</v>
      </c>
      <c r="I1351" s="89" t="s">
        <v>44</v>
      </c>
      <c r="J1351" s="89" t="s">
        <v>44</v>
      </c>
      <c r="K1351" s="90">
        <v>23513</v>
      </c>
    </row>
    <row r="1352" ht="15.75" customHeight="1" spans="1:11">
      <c r="A1352" s="87">
        <v>1351</v>
      </c>
      <c r="B1352" s="88" t="s">
        <v>53</v>
      </c>
      <c r="C1352" s="88" t="s">
        <v>161</v>
      </c>
      <c r="D1352" s="87">
        <v>2025</v>
      </c>
      <c r="E1352" s="88" t="s">
        <v>43</v>
      </c>
      <c r="F1352" s="88" t="s">
        <v>155</v>
      </c>
      <c r="G1352" s="90">
        <v>42938</v>
      </c>
      <c r="H1352" s="89">
        <v>1</v>
      </c>
      <c r="I1352" s="89" t="s">
        <v>44</v>
      </c>
      <c r="J1352" s="89" t="s">
        <v>44</v>
      </c>
      <c r="K1352" s="90">
        <v>42938</v>
      </c>
    </row>
    <row r="1353" ht="15.75" customHeight="1" spans="1:11">
      <c r="A1353" s="87">
        <v>1352</v>
      </c>
      <c r="B1353" s="88" t="s">
        <v>53</v>
      </c>
      <c r="C1353" s="88" t="s">
        <v>161</v>
      </c>
      <c r="D1353" s="87">
        <v>2025</v>
      </c>
      <c r="E1353" s="88" t="s">
        <v>43</v>
      </c>
      <c r="F1353" s="88" t="s">
        <v>151</v>
      </c>
      <c r="G1353" s="89" t="s">
        <v>44</v>
      </c>
      <c r="H1353" s="89" t="s">
        <v>44</v>
      </c>
      <c r="I1353" s="89" t="s">
        <v>44</v>
      </c>
      <c r="J1353" s="89" t="s">
        <v>44</v>
      </c>
      <c r="K1353" s="90">
        <v>4806350</v>
      </c>
    </row>
    <row r="1354" ht="15.75" customHeight="1" spans="1:11">
      <c r="A1354" s="87">
        <v>1353</v>
      </c>
      <c r="B1354" s="88" t="s">
        <v>53</v>
      </c>
      <c r="C1354" s="88" t="s">
        <v>161</v>
      </c>
      <c r="D1354" s="87">
        <v>2025</v>
      </c>
      <c r="E1354" s="88" t="s">
        <v>43</v>
      </c>
      <c r="F1354" s="88" t="s">
        <v>152</v>
      </c>
      <c r="G1354" s="89" t="s">
        <v>44</v>
      </c>
      <c r="H1354" s="89" t="s">
        <v>44</v>
      </c>
      <c r="I1354" s="89" t="s">
        <v>44</v>
      </c>
      <c r="J1354" s="89" t="s">
        <v>44</v>
      </c>
      <c r="K1354" s="90">
        <v>181461</v>
      </c>
    </row>
    <row r="1355" ht="15.75" customHeight="1" spans="1:11">
      <c r="A1355" s="87">
        <v>1354</v>
      </c>
      <c r="B1355" s="88" t="s">
        <v>53</v>
      </c>
      <c r="C1355" s="88" t="s">
        <v>161</v>
      </c>
      <c r="D1355" s="87">
        <v>2026</v>
      </c>
      <c r="E1355" s="88" t="s">
        <v>31</v>
      </c>
      <c r="F1355" s="88" t="s">
        <v>149</v>
      </c>
      <c r="G1355" s="89" t="s">
        <v>44</v>
      </c>
      <c r="H1355" s="89">
        <v>1</v>
      </c>
      <c r="I1355" s="90">
        <v>25486</v>
      </c>
      <c r="J1355" s="89">
        <v>1</v>
      </c>
      <c r="K1355" s="90">
        <v>1376</v>
      </c>
    </row>
    <row r="1356" ht="15.75" customHeight="1" spans="1:11">
      <c r="A1356" s="87">
        <v>1355</v>
      </c>
      <c r="B1356" s="88" t="s">
        <v>53</v>
      </c>
      <c r="C1356" s="88" t="s">
        <v>161</v>
      </c>
      <c r="D1356" s="87">
        <v>2026</v>
      </c>
      <c r="E1356" s="88" t="s">
        <v>31</v>
      </c>
      <c r="F1356" s="88" t="s">
        <v>150</v>
      </c>
      <c r="G1356" s="89" t="s">
        <v>44</v>
      </c>
      <c r="H1356" s="89" t="s">
        <v>44</v>
      </c>
      <c r="I1356" s="89" t="s">
        <v>44</v>
      </c>
      <c r="J1356" s="89" t="s">
        <v>44</v>
      </c>
      <c r="K1356" s="90">
        <v>24551</v>
      </c>
    </row>
    <row r="1357" ht="15.75" customHeight="1" spans="1:11">
      <c r="A1357" s="87">
        <v>1356</v>
      </c>
      <c r="B1357" s="88" t="s">
        <v>53</v>
      </c>
      <c r="C1357" s="88" t="s">
        <v>161</v>
      </c>
      <c r="D1357" s="87">
        <v>2026</v>
      </c>
      <c r="E1357" s="88" t="s">
        <v>31</v>
      </c>
      <c r="F1357" s="88" t="s">
        <v>151</v>
      </c>
      <c r="G1357" s="89" t="s">
        <v>44</v>
      </c>
      <c r="H1357" s="89" t="s">
        <v>44</v>
      </c>
      <c r="I1357" s="89" t="s">
        <v>44</v>
      </c>
      <c r="J1357" s="89" t="s">
        <v>44</v>
      </c>
      <c r="K1357" s="90">
        <v>3080015</v>
      </c>
    </row>
    <row r="1358" ht="15.75" customHeight="1" spans="1:11">
      <c r="A1358" s="87">
        <v>1357</v>
      </c>
      <c r="B1358" s="88" t="s">
        <v>53</v>
      </c>
      <c r="C1358" s="88" t="s">
        <v>161</v>
      </c>
      <c r="D1358" s="87">
        <v>2026</v>
      </c>
      <c r="E1358" s="88" t="s">
        <v>31</v>
      </c>
      <c r="F1358" s="88" t="s">
        <v>152</v>
      </c>
      <c r="G1358" s="89" t="s">
        <v>44</v>
      </c>
      <c r="H1358" s="89" t="s">
        <v>44</v>
      </c>
      <c r="I1358" s="89" t="s">
        <v>44</v>
      </c>
      <c r="J1358" s="89" t="s">
        <v>44</v>
      </c>
      <c r="K1358" s="90">
        <v>100154</v>
      </c>
    </row>
    <row r="1359" ht="15.75" customHeight="1" spans="1:11">
      <c r="A1359" s="87">
        <v>1358</v>
      </c>
      <c r="B1359" s="88" t="s">
        <v>53</v>
      </c>
      <c r="C1359" s="88" t="s">
        <v>141</v>
      </c>
      <c r="D1359" s="87">
        <v>2026</v>
      </c>
      <c r="E1359" s="88" t="s">
        <v>33</v>
      </c>
      <c r="F1359" s="88" t="s">
        <v>149</v>
      </c>
      <c r="G1359" s="89" t="s">
        <v>44</v>
      </c>
      <c r="H1359" s="89">
        <v>3</v>
      </c>
      <c r="I1359" s="90">
        <v>53145</v>
      </c>
      <c r="J1359" s="89">
        <v>3</v>
      </c>
      <c r="K1359" s="90">
        <v>2419</v>
      </c>
    </row>
    <row r="1360" ht="15.75" customHeight="1" spans="1:11">
      <c r="A1360" s="87">
        <v>1359</v>
      </c>
      <c r="B1360" s="88" t="s">
        <v>53</v>
      </c>
      <c r="C1360" s="88" t="s">
        <v>141</v>
      </c>
      <c r="D1360" s="87">
        <v>2026</v>
      </c>
      <c r="E1360" s="88" t="s">
        <v>33</v>
      </c>
      <c r="F1360" s="88" t="s">
        <v>152</v>
      </c>
      <c r="G1360" s="89" t="s">
        <v>44</v>
      </c>
      <c r="H1360" s="89" t="s">
        <v>44</v>
      </c>
      <c r="I1360" s="89" t="s">
        <v>44</v>
      </c>
      <c r="J1360" s="89" t="s">
        <v>44</v>
      </c>
      <c r="K1360" s="90">
        <v>165056</v>
      </c>
    </row>
    <row r="1361" ht="15.75" customHeight="1" spans="1:11">
      <c r="A1361" s="87">
        <v>1360</v>
      </c>
      <c r="B1361" s="88" t="s">
        <v>53</v>
      </c>
      <c r="C1361" s="88" t="s">
        <v>141</v>
      </c>
      <c r="D1361" s="87">
        <v>2026</v>
      </c>
      <c r="E1361" s="88" t="s">
        <v>33</v>
      </c>
      <c r="F1361" s="88" t="s">
        <v>150</v>
      </c>
      <c r="G1361" s="89" t="s">
        <v>44</v>
      </c>
      <c r="H1361" s="89" t="s">
        <v>44</v>
      </c>
      <c r="I1361" s="89" t="s">
        <v>44</v>
      </c>
      <c r="J1361" s="89" t="s">
        <v>44</v>
      </c>
      <c r="K1361" s="90">
        <v>15714</v>
      </c>
    </row>
    <row r="1362" ht="15.75" customHeight="1" spans="1:11">
      <c r="A1362" s="87">
        <v>1361</v>
      </c>
      <c r="B1362" s="88" t="s">
        <v>53</v>
      </c>
      <c r="C1362" s="88" t="s">
        <v>141</v>
      </c>
      <c r="D1362" s="87">
        <v>2026</v>
      </c>
      <c r="E1362" s="88" t="s">
        <v>33</v>
      </c>
      <c r="F1362" s="88" t="s">
        <v>151</v>
      </c>
      <c r="G1362" s="89" t="s">
        <v>44</v>
      </c>
      <c r="H1362" s="89" t="s">
        <v>44</v>
      </c>
      <c r="I1362" s="89" t="s">
        <v>44</v>
      </c>
      <c r="J1362" s="89" t="s">
        <v>44</v>
      </c>
      <c r="K1362" s="90">
        <v>4323693</v>
      </c>
    </row>
    <row r="1363" ht="15.75" customHeight="1" spans="1:11">
      <c r="A1363" s="87">
        <v>1362</v>
      </c>
      <c r="B1363" s="88" t="s">
        <v>53</v>
      </c>
      <c r="C1363" s="88" t="s">
        <v>141</v>
      </c>
      <c r="D1363" s="87">
        <v>2026</v>
      </c>
      <c r="E1363" s="88" t="s">
        <v>34</v>
      </c>
      <c r="F1363" s="88" t="s">
        <v>149</v>
      </c>
      <c r="G1363" s="89" t="s">
        <v>44</v>
      </c>
      <c r="H1363" s="89">
        <v>4</v>
      </c>
      <c r="I1363" s="90">
        <v>175370</v>
      </c>
      <c r="J1363" s="89">
        <v>3</v>
      </c>
      <c r="K1363" s="90">
        <v>28506</v>
      </c>
    </row>
    <row r="1364" ht="15.75" customHeight="1" spans="1:11">
      <c r="A1364" s="87">
        <v>1363</v>
      </c>
      <c r="B1364" s="88" t="s">
        <v>53</v>
      </c>
      <c r="C1364" s="88" t="s">
        <v>141</v>
      </c>
      <c r="D1364" s="87">
        <v>2026</v>
      </c>
      <c r="E1364" s="88" t="s">
        <v>34</v>
      </c>
      <c r="F1364" s="88" t="s">
        <v>152</v>
      </c>
      <c r="G1364" s="89" t="s">
        <v>44</v>
      </c>
      <c r="H1364" s="89" t="s">
        <v>44</v>
      </c>
      <c r="I1364" s="89" t="s">
        <v>44</v>
      </c>
      <c r="J1364" s="89" t="s">
        <v>44</v>
      </c>
      <c r="K1364" s="90">
        <v>96073</v>
      </c>
    </row>
    <row r="1365" ht="15.75" customHeight="1" spans="1:11">
      <c r="A1365" s="87">
        <v>1364</v>
      </c>
      <c r="B1365" s="88" t="s">
        <v>53</v>
      </c>
      <c r="C1365" s="88" t="s">
        <v>141</v>
      </c>
      <c r="D1365" s="87">
        <v>2026</v>
      </c>
      <c r="E1365" s="88" t="s">
        <v>34</v>
      </c>
      <c r="F1365" s="88" t="s">
        <v>150</v>
      </c>
      <c r="G1365" s="89" t="s">
        <v>44</v>
      </c>
      <c r="H1365" s="89" t="s">
        <v>44</v>
      </c>
      <c r="I1365" s="89" t="s">
        <v>44</v>
      </c>
      <c r="J1365" s="89" t="s">
        <v>44</v>
      </c>
      <c r="K1365" s="90">
        <v>13687</v>
      </c>
    </row>
    <row r="1366" ht="15.75" customHeight="1" spans="1:11">
      <c r="A1366" s="87">
        <v>1365</v>
      </c>
      <c r="B1366" s="88" t="s">
        <v>53</v>
      </c>
      <c r="C1366" s="88" t="s">
        <v>141</v>
      </c>
      <c r="D1366" s="87">
        <v>2026</v>
      </c>
      <c r="E1366" s="88" t="s">
        <v>34</v>
      </c>
      <c r="F1366" s="88" t="s">
        <v>151</v>
      </c>
      <c r="G1366" s="89" t="s">
        <v>44</v>
      </c>
      <c r="H1366" s="89" t="s">
        <v>44</v>
      </c>
      <c r="I1366" s="89" t="s">
        <v>44</v>
      </c>
      <c r="J1366" s="89" t="s">
        <v>44</v>
      </c>
      <c r="K1366" s="90">
        <v>4161890</v>
      </c>
    </row>
    <row r="1367" ht="15.75" customHeight="1" spans="1:11">
      <c r="A1367" s="87">
        <v>1366</v>
      </c>
      <c r="B1367" s="88" t="s">
        <v>53</v>
      </c>
      <c r="C1367" s="88" t="s">
        <v>142</v>
      </c>
      <c r="D1367" s="87">
        <v>2024</v>
      </c>
      <c r="E1367" s="88" t="s">
        <v>31</v>
      </c>
      <c r="F1367" s="88" t="s">
        <v>44</v>
      </c>
      <c r="G1367" s="89" t="s">
        <v>44</v>
      </c>
      <c r="H1367" s="89" t="s">
        <v>44</v>
      </c>
      <c r="I1367" s="89" t="s">
        <v>44</v>
      </c>
      <c r="J1367" s="89" t="s">
        <v>44</v>
      </c>
      <c r="K1367" s="89" t="s">
        <v>44</v>
      </c>
    </row>
    <row r="1368" ht="15.75" customHeight="1" spans="1:11">
      <c r="A1368" s="87">
        <v>1367</v>
      </c>
      <c r="B1368" s="88" t="s">
        <v>53</v>
      </c>
      <c r="C1368" s="88" t="s">
        <v>142</v>
      </c>
      <c r="D1368" s="87">
        <v>2024</v>
      </c>
      <c r="E1368" s="88" t="s">
        <v>33</v>
      </c>
      <c r="F1368" s="88" t="s">
        <v>44</v>
      </c>
      <c r="G1368" s="89" t="s">
        <v>44</v>
      </c>
      <c r="H1368" s="89" t="s">
        <v>44</v>
      </c>
      <c r="I1368" s="89" t="s">
        <v>44</v>
      </c>
      <c r="J1368" s="89" t="s">
        <v>44</v>
      </c>
      <c r="K1368" s="89" t="s">
        <v>44</v>
      </c>
    </row>
    <row r="1369" ht="15.75" customHeight="1" spans="1:11">
      <c r="A1369" s="87">
        <v>1368</v>
      </c>
      <c r="B1369" s="88" t="s">
        <v>53</v>
      </c>
      <c r="C1369" s="88" t="s">
        <v>142</v>
      </c>
      <c r="D1369" s="87">
        <v>2024</v>
      </c>
      <c r="E1369" s="88" t="s">
        <v>34</v>
      </c>
      <c r="F1369" s="88" t="s">
        <v>44</v>
      </c>
      <c r="G1369" s="89" t="s">
        <v>44</v>
      </c>
      <c r="H1369" s="89" t="s">
        <v>44</v>
      </c>
      <c r="I1369" s="89" t="s">
        <v>44</v>
      </c>
      <c r="J1369" s="89" t="s">
        <v>44</v>
      </c>
      <c r="K1369" s="89" t="s">
        <v>44</v>
      </c>
    </row>
    <row r="1370" ht="15.75" customHeight="1" spans="1:11">
      <c r="A1370" s="87">
        <v>1369</v>
      </c>
      <c r="B1370" s="88" t="s">
        <v>53</v>
      </c>
      <c r="C1370" s="88" t="s">
        <v>142</v>
      </c>
      <c r="D1370" s="87">
        <v>2024</v>
      </c>
      <c r="E1370" s="88" t="s">
        <v>35</v>
      </c>
      <c r="F1370" s="88" t="s">
        <v>44</v>
      </c>
      <c r="G1370" s="89" t="s">
        <v>44</v>
      </c>
      <c r="H1370" s="89" t="s">
        <v>44</v>
      </c>
      <c r="I1370" s="89" t="s">
        <v>44</v>
      </c>
      <c r="J1370" s="89" t="s">
        <v>44</v>
      </c>
      <c r="K1370" s="89" t="s">
        <v>44</v>
      </c>
    </row>
    <row r="1371" ht="15.75" customHeight="1" spans="1:11">
      <c r="A1371" s="87">
        <v>1370</v>
      </c>
      <c r="B1371" s="88" t="s">
        <v>53</v>
      </c>
      <c r="C1371" s="88" t="s">
        <v>142</v>
      </c>
      <c r="D1371" s="87">
        <v>2024</v>
      </c>
      <c r="E1371" s="88" t="s">
        <v>36</v>
      </c>
      <c r="F1371" s="88" t="s">
        <v>44</v>
      </c>
      <c r="G1371" s="89" t="s">
        <v>44</v>
      </c>
      <c r="H1371" s="89" t="s">
        <v>44</v>
      </c>
      <c r="I1371" s="89" t="s">
        <v>44</v>
      </c>
      <c r="J1371" s="89" t="s">
        <v>44</v>
      </c>
      <c r="K1371" s="89" t="s">
        <v>44</v>
      </c>
    </row>
    <row r="1372" ht="15.75" customHeight="1" spans="1:11">
      <c r="A1372" s="87">
        <v>1371</v>
      </c>
      <c r="B1372" s="88" t="s">
        <v>53</v>
      </c>
      <c r="C1372" s="88" t="s">
        <v>142</v>
      </c>
      <c r="D1372" s="87">
        <v>2024</v>
      </c>
      <c r="E1372" s="88" t="s">
        <v>37</v>
      </c>
      <c r="F1372" s="88" t="s">
        <v>44</v>
      </c>
      <c r="G1372" s="89" t="s">
        <v>44</v>
      </c>
      <c r="H1372" s="89" t="s">
        <v>44</v>
      </c>
      <c r="I1372" s="89" t="s">
        <v>44</v>
      </c>
      <c r="J1372" s="89" t="s">
        <v>44</v>
      </c>
      <c r="K1372" s="89" t="s">
        <v>44</v>
      </c>
    </row>
    <row r="1373" ht="15.75" customHeight="1" spans="1:11">
      <c r="A1373" s="87">
        <v>1372</v>
      </c>
      <c r="B1373" s="88" t="s">
        <v>53</v>
      </c>
      <c r="C1373" s="88" t="s">
        <v>142</v>
      </c>
      <c r="D1373" s="87">
        <v>2024</v>
      </c>
      <c r="E1373" s="88" t="s">
        <v>38</v>
      </c>
      <c r="F1373" s="88" t="s">
        <v>44</v>
      </c>
      <c r="G1373" s="89" t="s">
        <v>44</v>
      </c>
      <c r="H1373" s="89" t="s">
        <v>44</v>
      </c>
      <c r="I1373" s="89" t="s">
        <v>44</v>
      </c>
      <c r="J1373" s="89" t="s">
        <v>44</v>
      </c>
      <c r="K1373" s="89" t="s">
        <v>44</v>
      </c>
    </row>
    <row r="1374" ht="15.75" customHeight="1" spans="1:11">
      <c r="A1374" s="87">
        <v>1373</v>
      </c>
      <c r="B1374" s="88" t="s">
        <v>53</v>
      </c>
      <c r="C1374" s="88" t="s">
        <v>142</v>
      </c>
      <c r="D1374" s="87">
        <v>2024</v>
      </c>
      <c r="E1374" s="88" t="s">
        <v>39</v>
      </c>
      <c r="F1374" s="88" t="s">
        <v>44</v>
      </c>
      <c r="G1374" s="89" t="s">
        <v>44</v>
      </c>
      <c r="H1374" s="89" t="s">
        <v>44</v>
      </c>
      <c r="I1374" s="89" t="s">
        <v>44</v>
      </c>
      <c r="J1374" s="89" t="s">
        <v>44</v>
      </c>
      <c r="K1374" s="89" t="s">
        <v>44</v>
      </c>
    </row>
    <row r="1375" ht="15.75" customHeight="1" spans="1:11">
      <c r="A1375" s="87">
        <v>1374</v>
      </c>
      <c r="B1375" s="88" t="s">
        <v>53</v>
      </c>
      <c r="C1375" s="88" t="s">
        <v>142</v>
      </c>
      <c r="D1375" s="87">
        <v>2024</v>
      </c>
      <c r="E1375" s="88" t="s">
        <v>40</v>
      </c>
      <c r="F1375" s="88" t="s">
        <v>150</v>
      </c>
      <c r="G1375" s="89" t="s">
        <v>44</v>
      </c>
      <c r="H1375" s="89" t="s">
        <v>44</v>
      </c>
      <c r="I1375" s="89" t="s">
        <v>44</v>
      </c>
      <c r="J1375" s="89" t="s">
        <v>44</v>
      </c>
      <c r="K1375" s="90">
        <v>1466</v>
      </c>
    </row>
    <row r="1376" ht="15.75" customHeight="1" spans="1:11">
      <c r="A1376" s="87">
        <v>1375</v>
      </c>
      <c r="B1376" s="88" t="s">
        <v>53</v>
      </c>
      <c r="C1376" s="88" t="s">
        <v>142</v>
      </c>
      <c r="D1376" s="87">
        <v>2024</v>
      </c>
      <c r="E1376" s="88" t="s">
        <v>40</v>
      </c>
      <c r="F1376" s="88" t="s">
        <v>152</v>
      </c>
      <c r="G1376" s="89" t="s">
        <v>44</v>
      </c>
      <c r="H1376" s="89" t="s">
        <v>44</v>
      </c>
      <c r="I1376" s="89" t="s">
        <v>44</v>
      </c>
      <c r="J1376" s="89" t="s">
        <v>44</v>
      </c>
      <c r="K1376" s="89">
        <v>97</v>
      </c>
    </row>
    <row r="1377" ht="15.75" customHeight="1" spans="1:11">
      <c r="A1377" s="87">
        <v>1376</v>
      </c>
      <c r="B1377" s="88" t="s">
        <v>53</v>
      </c>
      <c r="C1377" s="88" t="s">
        <v>142</v>
      </c>
      <c r="D1377" s="87">
        <v>2024</v>
      </c>
      <c r="E1377" s="88" t="s">
        <v>41</v>
      </c>
      <c r="F1377" s="88" t="s">
        <v>150</v>
      </c>
      <c r="G1377" s="89" t="s">
        <v>44</v>
      </c>
      <c r="H1377" s="89" t="s">
        <v>44</v>
      </c>
      <c r="I1377" s="89" t="s">
        <v>44</v>
      </c>
      <c r="J1377" s="89" t="s">
        <v>44</v>
      </c>
      <c r="K1377" s="89">
        <v>162</v>
      </c>
    </row>
    <row r="1378" ht="15.75" customHeight="1" spans="1:11">
      <c r="A1378" s="87">
        <v>1377</v>
      </c>
      <c r="B1378" s="88" t="s">
        <v>53</v>
      </c>
      <c r="C1378" s="88" t="s">
        <v>142</v>
      </c>
      <c r="D1378" s="87">
        <v>2024</v>
      </c>
      <c r="E1378" s="88" t="s">
        <v>41</v>
      </c>
      <c r="F1378" s="88" t="s">
        <v>152</v>
      </c>
      <c r="G1378" s="89" t="s">
        <v>44</v>
      </c>
      <c r="H1378" s="89" t="s">
        <v>44</v>
      </c>
      <c r="I1378" s="89" t="s">
        <v>44</v>
      </c>
      <c r="J1378" s="89" t="s">
        <v>44</v>
      </c>
      <c r="K1378" s="89">
        <v>8</v>
      </c>
    </row>
    <row r="1379" ht="15.75" customHeight="1" spans="1:11">
      <c r="A1379" s="87">
        <v>1378</v>
      </c>
      <c r="B1379" s="88" t="s">
        <v>53</v>
      </c>
      <c r="C1379" s="88" t="s">
        <v>142</v>
      </c>
      <c r="D1379" s="87">
        <v>2024</v>
      </c>
      <c r="E1379" s="88" t="s">
        <v>42</v>
      </c>
      <c r="F1379" s="88" t="s">
        <v>150</v>
      </c>
      <c r="G1379" s="89" t="s">
        <v>44</v>
      </c>
      <c r="H1379" s="89" t="s">
        <v>44</v>
      </c>
      <c r="I1379" s="89" t="s">
        <v>44</v>
      </c>
      <c r="J1379" s="89" t="s">
        <v>44</v>
      </c>
      <c r="K1379" s="89">
        <v>142</v>
      </c>
    </row>
    <row r="1380" ht="15.75" customHeight="1" spans="1:11">
      <c r="A1380" s="87">
        <v>1379</v>
      </c>
      <c r="B1380" s="88" t="s">
        <v>53</v>
      </c>
      <c r="C1380" s="88" t="s">
        <v>142</v>
      </c>
      <c r="D1380" s="87">
        <v>2024</v>
      </c>
      <c r="E1380" s="88" t="s">
        <v>42</v>
      </c>
      <c r="F1380" s="88" t="s">
        <v>152</v>
      </c>
      <c r="G1380" s="89" t="s">
        <v>44</v>
      </c>
      <c r="H1380" s="89" t="s">
        <v>44</v>
      </c>
      <c r="I1380" s="89" t="s">
        <v>44</v>
      </c>
      <c r="J1380" s="89" t="s">
        <v>44</v>
      </c>
      <c r="K1380" s="89">
        <v>9</v>
      </c>
    </row>
    <row r="1381" ht="15.75" customHeight="1" spans="1:11">
      <c r="A1381" s="87">
        <v>1380</v>
      </c>
      <c r="B1381" s="88" t="s">
        <v>53</v>
      </c>
      <c r="C1381" s="88" t="s">
        <v>142</v>
      </c>
      <c r="D1381" s="87">
        <v>2024</v>
      </c>
      <c r="E1381" s="88" t="s">
        <v>43</v>
      </c>
      <c r="F1381" s="88" t="s">
        <v>150</v>
      </c>
      <c r="G1381" s="89" t="s">
        <v>44</v>
      </c>
      <c r="H1381" s="89" t="s">
        <v>44</v>
      </c>
      <c r="I1381" s="89" t="s">
        <v>44</v>
      </c>
      <c r="J1381" s="89" t="s">
        <v>44</v>
      </c>
      <c r="K1381" s="89">
        <v>109</v>
      </c>
    </row>
    <row r="1382" ht="15.75" customHeight="1" spans="1:11">
      <c r="A1382" s="87">
        <v>1381</v>
      </c>
      <c r="B1382" s="88" t="s">
        <v>53</v>
      </c>
      <c r="C1382" s="88" t="s">
        <v>142</v>
      </c>
      <c r="D1382" s="87">
        <v>2024</v>
      </c>
      <c r="E1382" s="88" t="s">
        <v>43</v>
      </c>
      <c r="F1382" s="88" t="s">
        <v>152</v>
      </c>
      <c r="G1382" s="89" t="s">
        <v>44</v>
      </c>
      <c r="H1382" s="89" t="s">
        <v>44</v>
      </c>
      <c r="I1382" s="89" t="s">
        <v>44</v>
      </c>
      <c r="J1382" s="89" t="s">
        <v>44</v>
      </c>
      <c r="K1382" s="89">
        <v>4</v>
      </c>
    </row>
    <row r="1383" ht="15.75" customHeight="1" spans="1:11">
      <c r="A1383" s="87">
        <v>1382</v>
      </c>
      <c r="B1383" s="88" t="s">
        <v>53</v>
      </c>
      <c r="C1383" s="88" t="s">
        <v>142</v>
      </c>
      <c r="D1383" s="87">
        <v>2025</v>
      </c>
      <c r="E1383" s="88" t="s">
        <v>31</v>
      </c>
      <c r="F1383" s="88" t="s">
        <v>150</v>
      </c>
      <c r="G1383" s="89" t="s">
        <v>44</v>
      </c>
      <c r="H1383" s="89" t="s">
        <v>44</v>
      </c>
      <c r="I1383" s="89" t="s">
        <v>44</v>
      </c>
      <c r="J1383" s="89" t="s">
        <v>44</v>
      </c>
      <c r="K1383" s="89">
        <v>59</v>
      </c>
    </row>
    <row r="1384" ht="15.75" customHeight="1" spans="1:11">
      <c r="A1384" s="87">
        <v>1383</v>
      </c>
      <c r="B1384" s="88" t="s">
        <v>53</v>
      </c>
      <c r="C1384" s="88" t="s">
        <v>142</v>
      </c>
      <c r="D1384" s="87">
        <v>2025</v>
      </c>
      <c r="E1384" s="88" t="s">
        <v>31</v>
      </c>
      <c r="F1384" s="88" t="s">
        <v>152</v>
      </c>
      <c r="G1384" s="89" t="s">
        <v>44</v>
      </c>
      <c r="H1384" s="89" t="s">
        <v>44</v>
      </c>
      <c r="I1384" s="89" t="s">
        <v>44</v>
      </c>
      <c r="J1384" s="89" t="s">
        <v>44</v>
      </c>
      <c r="K1384" s="89">
        <v>6</v>
      </c>
    </row>
    <row r="1385" ht="15.75" customHeight="1" spans="1:11">
      <c r="A1385" s="87">
        <v>1384</v>
      </c>
      <c r="B1385" s="88" t="s">
        <v>53</v>
      </c>
      <c r="C1385" s="88" t="s">
        <v>142</v>
      </c>
      <c r="D1385" s="87">
        <v>2025</v>
      </c>
      <c r="E1385" s="88" t="s">
        <v>33</v>
      </c>
      <c r="F1385" s="88" t="s">
        <v>150</v>
      </c>
      <c r="G1385" s="89" t="s">
        <v>44</v>
      </c>
      <c r="H1385" s="89" t="s">
        <v>44</v>
      </c>
      <c r="I1385" s="89" t="s">
        <v>44</v>
      </c>
      <c r="J1385" s="89" t="s">
        <v>44</v>
      </c>
      <c r="K1385" s="89">
        <v>107</v>
      </c>
    </row>
    <row r="1386" ht="15.75" customHeight="1" spans="1:11">
      <c r="A1386" s="87">
        <v>1385</v>
      </c>
      <c r="B1386" s="88" t="s">
        <v>53</v>
      </c>
      <c r="C1386" s="88" t="s">
        <v>142</v>
      </c>
      <c r="D1386" s="87">
        <v>2025</v>
      </c>
      <c r="E1386" s="88" t="s">
        <v>33</v>
      </c>
      <c r="F1386" s="88" t="s">
        <v>152</v>
      </c>
      <c r="G1386" s="89" t="s">
        <v>44</v>
      </c>
      <c r="H1386" s="89" t="s">
        <v>44</v>
      </c>
      <c r="I1386" s="89" t="s">
        <v>44</v>
      </c>
      <c r="J1386" s="89" t="s">
        <v>44</v>
      </c>
      <c r="K1386" s="89">
        <v>9</v>
      </c>
    </row>
    <row r="1387" ht="15.75" customHeight="1" spans="1:11">
      <c r="A1387" s="87">
        <v>1386</v>
      </c>
      <c r="B1387" s="88" t="s">
        <v>53</v>
      </c>
      <c r="C1387" s="88" t="s">
        <v>142</v>
      </c>
      <c r="D1387" s="87">
        <v>2025</v>
      </c>
      <c r="E1387" s="88" t="s">
        <v>34</v>
      </c>
      <c r="F1387" s="88" t="s">
        <v>150</v>
      </c>
      <c r="G1387" s="89" t="s">
        <v>44</v>
      </c>
      <c r="H1387" s="89" t="s">
        <v>44</v>
      </c>
      <c r="I1387" s="89" t="s">
        <v>44</v>
      </c>
      <c r="J1387" s="89" t="s">
        <v>44</v>
      </c>
      <c r="K1387" s="89">
        <v>111</v>
      </c>
    </row>
    <row r="1388" ht="15.75" customHeight="1" spans="1:11">
      <c r="A1388" s="87">
        <v>1387</v>
      </c>
      <c r="B1388" s="88" t="s">
        <v>53</v>
      </c>
      <c r="C1388" s="88" t="s">
        <v>142</v>
      </c>
      <c r="D1388" s="87">
        <v>2025</v>
      </c>
      <c r="E1388" s="88" t="s">
        <v>34</v>
      </c>
      <c r="F1388" s="88" t="s">
        <v>152</v>
      </c>
      <c r="G1388" s="89" t="s">
        <v>44</v>
      </c>
      <c r="H1388" s="89" t="s">
        <v>44</v>
      </c>
      <c r="I1388" s="89" t="s">
        <v>44</v>
      </c>
      <c r="J1388" s="89" t="s">
        <v>44</v>
      </c>
      <c r="K1388" s="89">
        <v>7</v>
      </c>
    </row>
    <row r="1389" ht="15.75" customHeight="1" spans="1:11">
      <c r="A1389" s="87">
        <v>1388</v>
      </c>
      <c r="B1389" s="88" t="s">
        <v>53</v>
      </c>
      <c r="C1389" s="88" t="s">
        <v>142</v>
      </c>
      <c r="D1389" s="87">
        <v>2025</v>
      </c>
      <c r="E1389" s="88" t="s">
        <v>35</v>
      </c>
      <c r="F1389" s="88" t="s">
        <v>150</v>
      </c>
      <c r="G1389" s="89" t="s">
        <v>44</v>
      </c>
      <c r="H1389" s="89" t="s">
        <v>44</v>
      </c>
      <c r="I1389" s="89" t="s">
        <v>44</v>
      </c>
      <c r="J1389" s="89" t="s">
        <v>44</v>
      </c>
      <c r="K1389" s="89">
        <v>197</v>
      </c>
    </row>
    <row r="1390" ht="15.75" customHeight="1" spans="1:11">
      <c r="A1390" s="87">
        <v>1389</v>
      </c>
      <c r="B1390" s="88" t="s">
        <v>53</v>
      </c>
      <c r="C1390" s="88" t="s">
        <v>142</v>
      </c>
      <c r="D1390" s="87">
        <v>2025</v>
      </c>
      <c r="E1390" s="88" t="s">
        <v>35</v>
      </c>
      <c r="F1390" s="88" t="s">
        <v>152</v>
      </c>
      <c r="G1390" s="89" t="s">
        <v>44</v>
      </c>
      <c r="H1390" s="89" t="s">
        <v>44</v>
      </c>
      <c r="I1390" s="89" t="s">
        <v>44</v>
      </c>
      <c r="J1390" s="89" t="s">
        <v>44</v>
      </c>
      <c r="K1390" s="89">
        <v>14</v>
      </c>
    </row>
    <row r="1391" ht="15.75" customHeight="1" spans="1:11">
      <c r="A1391" s="87">
        <v>1390</v>
      </c>
      <c r="B1391" s="88" t="s">
        <v>53</v>
      </c>
      <c r="C1391" s="88" t="s">
        <v>142</v>
      </c>
      <c r="D1391" s="87">
        <v>2025</v>
      </c>
      <c r="E1391" s="88" t="s">
        <v>36</v>
      </c>
      <c r="F1391" s="88" t="s">
        <v>150</v>
      </c>
      <c r="G1391" s="89" t="s">
        <v>44</v>
      </c>
      <c r="H1391" s="89" t="s">
        <v>44</v>
      </c>
      <c r="I1391" s="89" t="s">
        <v>44</v>
      </c>
      <c r="J1391" s="89" t="s">
        <v>44</v>
      </c>
      <c r="K1391" s="89">
        <v>273</v>
      </c>
    </row>
    <row r="1392" ht="15.75" customHeight="1" spans="1:11">
      <c r="A1392" s="87">
        <v>1391</v>
      </c>
      <c r="B1392" s="88" t="s">
        <v>53</v>
      </c>
      <c r="C1392" s="88" t="s">
        <v>142</v>
      </c>
      <c r="D1392" s="87">
        <v>2025</v>
      </c>
      <c r="E1392" s="88" t="s">
        <v>36</v>
      </c>
      <c r="F1392" s="88" t="s">
        <v>152</v>
      </c>
      <c r="G1392" s="89" t="s">
        <v>44</v>
      </c>
      <c r="H1392" s="89" t="s">
        <v>44</v>
      </c>
      <c r="I1392" s="89" t="s">
        <v>44</v>
      </c>
      <c r="J1392" s="89" t="s">
        <v>44</v>
      </c>
      <c r="K1392" s="89">
        <v>15</v>
      </c>
    </row>
    <row r="1393" ht="15.75" customHeight="1" spans="1:11">
      <c r="A1393" s="87">
        <v>1392</v>
      </c>
      <c r="B1393" s="88" t="s">
        <v>53</v>
      </c>
      <c r="C1393" s="88" t="s">
        <v>142</v>
      </c>
      <c r="D1393" s="87">
        <v>2025</v>
      </c>
      <c r="E1393" s="88" t="s">
        <v>37</v>
      </c>
      <c r="F1393" s="88" t="s">
        <v>150</v>
      </c>
      <c r="G1393" s="89" t="s">
        <v>44</v>
      </c>
      <c r="H1393" s="89" t="s">
        <v>44</v>
      </c>
      <c r="I1393" s="89" t="s">
        <v>44</v>
      </c>
      <c r="J1393" s="89" t="s">
        <v>44</v>
      </c>
      <c r="K1393" s="89">
        <v>199</v>
      </c>
    </row>
    <row r="1394" ht="15.75" customHeight="1" spans="1:11">
      <c r="A1394" s="87">
        <v>1393</v>
      </c>
      <c r="B1394" s="88" t="s">
        <v>53</v>
      </c>
      <c r="C1394" s="88" t="s">
        <v>142</v>
      </c>
      <c r="D1394" s="87">
        <v>2025</v>
      </c>
      <c r="E1394" s="88" t="s">
        <v>37</v>
      </c>
      <c r="F1394" s="88" t="s">
        <v>152</v>
      </c>
      <c r="G1394" s="89" t="s">
        <v>44</v>
      </c>
      <c r="H1394" s="89" t="s">
        <v>44</v>
      </c>
      <c r="I1394" s="89" t="s">
        <v>44</v>
      </c>
      <c r="J1394" s="89" t="s">
        <v>44</v>
      </c>
      <c r="K1394" s="89">
        <v>8</v>
      </c>
    </row>
    <row r="1395" ht="15.75" customHeight="1" spans="1:11">
      <c r="A1395" s="87">
        <v>1394</v>
      </c>
      <c r="B1395" s="88" t="s">
        <v>53</v>
      </c>
      <c r="C1395" s="88" t="s">
        <v>142</v>
      </c>
      <c r="D1395" s="87">
        <v>2025</v>
      </c>
      <c r="E1395" s="88" t="s">
        <v>38</v>
      </c>
      <c r="F1395" s="88" t="s">
        <v>150</v>
      </c>
      <c r="G1395" s="89" t="s">
        <v>44</v>
      </c>
      <c r="H1395" s="89" t="s">
        <v>44</v>
      </c>
      <c r="I1395" s="89" t="s">
        <v>44</v>
      </c>
      <c r="J1395" s="89" t="s">
        <v>44</v>
      </c>
      <c r="K1395" s="89">
        <v>242</v>
      </c>
    </row>
    <row r="1396" ht="15.75" customHeight="1" spans="1:11">
      <c r="A1396" s="87">
        <v>1395</v>
      </c>
      <c r="B1396" s="88" t="s">
        <v>53</v>
      </c>
      <c r="C1396" s="88" t="s">
        <v>142</v>
      </c>
      <c r="D1396" s="87">
        <v>2025</v>
      </c>
      <c r="E1396" s="88" t="s">
        <v>38</v>
      </c>
      <c r="F1396" s="88" t="s">
        <v>152</v>
      </c>
      <c r="G1396" s="89" t="s">
        <v>44</v>
      </c>
      <c r="H1396" s="89" t="s">
        <v>44</v>
      </c>
      <c r="I1396" s="89" t="s">
        <v>44</v>
      </c>
      <c r="J1396" s="89" t="s">
        <v>44</v>
      </c>
      <c r="K1396" s="89">
        <v>7</v>
      </c>
    </row>
    <row r="1397" ht="15.75" customHeight="1" spans="1:11">
      <c r="A1397" s="87">
        <v>1396</v>
      </c>
      <c r="B1397" s="88" t="s">
        <v>53</v>
      </c>
      <c r="C1397" s="88" t="s">
        <v>142</v>
      </c>
      <c r="D1397" s="87">
        <v>2025</v>
      </c>
      <c r="E1397" s="88" t="s">
        <v>39</v>
      </c>
      <c r="F1397" s="88" t="s">
        <v>150</v>
      </c>
      <c r="G1397" s="89" t="s">
        <v>44</v>
      </c>
      <c r="H1397" s="89" t="s">
        <v>44</v>
      </c>
      <c r="I1397" s="89" t="s">
        <v>44</v>
      </c>
      <c r="J1397" s="89" t="s">
        <v>44</v>
      </c>
      <c r="K1397" s="90">
        <v>11151</v>
      </c>
    </row>
    <row r="1398" ht="15.75" customHeight="1" spans="1:11">
      <c r="A1398" s="87">
        <v>1397</v>
      </c>
      <c r="B1398" s="88" t="s">
        <v>53</v>
      </c>
      <c r="C1398" s="88" t="s">
        <v>142</v>
      </c>
      <c r="D1398" s="87">
        <v>2025</v>
      </c>
      <c r="E1398" s="88" t="s">
        <v>39</v>
      </c>
      <c r="F1398" s="88" t="s">
        <v>151</v>
      </c>
      <c r="G1398" s="89" t="s">
        <v>44</v>
      </c>
      <c r="H1398" s="89" t="s">
        <v>44</v>
      </c>
      <c r="I1398" s="89" t="s">
        <v>44</v>
      </c>
      <c r="J1398" s="89" t="s">
        <v>44</v>
      </c>
      <c r="K1398" s="90">
        <v>67414</v>
      </c>
    </row>
    <row r="1399" ht="15.75" customHeight="1" spans="1:11">
      <c r="A1399" s="87">
        <v>1398</v>
      </c>
      <c r="B1399" s="88" t="s">
        <v>53</v>
      </c>
      <c r="C1399" s="88" t="s">
        <v>142</v>
      </c>
      <c r="D1399" s="87">
        <v>2025</v>
      </c>
      <c r="E1399" s="88" t="s">
        <v>39</v>
      </c>
      <c r="F1399" s="88" t="s">
        <v>152</v>
      </c>
      <c r="G1399" s="89" t="s">
        <v>44</v>
      </c>
      <c r="H1399" s="89" t="s">
        <v>44</v>
      </c>
      <c r="I1399" s="89" t="s">
        <v>44</v>
      </c>
      <c r="J1399" s="89" t="s">
        <v>44</v>
      </c>
      <c r="K1399" s="90">
        <v>1255</v>
      </c>
    </row>
    <row r="1400" ht="15.75" customHeight="1" spans="1:11">
      <c r="A1400" s="87">
        <v>1399</v>
      </c>
      <c r="B1400" s="88" t="s">
        <v>53</v>
      </c>
      <c r="C1400" s="88" t="s">
        <v>142</v>
      </c>
      <c r="D1400" s="87">
        <v>2025</v>
      </c>
      <c r="E1400" s="88" t="s">
        <v>40</v>
      </c>
      <c r="F1400" s="88" t="s">
        <v>151</v>
      </c>
      <c r="G1400" s="89" t="s">
        <v>44</v>
      </c>
      <c r="H1400" s="89" t="s">
        <v>44</v>
      </c>
      <c r="I1400" s="89" t="s">
        <v>44</v>
      </c>
      <c r="J1400" s="89" t="s">
        <v>44</v>
      </c>
      <c r="K1400" s="90">
        <v>177034</v>
      </c>
    </row>
    <row r="1401" ht="15.75" customHeight="1" spans="1:11">
      <c r="A1401" s="87">
        <v>1400</v>
      </c>
      <c r="B1401" s="88" t="s">
        <v>53</v>
      </c>
      <c r="C1401" s="88" t="s">
        <v>142</v>
      </c>
      <c r="D1401" s="87">
        <v>2025</v>
      </c>
      <c r="E1401" s="88" t="s">
        <v>40</v>
      </c>
      <c r="F1401" s="88" t="s">
        <v>152</v>
      </c>
      <c r="G1401" s="89" t="s">
        <v>44</v>
      </c>
      <c r="H1401" s="89" t="s">
        <v>44</v>
      </c>
      <c r="I1401" s="89" t="s">
        <v>44</v>
      </c>
      <c r="J1401" s="89" t="s">
        <v>44</v>
      </c>
      <c r="K1401" s="90">
        <v>2181</v>
      </c>
    </row>
    <row r="1402" ht="15.75" customHeight="1" spans="1:11">
      <c r="A1402" s="87">
        <v>1401</v>
      </c>
      <c r="B1402" s="88" t="s">
        <v>53</v>
      </c>
      <c r="C1402" s="88" t="s">
        <v>142</v>
      </c>
      <c r="D1402" s="87">
        <v>2025</v>
      </c>
      <c r="E1402" s="88" t="s">
        <v>41</v>
      </c>
      <c r="F1402" s="88" t="s">
        <v>150</v>
      </c>
      <c r="G1402" s="89" t="s">
        <v>44</v>
      </c>
      <c r="H1402" s="89" t="s">
        <v>44</v>
      </c>
      <c r="I1402" s="89" t="s">
        <v>44</v>
      </c>
      <c r="J1402" s="89" t="s">
        <v>44</v>
      </c>
      <c r="K1402" s="90">
        <v>6680</v>
      </c>
    </row>
    <row r="1403" ht="15.75" customHeight="1" spans="1:11">
      <c r="A1403" s="87">
        <v>1402</v>
      </c>
      <c r="B1403" s="88" t="s">
        <v>53</v>
      </c>
      <c r="C1403" s="88" t="s">
        <v>142</v>
      </c>
      <c r="D1403" s="87">
        <v>2025</v>
      </c>
      <c r="E1403" s="88" t="s">
        <v>41</v>
      </c>
      <c r="F1403" s="88" t="s">
        <v>150</v>
      </c>
      <c r="G1403" s="89" t="s">
        <v>44</v>
      </c>
      <c r="H1403" s="89" t="s">
        <v>44</v>
      </c>
      <c r="I1403" s="89" t="s">
        <v>44</v>
      </c>
      <c r="J1403" s="89" t="s">
        <v>44</v>
      </c>
      <c r="K1403" s="90">
        <v>13088</v>
      </c>
    </row>
    <row r="1404" ht="15.75" customHeight="1" spans="1:11">
      <c r="A1404" s="87">
        <v>1403</v>
      </c>
      <c r="B1404" s="88" t="s">
        <v>53</v>
      </c>
      <c r="C1404" s="88" t="s">
        <v>142</v>
      </c>
      <c r="D1404" s="87">
        <v>2025</v>
      </c>
      <c r="E1404" s="88" t="s">
        <v>41</v>
      </c>
      <c r="F1404" s="88" t="s">
        <v>155</v>
      </c>
      <c r="G1404" s="90">
        <v>66170</v>
      </c>
      <c r="H1404" s="89">
        <v>6</v>
      </c>
      <c r="I1404" s="89" t="s">
        <v>44</v>
      </c>
      <c r="J1404" s="89" t="s">
        <v>44</v>
      </c>
      <c r="K1404" s="90">
        <v>66170</v>
      </c>
    </row>
    <row r="1405" ht="15.75" customHeight="1" spans="1:11">
      <c r="A1405" s="87">
        <v>1404</v>
      </c>
      <c r="B1405" s="88" t="s">
        <v>53</v>
      </c>
      <c r="C1405" s="88" t="s">
        <v>142</v>
      </c>
      <c r="D1405" s="87">
        <v>2025</v>
      </c>
      <c r="E1405" s="88" t="s">
        <v>41</v>
      </c>
      <c r="F1405" s="88" t="s">
        <v>157</v>
      </c>
      <c r="G1405" s="90">
        <v>20881</v>
      </c>
      <c r="H1405" s="89">
        <v>1</v>
      </c>
      <c r="I1405" s="89" t="s">
        <v>44</v>
      </c>
      <c r="J1405" s="89" t="s">
        <v>44</v>
      </c>
      <c r="K1405" s="90">
        <v>20881</v>
      </c>
    </row>
    <row r="1406" ht="15.75" customHeight="1" spans="1:11">
      <c r="A1406" s="87">
        <v>1405</v>
      </c>
      <c r="B1406" s="88" t="s">
        <v>53</v>
      </c>
      <c r="C1406" s="88" t="s">
        <v>142</v>
      </c>
      <c r="D1406" s="87">
        <v>2025</v>
      </c>
      <c r="E1406" s="88" t="s">
        <v>41</v>
      </c>
      <c r="F1406" s="88" t="s">
        <v>151</v>
      </c>
      <c r="G1406" s="89" t="s">
        <v>44</v>
      </c>
      <c r="H1406" s="89" t="s">
        <v>44</v>
      </c>
      <c r="I1406" s="89" t="s">
        <v>44</v>
      </c>
      <c r="J1406" s="89" t="s">
        <v>44</v>
      </c>
      <c r="K1406" s="90">
        <v>649235</v>
      </c>
    </row>
    <row r="1407" ht="15.75" customHeight="1" spans="1:11">
      <c r="A1407" s="87">
        <v>1406</v>
      </c>
      <c r="B1407" s="88" t="s">
        <v>53</v>
      </c>
      <c r="C1407" s="88" t="s">
        <v>142</v>
      </c>
      <c r="D1407" s="87">
        <v>2025</v>
      </c>
      <c r="E1407" s="88" t="s">
        <v>41</v>
      </c>
      <c r="F1407" s="88" t="s">
        <v>152</v>
      </c>
      <c r="G1407" s="89" t="s">
        <v>44</v>
      </c>
      <c r="H1407" s="89" t="s">
        <v>44</v>
      </c>
      <c r="I1407" s="89" t="s">
        <v>44</v>
      </c>
      <c r="J1407" s="89" t="s">
        <v>44</v>
      </c>
      <c r="K1407" s="90">
        <v>11406</v>
      </c>
    </row>
    <row r="1408" ht="15.75" customHeight="1" spans="1:11">
      <c r="A1408" s="87">
        <v>1407</v>
      </c>
      <c r="B1408" s="88" t="s">
        <v>53</v>
      </c>
      <c r="C1408" s="88" t="s">
        <v>142</v>
      </c>
      <c r="D1408" s="87">
        <v>2025</v>
      </c>
      <c r="E1408" s="88" t="s">
        <v>42</v>
      </c>
      <c r="F1408" s="88" t="s">
        <v>150</v>
      </c>
      <c r="G1408" s="89" t="s">
        <v>44</v>
      </c>
      <c r="H1408" s="89" t="s">
        <v>44</v>
      </c>
      <c r="I1408" s="89" t="s">
        <v>44</v>
      </c>
      <c r="J1408" s="89" t="s">
        <v>44</v>
      </c>
      <c r="K1408" s="90">
        <v>4655</v>
      </c>
    </row>
    <row r="1409" ht="15.75" customHeight="1" spans="1:11">
      <c r="A1409" s="87">
        <v>1408</v>
      </c>
      <c r="B1409" s="88" t="s">
        <v>53</v>
      </c>
      <c r="C1409" s="88" t="s">
        <v>142</v>
      </c>
      <c r="D1409" s="87">
        <v>2025</v>
      </c>
      <c r="E1409" s="88" t="s">
        <v>42</v>
      </c>
      <c r="F1409" s="88" t="s">
        <v>151</v>
      </c>
      <c r="G1409" s="89" t="s">
        <v>44</v>
      </c>
      <c r="H1409" s="89" t="s">
        <v>44</v>
      </c>
      <c r="I1409" s="89" t="s">
        <v>44</v>
      </c>
      <c r="J1409" s="89" t="s">
        <v>44</v>
      </c>
      <c r="K1409" s="90">
        <v>599499</v>
      </c>
    </row>
    <row r="1410" ht="15.75" customHeight="1" spans="1:11">
      <c r="A1410" s="87">
        <v>1409</v>
      </c>
      <c r="B1410" s="88" t="s">
        <v>53</v>
      </c>
      <c r="C1410" s="88" t="s">
        <v>142</v>
      </c>
      <c r="D1410" s="87">
        <v>2025</v>
      </c>
      <c r="E1410" s="88" t="s">
        <v>42</v>
      </c>
      <c r="F1410" s="88" t="s">
        <v>152</v>
      </c>
      <c r="G1410" s="89" t="s">
        <v>44</v>
      </c>
      <c r="H1410" s="89" t="s">
        <v>44</v>
      </c>
      <c r="I1410" s="89" t="s">
        <v>44</v>
      </c>
      <c r="J1410" s="89" t="s">
        <v>44</v>
      </c>
      <c r="K1410" s="90">
        <v>9501</v>
      </c>
    </row>
    <row r="1411" ht="15.75" customHeight="1" spans="1:11">
      <c r="A1411" s="87">
        <v>1410</v>
      </c>
      <c r="B1411" s="88" t="s">
        <v>53</v>
      </c>
      <c r="C1411" s="88" t="s">
        <v>142</v>
      </c>
      <c r="D1411" s="87">
        <v>2025</v>
      </c>
      <c r="E1411" s="88" t="s">
        <v>43</v>
      </c>
      <c r="F1411" s="88" t="s">
        <v>150</v>
      </c>
      <c r="G1411" s="89" t="s">
        <v>44</v>
      </c>
      <c r="H1411" s="89" t="s">
        <v>44</v>
      </c>
      <c r="I1411" s="89" t="s">
        <v>44</v>
      </c>
      <c r="J1411" s="89" t="s">
        <v>44</v>
      </c>
      <c r="K1411" s="90">
        <v>2580</v>
      </c>
    </row>
    <row r="1412" ht="15.75" customHeight="1" spans="1:11">
      <c r="A1412" s="87">
        <v>1411</v>
      </c>
      <c r="B1412" s="88" t="s">
        <v>53</v>
      </c>
      <c r="C1412" s="88" t="s">
        <v>142</v>
      </c>
      <c r="D1412" s="87">
        <v>2025</v>
      </c>
      <c r="E1412" s="88" t="s">
        <v>43</v>
      </c>
      <c r="F1412" s="88" t="s">
        <v>151</v>
      </c>
      <c r="G1412" s="89" t="s">
        <v>44</v>
      </c>
      <c r="H1412" s="89" t="s">
        <v>44</v>
      </c>
      <c r="I1412" s="89" t="s">
        <v>44</v>
      </c>
      <c r="J1412" s="89" t="s">
        <v>44</v>
      </c>
      <c r="K1412" s="90">
        <v>405106</v>
      </c>
    </row>
    <row r="1413" ht="15.75" customHeight="1" spans="1:11">
      <c r="A1413" s="87">
        <v>1412</v>
      </c>
      <c r="B1413" s="88" t="s">
        <v>53</v>
      </c>
      <c r="C1413" s="88" t="s">
        <v>142</v>
      </c>
      <c r="D1413" s="87">
        <v>2025</v>
      </c>
      <c r="E1413" s="88" t="s">
        <v>43</v>
      </c>
      <c r="F1413" s="88" t="s">
        <v>152</v>
      </c>
      <c r="G1413" s="89" t="s">
        <v>44</v>
      </c>
      <c r="H1413" s="89" t="s">
        <v>44</v>
      </c>
      <c r="I1413" s="89" t="s">
        <v>44</v>
      </c>
      <c r="J1413" s="89" t="s">
        <v>44</v>
      </c>
      <c r="K1413" s="90">
        <v>5295</v>
      </c>
    </row>
    <row r="1414" ht="15.75" customHeight="1" spans="1:11">
      <c r="A1414" s="87">
        <v>1413</v>
      </c>
      <c r="B1414" s="88" t="s">
        <v>53</v>
      </c>
      <c r="C1414" s="88" t="s">
        <v>142</v>
      </c>
      <c r="D1414" s="87">
        <v>2026</v>
      </c>
      <c r="E1414" s="88" t="s">
        <v>31</v>
      </c>
      <c r="F1414" s="88" t="s">
        <v>150</v>
      </c>
      <c r="G1414" s="89" t="s">
        <v>44</v>
      </c>
      <c r="H1414" s="89" t="s">
        <v>44</v>
      </c>
      <c r="I1414" s="89" t="s">
        <v>44</v>
      </c>
      <c r="J1414" s="89" t="s">
        <v>44</v>
      </c>
      <c r="K1414" s="90">
        <v>2291</v>
      </c>
    </row>
    <row r="1415" ht="15.75" customHeight="1" spans="1:11">
      <c r="A1415" s="87">
        <v>1414</v>
      </c>
      <c r="B1415" s="88" t="s">
        <v>53</v>
      </c>
      <c r="C1415" s="88" t="s">
        <v>142</v>
      </c>
      <c r="D1415" s="87">
        <v>2026</v>
      </c>
      <c r="E1415" s="88" t="s">
        <v>31</v>
      </c>
      <c r="F1415" s="88" t="s">
        <v>151</v>
      </c>
      <c r="G1415" s="89" t="s">
        <v>44</v>
      </c>
      <c r="H1415" s="89" t="s">
        <v>44</v>
      </c>
      <c r="I1415" s="89" t="s">
        <v>44</v>
      </c>
      <c r="J1415" s="89" t="s">
        <v>44</v>
      </c>
      <c r="K1415" s="90">
        <v>282454</v>
      </c>
    </row>
    <row r="1416" ht="15.75" customHeight="1" spans="1:11">
      <c r="A1416" s="87">
        <v>1415</v>
      </c>
      <c r="B1416" s="88" t="s">
        <v>53</v>
      </c>
      <c r="C1416" s="88" t="s">
        <v>142</v>
      </c>
      <c r="D1416" s="87">
        <v>2026</v>
      </c>
      <c r="E1416" s="88" t="s">
        <v>31</v>
      </c>
      <c r="F1416" s="88" t="s">
        <v>152</v>
      </c>
      <c r="G1416" s="89" t="s">
        <v>44</v>
      </c>
      <c r="H1416" s="89" t="s">
        <v>44</v>
      </c>
      <c r="I1416" s="89" t="s">
        <v>44</v>
      </c>
      <c r="J1416" s="89" t="s">
        <v>44</v>
      </c>
      <c r="K1416" s="90">
        <v>5903</v>
      </c>
    </row>
    <row r="1417" ht="15.75" customHeight="1" spans="1:11">
      <c r="A1417" s="87">
        <v>1416</v>
      </c>
      <c r="B1417" s="88" t="s">
        <v>53</v>
      </c>
      <c r="C1417" s="88" t="s">
        <v>142</v>
      </c>
      <c r="D1417" s="87">
        <v>2026</v>
      </c>
      <c r="E1417" s="88" t="s">
        <v>33</v>
      </c>
      <c r="F1417" s="88" t="s">
        <v>155</v>
      </c>
      <c r="G1417" s="90">
        <v>15048</v>
      </c>
      <c r="H1417" s="89">
        <v>2</v>
      </c>
      <c r="I1417" s="89" t="s">
        <v>44</v>
      </c>
      <c r="J1417" s="89" t="s">
        <v>44</v>
      </c>
      <c r="K1417" s="90">
        <v>15048</v>
      </c>
    </row>
    <row r="1418" ht="15.75" customHeight="1" spans="1:11">
      <c r="A1418" s="87">
        <v>1417</v>
      </c>
      <c r="B1418" s="88" t="s">
        <v>53</v>
      </c>
      <c r="C1418" s="88" t="s">
        <v>142</v>
      </c>
      <c r="D1418" s="87">
        <v>2026</v>
      </c>
      <c r="E1418" s="88" t="s">
        <v>33</v>
      </c>
      <c r="F1418" s="88" t="s">
        <v>150</v>
      </c>
      <c r="G1418" s="89" t="s">
        <v>44</v>
      </c>
      <c r="H1418" s="89" t="s">
        <v>44</v>
      </c>
      <c r="I1418" s="89" t="s">
        <v>44</v>
      </c>
      <c r="J1418" s="89" t="s">
        <v>44</v>
      </c>
      <c r="K1418" s="90">
        <v>4253</v>
      </c>
    </row>
    <row r="1419" ht="15.75" customHeight="1" spans="1:11">
      <c r="A1419" s="87">
        <v>1418</v>
      </c>
      <c r="B1419" s="88" t="s">
        <v>53</v>
      </c>
      <c r="C1419" s="88" t="s">
        <v>142</v>
      </c>
      <c r="D1419" s="87">
        <v>2026</v>
      </c>
      <c r="E1419" s="88" t="s">
        <v>33</v>
      </c>
      <c r="F1419" s="88" t="s">
        <v>151</v>
      </c>
      <c r="G1419" s="89" t="s">
        <v>44</v>
      </c>
      <c r="H1419" s="89" t="s">
        <v>44</v>
      </c>
      <c r="I1419" s="89" t="s">
        <v>44</v>
      </c>
      <c r="J1419" s="89" t="s">
        <v>44</v>
      </c>
      <c r="K1419" s="90">
        <v>262455</v>
      </c>
    </row>
    <row r="1420" ht="15.75" customHeight="1" spans="1:11">
      <c r="A1420" s="87">
        <v>1419</v>
      </c>
      <c r="B1420" s="88" t="s">
        <v>53</v>
      </c>
      <c r="C1420" s="88" t="s">
        <v>142</v>
      </c>
      <c r="D1420" s="87">
        <v>2026</v>
      </c>
      <c r="E1420" s="88" t="s">
        <v>33</v>
      </c>
      <c r="F1420" s="88" t="s">
        <v>152</v>
      </c>
      <c r="G1420" s="89" t="s">
        <v>44</v>
      </c>
      <c r="H1420" s="89" t="s">
        <v>44</v>
      </c>
      <c r="I1420" s="89" t="s">
        <v>44</v>
      </c>
      <c r="J1420" s="89" t="s">
        <v>44</v>
      </c>
      <c r="K1420" s="90">
        <v>3953</v>
      </c>
    </row>
    <row r="1421" ht="15.75" customHeight="1" spans="1:11">
      <c r="A1421" s="87">
        <v>1420</v>
      </c>
      <c r="B1421" s="88" t="s">
        <v>53</v>
      </c>
      <c r="C1421" s="88" t="s">
        <v>142</v>
      </c>
      <c r="D1421" s="87">
        <v>2026</v>
      </c>
      <c r="E1421" s="88" t="s">
        <v>34</v>
      </c>
      <c r="F1421" s="88" t="s">
        <v>152</v>
      </c>
      <c r="G1421" s="89" t="s">
        <v>44</v>
      </c>
      <c r="H1421" s="89" t="s">
        <v>44</v>
      </c>
      <c r="I1421" s="89" t="s">
        <v>44</v>
      </c>
      <c r="J1421" s="89" t="s">
        <v>44</v>
      </c>
      <c r="K1421" s="90">
        <v>7201</v>
      </c>
    </row>
    <row r="1422" ht="15.75" customHeight="1" spans="1:11">
      <c r="A1422" s="87">
        <v>1421</v>
      </c>
      <c r="B1422" s="88" t="s">
        <v>53</v>
      </c>
      <c r="C1422" s="88" t="s">
        <v>142</v>
      </c>
      <c r="D1422" s="87">
        <v>2026</v>
      </c>
      <c r="E1422" s="88" t="s">
        <v>34</v>
      </c>
      <c r="F1422" s="88" t="s">
        <v>150</v>
      </c>
      <c r="G1422" s="89" t="s">
        <v>44</v>
      </c>
      <c r="H1422" s="89" t="s">
        <v>44</v>
      </c>
      <c r="I1422" s="89" t="s">
        <v>44</v>
      </c>
      <c r="J1422" s="89" t="s">
        <v>44</v>
      </c>
      <c r="K1422" s="90">
        <v>13967</v>
      </c>
    </row>
    <row r="1423" ht="15.75" customHeight="1" spans="1:11">
      <c r="A1423" s="87">
        <v>1422</v>
      </c>
      <c r="B1423" s="88" t="s">
        <v>53</v>
      </c>
      <c r="C1423" s="88" t="s">
        <v>142</v>
      </c>
      <c r="D1423" s="87">
        <v>2026</v>
      </c>
      <c r="E1423" s="88" t="s">
        <v>34</v>
      </c>
      <c r="F1423" s="88" t="s">
        <v>151</v>
      </c>
      <c r="G1423" s="89" t="s">
        <v>44</v>
      </c>
      <c r="H1423" s="89" t="s">
        <v>44</v>
      </c>
      <c r="I1423" s="89" t="s">
        <v>44</v>
      </c>
      <c r="J1423" s="89" t="s">
        <v>44</v>
      </c>
      <c r="K1423" s="90">
        <v>656138</v>
      </c>
    </row>
    <row r="1424" ht="15.75" customHeight="1" spans="1:11">
      <c r="A1424" s="87">
        <v>1423</v>
      </c>
      <c r="B1424" s="88" t="s">
        <v>58</v>
      </c>
      <c r="C1424" s="88" t="s">
        <v>144</v>
      </c>
      <c r="D1424" s="87">
        <v>2024</v>
      </c>
      <c r="E1424" s="88" t="s">
        <v>31</v>
      </c>
      <c r="F1424" s="88" t="s">
        <v>150</v>
      </c>
      <c r="G1424" s="89" t="s">
        <v>44</v>
      </c>
      <c r="H1424" s="89" t="s">
        <v>44</v>
      </c>
      <c r="I1424" s="89" t="s">
        <v>44</v>
      </c>
      <c r="J1424" s="89" t="s">
        <v>44</v>
      </c>
      <c r="K1424" s="89">
        <v>668</v>
      </c>
    </row>
    <row r="1425" ht="15.75" customHeight="1" spans="1:11">
      <c r="A1425" s="87">
        <v>1424</v>
      </c>
      <c r="B1425" s="88" t="s">
        <v>58</v>
      </c>
      <c r="C1425" s="88" t="s">
        <v>144</v>
      </c>
      <c r="D1425" s="87">
        <v>2024</v>
      </c>
      <c r="E1425" s="88" t="s">
        <v>31</v>
      </c>
      <c r="F1425" s="88" t="s">
        <v>151</v>
      </c>
      <c r="G1425" s="89" t="s">
        <v>44</v>
      </c>
      <c r="H1425" s="89" t="s">
        <v>44</v>
      </c>
      <c r="I1425" s="89" t="s">
        <v>44</v>
      </c>
      <c r="J1425" s="89" t="s">
        <v>44</v>
      </c>
      <c r="K1425" s="90">
        <v>49954</v>
      </c>
    </row>
    <row r="1426" ht="15.75" customHeight="1" spans="1:11">
      <c r="A1426" s="87">
        <v>1425</v>
      </c>
      <c r="B1426" s="88" t="s">
        <v>58</v>
      </c>
      <c r="C1426" s="88" t="s">
        <v>144</v>
      </c>
      <c r="D1426" s="87">
        <v>2024</v>
      </c>
      <c r="E1426" s="88" t="s">
        <v>31</v>
      </c>
      <c r="F1426" s="88" t="s">
        <v>152</v>
      </c>
      <c r="G1426" s="89" t="s">
        <v>44</v>
      </c>
      <c r="H1426" s="89" t="s">
        <v>44</v>
      </c>
      <c r="I1426" s="89" t="s">
        <v>44</v>
      </c>
      <c r="J1426" s="89" t="s">
        <v>44</v>
      </c>
      <c r="K1426" s="89">
        <v>357</v>
      </c>
    </row>
    <row r="1427" ht="15.75" customHeight="1" spans="1:11">
      <c r="A1427" s="87">
        <v>1426</v>
      </c>
      <c r="B1427" s="88" t="s">
        <v>58</v>
      </c>
      <c r="C1427" s="88" t="s">
        <v>144</v>
      </c>
      <c r="D1427" s="87">
        <v>2024</v>
      </c>
      <c r="E1427" s="88" t="s">
        <v>33</v>
      </c>
      <c r="F1427" s="88" t="s">
        <v>150</v>
      </c>
      <c r="G1427" s="89" t="s">
        <v>44</v>
      </c>
      <c r="H1427" s="89" t="s">
        <v>44</v>
      </c>
      <c r="I1427" s="89" t="s">
        <v>44</v>
      </c>
      <c r="J1427" s="89" t="s">
        <v>44</v>
      </c>
      <c r="K1427" s="89">
        <v>548</v>
      </c>
    </row>
    <row r="1428" ht="15.75" customHeight="1" spans="1:11">
      <c r="A1428" s="87">
        <v>1427</v>
      </c>
      <c r="B1428" s="88" t="s">
        <v>58</v>
      </c>
      <c r="C1428" s="88" t="s">
        <v>144</v>
      </c>
      <c r="D1428" s="87">
        <v>2024</v>
      </c>
      <c r="E1428" s="88" t="s">
        <v>33</v>
      </c>
      <c r="F1428" s="88" t="s">
        <v>151</v>
      </c>
      <c r="G1428" s="89" t="s">
        <v>44</v>
      </c>
      <c r="H1428" s="89" t="s">
        <v>44</v>
      </c>
      <c r="I1428" s="89" t="s">
        <v>44</v>
      </c>
      <c r="J1428" s="89" t="s">
        <v>44</v>
      </c>
      <c r="K1428" s="90">
        <v>41627</v>
      </c>
    </row>
    <row r="1429" ht="15.75" customHeight="1" spans="1:11">
      <c r="A1429" s="87">
        <v>1428</v>
      </c>
      <c r="B1429" s="88" t="s">
        <v>58</v>
      </c>
      <c r="C1429" s="88" t="s">
        <v>144</v>
      </c>
      <c r="D1429" s="87">
        <v>2024</v>
      </c>
      <c r="E1429" s="88" t="s">
        <v>33</v>
      </c>
      <c r="F1429" s="88" t="s">
        <v>152</v>
      </c>
      <c r="G1429" s="89" t="s">
        <v>44</v>
      </c>
      <c r="H1429" s="89" t="s">
        <v>44</v>
      </c>
      <c r="I1429" s="89" t="s">
        <v>44</v>
      </c>
      <c r="J1429" s="89" t="s">
        <v>44</v>
      </c>
      <c r="K1429" s="89">
        <v>503</v>
      </c>
    </row>
    <row r="1430" ht="15.75" customHeight="1" spans="1:11">
      <c r="A1430" s="87">
        <v>1429</v>
      </c>
      <c r="B1430" s="88" t="s">
        <v>58</v>
      </c>
      <c r="C1430" s="88" t="s">
        <v>144</v>
      </c>
      <c r="D1430" s="87">
        <v>2024</v>
      </c>
      <c r="E1430" s="88" t="s">
        <v>34</v>
      </c>
      <c r="F1430" s="88" t="s">
        <v>150</v>
      </c>
      <c r="G1430" s="89" t="s">
        <v>44</v>
      </c>
      <c r="H1430" s="89" t="s">
        <v>44</v>
      </c>
      <c r="I1430" s="89" t="s">
        <v>44</v>
      </c>
      <c r="J1430" s="89" t="s">
        <v>44</v>
      </c>
      <c r="K1430" s="90">
        <v>3298</v>
      </c>
    </row>
    <row r="1431" ht="15.75" customHeight="1" spans="1:11">
      <c r="A1431" s="87">
        <v>1430</v>
      </c>
      <c r="B1431" s="88" t="s">
        <v>58</v>
      </c>
      <c r="C1431" s="88" t="s">
        <v>144</v>
      </c>
      <c r="D1431" s="87">
        <v>2024</v>
      </c>
      <c r="E1431" s="88" t="s">
        <v>34</v>
      </c>
      <c r="F1431" s="88" t="s">
        <v>151</v>
      </c>
      <c r="G1431" s="89" t="s">
        <v>44</v>
      </c>
      <c r="H1431" s="89" t="s">
        <v>44</v>
      </c>
      <c r="I1431" s="89" t="s">
        <v>44</v>
      </c>
      <c r="J1431" s="89" t="s">
        <v>44</v>
      </c>
      <c r="K1431" s="90">
        <v>47421</v>
      </c>
    </row>
    <row r="1432" ht="15.75" customHeight="1" spans="1:11">
      <c r="A1432" s="87">
        <v>1431</v>
      </c>
      <c r="B1432" s="88" t="s">
        <v>58</v>
      </c>
      <c r="C1432" s="88" t="s">
        <v>144</v>
      </c>
      <c r="D1432" s="87">
        <v>2024</v>
      </c>
      <c r="E1432" s="88" t="s">
        <v>34</v>
      </c>
      <c r="F1432" s="88" t="s">
        <v>152</v>
      </c>
      <c r="G1432" s="89" t="s">
        <v>44</v>
      </c>
      <c r="H1432" s="89" t="s">
        <v>44</v>
      </c>
      <c r="I1432" s="89" t="s">
        <v>44</v>
      </c>
      <c r="J1432" s="89" t="s">
        <v>44</v>
      </c>
      <c r="K1432" s="90">
        <v>1492</v>
      </c>
    </row>
    <row r="1433" ht="15.75" customHeight="1" spans="1:11">
      <c r="A1433" s="87">
        <v>1432</v>
      </c>
      <c r="B1433" s="88" t="s">
        <v>58</v>
      </c>
      <c r="C1433" s="88" t="s">
        <v>144</v>
      </c>
      <c r="D1433" s="87">
        <v>2024</v>
      </c>
      <c r="E1433" s="88" t="s">
        <v>35</v>
      </c>
      <c r="F1433" s="88" t="s">
        <v>150</v>
      </c>
      <c r="G1433" s="89" t="s">
        <v>44</v>
      </c>
      <c r="H1433" s="89" t="s">
        <v>44</v>
      </c>
      <c r="I1433" s="89" t="s">
        <v>44</v>
      </c>
      <c r="J1433" s="89" t="s">
        <v>44</v>
      </c>
      <c r="K1433" s="89">
        <v>622</v>
      </c>
    </row>
    <row r="1434" ht="15.75" customHeight="1" spans="1:11">
      <c r="A1434" s="87">
        <v>1433</v>
      </c>
      <c r="B1434" s="88" t="s">
        <v>58</v>
      </c>
      <c r="C1434" s="88" t="s">
        <v>144</v>
      </c>
      <c r="D1434" s="87">
        <v>2024</v>
      </c>
      <c r="E1434" s="88" t="s">
        <v>35</v>
      </c>
      <c r="F1434" s="88" t="s">
        <v>151</v>
      </c>
      <c r="G1434" s="89" t="s">
        <v>44</v>
      </c>
      <c r="H1434" s="89" t="s">
        <v>44</v>
      </c>
      <c r="I1434" s="89" t="s">
        <v>44</v>
      </c>
      <c r="J1434" s="89" t="s">
        <v>44</v>
      </c>
      <c r="K1434" s="90">
        <v>29549</v>
      </c>
    </row>
    <row r="1435" ht="15.75" customHeight="1" spans="1:11">
      <c r="A1435" s="87">
        <v>1434</v>
      </c>
      <c r="B1435" s="88" t="s">
        <v>58</v>
      </c>
      <c r="C1435" s="88" t="s">
        <v>144</v>
      </c>
      <c r="D1435" s="87">
        <v>2024</v>
      </c>
      <c r="E1435" s="88" t="s">
        <v>35</v>
      </c>
      <c r="F1435" s="88" t="s">
        <v>152</v>
      </c>
      <c r="G1435" s="89" t="s">
        <v>44</v>
      </c>
      <c r="H1435" s="89" t="s">
        <v>44</v>
      </c>
      <c r="I1435" s="89" t="s">
        <v>44</v>
      </c>
      <c r="J1435" s="89" t="s">
        <v>44</v>
      </c>
      <c r="K1435" s="89">
        <v>693</v>
      </c>
    </row>
    <row r="1436" ht="15.75" customHeight="1" spans="1:11">
      <c r="A1436" s="87">
        <v>1435</v>
      </c>
      <c r="B1436" s="88" t="s">
        <v>58</v>
      </c>
      <c r="C1436" s="88" t="s">
        <v>144</v>
      </c>
      <c r="D1436" s="87">
        <v>2024</v>
      </c>
      <c r="E1436" s="88" t="s">
        <v>36</v>
      </c>
      <c r="F1436" s="88" t="s">
        <v>150</v>
      </c>
      <c r="G1436" s="89" t="s">
        <v>44</v>
      </c>
      <c r="H1436" s="89" t="s">
        <v>44</v>
      </c>
      <c r="I1436" s="89" t="s">
        <v>44</v>
      </c>
      <c r="J1436" s="89" t="s">
        <v>44</v>
      </c>
      <c r="K1436" s="89">
        <v>645</v>
      </c>
    </row>
    <row r="1437" ht="15.75" customHeight="1" spans="1:11">
      <c r="A1437" s="87">
        <v>1436</v>
      </c>
      <c r="B1437" s="88" t="s">
        <v>58</v>
      </c>
      <c r="C1437" s="88" t="s">
        <v>144</v>
      </c>
      <c r="D1437" s="87">
        <v>2024</v>
      </c>
      <c r="E1437" s="88" t="s">
        <v>36</v>
      </c>
      <c r="F1437" s="88" t="s">
        <v>151</v>
      </c>
      <c r="G1437" s="89" t="s">
        <v>44</v>
      </c>
      <c r="H1437" s="89" t="s">
        <v>44</v>
      </c>
      <c r="I1437" s="89" t="s">
        <v>44</v>
      </c>
      <c r="J1437" s="89" t="s">
        <v>44</v>
      </c>
      <c r="K1437" s="90">
        <v>29417</v>
      </c>
    </row>
    <row r="1438" ht="15.75" customHeight="1" spans="1:11">
      <c r="A1438" s="87">
        <v>1437</v>
      </c>
      <c r="B1438" s="88" t="s">
        <v>58</v>
      </c>
      <c r="C1438" s="88" t="s">
        <v>144</v>
      </c>
      <c r="D1438" s="87">
        <v>2024</v>
      </c>
      <c r="E1438" s="88" t="s">
        <v>36</v>
      </c>
      <c r="F1438" s="88" t="s">
        <v>152</v>
      </c>
      <c r="G1438" s="89" t="s">
        <v>44</v>
      </c>
      <c r="H1438" s="89" t="s">
        <v>44</v>
      </c>
      <c r="I1438" s="89" t="s">
        <v>44</v>
      </c>
      <c r="J1438" s="89" t="s">
        <v>44</v>
      </c>
      <c r="K1438" s="89">
        <v>549</v>
      </c>
    </row>
    <row r="1439" ht="15.75" customHeight="1" spans="1:11">
      <c r="A1439" s="87">
        <v>1438</v>
      </c>
      <c r="B1439" s="88" t="s">
        <v>58</v>
      </c>
      <c r="C1439" s="88" t="s">
        <v>144</v>
      </c>
      <c r="D1439" s="87">
        <v>2024</v>
      </c>
      <c r="E1439" s="88" t="s">
        <v>37</v>
      </c>
      <c r="F1439" s="88" t="s">
        <v>150</v>
      </c>
      <c r="G1439" s="89" t="s">
        <v>44</v>
      </c>
      <c r="H1439" s="89" t="s">
        <v>44</v>
      </c>
      <c r="I1439" s="89" t="s">
        <v>44</v>
      </c>
      <c r="J1439" s="89" t="s">
        <v>44</v>
      </c>
      <c r="K1439" s="89">
        <v>731</v>
      </c>
    </row>
    <row r="1440" ht="15.75" customHeight="1" spans="1:11">
      <c r="A1440" s="87">
        <v>1439</v>
      </c>
      <c r="B1440" s="88" t="s">
        <v>58</v>
      </c>
      <c r="C1440" s="88" t="s">
        <v>144</v>
      </c>
      <c r="D1440" s="87">
        <v>2024</v>
      </c>
      <c r="E1440" s="88" t="s">
        <v>37</v>
      </c>
      <c r="F1440" s="88" t="s">
        <v>151</v>
      </c>
      <c r="G1440" s="89" t="s">
        <v>44</v>
      </c>
      <c r="H1440" s="89" t="s">
        <v>44</v>
      </c>
      <c r="I1440" s="89" t="s">
        <v>44</v>
      </c>
      <c r="J1440" s="89" t="s">
        <v>44</v>
      </c>
      <c r="K1440" s="90">
        <v>33512</v>
      </c>
    </row>
    <row r="1441" ht="15.75" customHeight="1" spans="1:11">
      <c r="A1441" s="87">
        <v>1440</v>
      </c>
      <c r="B1441" s="88" t="s">
        <v>58</v>
      </c>
      <c r="C1441" s="88" t="s">
        <v>144</v>
      </c>
      <c r="D1441" s="87">
        <v>2024</v>
      </c>
      <c r="E1441" s="88" t="s">
        <v>37</v>
      </c>
      <c r="F1441" s="88" t="s">
        <v>152</v>
      </c>
      <c r="G1441" s="89" t="s">
        <v>44</v>
      </c>
      <c r="H1441" s="89" t="s">
        <v>44</v>
      </c>
      <c r="I1441" s="89" t="s">
        <v>44</v>
      </c>
      <c r="J1441" s="89" t="s">
        <v>44</v>
      </c>
      <c r="K1441" s="89">
        <v>472</v>
      </c>
    </row>
    <row r="1442" ht="15.75" customHeight="1" spans="1:11">
      <c r="A1442" s="87">
        <v>1441</v>
      </c>
      <c r="B1442" s="88" t="s">
        <v>58</v>
      </c>
      <c r="C1442" s="88" t="s">
        <v>144</v>
      </c>
      <c r="D1442" s="87">
        <v>2024</v>
      </c>
      <c r="E1442" s="88" t="s">
        <v>38</v>
      </c>
      <c r="F1442" s="88" t="s">
        <v>150</v>
      </c>
      <c r="G1442" s="89" t="s">
        <v>44</v>
      </c>
      <c r="H1442" s="89" t="s">
        <v>44</v>
      </c>
      <c r="I1442" s="89" t="s">
        <v>44</v>
      </c>
      <c r="J1442" s="89" t="s">
        <v>44</v>
      </c>
      <c r="K1442" s="89">
        <v>865</v>
      </c>
    </row>
    <row r="1443" ht="15.75" customHeight="1" spans="1:11">
      <c r="A1443" s="87">
        <v>1442</v>
      </c>
      <c r="B1443" s="88" t="s">
        <v>58</v>
      </c>
      <c r="C1443" s="88" t="s">
        <v>144</v>
      </c>
      <c r="D1443" s="87">
        <v>2024</v>
      </c>
      <c r="E1443" s="88" t="s">
        <v>38</v>
      </c>
      <c r="F1443" s="88" t="s">
        <v>151</v>
      </c>
      <c r="G1443" s="89" t="s">
        <v>44</v>
      </c>
      <c r="H1443" s="89" t="s">
        <v>44</v>
      </c>
      <c r="I1443" s="89" t="s">
        <v>44</v>
      </c>
      <c r="J1443" s="89" t="s">
        <v>44</v>
      </c>
      <c r="K1443" s="90">
        <v>31818</v>
      </c>
    </row>
    <row r="1444" ht="15.75" customHeight="1" spans="1:11">
      <c r="A1444" s="87">
        <v>1443</v>
      </c>
      <c r="B1444" s="88" t="s">
        <v>58</v>
      </c>
      <c r="C1444" s="88" t="s">
        <v>144</v>
      </c>
      <c r="D1444" s="87">
        <v>2024</v>
      </c>
      <c r="E1444" s="88" t="s">
        <v>38</v>
      </c>
      <c r="F1444" s="88" t="s">
        <v>152</v>
      </c>
      <c r="G1444" s="89" t="s">
        <v>44</v>
      </c>
      <c r="H1444" s="89" t="s">
        <v>44</v>
      </c>
      <c r="I1444" s="89" t="s">
        <v>44</v>
      </c>
      <c r="J1444" s="89" t="s">
        <v>44</v>
      </c>
      <c r="K1444" s="89">
        <v>521</v>
      </c>
    </row>
    <row r="1445" ht="15.75" customHeight="1" spans="1:11">
      <c r="A1445" s="87">
        <v>1444</v>
      </c>
      <c r="B1445" s="88" t="s">
        <v>58</v>
      </c>
      <c r="C1445" s="88" t="s">
        <v>144</v>
      </c>
      <c r="D1445" s="87">
        <v>2024</v>
      </c>
      <c r="E1445" s="88" t="s">
        <v>39</v>
      </c>
      <c r="F1445" s="88" t="s">
        <v>150</v>
      </c>
      <c r="G1445" s="89" t="s">
        <v>44</v>
      </c>
      <c r="H1445" s="89" t="s">
        <v>44</v>
      </c>
      <c r="I1445" s="89" t="s">
        <v>44</v>
      </c>
      <c r="J1445" s="89" t="s">
        <v>44</v>
      </c>
      <c r="K1445" s="89">
        <v>521</v>
      </c>
    </row>
    <row r="1446" ht="15.75" customHeight="1" spans="1:11">
      <c r="A1446" s="87">
        <v>1445</v>
      </c>
      <c r="B1446" s="88" t="s">
        <v>58</v>
      </c>
      <c r="C1446" s="88" t="s">
        <v>144</v>
      </c>
      <c r="D1446" s="87">
        <v>2024</v>
      </c>
      <c r="E1446" s="88" t="s">
        <v>39</v>
      </c>
      <c r="F1446" s="88" t="s">
        <v>151</v>
      </c>
      <c r="G1446" s="89" t="s">
        <v>44</v>
      </c>
      <c r="H1446" s="89" t="s">
        <v>44</v>
      </c>
      <c r="I1446" s="89" t="s">
        <v>44</v>
      </c>
      <c r="J1446" s="89" t="s">
        <v>44</v>
      </c>
      <c r="K1446" s="90">
        <v>28924</v>
      </c>
    </row>
    <row r="1447" ht="15.75" customHeight="1" spans="1:11">
      <c r="A1447" s="87">
        <v>1446</v>
      </c>
      <c r="B1447" s="88" t="s">
        <v>58</v>
      </c>
      <c r="C1447" s="88" t="s">
        <v>144</v>
      </c>
      <c r="D1447" s="87">
        <v>2024</v>
      </c>
      <c r="E1447" s="88" t="s">
        <v>39</v>
      </c>
      <c r="F1447" s="88" t="s">
        <v>152</v>
      </c>
      <c r="G1447" s="89" t="s">
        <v>44</v>
      </c>
      <c r="H1447" s="89" t="s">
        <v>44</v>
      </c>
      <c r="I1447" s="89" t="s">
        <v>44</v>
      </c>
      <c r="J1447" s="89" t="s">
        <v>44</v>
      </c>
      <c r="K1447" s="89">
        <v>467</v>
      </c>
    </row>
    <row r="1448" ht="15.75" customHeight="1" spans="1:11">
      <c r="A1448" s="87">
        <v>1447</v>
      </c>
      <c r="B1448" s="88" t="s">
        <v>58</v>
      </c>
      <c r="C1448" s="88" t="s">
        <v>144</v>
      </c>
      <c r="D1448" s="87">
        <v>2024</v>
      </c>
      <c r="E1448" s="88" t="s">
        <v>40</v>
      </c>
      <c r="F1448" s="88" t="s">
        <v>150</v>
      </c>
      <c r="G1448" s="89" t="s">
        <v>44</v>
      </c>
      <c r="H1448" s="89" t="s">
        <v>44</v>
      </c>
      <c r="I1448" s="89" t="s">
        <v>44</v>
      </c>
      <c r="J1448" s="89" t="s">
        <v>44</v>
      </c>
      <c r="K1448" s="89">
        <v>932</v>
      </c>
    </row>
    <row r="1449" ht="15.75" customHeight="1" spans="1:11">
      <c r="A1449" s="87">
        <v>1448</v>
      </c>
      <c r="B1449" s="88" t="s">
        <v>58</v>
      </c>
      <c r="C1449" s="88" t="s">
        <v>144</v>
      </c>
      <c r="D1449" s="87">
        <v>2024</v>
      </c>
      <c r="E1449" s="88" t="s">
        <v>40</v>
      </c>
      <c r="F1449" s="88" t="s">
        <v>151</v>
      </c>
      <c r="G1449" s="89" t="s">
        <v>44</v>
      </c>
      <c r="H1449" s="89" t="s">
        <v>44</v>
      </c>
      <c r="I1449" s="89" t="s">
        <v>44</v>
      </c>
      <c r="J1449" s="89" t="s">
        <v>44</v>
      </c>
      <c r="K1449" s="90">
        <v>28341</v>
      </c>
    </row>
    <row r="1450" ht="15.75" customHeight="1" spans="1:11">
      <c r="A1450" s="87">
        <v>1449</v>
      </c>
      <c r="B1450" s="88" t="s">
        <v>58</v>
      </c>
      <c r="C1450" s="88" t="s">
        <v>144</v>
      </c>
      <c r="D1450" s="87">
        <v>2024</v>
      </c>
      <c r="E1450" s="88" t="s">
        <v>40</v>
      </c>
      <c r="F1450" s="88" t="s">
        <v>152</v>
      </c>
      <c r="G1450" s="89" t="s">
        <v>44</v>
      </c>
      <c r="H1450" s="89" t="s">
        <v>44</v>
      </c>
      <c r="I1450" s="89" t="s">
        <v>44</v>
      </c>
      <c r="J1450" s="89" t="s">
        <v>44</v>
      </c>
      <c r="K1450" s="89">
        <v>593</v>
      </c>
    </row>
    <row r="1451" ht="15.75" customHeight="1" spans="1:11">
      <c r="A1451" s="87">
        <v>1450</v>
      </c>
      <c r="B1451" s="88" t="s">
        <v>58</v>
      </c>
      <c r="C1451" s="88" t="s">
        <v>144</v>
      </c>
      <c r="D1451" s="87">
        <v>2024</v>
      </c>
      <c r="E1451" s="88" t="s">
        <v>41</v>
      </c>
      <c r="F1451" s="88" t="s">
        <v>150</v>
      </c>
      <c r="G1451" s="89" t="s">
        <v>44</v>
      </c>
      <c r="H1451" s="89" t="s">
        <v>44</v>
      </c>
      <c r="I1451" s="89" t="s">
        <v>44</v>
      </c>
      <c r="J1451" s="89" t="s">
        <v>44</v>
      </c>
      <c r="K1451" s="90">
        <v>2649</v>
      </c>
    </row>
    <row r="1452" ht="15.75" customHeight="1" spans="1:11">
      <c r="A1452" s="87">
        <v>1451</v>
      </c>
      <c r="B1452" s="88" t="s">
        <v>58</v>
      </c>
      <c r="C1452" s="88" t="s">
        <v>144</v>
      </c>
      <c r="D1452" s="87">
        <v>2024</v>
      </c>
      <c r="E1452" s="88" t="s">
        <v>41</v>
      </c>
      <c r="F1452" s="88" t="s">
        <v>151</v>
      </c>
      <c r="G1452" s="89" t="s">
        <v>44</v>
      </c>
      <c r="H1452" s="89" t="s">
        <v>44</v>
      </c>
      <c r="I1452" s="89" t="s">
        <v>44</v>
      </c>
      <c r="J1452" s="89" t="s">
        <v>44</v>
      </c>
      <c r="K1452" s="90">
        <v>32499</v>
      </c>
    </row>
    <row r="1453" ht="15.75" customHeight="1" spans="1:11">
      <c r="A1453" s="87">
        <v>1452</v>
      </c>
      <c r="B1453" s="88" t="s">
        <v>58</v>
      </c>
      <c r="C1453" s="88" t="s">
        <v>144</v>
      </c>
      <c r="D1453" s="87">
        <v>2024</v>
      </c>
      <c r="E1453" s="88" t="s">
        <v>41</v>
      </c>
      <c r="F1453" s="88" t="s">
        <v>152</v>
      </c>
      <c r="G1453" s="89" t="s">
        <v>44</v>
      </c>
      <c r="H1453" s="89" t="s">
        <v>44</v>
      </c>
      <c r="I1453" s="89" t="s">
        <v>44</v>
      </c>
      <c r="J1453" s="89" t="s">
        <v>44</v>
      </c>
      <c r="K1453" s="89">
        <v>795</v>
      </c>
    </row>
    <row r="1454" ht="15.75" customHeight="1" spans="1:11">
      <c r="A1454" s="87">
        <v>1453</v>
      </c>
      <c r="B1454" s="88" t="s">
        <v>58</v>
      </c>
      <c r="C1454" s="88" t="s">
        <v>144</v>
      </c>
      <c r="D1454" s="87">
        <v>2024</v>
      </c>
      <c r="E1454" s="88" t="s">
        <v>42</v>
      </c>
      <c r="F1454" s="88" t="s">
        <v>150</v>
      </c>
      <c r="G1454" s="89" t="s">
        <v>44</v>
      </c>
      <c r="H1454" s="89" t="s">
        <v>44</v>
      </c>
      <c r="I1454" s="89" t="s">
        <v>44</v>
      </c>
      <c r="J1454" s="89" t="s">
        <v>44</v>
      </c>
      <c r="K1454" s="90">
        <v>1462</v>
      </c>
    </row>
    <row r="1455" ht="15.75" customHeight="1" spans="1:11">
      <c r="A1455" s="87">
        <v>1454</v>
      </c>
      <c r="B1455" s="88" t="s">
        <v>58</v>
      </c>
      <c r="C1455" s="88" t="s">
        <v>144</v>
      </c>
      <c r="D1455" s="87">
        <v>2024</v>
      </c>
      <c r="E1455" s="88" t="s">
        <v>42</v>
      </c>
      <c r="F1455" s="88" t="s">
        <v>151</v>
      </c>
      <c r="G1455" s="89" t="s">
        <v>44</v>
      </c>
      <c r="H1455" s="89" t="s">
        <v>44</v>
      </c>
      <c r="I1455" s="89" t="s">
        <v>44</v>
      </c>
      <c r="J1455" s="89" t="s">
        <v>44</v>
      </c>
      <c r="K1455" s="90">
        <v>26166</v>
      </c>
    </row>
    <row r="1456" ht="15.75" customHeight="1" spans="1:11">
      <c r="A1456" s="87">
        <v>1455</v>
      </c>
      <c r="B1456" s="88" t="s">
        <v>58</v>
      </c>
      <c r="C1456" s="88" t="s">
        <v>144</v>
      </c>
      <c r="D1456" s="87">
        <v>2024</v>
      </c>
      <c r="E1456" s="88" t="s">
        <v>42</v>
      </c>
      <c r="F1456" s="88" t="s">
        <v>152</v>
      </c>
      <c r="G1456" s="89" t="s">
        <v>44</v>
      </c>
      <c r="H1456" s="89" t="s">
        <v>44</v>
      </c>
      <c r="I1456" s="89" t="s">
        <v>44</v>
      </c>
      <c r="J1456" s="89" t="s">
        <v>44</v>
      </c>
      <c r="K1456" s="89">
        <v>944</v>
      </c>
    </row>
    <row r="1457" ht="15.75" customHeight="1" spans="1:11">
      <c r="A1457" s="87">
        <v>1456</v>
      </c>
      <c r="B1457" s="88" t="s">
        <v>58</v>
      </c>
      <c r="C1457" s="88" t="s">
        <v>144</v>
      </c>
      <c r="D1457" s="87">
        <v>2024</v>
      </c>
      <c r="E1457" s="88" t="s">
        <v>43</v>
      </c>
      <c r="F1457" s="88" t="s">
        <v>150</v>
      </c>
      <c r="G1457" s="89" t="s">
        <v>44</v>
      </c>
      <c r="H1457" s="89" t="s">
        <v>44</v>
      </c>
      <c r="I1457" s="89" t="s">
        <v>44</v>
      </c>
      <c r="J1457" s="89" t="s">
        <v>44</v>
      </c>
      <c r="K1457" s="90">
        <v>3628</v>
      </c>
    </row>
    <row r="1458" ht="15.75" customHeight="1" spans="1:11">
      <c r="A1458" s="87">
        <v>1457</v>
      </c>
      <c r="B1458" s="88" t="s">
        <v>58</v>
      </c>
      <c r="C1458" s="88" t="s">
        <v>144</v>
      </c>
      <c r="D1458" s="87">
        <v>2024</v>
      </c>
      <c r="E1458" s="88" t="s">
        <v>43</v>
      </c>
      <c r="F1458" s="88" t="s">
        <v>151</v>
      </c>
      <c r="G1458" s="89" t="s">
        <v>44</v>
      </c>
      <c r="H1458" s="89" t="s">
        <v>44</v>
      </c>
      <c r="I1458" s="89" t="s">
        <v>44</v>
      </c>
      <c r="J1458" s="89" t="s">
        <v>44</v>
      </c>
      <c r="K1458" s="90">
        <v>29718</v>
      </c>
    </row>
    <row r="1459" ht="15.75" customHeight="1" spans="1:11">
      <c r="A1459" s="87">
        <v>1458</v>
      </c>
      <c r="B1459" s="88" t="s">
        <v>58</v>
      </c>
      <c r="C1459" s="88" t="s">
        <v>144</v>
      </c>
      <c r="D1459" s="87">
        <v>2024</v>
      </c>
      <c r="E1459" s="88" t="s">
        <v>43</v>
      </c>
      <c r="F1459" s="88" t="s">
        <v>152</v>
      </c>
      <c r="G1459" s="89" t="s">
        <v>44</v>
      </c>
      <c r="H1459" s="89" t="s">
        <v>44</v>
      </c>
      <c r="I1459" s="89" t="s">
        <v>44</v>
      </c>
      <c r="J1459" s="89" t="s">
        <v>44</v>
      </c>
      <c r="K1459" s="89">
        <v>792</v>
      </c>
    </row>
    <row r="1460" ht="15.75" customHeight="1" spans="1:11">
      <c r="A1460" s="87">
        <v>1459</v>
      </c>
      <c r="B1460" s="88" t="s">
        <v>58</v>
      </c>
      <c r="C1460" s="88" t="s">
        <v>144</v>
      </c>
      <c r="D1460" s="87">
        <v>2025</v>
      </c>
      <c r="E1460" s="88" t="s">
        <v>31</v>
      </c>
      <c r="F1460" s="88" t="s">
        <v>150</v>
      </c>
      <c r="G1460" s="89" t="s">
        <v>44</v>
      </c>
      <c r="H1460" s="89" t="s">
        <v>44</v>
      </c>
      <c r="I1460" s="89" t="s">
        <v>44</v>
      </c>
      <c r="J1460" s="89" t="s">
        <v>44</v>
      </c>
      <c r="K1460" s="90">
        <v>1259</v>
      </c>
    </row>
    <row r="1461" ht="15.75" customHeight="1" spans="1:11">
      <c r="A1461" s="87">
        <v>1460</v>
      </c>
      <c r="B1461" s="88" t="s">
        <v>58</v>
      </c>
      <c r="C1461" s="88" t="s">
        <v>144</v>
      </c>
      <c r="D1461" s="87">
        <v>2025</v>
      </c>
      <c r="E1461" s="88" t="s">
        <v>31</v>
      </c>
      <c r="F1461" s="88" t="s">
        <v>151</v>
      </c>
      <c r="G1461" s="89" t="s">
        <v>44</v>
      </c>
      <c r="H1461" s="89" t="s">
        <v>44</v>
      </c>
      <c r="I1461" s="89" t="s">
        <v>44</v>
      </c>
      <c r="J1461" s="89" t="s">
        <v>44</v>
      </c>
      <c r="K1461" s="90">
        <v>74282</v>
      </c>
    </row>
    <row r="1462" ht="15.75" customHeight="1" spans="1:11">
      <c r="A1462" s="87">
        <v>1461</v>
      </c>
      <c r="B1462" s="88" t="s">
        <v>58</v>
      </c>
      <c r="C1462" s="88" t="s">
        <v>144</v>
      </c>
      <c r="D1462" s="87">
        <v>2025</v>
      </c>
      <c r="E1462" s="88" t="s">
        <v>31</v>
      </c>
      <c r="F1462" s="88" t="s">
        <v>152</v>
      </c>
      <c r="G1462" s="89" t="s">
        <v>44</v>
      </c>
      <c r="H1462" s="89" t="s">
        <v>44</v>
      </c>
      <c r="I1462" s="89" t="s">
        <v>44</v>
      </c>
      <c r="J1462" s="89" t="s">
        <v>44</v>
      </c>
      <c r="K1462" s="89">
        <v>726</v>
      </c>
    </row>
    <row r="1463" ht="15.75" customHeight="1" spans="1:11">
      <c r="A1463" s="87">
        <v>1462</v>
      </c>
      <c r="B1463" s="88" t="s">
        <v>58</v>
      </c>
      <c r="C1463" s="88" t="s">
        <v>144</v>
      </c>
      <c r="D1463" s="87">
        <v>2025</v>
      </c>
      <c r="E1463" s="88" t="s">
        <v>33</v>
      </c>
      <c r="F1463" s="88" t="s">
        <v>150</v>
      </c>
      <c r="G1463" s="89" t="s">
        <v>44</v>
      </c>
      <c r="H1463" s="89" t="s">
        <v>44</v>
      </c>
      <c r="I1463" s="89" t="s">
        <v>44</v>
      </c>
      <c r="J1463" s="89" t="s">
        <v>44</v>
      </c>
      <c r="K1463" s="90">
        <v>1010</v>
      </c>
    </row>
    <row r="1464" ht="15.75" customHeight="1" spans="1:11">
      <c r="A1464" s="87">
        <v>1463</v>
      </c>
      <c r="B1464" s="88" t="s">
        <v>58</v>
      </c>
      <c r="C1464" s="88" t="s">
        <v>144</v>
      </c>
      <c r="D1464" s="87">
        <v>2025</v>
      </c>
      <c r="E1464" s="88" t="s">
        <v>33</v>
      </c>
      <c r="F1464" s="88" t="s">
        <v>151</v>
      </c>
      <c r="G1464" s="89" t="s">
        <v>44</v>
      </c>
      <c r="H1464" s="89" t="s">
        <v>44</v>
      </c>
      <c r="I1464" s="89" t="s">
        <v>44</v>
      </c>
      <c r="J1464" s="89" t="s">
        <v>44</v>
      </c>
      <c r="K1464" s="90">
        <v>93099</v>
      </c>
    </row>
    <row r="1465" ht="15.75" customHeight="1" spans="1:11">
      <c r="A1465" s="87">
        <v>1464</v>
      </c>
      <c r="B1465" s="88" t="s">
        <v>58</v>
      </c>
      <c r="C1465" s="88" t="s">
        <v>144</v>
      </c>
      <c r="D1465" s="87">
        <v>2025</v>
      </c>
      <c r="E1465" s="88" t="s">
        <v>33</v>
      </c>
      <c r="F1465" s="88" t="s">
        <v>152</v>
      </c>
      <c r="G1465" s="89" t="s">
        <v>44</v>
      </c>
      <c r="H1465" s="89" t="s">
        <v>44</v>
      </c>
      <c r="I1465" s="89" t="s">
        <v>44</v>
      </c>
      <c r="J1465" s="89" t="s">
        <v>44</v>
      </c>
      <c r="K1465" s="89">
        <v>906</v>
      </c>
    </row>
    <row r="1466" ht="15.75" customHeight="1" spans="1:11">
      <c r="A1466" s="87">
        <v>1465</v>
      </c>
      <c r="B1466" s="88" t="s">
        <v>58</v>
      </c>
      <c r="C1466" s="88" t="s">
        <v>144</v>
      </c>
      <c r="D1466" s="87">
        <v>2025</v>
      </c>
      <c r="E1466" s="88" t="s">
        <v>34</v>
      </c>
      <c r="F1466" s="88" t="s">
        <v>150</v>
      </c>
      <c r="G1466" s="89" t="s">
        <v>44</v>
      </c>
      <c r="H1466" s="89" t="s">
        <v>44</v>
      </c>
      <c r="I1466" s="89" t="s">
        <v>44</v>
      </c>
      <c r="J1466" s="89" t="s">
        <v>44</v>
      </c>
      <c r="K1466" s="90">
        <v>1386</v>
      </c>
    </row>
    <row r="1467" ht="15.75" customHeight="1" spans="1:11">
      <c r="A1467" s="87">
        <v>1466</v>
      </c>
      <c r="B1467" s="88" t="s">
        <v>58</v>
      </c>
      <c r="C1467" s="88" t="s">
        <v>144</v>
      </c>
      <c r="D1467" s="87">
        <v>2025</v>
      </c>
      <c r="E1467" s="88" t="s">
        <v>34</v>
      </c>
      <c r="F1467" s="88" t="s">
        <v>151</v>
      </c>
      <c r="G1467" s="89" t="s">
        <v>44</v>
      </c>
      <c r="H1467" s="89" t="s">
        <v>44</v>
      </c>
      <c r="I1467" s="89" t="s">
        <v>44</v>
      </c>
      <c r="J1467" s="89" t="s">
        <v>44</v>
      </c>
      <c r="K1467" s="90">
        <v>117680</v>
      </c>
    </row>
    <row r="1468" ht="15.75" customHeight="1" spans="1:11">
      <c r="A1468" s="87">
        <v>1467</v>
      </c>
      <c r="B1468" s="88" t="s">
        <v>58</v>
      </c>
      <c r="C1468" s="88" t="s">
        <v>144</v>
      </c>
      <c r="D1468" s="87">
        <v>2025</v>
      </c>
      <c r="E1468" s="88" t="s">
        <v>34</v>
      </c>
      <c r="F1468" s="88" t="s">
        <v>152</v>
      </c>
      <c r="G1468" s="89" t="s">
        <v>44</v>
      </c>
      <c r="H1468" s="89" t="s">
        <v>44</v>
      </c>
      <c r="I1468" s="89" t="s">
        <v>44</v>
      </c>
      <c r="J1468" s="89" t="s">
        <v>44</v>
      </c>
      <c r="K1468" s="89">
        <v>884</v>
      </c>
    </row>
    <row r="1469" ht="15.75" customHeight="1" spans="1:11">
      <c r="A1469" s="87">
        <v>1468</v>
      </c>
      <c r="B1469" s="88" t="s">
        <v>58</v>
      </c>
      <c r="C1469" s="88" t="s">
        <v>144</v>
      </c>
      <c r="D1469" s="87">
        <v>2025</v>
      </c>
      <c r="E1469" s="88" t="s">
        <v>35</v>
      </c>
      <c r="F1469" s="88" t="s">
        <v>150</v>
      </c>
      <c r="G1469" s="89" t="s">
        <v>44</v>
      </c>
      <c r="H1469" s="89" t="s">
        <v>44</v>
      </c>
      <c r="I1469" s="89" t="s">
        <v>44</v>
      </c>
      <c r="J1469" s="89" t="s">
        <v>44</v>
      </c>
      <c r="K1469" s="90">
        <v>1011</v>
      </c>
    </row>
    <row r="1470" ht="15.75" customHeight="1" spans="1:11">
      <c r="A1470" s="87">
        <v>1469</v>
      </c>
      <c r="B1470" s="88" t="s">
        <v>58</v>
      </c>
      <c r="C1470" s="88" t="s">
        <v>144</v>
      </c>
      <c r="D1470" s="87">
        <v>2025</v>
      </c>
      <c r="E1470" s="88" t="s">
        <v>35</v>
      </c>
      <c r="F1470" s="88" t="s">
        <v>151</v>
      </c>
      <c r="G1470" s="89" t="s">
        <v>44</v>
      </c>
      <c r="H1470" s="89" t="s">
        <v>44</v>
      </c>
      <c r="I1470" s="89" t="s">
        <v>44</v>
      </c>
      <c r="J1470" s="89" t="s">
        <v>44</v>
      </c>
      <c r="K1470" s="90">
        <v>50563</v>
      </c>
    </row>
    <row r="1471" ht="15.75" customHeight="1" spans="1:11">
      <c r="A1471" s="87">
        <v>1470</v>
      </c>
      <c r="B1471" s="88" t="s">
        <v>58</v>
      </c>
      <c r="C1471" s="88" t="s">
        <v>144</v>
      </c>
      <c r="D1471" s="87">
        <v>2025</v>
      </c>
      <c r="E1471" s="88" t="s">
        <v>35</v>
      </c>
      <c r="F1471" s="88" t="s">
        <v>152</v>
      </c>
      <c r="G1471" s="89" t="s">
        <v>44</v>
      </c>
      <c r="H1471" s="89" t="s">
        <v>44</v>
      </c>
      <c r="I1471" s="89" t="s">
        <v>44</v>
      </c>
      <c r="J1471" s="89" t="s">
        <v>44</v>
      </c>
      <c r="K1471" s="89">
        <v>833</v>
      </c>
    </row>
    <row r="1472" ht="15.75" customHeight="1" spans="1:11">
      <c r="A1472" s="87">
        <v>1471</v>
      </c>
      <c r="B1472" s="88" t="s">
        <v>58</v>
      </c>
      <c r="C1472" s="88" t="s">
        <v>144</v>
      </c>
      <c r="D1472" s="87">
        <v>2025</v>
      </c>
      <c r="E1472" s="88" t="s">
        <v>36</v>
      </c>
      <c r="F1472" s="88" t="s">
        <v>150</v>
      </c>
      <c r="G1472" s="89" t="s">
        <v>44</v>
      </c>
      <c r="H1472" s="89" t="s">
        <v>44</v>
      </c>
      <c r="I1472" s="89" t="s">
        <v>44</v>
      </c>
      <c r="J1472" s="89" t="s">
        <v>44</v>
      </c>
      <c r="K1472" s="90">
        <v>1451</v>
      </c>
    </row>
    <row r="1473" ht="15.75" customHeight="1" spans="1:11">
      <c r="A1473" s="87">
        <v>1472</v>
      </c>
      <c r="B1473" s="88" t="s">
        <v>58</v>
      </c>
      <c r="C1473" s="88" t="s">
        <v>144</v>
      </c>
      <c r="D1473" s="87">
        <v>2025</v>
      </c>
      <c r="E1473" s="88" t="s">
        <v>36</v>
      </c>
      <c r="F1473" s="88" t="s">
        <v>151</v>
      </c>
      <c r="G1473" s="89" t="s">
        <v>44</v>
      </c>
      <c r="H1473" s="89" t="s">
        <v>44</v>
      </c>
      <c r="I1473" s="89" t="s">
        <v>44</v>
      </c>
      <c r="J1473" s="89" t="s">
        <v>44</v>
      </c>
      <c r="K1473" s="90">
        <v>28842</v>
      </c>
    </row>
    <row r="1474" ht="15.75" customHeight="1" spans="1:11">
      <c r="A1474" s="87">
        <v>1473</v>
      </c>
      <c r="B1474" s="88" t="s">
        <v>58</v>
      </c>
      <c r="C1474" s="88" t="s">
        <v>144</v>
      </c>
      <c r="D1474" s="87">
        <v>2025</v>
      </c>
      <c r="E1474" s="88" t="s">
        <v>36</v>
      </c>
      <c r="F1474" s="88" t="s">
        <v>152</v>
      </c>
      <c r="G1474" s="89" t="s">
        <v>44</v>
      </c>
      <c r="H1474" s="89" t="s">
        <v>44</v>
      </c>
      <c r="I1474" s="89" t="s">
        <v>44</v>
      </c>
      <c r="J1474" s="89" t="s">
        <v>44</v>
      </c>
      <c r="K1474" s="90">
        <v>1173</v>
      </c>
    </row>
    <row r="1475" ht="15.75" customHeight="1" spans="1:11">
      <c r="A1475" s="87">
        <v>1474</v>
      </c>
      <c r="B1475" s="88" t="s">
        <v>58</v>
      </c>
      <c r="C1475" s="88" t="s">
        <v>144</v>
      </c>
      <c r="D1475" s="87">
        <v>2025</v>
      </c>
      <c r="E1475" s="88" t="s">
        <v>37</v>
      </c>
      <c r="F1475" s="88" t="s">
        <v>150</v>
      </c>
      <c r="G1475" s="89" t="s">
        <v>44</v>
      </c>
      <c r="H1475" s="89" t="s">
        <v>44</v>
      </c>
      <c r="I1475" s="89" t="s">
        <v>44</v>
      </c>
      <c r="J1475" s="89" t="s">
        <v>44</v>
      </c>
      <c r="K1475" s="89">
        <v>909</v>
      </c>
    </row>
    <row r="1476" ht="15.75" customHeight="1" spans="1:11">
      <c r="A1476" s="87">
        <v>1475</v>
      </c>
      <c r="B1476" s="88" t="s">
        <v>58</v>
      </c>
      <c r="C1476" s="88" t="s">
        <v>144</v>
      </c>
      <c r="D1476" s="87">
        <v>2025</v>
      </c>
      <c r="E1476" s="88" t="s">
        <v>37</v>
      </c>
      <c r="F1476" s="88" t="s">
        <v>151</v>
      </c>
      <c r="G1476" s="89" t="s">
        <v>44</v>
      </c>
      <c r="H1476" s="89" t="s">
        <v>44</v>
      </c>
      <c r="I1476" s="89" t="s">
        <v>44</v>
      </c>
      <c r="J1476" s="89" t="s">
        <v>44</v>
      </c>
      <c r="K1476" s="90">
        <v>32211</v>
      </c>
    </row>
    <row r="1477" ht="15.75" customHeight="1" spans="1:11">
      <c r="A1477" s="87">
        <v>1476</v>
      </c>
      <c r="B1477" s="88" t="s">
        <v>58</v>
      </c>
      <c r="C1477" s="88" t="s">
        <v>144</v>
      </c>
      <c r="D1477" s="87">
        <v>2025</v>
      </c>
      <c r="E1477" s="88" t="s">
        <v>37</v>
      </c>
      <c r="F1477" s="88" t="s">
        <v>152</v>
      </c>
      <c r="G1477" s="89" t="s">
        <v>44</v>
      </c>
      <c r="H1477" s="89" t="s">
        <v>44</v>
      </c>
      <c r="I1477" s="89" t="s">
        <v>44</v>
      </c>
      <c r="J1477" s="89" t="s">
        <v>44</v>
      </c>
      <c r="K1477" s="89">
        <v>846</v>
      </c>
    </row>
    <row r="1478" ht="15.75" customHeight="1" spans="1:11">
      <c r="A1478" s="87">
        <v>1477</v>
      </c>
      <c r="B1478" s="88" t="s">
        <v>58</v>
      </c>
      <c r="C1478" s="88" t="s">
        <v>144</v>
      </c>
      <c r="D1478" s="87">
        <v>2025</v>
      </c>
      <c r="E1478" s="88" t="s">
        <v>38</v>
      </c>
      <c r="F1478" s="88" t="s">
        <v>150</v>
      </c>
      <c r="G1478" s="89" t="s">
        <v>44</v>
      </c>
      <c r="H1478" s="89" t="s">
        <v>44</v>
      </c>
      <c r="I1478" s="89" t="s">
        <v>44</v>
      </c>
      <c r="J1478" s="89" t="s">
        <v>44</v>
      </c>
      <c r="K1478" s="89">
        <v>513</v>
      </c>
    </row>
    <row r="1479" ht="15.75" customHeight="1" spans="1:11">
      <c r="A1479" s="87">
        <v>1478</v>
      </c>
      <c r="B1479" s="88" t="s">
        <v>58</v>
      </c>
      <c r="C1479" s="88" t="s">
        <v>144</v>
      </c>
      <c r="D1479" s="87">
        <v>2025</v>
      </c>
      <c r="E1479" s="88" t="s">
        <v>38</v>
      </c>
      <c r="F1479" s="88" t="s">
        <v>151</v>
      </c>
      <c r="G1479" s="89" t="s">
        <v>44</v>
      </c>
      <c r="H1479" s="89" t="s">
        <v>44</v>
      </c>
      <c r="I1479" s="89" t="s">
        <v>44</v>
      </c>
      <c r="J1479" s="89" t="s">
        <v>44</v>
      </c>
      <c r="K1479" s="90">
        <v>32716</v>
      </c>
    </row>
    <row r="1480" ht="15.75" customHeight="1" spans="1:11">
      <c r="A1480" s="87">
        <v>1479</v>
      </c>
      <c r="B1480" s="88" t="s">
        <v>58</v>
      </c>
      <c r="C1480" s="88" t="s">
        <v>144</v>
      </c>
      <c r="D1480" s="87">
        <v>2025</v>
      </c>
      <c r="E1480" s="88" t="s">
        <v>38</v>
      </c>
      <c r="F1480" s="88" t="s">
        <v>152</v>
      </c>
      <c r="G1480" s="89" t="s">
        <v>44</v>
      </c>
      <c r="H1480" s="89" t="s">
        <v>44</v>
      </c>
      <c r="I1480" s="89" t="s">
        <v>44</v>
      </c>
      <c r="J1480" s="89" t="s">
        <v>44</v>
      </c>
      <c r="K1480" s="89">
        <v>512</v>
      </c>
    </row>
    <row r="1481" ht="15.75" customHeight="1" spans="1:11">
      <c r="A1481" s="87">
        <v>1480</v>
      </c>
      <c r="B1481" s="88" t="s">
        <v>58</v>
      </c>
      <c r="C1481" s="88" t="s">
        <v>144</v>
      </c>
      <c r="D1481" s="87">
        <v>2025</v>
      </c>
      <c r="E1481" s="88" t="s">
        <v>39</v>
      </c>
      <c r="F1481" s="88" t="s">
        <v>150</v>
      </c>
      <c r="G1481" s="89" t="s">
        <v>44</v>
      </c>
      <c r="H1481" s="89" t="s">
        <v>44</v>
      </c>
      <c r="I1481" s="89" t="s">
        <v>44</v>
      </c>
      <c r="J1481" s="89" t="s">
        <v>44</v>
      </c>
      <c r="K1481" s="89">
        <v>582</v>
      </c>
    </row>
    <row r="1482" ht="15.75" customHeight="1" spans="1:11">
      <c r="A1482" s="87">
        <v>1481</v>
      </c>
      <c r="B1482" s="88" t="s">
        <v>58</v>
      </c>
      <c r="C1482" s="88" t="s">
        <v>144</v>
      </c>
      <c r="D1482" s="87">
        <v>2025</v>
      </c>
      <c r="E1482" s="88" t="s">
        <v>39</v>
      </c>
      <c r="F1482" s="88" t="s">
        <v>151</v>
      </c>
      <c r="G1482" s="89" t="s">
        <v>44</v>
      </c>
      <c r="H1482" s="89" t="s">
        <v>44</v>
      </c>
      <c r="I1482" s="89" t="s">
        <v>44</v>
      </c>
      <c r="J1482" s="89" t="s">
        <v>44</v>
      </c>
      <c r="K1482" s="90">
        <v>51515</v>
      </c>
    </row>
    <row r="1483" ht="15.75" customHeight="1" spans="1:11">
      <c r="A1483" s="87">
        <v>1482</v>
      </c>
      <c r="B1483" s="88" t="s">
        <v>58</v>
      </c>
      <c r="C1483" s="88" t="s">
        <v>144</v>
      </c>
      <c r="D1483" s="87">
        <v>2025</v>
      </c>
      <c r="E1483" s="88" t="s">
        <v>39</v>
      </c>
      <c r="F1483" s="88" t="s">
        <v>152</v>
      </c>
      <c r="G1483" s="89" t="s">
        <v>44</v>
      </c>
      <c r="H1483" s="89" t="s">
        <v>44</v>
      </c>
      <c r="I1483" s="89" t="s">
        <v>44</v>
      </c>
      <c r="J1483" s="89" t="s">
        <v>44</v>
      </c>
      <c r="K1483" s="89">
        <v>673</v>
      </c>
    </row>
    <row r="1484" ht="15.75" customHeight="1" spans="1:11">
      <c r="A1484" s="87">
        <v>1483</v>
      </c>
      <c r="B1484" s="88" t="s">
        <v>58</v>
      </c>
      <c r="C1484" s="88" t="s">
        <v>144</v>
      </c>
      <c r="D1484" s="87">
        <v>2025</v>
      </c>
      <c r="E1484" s="88" t="s">
        <v>40</v>
      </c>
      <c r="F1484" s="88" t="s">
        <v>150</v>
      </c>
      <c r="G1484" s="89" t="s">
        <v>44</v>
      </c>
      <c r="H1484" s="89" t="s">
        <v>44</v>
      </c>
      <c r="I1484" s="89" t="s">
        <v>44</v>
      </c>
      <c r="J1484" s="89" t="s">
        <v>44</v>
      </c>
      <c r="K1484" s="90">
        <v>1308</v>
      </c>
    </row>
    <row r="1485" ht="15.75" customHeight="1" spans="1:11">
      <c r="A1485" s="87">
        <v>1484</v>
      </c>
      <c r="B1485" s="88" t="s">
        <v>58</v>
      </c>
      <c r="C1485" s="88" t="s">
        <v>144</v>
      </c>
      <c r="D1485" s="87">
        <v>2025</v>
      </c>
      <c r="E1485" s="88" t="s">
        <v>40</v>
      </c>
      <c r="F1485" s="88" t="s">
        <v>151</v>
      </c>
      <c r="G1485" s="89" t="s">
        <v>44</v>
      </c>
      <c r="H1485" s="89" t="s">
        <v>44</v>
      </c>
      <c r="I1485" s="89" t="s">
        <v>44</v>
      </c>
      <c r="J1485" s="89" t="s">
        <v>44</v>
      </c>
      <c r="K1485" s="90">
        <v>88596</v>
      </c>
    </row>
    <row r="1486" ht="15.75" customHeight="1" spans="1:11">
      <c r="A1486" s="87">
        <v>1485</v>
      </c>
      <c r="B1486" s="88" t="s">
        <v>58</v>
      </c>
      <c r="C1486" s="88" t="s">
        <v>144</v>
      </c>
      <c r="D1486" s="87">
        <v>2025</v>
      </c>
      <c r="E1486" s="88" t="s">
        <v>40</v>
      </c>
      <c r="F1486" s="88" t="s">
        <v>152</v>
      </c>
      <c r="G1486" s="89" t="s">
        <v>44</v>
      </c>
      <c r="H1486" s="89" t="s">
        <v>44</v>
      </c>
      <c r="I1486" s="89" t="s">
        <v>44</v>
      </c>
      <c r="J1486" s="89" t="s">
        <v>44</v>
      </c>
      <c r="K1486" s="90">
        <v>1070</v>
      </c>
    </row>
    <row r="1487" ht="15.75" customHeight="1" spans="1:11">
      <c r="A1487" s="87">
        <v>1486</v>
      </c>
      <c r="B1487" s="88" t="s">
        <v>58</v>
      </c>
      <c r="C1487" s="88" t="s">
        <v>144</v>
      </c>
      <c r="D1487" s="87">
        <v>2025</v>
      </c>
      <c r="E1487" s="88" t="s">
        <v>41</v>
      </c>
      <c r="F1487" s="88" t="s">
        <v>150</v>
      </c>
      <c r="G1487" s="89" t="s">
        <v>44</v>
      </c>
      <c r="H1487" s="89" t="s">
        <v>44</v>
      </c>
      <c r="I1487" s="89" t="s">
        <v>44</v>
      </c>
      <c r="J1487" s="89" t="s">
        <v>44</v>
      </c>
      <c r="K1487" s="90">
        <v>1454</v>
      </c>
    </row>
    <row r="1488" ht="15.75" customHeight="1" spans="1:11">
      <c r="A1488" s="87">
        <v>1487</v>
      </c>
      <c r="B1488" s="88" t="s">
        <v>58</v>
      </c>
      <c r="C1488" s="88" t="s">
        <v>144</v>
      </c>
      <c r="D1488" s="87">
        <v>2025</v>
      </c>
      <c r="E1488" s="88" t="s">
        <v>41</v>
      </c>
      <c r="F1488" s="88" t="s">
        <v>151</v>
      </c>
      <c r="G1488" s="89" t="s">
        <v>44</v>
      </c>
      <c r="H1488" s="89" t="s">
        <v>44</v>
      </c>
      <c r="I1488" s="89" t="s">
        <v>44</v>
      </c>
      <c r="J1488" s="89" t="s">
        <v>44</v>
      </c>
      <c r="K1488" s="90">
        <v>97577</v>
      </c>
    </row>
    <row r="1489" ht="15.75" customHeight="1" spans="1:11">
      <c r="A1489" s="87">
        <v>1488</v>
      </c>
      <c r="B1489" s="88" t="s">
        <v>58</v>
      </c>
      <c r="C1489" s="88" t="s">
        <v>144</v>
      </c>
      <c r="D1489" s="87">
        <v>2025</v>
      </c>
      <c r="E1489" s="88" t="s">
        <v>41</v>
      </c>
      <c r="F1489" s="88" t="s">
        <v>152</v>
      </c>
      <c r="G1489" s="89" t="s">
        <v>44</v>
      </c>
      <c r="H1489" s="89" t="s">
        <v>44</v>
      </c>
      <c r="I1489" s="89" t="s">
        <v>44</v>
      </c>
      <c r="J1489" s="89" t="s">
        <v>44</v>
      </c>
      <c r="K1489" s="90">
        <v>1313</v>
      </c>
    </row>
    <row r="1490" ht="15.75" customHeight="1" spans="1:11">
      <c r="A1490" s="87">
        <v>1489</v>
      </c>
      <c r="B1490" s="88" t="s">
        <v>58</v>
      </c>
      <c r="C1490" s="88" t="s">
        <v>144</v>
      </c>
      <c r="D1490" s="87">
        <v>2025</v>
      </c>
      <c r="E1490" s="88" t="s">
        <v>42</v>
      </c>
      <c r="F1490" s="88" t="s">
        <v>150</v>
      </c>
      <c r="G1490" s="89" t="s">
        <v>44</v>
      </c>
      <c r="H1490" s="89" t="s">
        <v>44</v>
      </c>
      <c r="I1490" s="89" t="s">
        <v>44</v>
      </c>
      <c r="J1490" s="89" t="s">
        <v>44</v>
      </c>
      <c r="K1490" s="90">
        <v>1288</v>
      </c>
    </row>
    <row r="1491" ht="15.75" customHeight="1" spans="1:11">
      <c r="A1491" s="87">
        <v>1490</v>
      </c>
      <c r="B1491" s="88" t="s">
        <v>58</v>
      </c>
      <c r="C1491" s="88" t="s">
        <v>144</v>
      </c>
      <c r="D1491" s="87">
        <v>2025</v>
      </c>
      <c r="E1491" s="88" t="s">
        <v>42</v>
      </c>
      <c r="F1491" s="88" t="s">
        <v>151</v>
      </c>
      <c r="G1491" s="89" t="s">
        <v>44</v>
      </c>
      <c r="H1491" s="89" t="s">
        <v>44</v>
      </c>
      <c r="I1491" s="89" t="s">
        <v>44</v>
      </c>
      <c r="J1491" s="89" t="s">
        <v>44</v>
      </c>
      <c r="K1491" s="90">
        <v>110308</v>
      </c>
    </row>
    <row r="1492" ht="15.75" customHeight="1" spans="1:11">
      <c r="A1492" s="87">
        <v>1491</v>
      </c>
      <c r="B1492" s="88" t="s">
        <v>58</v>
      </c>
      <c r="C1492" s="88" t="s">
        <v>144</v>
      </c>
      <c r="D1492" s="87">
        <v>2025</v>
      </c>
      <c r="E1492" s="88" t="s">
        <v>42</v>
      </c>
      <c r="F1492" s="88" t="s">
        <v>152</v>
      </c>
      <c r="G1492" s="89" t="s">
        <v>44</v>
      </c>
      <c r="H1492" s="89" t="s">
        <v>44</v>
      </c>
      <c r="I1492" s="89" t="s">
        <v>44</v>
      </c>
      <c r="J1492" s="89" t="s">
        <v>44</v>
      </c>
      <c r="K1492" s="90">
        <v>1137</v>
      </c>
    </row>
    <row r="1493" ht="15.75" customHeight="1" spans="1:11">
      <c r="A1493" s="87">
        <v>1492</v>
      </c>
      <c r="B1493" s="88" t="s">
        <v>58</v>
      </c>
      <c r="C1493" s="88" t="s">
        <v>144</v>
      </c>
      <c r="D1493" s="87">
        <v>2025</v>
      </c>
      <c r="E1493" s="88" t="s">
        <v>43</v>
      </c>
      <c r="F1493" s="88" t="s">
        <v>150</v>
      </c>
      <c r="G1493" s="89" t="s">
        <v>44</v>
      </c>
      <c r="H1493" s="89" t="s">
        <v>44</v>
      </c>
      <c r="I1493" s="89" t="s">
        <v>44</v>
      </c>
      <c r="J1493" s="89" t="s">
        <v>44</v>
      </c>
      <c r="K1493" s="90">
        <v>1607</v>
      </c>
    </row>
    <row r="1494" ht="15.75" customHeight="1" spans="1:11">
      <c r="A1494" s="87">
        <v>1493</v>
      </c>
      <c r="B1494" s="88" t="s">
        <v>58</v>
      </c>
      <c r="C1494" s="88" t="s">
        <v>144</v>
      </c>
      <c r="D1494" s="87">
        <v>2025</v>
      </c>
      <c r="E1494" s="88" t="s">
        <v>43</v>
      </c>
      <c r="F1494" s="88" t="s">
        <v>151</v>
      </c>
      <c r="G1494" s="89" t="s">
        <v>44</v>
      </c>
      <c r="H1494" s="89" t="s">
        <v>44</v>
      </c>
      <c r="I1494" s="89" t="s">
        <v>44</v>
      </c>
      <c r="J1494" s="89" t="s">
        <v>44</v>
      </c>
      <c r="K1494" s="90">
        <v>236453</v>
      </c>
    </row>
    <row r="1495" ht="15.75" customHeight="1" spans="1:11">
      <c r="A1495" s="87">
        <v>1494</v>
      </c>
      <c r="B1495" s="88" t="s">
        <v>58</v>
      </c>
      <c r="C1495" s="88" t="s">
        <v>144</v>
      </c>
      <c r="D1495" s="87">
        <v>2025</v>
      </c>
      <c r="E1495" s="88" t="s">
        <v>43</v>
      </c>
      <c r="F1495" s="88" t="s">
        <v>152</v>
      </c>
      <c r="G1495" s="89" t="s">
        <v>44</v>
      </c>
      <c r="H1495" s="89" t="s">
        <v>44</v>
      </c>
      <c r="I1495" s="89" t="s">
        <v>44</v>
      </c>
      <c r="J1495" s="89" t="s">
        <v>44</v>
      </c>
      <c r="K1495" s="90">
        <v>4716</v>
      </c>
    </row>
    <row r="1496" ht="15.75" customHeight="1" spans="1:11">
      <c r="A1496" s="87">
        <v>1495</v>
      </c>
      <c r="B1496" s="88" t="s">
        <v>58</v>
      </c>
      <c r="C1496" s="88" t="s">
        <v>144</v>
      </c>
      <c r="D1496" s="87">
        <v>2026</v>
      </c>
      <c r="E1496" s="88" t="s">
        <v>31</v>
      </c>
      <c r="F1496" s="88" t="s">
        <v>150</v>
      </c>
      <c r="G1496" s="89" t="s">
        <v>44</v>
      </c>
      <c r="H1496" s="89" t="s">
        <v>44</v>
      </c>
      <c r="I1496" s="89" t="s">
        <v>44</v>
      </c>
      <c r="J1496" s="89" t="s">
        <v>44</v>
      </c>
      <c r="K1496" s="90">
        <v>4562</v>
      </c>
    </row>
    <row r="1497" ht="15.75" customHeight="1" spans="1:11">
      <c r="A1497" s="87">
        <v>1496</v>
      </c>
      <c r="B1497" s="88" t="s">
        <v>58</v>
      </c>
      <c r="C1497" s="88" t="s">
        <v>144</v>
      </c>
      <c r="D1497" s="87">
        <v>2026</v>
      </c>
      <c r="E1497" s="88" t="s">
        <v>31</v>
      </c>
      <c r="F1497" s="88" t="s">
        <v>151</v>
      </c>
      <c r="G1497" s="89" t="s">
        <v>44</v>
      </c>
      <c r="H1497" s="89" t="s">
        <v>44</v>
      </c>
      <c r="I1497" s="89" t="s">
        <v>44</v>
      </c>
      <c r="J1497" s="89" t="s">
        <v>44</v>
      </c>
      <c r="K1497" s="90">
        <v>197111</v>
      </c>
    </row>
    <row r="1498" ht="15.75" customHeight="1" spans="1:11">
      <c r="A1498" s="87">
        <v>1497</v>
      </c>
      <c r="B1498" s="88" t="s">
        <v>58</v>
      </c>
      <c r="C1498" s="88" t="s">
        <v>144</v>
      </c>
      <c r="D1498" s="87">
        <v>2026</v>
      </c>
      <c r="E1498" s="88" t="s">
        <v>31</v>
      </c>
      <c r="F1498" s="88" t="s">
        <v>152</v>
      </c>
      <c r="G1498" s="89" t="s">
        <v>44</v>
      </c>
      <c r="H1498" s="89" t="s">
        <v>44</v>
      </c>
      <c r="I1498" s="89" t="s">
        <v>44</v>
      </c>
      <c r="J1498" s="89" t="s">
        <v>44</v>
      </c>
      <c r="K1498" s="90">
        <v>3415</v>
      </c>
    </row>
    <row r="1499" ht="15.75" customHeight="1" spans="1:11">
      <c r="A1499" s="87">
        <v>1498</v>
      </c>
      <c r="B1499" s="88" t="s">
        <v>58</v>
      </c>
      <c r="C1499" s="88" t="s">
        <v>144</v>
      </c>
      <c r="D1499" s="87">
        <v>2026</v>
      </c>
      <c r="E1499" s="88" t="s">
        <v>33</v>
      </c>
      <c r="F1499" s="88" t="s">
        <v>151</v>
      </c>
      <c r="G1499" s="89" t="s">
        <v>44</v>
      </c>
      <c r="H1499" s="89" t="s">
        <v>44</v>
      </c>
      <c r="I1499" s="89" t="s">
        <v>44</v>
      </c>
      <c r="J1499" s="89" t="s">
        <v>44</v>
      </c>
      <c r="K1499" s="90">
        <v>574712</v>
      </c>
    </row>
    <row r="1500" ht="15.75" customHeight="1" spans="1:11">
      <c r="A1500" s="87">
        <v>1499</v>
      </c>
      <c r="B1500" s="88" t="s">
        <v>58</v>
      </c>
      <c r="C1500" s="88" t="s">
        <v>144</v>
      </c>
      <c r="D1500" s="87">
        <v>2026</v>
      </c>
      <c r="E1500" s="88" t="s">
        <v>33</v>
      </c>
      <c r="F1500" s="88" t="s">
        <v>152</v>
      </c>
      <c r="G1500" s="89" t="s">
        <v>44</v>
      </c>
      <c r="H1500" s="89" t="s">
        <v>44</v>
      </c>
      <c r="I1500" s="89" t="s">
        <v>44</v>
      </c>
      <c r="J1500" s="89" t="s">
        <v>44</v>
      </c>
      <c r="K1500" s="90">
        <v>23246</v>
      </c>
    </row>
    <row r="1501" ht="15.75" customHeight="1" spans="1:11">
      <c r="A1501" s="87">
        <v>1500</v>
      </c>
      <c r="B1501" s="88" t="s">
        <v>58</v>
      </c>
      <c r="C1501" s="88" t="s">
        <v>144</v>
      </c>
      <c r="D1501" s="87">
        <v>2026</v>
      </c>
      <c r="E1501" s="88" t="s">
        <v>33</v>
      </c>
      <c r="F1501" s="88" t="s">
        <v>150</v>
      </c>
      <c r="G1501" s="89" t="s">
        <v>44</v>
      </c>
      <c r="H1501" s="89" t="s">
        <v>44</v>
      </c>
      <c r="I1501" s="89" t="s">
        <v>44</v>
      </c>
      <c r="J1501" s="89" t="s">
        <v>44</v>
      </c>
      <c r="K1501" s="90">
        <v>3747</v>
      </c>
    </row>
    <row r="1502" ht="15.75" customHeight="1" spans="1:11">
      <c r="A1502" s="87">
        <v>1501</v>
      </c>
      <c r="B1502" s="88" t="s">
        <v>58</v>
      </c>
      <c r="C1502" s="88" t="s">
        <v>144</v>
      </c>
      <c r="D1502" s="87">
        <v>2026</v>
      </c>
      <c r="E1502" s="88" t="s">
        <v>34</v>
      </c>
      <c r="F1502" s="88" t="s">
        <v>152</v>
      </c>
      <c r="G1502" s="89" t="s">
        <v>44</v>
      </c>
      <c r="H1502" s="89" t="s">
        <v>44</v>
      </c>
      <c r="I1502" s="89" t="s">
        <v>44</v>
      </c>
      <c r="J1502" s="89" t="s">
        <v>44</v>
      </c>
      <c r="K1502" s="90">
        <v>7408</v>
      </c>
    </row>
    <row r="1503" ht="15.75" customHeight="1" spans="1:11">
      <c r="A1503" s="87">
        <v>1502</v>
      </c>
      <c r="B1503" s="88" t="s">
        <v>58</v>
      </c>
      <c r="C1503" s="88" t="s">
        <v>144</v>
      </c>
      <c r="D1503" s="87">
        <v>2026</v>
      </c>
      <c r="E1503" s="88" t="s">
        <v>34</v>
      </c>
      <c r="F1503" s="88" t="s">
        <v>150</v>
      </c>
      <c r="G1503" s="89" t="s">
        <v>44</v>
      </c>
      <c r="H1503" s="89" t="s">
        <v>44</v>
      </c>
      <c r="I1503" s="89" t="s">
        <v>44</v>
      </c>
      <c r="J1503" s="89" t="s">
        <v>44</v>
      </c>
      <c r="K1503" s="90">
        <v>1733</v>
      </c>
    </row>
    <row r="1504" ht="15.75" customHeight="1" spans="1:11">
      <c r="A1504" s="87">
        <v>1503</v>
      </c>
      <c r="B1504" s="88" t="s">
        <v>58</v>
      </c>
      <c r="C1504" s="88" t="s">
        <v>144</v>
      </c>
      <c r="D1504" s="87">
        <v>2026</v>
      </c>
      <c r="E1504" s="88" t="s">
        <v>34</v>
      </c>
      <c r="F1504" s="88" t="s">
        <v>151</v>
      </c>
      <c r="G1504" s="89" t="s">
        <v>44</v>
      </c>
      <c r="H1504" s="89" t="s">
        <v>44</v>
      </c>
      <c r="I1504" s="89" t="s">
        <v>44</v>
      </c>
      <c r="J1504" s="89" t="s">
        <v>44</v>
      </c>
      <c r="K1504" s="90">
        <v>326774</v>
      </c>
    </row>
    <row r="1505" ht="15.75" customHeight="1" spans="1:11">
      <c r="A1505" s="87">
        <v>1504</v>
      </c>
      <c r="B1505" s="88" t="s">
        <v>58</v>
      </c>
      <c r="C1505" s="88" t="s">
        <v>146</v>
      </c>
      <c r="D1505" s="87">
        <v>2024</v>
      </c>
      <c r="E1505" s="88" t="s">
        <v>31</v>
      </c>
      <c r="F1505" s="88" t="s">
        <v>150</v>
      </c>
      <c r="G1505" s="89" t="s">
        <v>44</v>
      </c>
      <c r="H1505" s="89" t="s">
        <v>44</v>
      </c>
      <c r="I1505" s="89" t="s">
        <v>44</v>
      </c>
      <c r="J1505" s="89" t="s">
        <v>44</v>
      </c>
      <c r="K1505" s="89">
        <v>490</v>
      </c>
    </row>
    <row r="1506" ht="15.75" customHeight="1" spans="1:11">
      <c r="A1506" s="87">
        <v>1505</v>
      </c>
      <c r="B1506" s="88" t="s">
        <v>58</v>
      </c>
      <c r="C1506" s="88" t="s">
        <v>146</v>
      </c>
      <c r="D1506" s="87">
        <v>2024</v>
      </c>
      <c r="E1506" s="88" t="s">
        <v>31</v>
      </c>
      <c r="F1506" s="88" t="s">
        <v>151</v>
      </c>
      <c r="G1506" s="89" t="s">
        <v>44</v>
      </c>
      <c r="H1506" s="89" t="s">
        <v>44</v>
      </c>
      <c r="I1506" s="89" t="s">
        <v>44</v>
      </c>
      <c r="J1506" s="89" t="s">
        <v>44</v>
      </c>
      <c r="K1506" s="90">
        <v>38310</v>
      </c>
    </row>
    <row r="1507" ht="15.75" customHeight="1" spans="1:11">
      <c r="A1507" s="87">
        <v>1506</v>
      </c>
      <c r="B1507" s="88" t="s">
        <v>58</v>
      </c>
      <c r="C1507" s="88" t="s">
        <v>146</v>
      </c>
      <c r="D1507" s="87">
        <v>2024</v>
      </c>
      <c r="E1507" s="88" t="s">
        <v>31</v>
      </c>
      <c r="F1507" s="88" t="s">
        <v>152</v>
      </c>
      <c r="G1507" s="89" t="s">
        <v>44</v>
      </c>
      <c r="H1507" s="89" t="s">
        <v>44</v>
      </c>
      <c r="I1507" s="89" t="s">
        <v>44</v>
      </c>
      <c r="J1507" s="89" t="s">
        <v>44</v>
      </c>
      <c r="K1507" s="90">
        <v>1080</v>
      </c>
    </row>
    <row r="1508" ht="15.75" customHeight="1" spans="1:11">
      <c r="A1508" s="87">
        <v>1507</v>
      </c>
      <c r="B1508" s="88" t="s">
        <v>58</v>
      </c>
      <c r="C1508" s="88" t="s">
        <v>146</v>
      </c>
      <c r="D1508" s="87">
        <v>2024</v>
      </c>
      <c r="E1508" s="88" t="s">
        <v>33</v>
      </c>
      <c r="F1508" s="88" t="s">
        <v>150</v>
      </c>
      <c r="G1508" s="89" t="s">
        <v>44</v>
      </c>
      <c r="H1508" s="89" t="s">
        <v>44</v>
      </c>
      <c r="I1508" s="89" t="s">
        <v>44</v>
      </c>
      <c r="J1508" s="89" t="s">
        <v>44</v>
      </c>
      <c r="K1508" s="89">
        <v>420</v>
      </c>
    </row>
    <row r="1509" ht="15.75" customHeight="1" spans="1:11">
      <c r="A1509" s="87">
        <v>1508</v>
      </c>
      <c r="B1509" s="88" t="s">
        <v>58</v>
      </c>
      <c r="C1509" s="88" t="s">
        <v>146</v>
      </c>
      <c r="D1509" s="87">
        <v>2024</v>
      </c>
      <c r="E1509" s="88" t="s">
        <v>33</v>
      </c>
      <c r="F1509" s="88" t="s">
        <v>151</v>
      </c>
      <c r="G1509" s="89" t="s">
        <v>44</v>
      </c>
      <c r="H1509" s="89" t="s">
        <v>44</v>
      </c>
      <c r="I1509" s="89" t="s">
        <v>44</v>
      </c>
      <c r="J1509" s="89" t="s">
        <v>44</v>
      </c>
      <c r="K1509" s="90">
        <v>31149</v>
      </c>
    </row>
    <row r="1510" ht="15.75" customHeight="1" spans="1:11">
      <c r="A1510" s="87">
        <v>1509</v>
      </c>
      <c r="B1510" s="88" t="s">
        <v>58</v>
      </c>
      <c r="C1510" s="88" t="s">
        <v>146</v>
      </c>
      <c r="D1510" s="87">
        <v>2024</v>
      </c>
      <c r="E1510" s="88" t="s">
        <v>33</v>
      </c>
      <c r="F1510" s="88" t="s">
        <v>152</v>
      </c>
      <c r="G1510" s="89" t="s">
        <v>44</v>
      </c>
      <c r="H1510" s="89" t="s">
        <v>44</v>
      </c>
      <c r="I1510" s="89" t="s">
        <v>44</v>
      </c>
      <c r="J1510" s="89" t="s">
        <v>44</v>
      </c>
      <c r="K1510" s="89">
        <v>734</v>
      </c>
    </row>
    <row r="1511" ht="15.75" customHeight="1" spans="1:11">
      <c r="A1511" s="87">
        <v>1510</v>
      </c>
      <c r="B1511" s="88" t="s">
        <v>58</v>
      </c>
      <c r="C1511" s="88" t="s">
        <v>146</v>
      </c>
      <c r="D1511" s="87">
        <v>2024</v>
      </c>
      <c r="E1511" s="88" t="s">
        <v>34</v>
      </c>
      <c r="F1511" s="88" t="s">
        <v>150</v>
      </c>
      <c r="G1511" s="89" t="s">
        <v>44</v>
      </c>
      <c r="H1511" s="89" t="s">
        <v>44</v>
      </c>
      <c r="I1511" s="89" t="s">
        <v>44</v>
      </c>
      <c r="J1511" s="89" t="s">
        <v>44</v>
      </c>
      <c r="K1511" s="89">
        <v>174</v>
      </c>
    </row>
    <row r="1512" ht="15.75" customHeight="1" spans="1:11">
      <c r="A1512" s="87">
        <v>1511</v>
      </c>
      <c r="B1512" s="88" t="s">
        <v>58</v>
      </c>
      <c r="C1512" s="88" t="s">
        <v>146</v>
      </c>
      <c r="D1512" s="87">
        <v>2024</v>
      </c>
      <c r="E1512" s="88" t="s">
        <v>34</v>
      </c>
      <c r="F1512" s="88" t="s">
        <v>151</v>
      </c>
      <c r="G1512" s="89" t="s">
        <v>44</v>
      </c>
      <c r="H1512" s="89" t="s">
        <v>44</v>
      </c>
      <c r="I1512" s="89" t="s">
        <v>44</v>
      </c>
      <c r="J1512" s="89" t="s">
        <v>44</v>
      </c>
      <c r="K1512" s="90">
        <v>34338</v>
      </c>
    </row>
    <row r="1513" ht="15.75" customHeight="1" spans="1:11">
      <c r="A1513" s="87">
        <v>1512</v>
      </c>
      <c r="B1513" s="88" t="s">
        <v>58</v>
      </c>
      <c r="C1513" s="88" t="s">
        <v>146</v>
      </c>
      <c r="D1513" s="87">
        <v>2024</v>
      </c>
      <c r="E1513" s="88" t="s">
        <v>34</v>
      </c>
      <c r="F1513" s="88" t="s">
        <v>152</v>
      </c>
      <c r="G1513" s="89" t="s">
        <v>44</v>
      </c>
      <c r="H1513" s="89" t="s">
        <v>44</v>
      </c>
      <c r="I1513" s="89" t="s">
        <v>44</v>
      </c>
      <c r="J1513" s="89" t="s">
        <v>44</v>
      </c>
      <c r="K1513" s="89">
        <v>492</v>
      </c>
    </row>
    <row r="1514" ht="15.75" customHeight="1" spans="1:11">
      <c r="A1514" s="87">
        <v>1513</v>
      </c>
      <c r="B1514" s="88" t="s">
        <v>58</v>
      </c>
      <c r="C1514" s="88" t="s">
        <v>146</v>
      </c>
      <c r="D1514" s="87">
        <v>2024</v>
      </c>
      <c r="E1514" s="88" t="s">
        <v>35</v>
      </c>
      <c r="F1514" s="88" t="s">
        <v>150</v>
      </c>
      <c r="G1514" s="89" t="s">
        <v>44</v>
      </c>
      <c r="H1514" s="89" t="s">
        <v>44</v>
      </c>
      <c r="I1514" s="89" t="s">
        <v>44</v>
      </c>
      <c r="J1514" s="89" t="s">
        <v>44</v>
      </c>
      <c r="K1514" s="89">
        <v>214</v>
      </c>
    </row>
    <row r="1515" ht="15.75" customHeight="1" spans="1:11">
      <c r="A1515" s="87">
        <v>1514</v>
      </c>
      <c r="B1515" s="88" t="s">
        <v>58</v>
      </c>
      <c r="C1515" s="88" t="s">
        <v>146</v>
      </c>
      <c r="D1515" s="87">
        <v>2024</v>
      </c>
      <c r="E1515" s="88" t="s">
        <v>35</v>
      </c>
      <c r="F1515" s="88" t="s">
        <v>151</v>
      </c>
      <c r="G1515" s="89" t="s">
        <v>44</v>
      </c>
      <c r="H1515" s="89" t="s">
        <v>44</v>
      </c>
      <c r="I1515" s="89" t="s">
        <v>44</v>
      </c>
      <c r="J1515" s="89" t="s">
        <v>44</v>
      </c>
      <c r="K1515" s="90">
        <v>28414</v>
      </c>
    </row>
    <row r="1516" ht="15.75" customHeight="1" spans="1:11">
      <c r="A1516" s="87">
        <v>1515</v>
      </c>
      <c r="B1516" s="88" t="s">
        <v>58</v>
      </c>
      <c r="C1516" s="88" t="s">
        <v>146</v>
      </c>
      <c r="D1516" s="87">
        <v>2024</v>
      </c>
      <c r="E1516" s="88" t="s">
        <v>35</v>
      </c>
      <c r="F1516" s="88" t="s">
        <v>152</v>
      </c>
      <c r="G1516" s="89" t="s">
        <v>44</v>
      </c>
      <c r="H1516" s="89" t="s">
        <v>44</v>
      </c>
      <c r="I1516" s="89" t="s">
        <v>44</v>
      </c>
      <c r="J1516" s="89" t="s">
        <v>44</v>
      </c>
      <c r="K1516" s="89">
        <v>861</v>
      </c>
    </row>
    <row r="1517" ht="15.75" customHeight="1" spans="1:11">
      <c r="A1517" s="87">
        <v>1516</v>
      </c>
      <c r="B1517" s="88" t="s">
        <v>58</v>
      </c>
      <c r="C1517" s="88" t="s">
        <v>146</v>
      </c>
      <c r="D1517" s="87">
        <v>2024</v>
      </c>
      <c r="E1517" s="88" t="s">
        <v>36</v>
      </c>
      <c r="F1517" s="88" t="s">
        <v>150</v>
      </c>
      <c r="G1517" s="89" t="s">
        <v>44</v>
      </c>
      <c r="H1517" s="89" t="s">
        <v>44</v>
      </c>
      <c r="I1517" s="89" t="s">
        <v>44</v>
      </c>
      <c r="J1517" s="89" t="s">
        <v>44</v>
      </c>
      <c r="K1517" s="89">
        <v>351</v>
      </c>
    </row>
    <row r="1518" ht="15.75" customHeight="1" spans="1:11">
      <c r="A1518" s="87">
        <v>1517</v>
      </c>
      <c r="B1518" s="88" t="s">
        <v>58</v>
      </c>
      <c r="C1518" s="88" t="s">
        <v>146</v>
      </c>
      <c r="D1518" s="87">
        <v>2024</v>
      </c>
      <c r="E1518" s="88" t="s">
        <v>36</v>
      </c>
      <c r="F1518" s="88" t="s">
        <v>151</v>
      </c>
      <c r="G1518" s="89" t="s">
        <v>44</v>
      </c>
      <c r="H1518" s="89" t="s">
        <v>44</v>
      </c>
      <c r="I1518" s="89" t="s">
        <v>44</v>
      </c>
      <c r="J1518" s="89" t="s">
        <v>44</v>
      </c>
      <c r="K1518" s="90">
        <v>31160</v>
      </c>
    </row>
    <row r="1519" ht="15.75" customHeight="1" spans="1:11">
      <c r="A1519" s="87">
        <v>1518</v>
      </c>
      <c r="B1519" s="88" t="s">
        <v>58</v>
      </c>
      <c r="C1519" s="88" t="s">
        <v>146</v>
      </c>
      <c r="D1519" s="87">
        <v>2024</v>
      </c>
      <c r="E1519" s="88" t="s">
        <v>36</v>
      </c>
      <c r="F1519" s="88" t="s">
        <v>152</v>
      </c>
      <c r="G1519" s="89" t="s">
        <v>44</v>
      </c>
      <c r="H1519" s="89" t="s">
        <v>44</v>
      </c>
      <c r="I1519" s="89" t="s">
        <v>44</v>
      </c>
      <c r="J1519" s="89" t="s">
        <v>44</v>
      </c>
      <c r="K1519" s="89">
        <v>984</v>
      </c>
    </row>
    <row r="1520" ht="15.75" customHeight="1" spans="1:11">
      <c r="A1520" s="87">
        <v>1519</v>
      </c>
      <c r="B1520" s="88" t="s">
        <v>58</v>
      </c>
      <c r="C1520" s="88" t="s">
        <v>146</v>
      </c>
      <c r="D1520" s="87">
        <v>2024</v>
      </c>
      <c r="E1520" s="88" t="s">
        <v>37</v>
      </c>
      <c r="F1520" s="88" t="s">
        <v>150</v>
      </c>
      <c r="G1520" s="89" t="s">
        <v>44</v>
      </c>
      <c r="H1520" s="89" t="s">
        <v>44</v>
      </c>
      <c r="I1520" s="89" t="s">
        <v>44</v>
      </c>
      <c r="J1520" s="89" t="s">
        <v>44</v>
      </c>
      <c r="K1520" s="89">
        <v>310</v>
      </c>
    </row>
    <row r="1521" ht="15.75" customHeight="1" spans="1:11">
      <c r="A1521" s="87">
        <v>1520</v>
      </c>
      <c r="B1521" s="88" t="s">
        <v>58</v>
      </c>
      <c r="C1521" s="88" t="s">
        <v>146</v>
      </c>
      <c r="D1521" s="87">
        <v>2024</v>
      </c>
      <c r="E1521" s="88" t="s">
        <v>37</v>
      </c>
      <c r="F1521" s="88" t="s">
        <v>151</v>
      </c>
      <c r="G1521" s="89" t="s">
        <v>44</v>
      </c>
      <c r="H1521" s="89" t="s">
        <v>44</v>
      </c>
      <c r="I1521" s="89" t="s">
        <v>44</v>
      </c>
      <c r="J1521" s="89" t="s">
        <v>44</v>
      </c>
      <c r="K1521" s="90">
        <v>268739</v>
      </c>
    </row>
    <row r="1522" ht="15.75" customHeight="1" spans="1:11">
      <c r="A1522" s="87">
        <v>1521</v>
      </c>
      <c r="B1522" s="88" t="s">
        <v>58</v>
      </c>
      <c r="C1522" s="88" t="s">
        <v>146</v>
      </c>
      <c r="D1522" s="87">
        <v>2024</v>
      </c>
      <c r="E1522" s="88" t="s">
        <v>37</v>
      </c>
      <c r="F1522" s="88" t="s">
        <v>152</v>
      </c>
      <c r="G1522" s="89" t="s">
        <v>44</v>
      </c>
      <c r="H1522" s="89" t="s">
        <v>44</v>
      </c>
      <c r="I1522" s="89" t="s">
        <v>44</v>
      </c>
      <c r="J1522" s="89" t="s">
        <v>44</v>
      </c>
      <c r="K1522" s="90">
        <v>5774</v>
      </c>
    </row>
    <row r="1523" ht="15.75" customHeight="1" spans="1:11">
      <c r="A1523" s="87">
        <v>1522</v>
      </c>
      <c r="B1523" s="88" t="s">
        <v>58</v>
      </c>
      <c r="C1523" s="88" t="s">
        <v>146</v>
      </c>
      <c r="D1523" s="87">
        <v>2024</v>
      </c>
      <c r="E1523" s="88" t="s">
        <v>38</v>
      </c>
      <c r="F1523" s="88" t="s">
        <v>150</v>
      </c>
      <c r="G1523" s="89" t="s">
        <v>44</v>
      </c>
      <c r="H1523" s="89" t="s">
        <v>44</v>
      </c>
      <c r="I1523" s="89" t="s">
        <v>44</v>
      </c>
      <c r="J1523" s="89" t="s">
        <v>44</v>
      </c>
      <c r="K1523" s="89">
        <v>295</v>
      </c>
    </row>
    <row r="1524" ht="15.75" customHeight="1" spans="1:11">
      <c r="A1524" s="87">
        <v>1523</v>
      </c>
      <c r="B1524" s="88" t="s">
        <v>58</v>
      </c>
      <c r="C1524" s="88" t="s">
        <v>146</v>
      </c>
      <c r="D1524" s="87">
        <v>2024</v>
      </c>
      <c r="E1524" s="88" t="s">
        <v>38</v>
      </c>
      <c r="F1524" s="88" t="s">
        <v>151</v>
      </c>
      <c r="G1524" s="89" t="s">
        <v>44</v>
      </c>
      <c r="H1524" s="89" t="s">
        <v>44</v>
      </c>
      <c r="I1524" s="89" t="s">
        <v>44</v>
      </c>
      <c r="J1524" s="89" t="s">
        <v>44</v>
      </c>
      <c r="K1524" s="90">
        <v>748673</v>
      </c>
    </row>
    <row r="1525" ht="15.75" customHeight="1" spans="1:11">
      <c r="A1525" s="87">
        <v>1524</v>
      </c>
      <c r="B1525" s="88" t="s">
        <v>58</v>
      </c>
      <c r="C1525" s="88" t="s">
        <v>146</v>
      </c>
      <c r="D1525" s="87">
        <v>2024</v>
      </c>
      <c r="E1525" s="88" t="s">
        <v>38</v>
      </c>
      <c r="F1525" s="88" t="s">
        <v>152</v>
      </c>
      <c r="G1525" s="89" t="s">
        <v>44</v>
      </c>
      <c r="H1525" s="89" t="s">
        <v>44</v>
      </c>
      <c r="I1525" s="89" t="s">
        <v>44</v>
      </c>
      <c r="J1525" s="89" t="s">
        <v>44</v>
      </c>
      <c r="K1525" s="90">
        <v>15162</v>
      </c>
    </row>
    <row r="1526" ht="15.75" customHeight="1" spans="1:11">
      <c r="A1526" s="87">
        <v>1525</v>
      </c>
      <c r="B1526" s="88" t="s">
        <v>58</v>
      </c>
      <c r="C1526" s="88" t="s">
        <v>146</v>
      </c>
      <c r="D1526" s="87">
        <v>2024</v>
      </c>
      <c r="E1526" s="88" t="s">
        <v>39</v>
      </c>
      <c r="F1526" s="88" t="s">
        <v>150</v>
      </c>
      <c r="G1526" s="89" t="s">
        <v>44</v>
      </c>
      <c r="H1526" s="89" t="s">
        <v>44</v>
      </c>
      <c r="I1526" s="89" t="s">
        <v>44</v>
      </c>
      <c r="J1526" s="89" t="s">
        <v>44</v>
      </c>
      <c r="K1526" s="89">
        <v>714</v>
      </c>
    </row>
    <row r="1527" ht="15.75" customHeight="1" spans="1:11">
      <c r="A1527" s="87">
        <v>1526</v>
      </c>
      <c r="B1527" s="88" t="s">
        <v>58</v>
      </c>
      <c r="C1527" s="88" t="s">
        <v>146</v>
      </c>
      <c r="D1527" s="87">
        <v>2024</v>
      </c>
      <c r="E1527" s="88" t="s">
        <v>39</v>
      </c>
      <c r="F1527" s="88" t="s">
        <v>151</v>
      </c>
      <c r="G1527" s="89" t="s">
        <v>44</v>
      </c>
      <c r="H1527" s="89" t="s">
        <v>44</v>
      </c>
      <c r="I1527" s="89" t="s">
        <v>44</v>
      </c>
      <c r="J1527" s="89" t="s">
        <v>44</v>
      </c>
      <c r="K1527" s="90">
        <v>252857</v>
      </c>
    </row>
    <row r="1528" ht="15.75" customHeight="1" spans="1:11">
      <c r="A1528" s="87">
        <v>1527</v>
      </c>
      <c r="B1528" s="88" t="s">
        <v>58</v>
      </c>
      <c r="C1528" s="88" t="s">
        <v>146</v>
      </c>
      <c r="D1528" s="87">
        <v>2024</v>
      </c>
      <c r="E1528" s="88" t="s">
        <v>39</v>
      </c>
      <c r="F1528" s="88" t="s">
        <v>152</v>
      </c>
      <c r="G1528" s="89" t="s">
        <v>44</v>
      </c>
      <c r="H1528" s="89" t="s">
        <v>44</v>
      </c>
      <c r="I1528" s="89" t="s">
        <v>44</v>
      </c>
      <c r="J1528" s="89" t="s">
        <v>44</v>
      </c>
      <c r="K1528" s="90">
        <v>5626</v>
      </c>
    </row>
    <row r="1529" ht="15.75" customHeight="1" spans="1:11">
      <c r="A1529" s="87">
        <v>1528</v>
      </c>
      <c r="B1529" s="88" t="s">
        <v>58</v>
      </c>
      <c r="C1529" s="88" t="s">
        <v>146</v>
      </c>
      <c r="D1529" s="87">
        <v>2024</v>
      </c>
      <c r="E1529" s="88" t="s">
        <v>40</v>
      </c>
      <c r="F1529" s="88" t="s">
        <v>150</v>
      </c>
      <c r="G1529" s="89" t="s">
        <v>44</v>
      </c>
      <c r="H1529" s="89" t="s">
        <v>44</v>
      </c>
      <c r="I1529" s="89" t="s">
        <v>44</v>
      </c>
      <c r="J1529" s="89" t="s">
        <v>44</v>
      </c>
      <c r="K1529" s="89">
        <v>422</v>
      </c>
    </row>
    <row r="1530" ht="15.75" customHeight="1" spans="1:11">
      <c r="A1530" s="87">
        <v>1529</v>
      </c>
      <c r="B1530" s="88" t="s">
        <v>58</v>
      </c>
      <c r="C1530" s="88" t="s">
        <v>146</v>
      </c>
      <c r="D1530" s="87">
        <v>2024</v>
      </c>
      <c r="E1530" s="88" t="s">
        <v>40</v>
      </c>
      <c r="F1530" s="88" t="s">
        <v>151</v>
      </c>
      <c r="G1530" s="89" t="s">
        <v>44</v>
      </c>
      <c r="H1530" s="89" t="s">
        <v>44</v>
      </c>
      <c r="I1530" s="89" t="s">
        <v>44</v>
      </c>
      <c r="J1530" s="89" t="s">
        <v>44</v>
      </c>
      <c r="K1530" s="90">
        <v>167319</v>
      </c>
    </row>
    <row r="1531" ht="15.75" customHeight="1" spans="1:11">
      <c r="A1531" s="87">
        <v>1530</v>
      </c>
      <c r="B1531" s="88" t="s">
        <v>58</v>
      </c>
      <c r="C1531" s="88" t="s">
        <v>146</v>
      </c>
      <c r="D1531" s="87">
        <v>2024</v>
      </c>
      <c r="E1531" s="88" t="s">
        <v>40</v>
      </c>
      <c r="F1531" s="88" t="s">
        <v>152</v>
      </c>
      <c r="G1531" s="89" t="s">
        <v>44</v>
      </c>
      <c r="H1531" s="89" t="s">
        <v>44</v>
      </c>
      <c r="I1531" s="89" t="s">
        <v>44</v>
      </c>
      <c r="J1531" s="89" t="s">
        <v>44</v>
      </c>
      <c r="K1531" s="90">
        <v>1963</v>
      </c>
    </row>
    <row r="1532" ht="15.75" customHeight="1" spans="1:11">
      <c r="A1532" s="87">
        <v>1531</v>
      </c>
      <c r="B1532" s="88" t="s">
        <v>58</v>
      </c>
      <c r="C1532" s="88" t="s">
        <v>146</v>
      </c>
      <c r="D1532" s="87">
        <v>2024</v>
      </c>
      <c r="E1532" s="88" t="s">
        <v>41</v>
      </c>
      <c r="F1532" s="88" t="s">
        <v>150</v>
      </c>
      <c r="G1532" s="89" t="s">
        <v>44</v>
      </c>
      <c r="H1532" s="89" t="s">
        <v>44</v>
      </c>
      <c r="I1532" s="89" t="s">
        <v>44</v>
      </c>
      <c r="J1532" s="89" t="s">
        <v>44</v>
      </c>
      <c r="K1532" s="89">
        <v>449</v>
      </c>
    </row>
    <row r="1533" ht="15.75" customHeight="1" spans="1:11">
      <c r="A1533" s="87">
        <v>1532</v>
      </c>
      <c r="B1533" s="88" t="s">
        <v>58</v>
      </c>
      <c r="C1533" s="88" t="s">
        <v>146</v>
      </c>
      <c r="D1533" s="87">
        <v>2024</v>
      </c>
      <c r="E1533" s="88" t="s">
        <v>41</v>
      </c>
      <c r="F1533" s="88" t="s">
        <v>151</v>
      </c>
      <c r="G1533" s="89" t="s">
        <v>44</v>
      </c>
      <c r="H1533" s="89" t="s">
        <v>44</v>
      </c>
      <c r="I1533" s="89" t="s">
        <v>44</v>
      </c>
      <c r="J1533" s="89" t="s">
        <v>44</v>
      </c>
      <c r="K1533" s="90">
        <v>31821</v>
      </c>
    </row>
    <row r="1534" ht="15.75" customHeight="1" spans="1:11">
      <c r="A1534" s="87">
        <v>1533</v>
      </c>
      <c r="B1534" s="88" t="s">
        <v>58</v>
      </c>
      <c r="C1534" s="88" t="s">
        <v>146</v>
      </c>
      <c r="D1534" s="87">
        <v>2024</v>
      </c>
      <c r="E1534" s="88" t="s">
        <v>41</v>
      </c>
      <c r="F1534" s="88" t="s">
        <v>152</v>
      </c>
      <c r="G1534" s="89" t="s">
        <v>44</v>
      </c>
      <c r="H1534" s="89" t="s">
        <v>44</v>
      </c>
      <c r="I1534" s="89" t="s">
        <v>44</v>
      </c>
      <c r="J1534" s="89" t="s">
        <v>44</v>
      </c>
      <c r="K1534" s="90">
        <v>1822</v>
      </c>
    </row>
    <row r="1535" ht="15.75" customHeight="1" spans="1:11">
      <c r="A1535" s="87">
        <v>1534</v>
      </c>
      <c r="B1535" s="88" t="s">
        <v>58</v>
      </c>
      <c r="C1535" s="88" t="s">
        <v>146</v>
      </c>
      <c r="D1535" s="87">
        <v>2024</v>
      </c>
      <c r="E1535" s="88" t="s">
        <v>42</v>
      </c>
      <c r="F1535" s="88" t="s">
        <v>150</v>
      </c>
      <c r="G1535" s="89" t="s">
        <v>44</v>
      </c>
      <c r="H1535" s="89" t="s">
        <v>44</v>
      </c>
      <c r="I1535" s="89" t="s">
        <v>44</v>
      </c>
      <c r="J1535" s="89" t="s">
        <v>44</v>
      </c>
      <c r="K1535" s="89">
        <v>366</v>
      </c>
    </row>
    <row r="1536" ht="15.75" customHeight="1" spans="1:11">
      <c r="A1536" s="87">
        <v>1535</v>
      </c>
      <c r="B1536" s="88" t="s">
        <v>58</v>
      </c>
      <c r="C1536" s="88" t="s">
        <v>146</v>
      </c>
      <c r="D1536" s="87">
        <v>2024</v>
      </c>
      <c r="E1536" s="88" t="s">
        <v>42</v>
      </c>
      <c r="F1536" s="88" t="s">
        <v>151</v>
      </c>
      <c r="G1536" s="89" t="s">
        <v>44</v>
      </c>
      <c r="H1536" s="89" t="s">
        <v>44</v>
      </c>
      <c r="I1536" s="89" t="s">
        <v>44</v>
      </c>
      <c r="J1536" s="89" t="s">
        <v>44</v>
      </c>
      <c r="K1536" s="90">
        <v>206897</v>
      </c>
    </row>
    <row r="1537" ht="15.75" customHeight="1" spans="1:11">
      <c r="A1537" s="87">
        <v>1536</v>
      </c>
      <c r="B1537" s="88" t="s">
        <v>58</v>
      </c>
      <c r="C1537" s="88" t="s">
        <v>146</v>
      </c>
      <c r="D1537" s="87">
        <v>2024</v>
      </c>
      <c r="E1537" s="88" t="s">
        <v>42</v>
      </c>
      <c r="F1537" s="88" t="s">
        <v>152</v>
      </c>
      <c r="G1537" s="89" t="s">
        <v>44</v>
      </c>
      <c r="H1537" s="89" t="s">
        <v>44</v>
      </c>
      <c r="I1537" s="89" t="s">
        <v>44</v>
      </c>
      <c r="J1537" s="89" t="s">
        <v>44</v>
      </c>
      <c r="K1537" s="90">
        <v>5947</v>
      </c>
    </row>
    <row r="1538" ht="15.75" customHeight="1" spans="1:11">
      <c r="A1538" s="87">
        <v>1537</v>
      </c>
      <c r="B1538" s="88" t="s">
        <v>58</v>
      </c>
      <c r="C1538" s="88" t="s">
        <v>146</v>
      </c>
      <c r="D1538" s="87">
        <v>2024</v>
      </c>
      <c r="E1538" s="88" t="s">
        <v>43</v>
      </c>
      <c r="F1538" s="88" t="s">
        <v>150</v>
      </c>
      <c r="G1538" s="89" t="s">
        <v>44</v>
      </c>
      <c r="H1538" s="89" t="s">
        <v>44</v>
      </c>
      <c r="I1538" s="89" t="s">
        <v>44</v>
      </c>
      <c r="J1538" s="89" t="s">
        <v>44</v>
      </c>
      <c r="K1538" s="89">
        <v>544</v>
      </c>
    </row>
    <row r="1539" ht="15.75" customHeight="1" spans="1:11">
      <c r="A1539" s="87">
        <v>1538</v>
      </c>
      <c r="B1539" s="88" t="s">
        <v>58</v>
      </c>
      <c r="C1539" s="88" t="s">
        <v>146</v>
      </c>
      <c r="D1539" s="87">
        <v>2024</v>
      </c>
      <c r="E1539" s="88" t="s">
        <v>43</v>
      </c>
      <c r="F1539" s="88" t="s">
        <v>151</v>
      </c>
      <c r="G1539" s="89" t="s">
        <v>44</v>
      </c>
      <c r="H1539" s="89" t="s">
        <v>44</v>
      </c>
      <c r="I1539" s="89" t="s">
        <v>44</v>
      </c>
      <c r="J1539" s="89" t="s">
        <v>44</v>
      </c>
      <c r="K1539" s="90">
        <v>97072</v>
      </c>
    </row>
    <row r="1540" ht="15.75" customHeight="1" spans="1:11">
      <c r="A1540" s="87">
        <v>1539</v>
      </c>
      <c r="B1540" s="88" t="s">
        <v>58</v>
      </c>
      <c r="C1540" s="88" t="s">
        <v>146</v>
      </c>
      <c r="D1540" s="87">
        <v>2024</v>
      </c>
      <c r="E1540" s="88" t="s">
        <v>43</v>
      </c>
      <c r="F1540" s="88" t="s">
        <v>152</v>
      </c>
      <c r="G1540" s="89" t="s">
        <v>44</v>
      </c>
      <c r="H1540" s="89" t="s">
        <v>44</v>
      </c>
      <c r="I1540" s="89" t="s">
        <v>44</v>
      </c>
      <c r="J1540" s="89" t="s">
        <v>44</v>
      </c>
      <c r="K1540" s="90">
        <v>4927</v>
      </c>
    </row>
    <row r="1541" ht="15.75" customHeight="1" spans="1:11">
      <c r="A1541" s="87">
        <v>1540</v>
      </c>
      <c r="B1541" s="88" t="s">
        <v>58</v>
      </c>
      <c r="C1541" s="88" t="s">
        <v>146</v>
      </c>
      <c r="D1541" s="87">
        <v>2025</v>
      </c>
      <c r="E1541" s="88" t="s">
        <v>31</v>
      </c>
      <c r="F1541" s="88" t="s">
        <v>150</v>
      </c>
      <c r="G1541" s="89" t="s">
        <v>44</v>
      </c>
      <c r="H1541" s="89" t="s">
        <v>44</v>
      </c>
      <c r="I1541" s="89" t="s">
        <v>44</v>
      </c>
      <c r="J1541" s="89" t="s">
        <v>44</v>
      </c>
      <c r="K1541" s="89">
        <v>391</v>
      </c>
    </row>
    <row r="1542" ht="15.75" customHeight="1" spans="1:11">
      <c r="A1542" s="87">
        <v>1541</v>
      </c>
      <c r="B1542" s="88" t="s">
        <v>58</v>
      </c>
      <c r="C1542" s="88" t="s">
        <v>146</v>
      </c>
      <c r="D1542" s="87">
        <v>2025</v>
      </c>
      <c r="E1542" s="88" t="s">
        <v>31</v>
      </c>
      <c r="F1542" s="88" t="s">
        <v>151</v>
      </c>
      <c r="G1542" s="89" t="s">
        <v>44</v>
      </c>
      <c r="H1542" s="89" t="s">
        <v>44</v>
      </c>
      <c r="I1542" s="89" t="s">
        <v>44</v>
      </c>
      <c r="J1542" s="89" t="s">
        <v>44</v>
      </c>
      <c r="K1542" s="90">
        <v>49797</v>
      </c>
    </row>
    <row r="1543" ht="15.75" customHeight="1" spans="1:11">
      <c r="A1543" s="87">
        <v>1542</v>
      </c>
      <c r="B1543" s="88" t="s">
        <v>58</v>
      </c>
      <c r="C1543" s="88" t="s">
        <v>146</v>
      </c>
      <c r="D1543" s="87">
        <v>2025</v>
      </c>
      <c r="E1543" s="88" t="s">
        <v>31</v>
      </c>
      <c r="F1543" s="88" t="s">
        <v>152</v>
      </c>
      <c r="G1543" s="89" t="s">
        <v>44</v>
      </c>
      <c r="H1543" s="89" t="s">
        <v>44</v>
      </c>
      <c r="I1543" s="89" t="s">
        <v>44</v>
      </c>
      <c r="J1543" s="89" t="s">
        <v>44</v>
      </c>
      <c r="K1543" s="90">
        <v>11323</v>
      </c>
    </row>
    <row r="1544" ht="15.75" customHeight="1" spans="1:11">
      <c r="A1544" s="87">
        <v>1543</v>
      </c>
      <c r="B1544" s="88" t="s">
        <v>58</v>
      </c>
      <c r="C1544" s="88" t="s">
        <v>146</v>
      </c>
      <c r="D1544" s="87">
        <v>2025</v>
      </c>
      <c r="E1544" s="88" t="s">
        <v>33</v>
      </c>
      <c r="F1544" s="88" t="s">
        <v>150</v>
      </c>
      <c r="G1544" s="89" t="s">
        <v>44</v>
      </c>
      <c r="H1544" s="89" t="s">
        <v>44</v>
      </c>
      <c r="I1544" s="89" t="s">
        <v>44</v>
      </c>
      <c r="J1544" s="89" t="s">
        <v>44</v>
      </c>
      <c r="K1544" s="89">
        <v>210</v>
      </c>
    </row>
    <row r="1545" ht="15.75" customHeight="1" spans="1:11">
      <c r="A1545" s="87">
        <v>1544</v>
      </c>
      <c r="B1545" s="88" t="s">
        <v>58</v>
      </c>
      <c r="C1545" s="88" t="s">
        <v>146</v>
      </c>
      <c r="D1545" s="87">
        <v>2025</v>
      </c>
      <c r="E1545" s="88" t="s">
        <v>33</v>
      </c>
      <c r="F1545" s="88" t="s">
        <v>151</v>
      </c>
      <c r="G1545" s="89" t="s">
        <v>44</v>
      </c>
      <c r="H1545" s="89" t="s">
        <v>44</v>
      </c>
      <c r="I1545" s="89" t="s">
        <v>44</v>
      </c>
      <c r="J1545" s="89" t="s">
        <v>44</v>
      </c>
      <c r="K1545" s="90">
        <v>20060</v>
      </c>
    </row>
    <row r="1546" ht="15.75" customHeight="1" spans="1:11">
      <c r="A1546" s="87">
        <v>1545</v>
      </c>
      <c r="B1546" s="88" t="s">
        <v>58</v>
      </c>
      <c r="C1546" s="88" t="s">
        <v>146</v>
      </c>
      <c r="D1546" s="87">
        <v>2025</v>
      </c>
      <c r="E1546" s="88" t="s">
        <v>33</v>
      </c>
      <c r="F1546" s="88" t="s">
        <v>152</v>
      </c>
      <c r="G1546" s="89" t="s">
        <v>44</v>
      </c>
      <c r="H1546" s="89" t="s">
        <v>44</v>
      </c>
      <c r="I1546" s="89" t="s">
        <v>44</v>
      </c>
      <c r="J1546" s="89" t="s">
        <v>44</v>
      </c>
      <c r="K1546" s="90">
        <v>9964</v>
      </c>
    </row>
    <row r="1547" ht="15.75" customHeight="1" spans="1:11">
      <c r="A1547" s="87">
        <v>1546</v>
      </c>
      <c r="B1547" s="88" t="s">
        <v>58</v>
      </c>
      <c r="C1547" s="88" t="s">
        <v>146</v>
      </c>
      <c r="D1547" s="87">
        <v>2025</v>
      </c>
      <c r="E1547" s="88" t="s">
        <v>34</v>
      </c>
      <c r="F1547" s="88" t="s">
        <v>150</v>
      </c>
      <c r="G1547" s="89" t="s">
        <v>44</v>
      </c>
      <c r="H1547" s="89" t="s">
        <v>44</v>
      </c>
      <c r="I1547" s="89" t="s">
        <v>44</v>
      </c>
      <c r="J1547" s="89" t="s">
        <v>44</v>
      </c>
      <c r="K1547" s="89">
        <v>356</v>
      </c>
    </row>
    <row r="1548" ht="15.75" customHeight="1" spans="1:11">
      <c r="A1548" s="87">
        <v>1547</v>
      </c>
      <c r="B1548" s="88" t="s">
        <v>58</v>
      </c>
      <c r="C1548" s="88" t="s">
        <v>146</v>
      </c>
      <c r="D1548" s="87">
        <v>2025</v>
      </c>
      <c r="E1548" s="88" t="s">
        <v>34</v>
      </c>
      <c r="F1548" s="88" t="s">
        <v>151</v>
      </c>
      <c r="G1548" s="89" t="s">
        <v>44</v>
      </c>
      <c r="H1548" s="89" t="s">
        <v>44</v>
      </c>
      <c r="I1548" s="89" t="s">
        <v>44</v>
      </c>
      <c r="J1548" s="89" t="s">
        <v>44</v>
      </c>
      <c r="K1548" s="90">
        <v>15707</v>
      </c>
    </row>
    <row r="1549" ht="15.75" customHeight="1" spans="1:11">
      <c r="A1549" s="87">
        <v>1548</v>
      </c>
      <c r="B1549" s="88" t="s">
        <v>58</v>
      </c>
      <c r="C1549" s="88" t="s">
        <v>146</v>
      </c>
      <c r="D1549" s="87">
        <v>2025</v>
      </c>
      <c r="E1549" s="88" t="s">
        <v>34</v>
      </c>
      <c r="F1549" s="88" t="s">
        <v>152</v>
      </c>
      <c r="G1549" s="89" t="s">
        <v>44</v>
      </c>
      <c r="H1549" s="89" t="s">
        <v>44</v>
      </c>
      <c r="I1549" s="89" t="s">
        <v>44</v>
      </c>
      <c r="J1549" s="89" t="s">
        <v>44</v>
      </c>
      <c r="K1549" s="89">
        <v>646</v>
      </c>
    </row>
    <row r="1550" ht="15.75" customHeight="1" spans="1:11">
      <c r="A1550" s="87">
        <v>1549</v>
      </c>
      <c r="B1550" s="88" t="s">
        <v>58</v>
      </c>
      <c r="C1550" s="88" t="s">
        <v>146</v>
      </c>
      <c r="D1550" s="87">
        <v>2025</v>
      </c>
      <c r="E1550" s="88" t="s">
        <v>35</v>
      </c>
      <c r="F1550" s="88" t="s">
        <v>150</v>
      </c>
      <c r="G1550" s="89" t="s">
        <v>44</v>
      </c>
      <c r="H1550" s="89" t="s">
        <v>44</v>
      </c>
      <c r="I1550" s="89" t="s">
        <v>44</v>
      </c>
      <c r="J1550" s="89" t="s">
        <v>44</v>
      </c>
      <c r="K1550" s="89">
        <v>907</v>
      </c>
    </row>
    <row r="1551" ht="15.75" customHeight="1" spans="1:11">
      <c r="A1551" s="87">
        <v>1550</v>
      </c>
      <c r="B1551" s="88" t="s">
        <v>58</v>
      </c>
      <c r="C1551" s="88" t="s">
        <v>146</v>
      </c>
      <c r="D1551" s="87">
        <v>2025</v>
      </c>
      <c r="E1551" s="88" t="s">
        <v>35</v>
      </c>
      <c r="F1551" s="88" t="s">
        <v>151</v>
      </c>
      <c r="G1551" s="89" t="s">
        <v>44</v>
      </c>
      <c r="H1551" s="89" t="s">
        <v>44</v>
      </c>
      <c r="I1551" s="89" t="s">
        <v>44</v>
      </c>
      <c r="J1551" s="89" t="s">
        <v>44</v>
      </c>
      <c r="K1551" s="90">
        <v>11942</v>
      </c>
    </row>
    <row r="1552" ht="15.75" customHeight="1" spans="1:11">
      <c r="A1552" s="87">
        <v>1551</v>
      </c>
      <c r="B1552" s="88" t="s">
        <v>58</v>
      </c>
      <c r="C1552" s="88" t="s">
        <v>146</v>
      </c>
      <c r="D1552" s="87">
        <v>2025</v>
      </c>
      <c r="E1552" s="88" t="s">
        <v>35</v>
      </c>
      <c r="F1552" s="88" t="s">
        <v>152</v>
      </c>
      <c r="G1552" s="89" t="s">
        <v>44</v>
      </c>
      <c r="H1552" s="89" t="s">
        <v>44</v>
      </c>
      <c r="I1552" s="89" t="s">
        <v>44</v>
      </c>
      <c r="J1552" s="89" t="s">
        <v>44</v>
      </c>
      <c r="K1552" s="89">
        <v>553</v>
      </c>
    </row>
    <row r="1553" ht="15.75" customHeight="1" spans="1:11">
      <c r="A1553" s="87">
        <v>1552</v>
      </c>
      <c r="B1553" s="88" t="s">
        <v>58</v>
      </c>
      <c r="C1553" s="88" t="s">
        <v>146</v>
      </c>
      <c r="D1553" s="87">
        <v>2025</v>
      </c>
      <c r="E1553" s="88" t="s">
        <v>36</v>
      </c>
      <c r="F1553" s="88" t="s">
        <v>150</v>
      </c>
      <c r="G1553" s="89" t="s">
        <v>44</v>
      </c>
      <c r="H1553" s="89" t="s">
        <v>44</v>
      </c>
      <c r="I1553" s="89" t="s">
        <v>44</v>
      </c>
      <c r="J1553" s="89" t="s">
        <v>44</v>
      </c>
      <c r="K1553" s="89">
        <v>619</v>
      </c>
    </row>
    <row r="1554" ht="15.75" customHeight="1" spans="1:11">
      <c r="A1554" s="87">
        <v>1553</v>
      </c>
      <c r="B1554" s="88" t="s">
        <v>58</v>
      </c>
      <c r="C1554" s="88" t="s">
        <v>146</v>
      </c>
      <c r="D1554" s="87">
        <v>2025</v>
      </c>
      <c r="E1554" s="88" t="s">
        <v>36</v>
      </c>
      <c r="F1554" s="88" t="s">
        <v>151</v>
      </c>
      <c r="G1554" s="89" t="s">
        <v>44</v>
      </c>
      <c r="H1554" s="89" t="s">
        <v>44</v>
      </c>
      <c r="I1554" s="89" t="s">
        <v>44</v>
      </c>
      <c r="J1554" s="89" t="s">
        <v>44</v>
      </c>
      <c r="K1554" s="90">
        <v>47546</v>
      </c>
    </row>
    <row r="1555" ht="15.75" customHeight="1" spans="1:11">
      <c r="A1555" s="87">
        <v>1554</v>
      </c>
      <c r="B1555" s="88" t="s">
        <v>58</v>
      </c>
      <c r="C1555" s="88" t="s">
        <v>146</v>
      </c>
      <c r="D1555" s="87">
        <v>2025</v>
      </c>
      <c r="E1555" s="88" t="s">
        <v>36</v>
      </c>
      <c r="F1555" s="88" t="s">
        <v>152</v>
      </c>
      <c r="G1555" s="89" t="s">
        <v>44</v>
      </c>
      <c r="H1555" s="89" t="s">
        <v>44</v>
      </c>
      <c r="I1555" s="89" t="s">
        <v>44</v>
      </c>
      <c r="J1555" s="89" t="s">
        <v>44</v>
      </c>
      <c r="K1555" s="90">
        <v>4937</v>
      </c>
    </row>
    <row r="1556" ht="15.75" customHeight="1" spans="1:11">
      <c r="A1556" s="87">
        <v>1555</v>
      </c>
      <c r="B1556" s="88" t="s">
        <v>58</v>
      </c>
      <c r="C1556" s="88" t="s">
        <v>146</v>
      </c>
      <c r="D1556" s="87">
        <v>2025</v>
      </c>
      <c r="E1556" s="88" t="s">
        <v>37</v>
      </c>
      <c r="F1556" s="88" t="s">
        <v>150</v>
      </c>
      <c r="G1556" s="89" t="s">
        <v>44</v>
      </c>
      <c r="H1556" s="89" t="s">
        <v>44</v>
      </c>
      <c r="I1556" s="89" t="s">
        <v>44</v>
      </c>
      <c r="J1556" s="89" t="s">
        <v>44</v>
      </c>
      <c r="K1556" s="89">
        <v>533</v>
      </c>
    </row>
    <row r="1557" ht="15.75" customHeight="1" spans="1:11">
      <c r="A1557" s="87">
        <v>1556</v>
      </c>
      <c r="B1557" s="88" t="s">
        <v>58</v>
      </c>
      <c r="C1557" s="88" t="s">
        <v>146</v>
      </c>
      <c r="D1557" s="87">
        <v>2025</v>
      </c>
      <c r="E1557" s="88" t="s">
        <v>37</v>
      </c>
      <c r="F1557" s="88" t="s">
        <v>151</v>
      </c>
      <c r="G1557" s="89" t="s">
        <v>44</v>
      </c>
      <c r="H1557" s="89" t="s">
        <v>44</v>
      </c>
      <c r="I1557" s="89" t="s">
        <v>44</v>
      </c>
      <c r="J1557" s="89" t="s">
        <v>44</v>
      </c>
      <c r="K1557" s="90">
        <v>902432</v>
      </c>
    </row>
    <row r="1558" ht="15.75" customHeight="1" spans="1:11">
      <c r="A1558" s="87">
        <v>1557</v>
      </c>
      <c r="B1558" s="88" t="s">
        <v>58</v>
      </c>
      <c r="C1558" s="88" t="s">
        <v>146</v>
      </c>
      <c r="D1558" s="87">
        <v>2025</v>
      </c>
      <c r="E1558" s="88" t="s">
        <v>37</v>
      </c>
      <c r="F1558" s="88" t="s">
        <v>152</v>
      </c>
      <c r="G1558" s="89" t="s">
        <v>44</v>
      </c>
      <c r="H1558" s="89" t="s">
        <v>44</v>
      </c>
      <c r="I1558" s="89" t="s">
        <v>44</v>
      </c>
      <c r="J1558" s="89" t="s">
        <v>44</v>
      </c>
      <c r="K1558" s="90">
        <v>53121</v>
      </c>
    </row>
    <row r="1559" ht="15.75" customHeight="1" spans="1:11">
      <c r="A1559" s="87">
        <v>1558</v>
      </c>
      <c r="B1559" s="88" t="s">
        <v>58</v>
      </c>
      <c r="C1559" s="88" t="s">
        <v>146</v>
      </c>
      <c r="D1559" s="87">
        <v>2025</v>
      </c>
      <c r="E1559" s="88" t="s">
        <v>38</v>
      </c>
      <c r="F1559" s="88" t="s">
        <v>150</v>
      </c>
      <c r="G1559" s="89" t="s">
        <v>44</v>
      </c>
      <c r="H1559" s="89" t="s">
        <v>44</v>
      </c>
      <c r="I1559" s="89" t="s">
        <v>44</v>
      </c>
      <c r="J1559" s="89" t="s">
        <v>44</v>
      </c>
      <c r="K1559" s="90">
        <v>1588</v>
      </c>
    </row>
    <row r="1560" ht="15.75" customHeight="1" spans="1:11">
      <c r="A1560" s="87">
        <v>1559</v>
      </c>
      <c r="B1560" s="88" t="s">
        <v>58</v>
      </c>
      <c r="C1560" s="88" t="s">
        <v>146</v>
      </c>
      <c r="D1560" s="87">
        <v>2025</v>
      </c>
      <c r="E1560" s="88" t="s">
        <v>38</v>
      </c>
      <c r="F1560" s="88" t="s">
        <v>151</v>
      </c>
      <c r="G1560" s="89" t="s">
        <v>44</v>
      </c>
      <c r="H1560" s="89" t="s">
        <v>44</v>
      </c>
      <c r="I1560" s="89" t="s">
        <v>44</v>
      </c>
      <c r="J1560" s="89" t="s">
        <v>44</v>
      </c>
      <c r="K1560" s="90">
        <v>168649</v>
      </c>
    </row>
    <row r="1561" ht="15.75" customHeight="1" spans="1:11">
      <c r="A1561" s="87">
        <v>1560</v>
      </c>
      <c r="B1561" s="88" t="s">
        <v>58</v>
      </c>
      <c r="C1561" s="88" t="s">
        <v>146</v>
      </c>
      <c r="D1561" s="87">
        <v>2025</v>
      </c>
      <c r="E1561" s="88" t="s">
        <v>38</v>
      </c>
      <c r="F1561" s="88" t="s">
        <v>152</v>
      </c>
      <c r="G1561" s="89" t="s">
        <v>44</v>
      </c>
      <c r="H1561" s="89" t="s">
        <v>44</v>
      </c>
      <c r="I1561" s="89" t="s">
        <v>44</v>
      </c>
      <c r="J1561" s="89" t="s">
        <v>44</v>
      </c>
      <c r="K1561" s="90">
        <v>8463</v>
      </c>
    </row>
    <row r="1562" ht="15.75" customHeight="1" spans="1:11">
      <c r="A1562" s="87">
        <v>1561</v>
      </c>
      <c r="B1562" s="88" t="s">
        <v>58</v>
      </c>
      <c r="C1562" s="88" t="s">
        <v>146</v>
      </c>
      <c r="D1562" s="87">
        <v>2025</v>
      </c>
      <c r="E1562" s="88" t="s">
        <v>39</v>
      </c>
      <c r="F1562" s="88" t="s">
        <v>150</v>
      </c>
      <c r="G1562" s="89" t="s">
        <v>44</v>
      </c>
      <c r="H1562" s="89" t="s">
        <v>44</v>
      </c>
      <c r="I1562" s="89" t="s">
        <v>44</v>
      </c>
      <c r="J1562" s="89" t="s">
        <v>44</v>
      </c>
      <c r="K1562" s="89">
        <v>872</v>
      </c>
    </row>
    <row r="1563" ht="15.75" customHeight="1" spans="1:11">
      <c r="A1563" s="87">
        <v>1562</v>
      </c>
      <c r="B1563" s="88" t="s">
        <v>58</v>
      </c>
      <c r="C1563" s="88" t="s">
        <v>146</v>
      </c>
      <c r="D1563" s="87">
        <v>2025</v>
      </c>
      <c r="E1563" s="88" t="s">
        <v>39</v>
      </c>
      <c r="F1563" s="88" t="s">
        <v>151</v>
      </c>
      <c r="G1563" s="89" t="s">
        <v>44</v>
      </c>
      <c r="H1563" s="89" t="s">
        <v>44</v>
      </c>
      <c r="I1563" s="89" t="s">
        <v>44</v>
      </c>
      <c r="J1563" s="89" t="s">
        <v>44</v>
      </c>
      <c r="K1563" s="90">
        <v>1767810</v>
      </c>
    </row>
    <row r="1564" ht="15.75" customHeight="1" spans="1:11">
      <c r="A1564" s="87">
        <v>1563</v>
      </c>
      <c r="B1564" s="88" t="s">
        <v>58</v>
      </c>
      <c r="C1564" s="88" t="s">
        <v>146</v>
      </c>
      <c r="D1564" s="87">
        <v>2025</v>
      </c>
      <c r="E1564" s="88" t="s">
        <v>39</v>
      </c>
      <c r="F1564" s="88" t="s">
        <v>152</v>
      </c>
      <c r="G1564" s="89" t="s">
        <v>44</v>
      </c>
      <c r="H1564" s="89" t="s">
        <v>44</v>
      </c>
      <c r="I1564" s="89" t="s">
        <v>44</v>
      </c>
      <c r="J1564" s="89" t="s">
        <v>44</v>
      </c>
      <c r="K1564" s="90">
        <v>116831</v>
      </c>
    </row>
    <row r="1565" ht="15.75" customHeight="1" spans="1:11">
      <c r="A1565" s="87">
        <v>1564</v>
      </c>
      <c r="B1565" s="88" t="s">
        <v>58</v>
      </c>
      <c r="C1565" s="88" t="s">
        <v>146</v>
      </c>
      <c r="D1565" s="87">
        <v>2025</v>
      </c>
      <c r="E1565" s="88" t="s">
        <v>40</v>
      </c>
      <c r="F1565" s="88" t="s">
        <v>150</v>
      </c>
      <c r="G1565" s="89" t="s">
        <v>44</v>
      </c>
      <c r="H1565" s="89" t="s">
        <v>44</v>
      </c>
      <c r="I1565" s="89" t="s">
        <v>44</v>
      </c>
      <c r="J1565" s="89" t="s">
        <v>44</v>
      </c>
      <c r="K1565" s="90">
        <v>2070</v>
      </c>
    </row>
    <row r="1566" ht="15.75" customHeight="1" spans="1:11">
      <c r="A1566" s="87">
        <v>1565</v>
      </c>
      <c r="B1566" s="88" t="s">
        <v>58</v>
      </c>
      <c r="C1566" s="88" t="s">
        <v>146</v>
      </c>
      <c r="D1566" s="87">
        <v>2025</v>
      </c>
      <c r="E1566" s="88" t="s">
        <v>40</v>
      </c>
      <c r="F1566" s="88" t="s">
        <v>151</v>
      </c>
      <c r="G1566" s="89" t="s">
        <v>44</v>
      </c>
      <c r="H1566" s="89" t="s">
        <v>44</v>
      </c>
      <c r="I1566" s="89" t="s">
        <v>44</v>
      </c>
      <c r="J1566" s="89" t="s">
        <v>44</v>
      </c>
      <c r="K1566" s="90">
        <v>3619917</v>
      </c>
    </row>
    <row r="1567" ht="15.75" customHeight="1" spans="1:11">
      <c r="A1567" s="87">
        <v>1566</v>
      </c>
      <c r="B1567" s="88" t="s">
        <v>58</v>
      </c>
      <c r="C1567" s="88" t="s">
        <v>146</v>
      </c>
      <c r="D1567" s="87">
        <v>2025</v>
      </c>
      <c r="E1567" s="88" t="s">
        <v>40</v>
      </c>
      <c r="F1567" s="88" t="s">
        <v>152</v>
      </c>
      <c r="G1567" s="89" t="s">
        <v>44</v>
      </c>
      <c r="H1567" s="89" t="s">
        <v>44</v>
      </c>
      <c r="I1567" s="89" t="s">
        <v>44</v>
      </c>
      <c r="J1567" s="89" t="s">
        <v>44</v>
      </c>
      <c r="K1567" s="90">
        <v>133788</v>
      </c>
    </row>
    <row r="1568" ht="15.75" customHeight="1" spans="1:11">
      <c r="A1568" s="87">
        <v>1567</v>
      </c>
      <c r="B1568" s="88" t="s">
        <v>58</v>
      </c>
      <c r="C1568" s="88" t="s">
        <v>146</v>
      </c>
      <c r="D1568" s="87">
        <v>2025</v>
      </c>
      <c r="E1568" s="88" t="s">
        <v>41</v>
      </c>
      <c r="F1568" s="88" t="s">
        <v>150</v>
      </c>
      <c r="G1568" s="89" t="s">
        <v>44</v>
      </c>
      <c r="H1568" s="89" t="s">
        <v>44</v>
      </c>
      <c r="I1568" s="89" t="s">
        <v>44</v>
      </c>
      <c r="J1568" s="89" t="s">
        <v>44</v>
      </c>
      <c r="K1568" s="90">
        <v>3308</v>
      </c>
    </row>
    <row r="1569" ht="15.75" customHeight="1" spans="1:11">
      <c r="A1569" s="87">
        <v>1568</v>
      </c>
      <c r="B1569" s="88" t="s">
        <v>58</v>
      </c>
      <c r="C1569" s="88" t="s">
        <v>146</v>
      </c>
      <c r="D1569" s="87">
        <v>2025</v>
      </c>
      <c r="E1569" s="88" t="s">
        <v>41</v>
      </c>
      <c r="F1569" s="88" t="s">
        <v>151</v>
      </c>
      <c r="G1569" s="89" t="s">
        <v>44</v>
      </c>
      <c r="H1569" s="89" t="s">
        <v>44</v>
      </c>
      <c r="I1569" s="89" t="s">
        <v>44</v>
      </c>
      <c r="J1569" s="89" t="s">
        <v>44</v>
      </c>
      <c r="K1569" s="90">
        <v>2136581</v>
      </c>
    </row>
    <row r="1570" ht="15.75" customHeight="1" spans="1:11">
      <c r="A1570" s="87">
        <v>1569</v>
      </c>
      <c r="B1570" s="88" t="s">
        <v>58</v>
      </c>
      <c r="C1570" s="88" t="s">
        <v>146</v>
      </c>
      <c r="D1570" s="87">
        <v>2025</v>
      </c>
      <c r="E1570" s="88" t="s">
        <v>41</v>
      </c>
      <c r="F1570" s="88" t="s">
        <v>152</v>
      </c>
      <c r="G1570" s="89" t="s">
        <v>44</v>
      </c>
      <c r="H1570" s="89" t="s">
        <v>44</v>
      </c>
      <c r="I1570" s="89" t="s">
        <v>44</v>
      </c>
      <c r="J1570" s="89" t="s">
        <v>44</v>
      </c>
      <c r="K1570" s="90">
        <v>129352</v>
      </c>
    </row>
    <row r="1571" ht="15.75" customHeight="1" spans="1:11">
      <c r="A1571" s="87">
        <v>1570</v>
      </c>
      <c r="B1571" s="88" t="s">
        <v>58</v>
      </c>
      <c r="C1571" s="88" t="s">
        <v>146</v>
      </c>
      <c r="D1571" s="87">
        <v>2025</v>
      </c>
      <c r="E1571" s="88" t="s">
        <v>42</v>
      </c>
      <c r="F1571" s="88" t="s">
        <v>150</v>
      </c>
      <c r="G1571" s="89" t="s">
        <v>44</v>
      </c>
      <c r="H1571" s="89" t="s">
        <v>44</v>
      </c>
      <c r="I1571" s="89" t="s">
        <v>44</v>
      </c>
      <c r="J1571" s="89" t="s">
        <v>44</v>
      </c>
      <c r="K1571" s="90">
        <v>3199</v>
      </c>
    </row>
    <row r="1572" ht="15.75" customHeight="1" spans="1:11">
      <c r="A1572" s="87">
        <v>1571</v>
      </c>
      <c r="B1572" s="88" t="s">
        <v>58</v>
      </c>
      <c r="C1572" s="88" t="s">
        <v>146</v>
      </c>
      <c r="D1572" s="87">
        <v>2025</v>
      </c>
      <c r="E1572" s="88" t="s">
        <v>42</v>
      </c>
      <c r="F1572" s="88" t="s">
        <v>151</v>
      </c>
      <c r="G1572" s="89" t="s">
        <v>44</v>
      </c>
      <c r="H1572" s="89" t="s">
        <v>44</v>
      </c>
      <c r="I1572" s="89" t="s">
        <v>44</v>
      </c>
      <c r="J1572" s="89" t="s">
        <v>44</v>
      </c>
      <c r="K1572" s="90">
        <v>6998943</v>
      </c>
    </row>
    <row r="1573" ht="15.75" customHeight="1" spans="1:11">
      <c r="A1573" s="87">
        <v>1572</v>
      </c>
      <c r="B1573" s="88" t="s">
        <v>58</v>
      </c>
      <c r="C1573" s="88" t="s">
        <v>146</v>
      </c>
      <c r="D1573" s="87">
        <v>2025</v>
      </c>
      <c r="E1573" s="88" t="s">
        <v>42</v>
      </c>
      <c r="F1573" s="88" t="s">
        <v>152</v>
      </c>
      <c r="G1573" s="89" t="s">
        <v>44</v>
      </c>
      <c r="H1573" s="89" t="s">
        <v>44</v>
      </c>
      <c r="I1573" s="89" t="s">
        <v>44</v>
      </c>
      <c r="J1573" s="89" t="s">
        <v>44</v>
      </c>
      <c r="K1573" s="90">
        <v>288927</v>
      </c>
    </row>
    <row r="1574" ht="15.75" customHeight="1" spans="1:11">
      <c r="A1574" s="87">
        <v>1573</v>
      </c>
      <c r="B1574" s="88" t="s">
        <v>58</v>
      </c>
      <c r="C1574" s="88" t="s">
        <v>146</v>
      </c>
      <c r="D1574" s="87">
        <v>2025</v>
      </c>
      <c r="E1574" s="88" t="s">
        <v>43</v>
      </c>
      <c r="F1574" s="88" t="s">
        <v>150</v>
      </c>
      <c r="G1574" s="89" t="s">
        <v>44</v>
      </c>
      <c r="H1574" s="89" t="s">
        <v>44</v>
      </c>
      <c r="I1574" s="89" t="s">
        <v>44</v>
      </c>
      <c r="J1574" s="89" t="s">
        <v>44</v>
      </c>
      <c r="K1574" s="90">
        <v>5464</v>
      </c>
    </row>
    <row r="1575" ht="15.75" customHeight="1" spans="1:11">
      <c r="A1575" s="87">
        <v>1574</v>
      </c>
      <c r="B1575" s="88" t="s">
        <v>58</v>
      </c>
      <c r="C1575" s="88" t="s">
        <v>146</v>
      </c>
      <c r="D1575" s="87">
        <v>2025</v>
      </c>
      <c r="E1575" s="88" t="s">
        <v>43</v>
      </c>
      <c r="F1575" s="88" t="s">
        <v>151</v>
      </c>
      <c r="G1575" s="89" t="s">
        <v>44</v>
      </c>
      <c r="H1575" s="89" t="s">
        <v>44</v>
      </c>
      <c r="I1575" s="89" t="s">
        <v>44</v>
      </c>
      <c r="J1575" s="89" t="s">
        <v>44</v>
      </c>
      <c r="K1575" s="90">
        <v>7896738</v>
      </c>
    </row>
    <row r="1576" ht="15.75" customHeight="1" spans="1:11">
      <c r="A1576" s="87">
        <v>1575</v>
      </c>
      <c r="B1576" s="88" t="s">
        <v>58</v>
      </c>
      <c r="C1576" s="88" t="s">
        <v>146</v>
      </c>
      <c r="D1576" s="87">
        <v>2025</v>
      </c>
      <c r="E1576" s="88" t="s">
        <v>43</v>
      </c>
      <c r="F1576" s="88" t="s">
        <v>152</v>
      </c>
      <c r="G1576" s="89" t="s">
        <v>44</v>
      </c>
      <c r="H1576" s="89" t="s">
        <v>44</v>
      </c>
      <c r="I1576" s="89" t="s">
        <v>44</v>
      </c>
      <c r="J1576" s="89" t="s">
        <v>44</v>
      </c>
      <c r="K1576" s="90">
        <v>491461</v>
      </c>
    </row>
    <row r="1577" ht="15.75" customHeight="1" spans="1:11">
      <c r="A1577" s="87">
        <v>1576</v>
      </c>
      <c r="B1577" s="88" t="s">
        <v>58</v>
      </c>
      <c r="C1577" s="88" t="s">
        <v>146</v>
      </c>
      <c r="D1577" s="87">
        <v>2026</v>
      </c>
      <c r="E1577" s="88" t="s">
        <v>31</v>
      </c>
      <c r="F1577" s="88" t="s">
        <v>150</v>
      </c>
      <c r="G1577" s="89" t="s">
        <v>44</v>
      </c>
      <c r="H1577" s="89" t="s">
        <v>44</v>
      </c>
      <c r="I1577" s="89" t="s">
        <v>44</v>
      </c>
      <c r="J1577" s="89" t="s">
        <v>44</v>
      </c>
      <c r="K1577" s="90">
        <v>4377</v>
      </c>
    </row>
    <row r="1578" ht="15.75" customHeight="1" spans="1:11">
      <c r="A1578" s="87">
        <v>1577</v>
      </c>
      <c r="B1578" s="88" t="s">
        <v>58</v>
      </c>
      <c r="C1578" s="88" t="s">
        <v>146</v>
      </c>
      <c r="D1578" s="87">
        <v>2026</v>
      </c>
      <c r="E1578" s="88" t="s">
        <v>31</v>
      </c>
      <c r="F1578" s="88" t="s">
        <v>151</v>
      </c>
      <c r="G1578" s="89" t="s">
        <v>44</v>
      </c>
      <c r="H1578" s="89" t="s">
        <v>44</v>
      </c>
      <c r="I1578" s="89" t="s">
        <v>44</v>
      </c>
      <c r="J1578" s="89" t="s">
        <v>44</v>
      </c>
      <c r="K1578" s="90">
        <v>4568289</v>
      </c>
    </row>
    <row r="1579" ht="15.75" customHeight="1" spans="1:11">
      <c r="A1579" s="87">
        <v>1578</v>
      </c>
      <c r="B1579" s="88" t="s">
        <v>58</v>
      </c>
      <c r="C1579" s="88" t="s">
        <v>146</v>
      </c>
      <c r="D1579" s="87">
        <v>2026</v>
      </c>
      <c r="E1579" s="88" t="s">
        <v>31</v>
      </c>
      <c r="F1579" s="88" t="s">
        <v>152</v>
      </c>
      <c r="G1579" s="89" t="s">
        <v>44</v>
      </c>
      <c r="H1579" s="89" t="s">
        <v>44</v>
      </c>
      <c r="I1579" s="89" t="s">
        <v>44</v>
      </c>
      <c r="J1579" s="89" t="s">
        <v>44</v>
      </c>
      <c r="K1579" s="90">
        <v>361775</v>
      </c>
    </row>
    <row r="1580" ht="15.75" customHeight="1" spans="1:11">
      <c r="A1580" s="87">
        <v>1579</v>
      </c>
      <c r="B1580" s="88" t="s">
        <v>58</v>
      </c>
      <c r="C1580" s="88" t="s">
        <v>146</v>
      </c>
      <c r="D1580" s="87">
        <v>2026</v>
      </c>
      <c r="E1580" s="88" t="s">
        <v>33</v>
      </c>
      <c r="F1580" s="88" t="s">
        <v>151</v>
      </c>
      <c r="G1580" s="89" t="s">
        <v>44</v>
      </c>
      <c r="H1580" s="89" t="s">
        <v>44</v>
      </c>
      <c r="I1580" s="89" t="s">
        <v>44</v>
      </c>
      <c r="J1580" s="89" t="s">
        <v>44</v>
      </c>
      <c r="K1580" s="90">
        <v>7345599</v>
      </c>
    </row>
    <row r="1581" ht="15.75" customHeight="1" spans="1:11">
      <c r="A1581" s="87">
        <v>1580</v>
      </c>
      <c r="B1581" s="88" t="s">
        <v>58</v>
      </c>
      <c r="C1581" s="88" t="s">
        <v>146</v>
      </c>
      <c r="D1581" s="87">
        <v>2026</v>
      </c>
      <c r="E1581" s="88" t="s">
        <v>33</v>
      </c>
      <c r="F1581" s="88" t="s">
        <v>152</v>
      </c>
      <c r="G1581" s="89" t="s">
        <v>44</v>
      </c>
      <c r="H1581" s="89" t="s">
        <v>44</v>
      </c>
      <c r="I1581" s="89" t="s">
        <v>44</v>
      </c>
      <c r="J1581" s="89" t="s">
        <v>44</v>
      </c>
      <c r="K1581" s="90">
        <v>563447</v>
      </c>
    </row>
    <row r="1582" ht="15.75" customHeight="1" spans="1:11">
      <c r="A1582" s="87">
        <v>1581</v>
      </c>
      <c r="B1582" s="88" t="s">
        <v>58</v>
      </c>
      <c r="C1582" s="88" t="s">
        <v>146</v>
      </c>
      <c r="D1582" s="87">
        <v>2026</v>
      </c>
      <c r="E1582" s="88" t="s">
        <v>33</v>
      </c>
      <c r="F1582" s="88" t="s">
        <v>150</v>
      </c>
      <c r="G1582" s="89" t="s">
        <v>44</v>
      </c>
      <c r="H1582" s="89" t="s">
        <v>44</v>
      </c>
      <c r="I1582" s="89" t="s">
        <v>44</v>
      </c>
      <c r="J1582" s="89" t="s">
        <v>44</v>
      </c>
      <c r="K1582" s="89">
        <v>285</v>
      </c>
    </row>
    <row r="1583" ht="15.75" customHeight="1" spans="1:11">
      <c r="A1583" s="87">
        <v>1582</v>
      </c>
      <c r="B1583" s="88" t="s">
        <v>58</v>
      </c>
      <c r="C1583" s="88" t="s">
        <v>146</v>
      </c>
      <c r="D1583" s="87">
        <v>2026</v>
      </c>
      <c r="E1583" s="88" t="s">
        <v>34</v>
      </c>
      <c r="F1583" s="88" t="s">
        <v>152</v>
      </c>
      <c r="G1583" s="89" t="s">
        <v>44</v>
      </c>
      <c r="H1583" s="89" t="s">
        <v>44</v>
      </c>
      <c r="I1583" s="89" t="s">
        <v>44</v>
      </c>
      <c r="J1583" s="89" t="s">
        <v>44</v>
      </c>
      <c r="K1583" s="90">
        <v>358418</v>
      </c>
    </row>
    <row r="1584" ht="15.75" customHeight="1" spans="1:11">
      <c r="A1584" s="87">
        <v>1583</v>
      </c>
      <c r="B1584" s="88" t="s">
        <v>58</v>
      </c>
      <c r="C1584" s="88" t="s">
        <v>146</v>
      </c>
      <c r="D1584" s="87">
        <v>2026</v>
      </c>
      <c r="E1584" s="88" t="s">
        <v>34</v>
      </c>
      <c r="F1584" s="88" t="s">
        <v>150</v>
      </c>
      <c r="G1584" s="89" t="s">
        <v>44</v>
      </c>
      <c r="H1584" s="89" t="s">
        <v>44</v>
      </c>
      <c r="I1584" s="89" t="s">
        <v>44</v>
      </c>
      <c r="J1584" s="89" t="s">
        <v>44</v>
      </c>
      <c r="K1584" s="89">
        <v>642</v>
      </c>
    </row>
    <row r="1585" ht="15.75" customHeight="1" spans="1:11">
      <c r="A1585" s="87">
        <v>1584</v>
      </c>
      <c r="B1585" s="88" t="s">
        <v>58</v>
      </c>
      <c r="C1585" s="88" t="s">
        <v>146</v>
      </c>
      <c r="D1585" s="87">
        <v>2026</v>
      </c>
      <c r="E1585" s="88" t="s">
        <v>34</v>
      </c>
      <c r="F1585" s="88" t="s">
        <v>151</v>
      </c>
      <c r="G1585" s="89" t="s">
        <v>44</v>
      </c>
      <c r="H1585" s="89" t="s">
        <v>44</v>
      </c>
      <c r="I1585" s="89" t="s">
        <v>44</v>
      </c>
      <c r="J1585" s="89" t="s">
        <v>44</v>
      </c>
      <c r="K1585" s="90">
        <v>4958813</v>
      </c>
    </row>
    <row r="1586" ht="15.75" customHeight="1" spans="1:11">
      <c r="A1586" s="87">
        <v>1585</v>
      </c>
      <c r="B1586" s="88" t="s">
        <v>58</v>
      </c>
      <c r="C1586" s="88" t="s">
        <v>58</v>
      </c>
      <c r="D1586" s="87">
        <v>2024</v>
      </c>
      <c r="E1586" s="88" t="s">
        <v>31</v>
      </c>
      <c r="F1586" s="88" t="s">
        <v>150</v>
      </c>
      <c r="G1586" s="89" t="s">
        <v>44</v>
      </c>
      <c r="H1586" s="89" t="s">
        <v>44</v>
      </c>
      <c r="I1586" s="89" t="s">
        <v>44</v>
      </c>
      <c r="J1586" s="89" t="s">
        <v>44</v>
      </c>
      <c r="K1586" s="90">
        <v>352500</v>
      </c>
    </row>
    <row r="1587" ht="15.75" customHeight="1" spans="1:11">
      <c r="A1587" s="87">
        <v>1586</v>
      </c>
      <c r="B1587" s="88" t="s">
        <v>58</v>
      </c>
      <c r="C1587" s="88" t="s">
        <v>58</v>
      </c>
      <c r="D1587" s="87">
        <v>2024</v>
      </c>
      <c r="E1587" s="88" t="s">
        <v>31</v>
      </c>
      <c r="F1587" s="88" t="s">
        <v>153</v>
      </c>
      <c r="G1587" s="90">
        <v>13991</v>
      </c>
      <c r="H1587" s="89">
        <v>1</v>
      </c>
      <c r="I1587" s="89" t="s">
        <v>44</v>
      </c>
      <c r="J1587" s="89" t="s">
        <v>44</v>
      </c>
      <c r="K1587" s="90">
        <v>13991</v>
      </c>
    </row>
    <row r="1588" ht="15.75" customHeight="1" spans="1:11">
      <c r="A1588" s="87">
        <v>1587</v>
      </c>
      <c r="B1588" s="88" t="s">
        <v>58</v>
      </c>
      <c r="C1588" s="88" t="s">
        <v>58</v>
      </c>
      <c r="D1588" s="87">
        <v>2024</v>
      </c>
      <c r="E1588" s="88" t="s">
        <v>31</v>
      </c>
      <c r="F1588" s="88" t="s">
        <v>151</v>
      </c>
      <c r="G1588" s="89" t="s">
        <v>44</v>
      </c>
      <c r="H1588" s="89" t="s">
        <v>44</v>
      </c>
      <c r="I1588" s="89" t="s">
        <v>44</v>
      </c>
      <c r="J1588" s="89" t="s">
        <v>44</v>
      </c>
      <c r="K1588" s="90">
        <v>64481226</v>
      </c>
    </row>
    <row r="1589" ht="15.75" customHeight="1" spans="1:11">
      <c r="A1589" s="87">
        <v>1588</v>
      </c>
      <c r="B1589" s="88" t="s">
        <v>58</v>
      </c>
      <c r="C1589" s="88" t="s">
        <v>58</v>
      </c>
      <c r="D1589" s="87">
        <v>2024</v>
      </c>
      <c r="E1589" s="88" t="s">
        <v>31</v>
      </c>
      <c r="F1589" s="88" t="s">
        <v>152</v>
      </c>
      <c r="G1589" s="89" t="s">
        <v>44</v>
      </c>
      <c r="H1589" s="89" t="s">
        <v>44</v>
      </c>
      <c r="I1589" s="89" t="s">
        <v>44</v>
      </c>
      <c r="J1589" s="89" t="s">
        <v>44</v>
      </c>
      <c r="K1589" s="90">
        <v>1744583</v>
      </c>
    </row>
    <row r="1590" ht="15.75" customHeight="1" spans="1:11">
      <c r="A1590" s="87">
        <v>1589</v>
      </c>
      <c r="B1590" s="88" t="s">
        <v>58</v>
      </c>
      <c r="C1590" s="88" t="s">
        <v>58</v>
      </c>
      <c r="D1590" s="87">
        <v>2024</v>
      </c>
      <c r="E1590" s="88" t="s">
        <v>33</v>
      </c>
      <c r="F1590" s="88" t="s">
        <v>150</v>
      </c>
      <c r="G1590" s="89" t="s">
        <v>44</v>
      </c>
      <c r="H1590" s="89" t="s">
        <v>44</v>
      </c>
      <c r="I1590" s="89" t="s">
        <v>44</v>
      </c>
      <c r="J1590" s="89" t="s">
        <v>44</v>
      </c>
      <c r="K1590" s="90">
        <v>468872</v>
      </c>
    </row>
    <row r="1591" ht="15.75" customHeight="1" spans="1:11">
      <c r="A1591" s="87">
        <v>1590</v>
      </c>
      <c r="B1591" s="88" t="s">
        <v>58</v>
      </c>
      <c r="C1591" s="88" t="s">
        <v>58</v>
      </c>
      <c r="D1591" s="87">
        <v>2024</v>
      </c>
      <c r="E1591" s="88" t="s">
        <v>33</v>
      </c>
      <c r="F1591" s="88" t="s">
        <v>151</v>
      </c>
      <c r="G1591" s="89" t="s">
        <v>44</v>
      </c>
      <c r="H1591" s="89" t="s">
        <v>44</v>
      </c>
      <c r="I1591" s="89" t="s">
        <v>44</v>
      </c>
      <c r="J1591" s="89" t="s">
        <v>44</v>
      </c>
      <c r="K1591" s="90">
        <v>113898132</v>
      </c>
    </row>
    <row r="1592" ht="15.75" customHeight="1" spans="1:11">
      <c r="A1592" s="87">
        <v>1591</v>
      </c>
      <c r="B1592" s="88" t="s">
        <v>58</v>
      </c>
      <c r="C1592" s="88" t="s">
        <v>58</v>
      </c>
      <c r="D1592" s="87">
        <v>2024</v>
      </c>
      <c r="E1592" s="88" t="s">
        <v>33</v>
      </c>
      <c r="F1592" s="88" t="s">
        <v>152</v>
      </c>
      <c r="G1592" s="89" t="s">
        <v>44</v>
      </c>
      <c r="H1592" s="89" t="s">
        <v>44</v>
      </c>
      <c r="I1592" s="89" t="s">
        <v>44</v>
      </c>
      <c r="J1592" s="89" t="s">
        <v>44</v>
      </c>
      <c r="K1592" s="90">
        <v>2747743</v>
      </c>
    </row>
    <row r="1593" ht="15.75" customHeight="1" spans="1:11">
      <c r="A1593" s="87">
        <v>1592</v>
      </c>
      <c r="B1593" s="88" t="s">
        <v>58</v>
      </c>
      <c r="C1593" s="88" t="s">
        <v>58</v>
      </c>
      <c r="D1593" s="87">
        <v>2024</v>
      </c>
      <c r="E1593" s="88" t="s">
        <v>34</v>
      </c>
      <c r="F1593" s="88" t="s">
        <v>150</v>
      </c>
      <c r="G1593" s="89" t="s">
        <v>44</v>
      </c>
      <c r="H1593" s="89" t="s">
        <v>44</v>
      </c>
      <c r="I1593" s="89" t="s">
        <v>44</v>
      </c>
      <c r="J1593" s="89" t="s">
        <v>44</v>
      </c>
      <c r="K1593" s="90">
        <v>1045497</v>
      </c>
    </row>
    <row r="1594" ht="15.75" customHeight="1" spans="1:11">
      <c r="A1594" s="87">
        <v>1593</v>
      </c>
      <c r="B1594" s="88" t="s">
        <v>58</v>
      </c>
      <c r="C1594" s="88" t="s">
        <v>58</v>
      </c>
      <c r="D1594" s="87">
        <v>2024</v>
      </c>
      <c r="E1594" s="88" t="s">
        <v>34</v>
      </c>
      <c r="F1594" s="88" t="s">
        <v>151</v>
      </c>
      <c r="G1594" s="89" t="s">
        <v>44</v>
      </c>
      <c r="H1594" s="89" t="s">
        <v>44</v>
      </c>
      <c r="I1594" s="89" t="s">
        <v>44</v>
      </c>
      <c r="J1594" s="89" t="s">
        <v>44</v>
      </c>
      <c r="K1594" s="90">
        <v>120929205</v>
      </c>
    </row>
    <row r="1595" ht="15.75" customHeight="1" spans="1:11">
      <c r="A1595" s="87">
        <v>1594</v>
      </c>
      <c r="B1595" s="88" t="s">
        <v>58</v>
      </c>
      <c r="C1595" s="88" t="s">
        <v>58</v>
      </c>
      <c r="D1595" s="87">
        <v>2024</v>
      </c>
      <c r="E1595" s="88" t="s">
        <v>34</v>
      </c>
      <c r="F1595" s="88" t="s">
        <v>152</v>
      </c>
      <c r="G1595" s="89" t="s">
        <v>44</v>
      </c>
      <c r="H1595" s="89" t="s">
        <v>44</v>
      </c>
      <c r="I1595" s="89" t="s">
        <v>44</v>
      </c>
      <c r="J1595" s="89" t="s">
        <v>44</v>
      </c>
      <c r="K1595" s="90">
        <v>2765224</v>
      </c>
    </row>
    <row r="1596" ht="15.75" customHeight="1" spans="1:11">
      <c r="A1596" s="87">
        <v>1595</v>
      </c>
      <c r="B1596" s="88" t="s">
        <v>58</v>
      </c>
      <c r="C1596" s="88" t="s">
        <v>58</v>
      </c>
      <c r="D1596" s="87">
        <v>2024</v>
      </c>
      <c r="E1596" s="88" t="s">
        <v>35</v>
      </c>
      <c r="F1596" s="88" t="s">
        <v>150</v>
      </c>
      <c r="G1596" s="89" t="s">
        <v>44</v>
      </c>
      <c r="H1596" s="89" t="s">
        <v>44</v>
      </c>
      <c r="I1596" s="89" t="s">
        <v>44</v>
      </c>
      <c r="J1596" s="89" t="s">
        <v>44</v>
      </c>
      <c r="K1596" s="90">
        <v>1324077</v>
      </c>
    </row>
    <row r="1597" ht="15.75" customHeight="1" spans="1:11">
      <c r="A1597" s="87">
        <v>1596</v>
      </c>
      <c r="B1597" s="88" t="s">
        <v>58</v>
      </c>
      <c r="C1597" s="88" t="s">
        <v>58</v>
      </c>
      <c r="D1597" s="87">
        <v>2024</v>
      </c>
      <c r="E1597" s="88" t="s">
        <v>35</v>
      </c>
      <c r="F1597" s="88" t="s">
        <v>151</v>
      </c>
      <c r="G1597" s="89" t="s">
        <v>44</v>
      </c>
      <c r="H1597" s="89" t="s">
        <v>44</v>
      </c>
      <c r="I1597" s="89" t="s">
        <v>44</v>
      </c>
      <c r="J1597" s="89" t="s">
        <v>44</v>
      </c>
      <c r="K1597" s="90">
        <v>84439672</v>
      </c>
    </row>
    <row r="1598" ht="15.75" customHeight="1" spans="1:11">
      <c r="A1598" s="87">
        <v>1597</v>
      </c>
      <c r="B1598" s="88" t="s">
        <v>58</v>
      </c>
      <c r="C1598" s="88" t="s">
        <v>58</v>
      </c>
      <c r="D1598" s="87">
        <v>2024</v>
      </c>
      <c r="E1598" s="88" t="s">
        <v>35</v>
      </c>
      <c r="F1598" s="88" t="s">
        <v>152</v>
      </c>
      <c r="G1598" s="89" t="s">
        <v>44</v>
      </c>
      <c r="H1598" s="89" t="s">
        <v>44</v>
      </c>
      <c r="I1598" s="89" t="s">
        <v>44</v>
      </c>
      <c r="J1598" s="89" t="s">
        <v>44</v>
      </c>
      <c r="K1598" s="90">
        <v>3317984</v>
      </c>
    </row>
    <row r="1599" ht="15.75" customHeight="1" spans="1:11">
      <c r="A1599" s="87">
        <v>1598</v>
      </c>
      <c r="B1599" s="88" t="s">
        <v>58</v>
      </c>
      <c r="C1599" s="88" t="s">
        <v>58</v>
      </c>
      <c r="D1599" s="87">
        <v>2024</v>
      </c>
      <c r="E1599" s="88" t="s">
        <v>36</v>
      </c>
      <c r="F1599" s="88" t="s">
        <v>150</v>
      </c>
      <c r="G1599" s="89" t="s">
        <v>44</v>
      </c>
      <c r="H1599" s="89" t="s">
        <v>44</v>
      </c>
      <c r="I1599" s="89" t="s">
        <v>44</v>
      </c>
      <c r="J1599" s="89" t="s">
        <v>44</v>
      </c>
      <c r="K1599" s="90">
        <v>861338</v>
      </c>
    </row>
    <row r="1600" ht="15.75" customHeight="1" spans="1:11">
      <c r="A1600" s="87">
        <v>1599</v>
      </c>
      <c r="B1600" s="88" t="s">
        <v>58</v>
      </c>
      <c r="C1600" s="88" t="s">
        <v>58</v>
      </c>
      <c r="D1600" s="87">
        <v>2024</v>
      </c>
      <c r="E1600" s="88" t="s">
        <v>36</v>
      </c>
      <c r="F1600" s="88" t="s">
        <v>153</v>
      </c>
      <c r="G1600" s="90">
        <v>15284</v>
      </c>
      <c r="H1600" s="89">
        <v>1</v>
      </c>
      <c r="I1600" s="89" t="s">
        <v>44</v>
      </c>
      <c r="J1600" s="89" t="s">
        <v>44</v>
      </c>
      <c r="K1600" s="90">
        <v>15284</v>
      </c>
    </row>
    <row r="1601" ht="15.75" customHeight="1" spans="1:11">
      <c r="A1601" s="87">
        <v>1600</v>
      </c>
      <c r="B1601" s="88" t="s">
        <v>58</v>
      </c>
      <c r="C1601" s="88" t="s">
        <v>58</v>
      </c>
      <c r="D1601" s="87">
        <v>2024</v>
      </c>
      <c r="E1601" s="88" t="s">
        <v>36</v>
      </c>
      <c r="F1601" s="88" t="s">
        <v>151</v>
      </c>
      <c r="G1601" s="89" t="s">
        <v>44</v>
      </c>
      <c r="H1601" s="89" t="s">
        <v>44</v>
      </c>
      <c r="I1601" s="89" t="s">
        <v>44</v>
      </c>
      <c r="J1601" s="89" t="s">
        <v>44</v>
      </c>
      <c r="K1601" s="90">
        <v>43002326</v>
      </c>
    </row>
    <row r="1602" ht="15.75" customHeight="1" spans="1:11">
      <c r="A1602" s="87">
        <v>1601</v>
      </c>
      <c r="B1602" s="88" t="s">
        <v>58</v>
      </c>
      <c r="C1602" s="88" t="s">
        <v>58</v>
      </c>
      <c r="D1602" s="87">
        <v>2024</v>
      </c>
      <c r="E1602" s="88" t="s">
        <v>36</v>
      </c>
      <c r="F1602" s="88" t="s">
        <v>152</v>
      </c>
      <c r="G1602" s="89" t="s">
        <v>44</v>
      </c>
      <c r="H1602" s="89" t="s">
        <v>44</v>
      </c>
      <c r="I1602" s="89" t="s">
        <v>44</v>
      </c>
      <c r="J1602" s="89" t="s">
        <v>44</v>
      </c>
      <c r="K1602" s="90">
        <v>2298792</v>
      </c>
    </row>
    <row r="1603" ht="15.75" customHeight="1" spans="1:11">
      <c r="A1603" s="87">
        <v>1602</v>
      </c>
      <c r="B1603" s="88" t="s">
        <v>58</v>
      </c>
      <c r="C1603" s="88" t="s">
        <v>58</v>
      </c>
      <c r="D1603" s="87">
        <v>2024</v>
      </c>
      <c r="E1603" s="88" t="s">
        <v>37</v>
      </c>
      <c r="F1603" s="88" t="s">
        <v>150</v>
      </c>
      <c r="G1603" s="89" t="s">
        <v>44</v>
      </c>
      <c r="H1603" s="89" t="s">
        <v>44</v>
      </c>
      <c r="I1603" s="89" t="s">
        <v>44</v>
      </c>
      <c r="J1603" s="89" t="s">
        <v>44</v>
      </c>
      <c r="K1603" s="90">
        <v>1601128</v>
      </c>
    </row>
    <row r="1604" ht="15.75" customHeight="1" spans="1:11">
      <c r="A1604" s="87">
        <v>1603</v>
      </c>
      <c r="B1604" s="88" t="s">
        <v>58</v>
      </c>
      <c r="C1604" s="88" t="s">
        <v>58</v>
      </c>
      <c r="D1604" s="87">
        <v>2024</v>
      </c>
      <c r="E1604" s="88" t="s">
        <v>37</v>
      </c>
      <c r="F1604" s="88" t="s">
        <v>151</v>
      </c>
      <c r="G1604" s="89" t="s">
        <v>44</v>
      </c>
      <c r="H1604" s="89" t="s">
        <v>44</v>
      </c>
      <c r="I1604" s="89" t="s">
        <v>44</v>
      </c>
      <c r="J1604" s="89" t="s">
        <v>44</v>
      </c>
      <c r="K1604" s="90">
        <v>69538856</v>
      </c>
    </row>
    <row r="1605" ht="15.75" customHeight="1" spans="1:11">
      <c r="A1605" s="87">
        <v>1604</v>
      </c>
      <c r="B1605" s="88" t="s">
        <v>58</v>
      </c>
      <c r="C1605" s="88" t="s">
        <v>58</v>
      </c>
      <c r="D1605" s="87">
        <v>2024</v>
      </c>
      <c r="E1605" s="88" t="s">
        <v>37</v>
      </c>
      <c r="F1605" s="88" t="s">
        <v>152</v>
      </c>
      <c r="G1605" s="89" t="s">
        <v>44</v>
      </c>
      <c r="H1605" s="89" t="s">
        <v>44</v>
      </c>
      <c r="I1605" s="89" t="s">
        <v>44</v>
      </c>
      <c r="J1605" s="89" t="s">
        <v>44</v>
      </c>
      <c r="K1605" s="90">
        <v>3229536</v>
      </c>
    </row>
    <row r="1606" ht="15.75" customHeight="1" spans="1:11">
      <c r="A1606" s="87">
        <v>1605</v>
      </c>
      <c r="B1606" s="88" t="s">
        <v>58</v>
      </c>
      <c r="C1606" s="88" t="s">
        <v>58</v>
      </c>
      <c r="D1606" s="87">
        <v>2024</v>
      </c>
      <c r="E1606" s="88" t="s">
        <v>38</v>
      </c>
      <c r="F1606" s="88" t="s">
        <v>150</v>
      </c>
      <c r="G1606" s="89" t="s">
        <v>44</v>
      </c>
      <c r="H1606" s="89" t="s">
        <v>44</v>
      </c>
      <c r="I1606" s="89" t="s">
        <v>44</v>
      </c>
      <c r="J1606" s="89" t="s">
        <v>44</v>
      </c>
      <c r="K1606" s="90">
        <v>1523462</v>
      </c>
    </row>
    <row r="1607" ht="15.75" customHeight="1" spans="1:11">
      <c r="A1607" s="87">
        <v>1606</v>
      </c>
      <c r="B1607" s="88" t="s">
        <v>58</v>
      </c>
      <c r="C1607" s="88" t="s">
        <v>58</v>
      </c>
      <c r="D1607" s="87">
        <v>2024</v>
      </c>
      <c r="E1607" s="88" t="s">
        <v>38</v>
      </c>
      <c r="F1607" s="88" t="s">
        <v>153</v>
      </c>
      <c r="G1607" s="90">
        <v>15809</v>
      </c>
      <c r="H1607" s="89">
        <v>1</v>
      </c>
      <c r="I1607" s="89" t="s">
        <v>44</v>
      </c>
      <c r="J1607" s="89" t="s">
        <v>44</v>
      </c>
      <c r="K1607" s="90">
        <v>15809</v>
      </c>
    </row>
    <row r="1608" ht="15.75" customHeight="1" spans="1:11">
      <c r="A1608" s="87">
        <v>1607</v>
      </c>
      <c r="B1608" s="88" t="s">
        <v>58</v>
      </c>
      <c r="C1608" s="88" t="s">
        <v>58</v>
      </c>
      <c r="D1608" s="87">
        <v>2024</v>
      </c>
      <c r="E1608" s="88" t="s">
        <v>38</v>
      </c>
      <c r="F1608" s="88" t="s">
        <v>151</v>
      </c>
      <c r="G1608" s="89" t="s">
        <v>44</v>
      </c>
      <c r="H1608" s="89" t="s">
        <v>44</v>
      </c>
      <c r="I1608" s="89" t="s">
        <v>44</v>
      </c>
      <c r="J1608" s="89" t="s">
        <v>44</v>
      </c>
      <c r="K1608" s="90">
        <v>68046774</v>
      </c>
    </row>
    <row r="1609" ht="15.75" customHeight="1" spans="1:11">
      <c r="A1609" s="87">
        <v>1608</v>
      </c>
      <c r="B1609" s="88" t="s">
        <v>58</v>
      </c>
      <c r="C1609" s="88" t="s">
        <v>58</v>
      </c>
      <c r="D1609" s="87">
        <v>2024</v>
      </c>
      <c r="E1609" s="88" t="s">
        <v>38</v>
      </c>
      <c r="F1609" s="88" t="s">
        <v>152</v>
      </c>
      <c r="G1609" s="89" t="s">
        <v>44</v>
      </c>
      <c r="H1609" s="89" t="s">
        <v>44</v>
      </c>
      <c r="I1609" s="89" t="s">
        <v>44</v>
      </c>
      <c r="J1609" s="89" t="s">
        <v>44</v>
      </c>
      <c r="K1609" s="90">
        <v>2542883</v>
      </c>
    </row>
    <row r="1610" ht="15.75" customHeight="1" spans="1:11">
      <c r="A1610" s="87">
        <v>1609</v>
      </c>
      <c r="B1610" s="88" t="s">
        <v>58</v>
      </c>
      <c r="C1610" s="88" t="s">
        <v>58</v>
      </c>
      <c r="D1610" s="87">
        <v>2024</v>
      </c>
      <c r="E1610" s="88" t="s">
        <v>39</v>
      </c>
      <c r="F1610" s="88" t="s">
        <v>150</v>
      </c>
      <c r="G1610" s="89" t="s">
        <v>44</v>
      </c>
      <c r="H1610" s="89" t="s">
        <v>44</v>
      </c>
      <c r="I1610" s="89" t="s">
        <v>44</v>
      </c>
      <c r="J1610" s="89" t="s">
        <v>44</v>
      </c>
      <c r="K1610" s="90">
        <v>644510</v>
      </c>
    </row>
    <row r="1611" ht="15.75" customHeight="1" spans="1:11">
      <c r="A1611" s="87">
        <v>1610</v>
      </c>
      <c r="B1611" s="88" t="s">
        <v>58</v>
      </c>
      <c r="C1611" s="88" t="s">
        <v>58</v>
      </c>
      <c r="D1611" s="87">
        <v>2024</v>
      </c>
      <c r="E1611" s="88" t="s">
        <v>39</v>
      </c>
      <c r="F1611" s="88" t="s">
        <v>153</v>
      </c>
      <c r="G1611" s="90">
        <v>27664</v>
      </c>
      <c r="H1611" s="89">
        <v>2</v>
      </c>
      <c r="I1611" s="89" t="s">
        <v>44</v>
      </c>
      <c r="J1611" s="89" t="s">
        <v>44</v>
      </c>
      <c r="K1611" s="90">
        <v>27664</v>
      </c>
    </row>
    <row r="1612" ht="15.75" customHeight="1" spans="1:11">
      <c r="A1612" s="87">
        <v>1611</v>
      </c>
      <c r="B1612" s="88" t="s">
        <v>58</v>
      </c>
      <c r="C1612" s="88" t="s">
        <v>58</v>
      </c>
      <c r="D1612" s="87">
        <v>2024</v>
      </c>
      <c r="E1612" s="88" t="s">
        <v>39</v>
      </c>
      <c r="F1612" s="88" t="s">
        <v>151</v>
      </c>
      <c r="G1612" s="89" t="s">
        <v>44</v>
      </c>
      <c r="H1612" s="89" t="s">
        <v>44</v>
      </c>
      <c r="I1612" s="89" t="s">
        <v>44</v>
      </c>
      <c r="J1612" s="89" t="s">
        <v>44</v>
      </c>
      <c r="K1612" s="90">
        <v>76594257</v>
      </c>
    </row>
    <row r="1613" ht="15.75" customHeight="1" spans="1:11">
      <c r="A1613" s="87">
        <v>1612</v>
      </c>
      <c r="B1613" s="88" t="s">
        <v>58</v>
      </c>
      <c r="C1613" s="88" t="s">
        <v>58</v>
      </c>
      <c r="D1613" s="87">
        <v>2024</v>
      </c>
      <c r="E1613" s="88" t="s">
        <v>39</v>
      </c>
      <c r="F1613" s="88" t="s">
        <v>152</v>
      </c>
      <c r="G1613" s="89" t="s">
        <v>44</v>
      </c>
      <c r="H1613" s="89" t="s">
        <v>44</v>
      </c>
      <c r="I1613" s="89" t="s">
        <v>44</v>
      </c>
      <c r="J1613" s="89" t="s">
        <v>44</v>
      </c>
      <c r="K1613" s="90">
        <v>2813461</v>
      </c>
    </row>
    <row r="1614" ht="15.75" customHeight="1" spans="1:11">
      <c r="A1614" s="87">
        <v>1613</v>
      </c>
      <c r="B1614" s="88" t="s">
        <v>58</v>
      </c>
      <c r="C1614" s="88" t="s">
        <v>58</v>
      </c>
      <c r="D1614" s="87">
        <v>2024</v>
      </c>
      <c r="E1614" s="88" t="s">
        <v>40</v>
      </c>
      <c r="F1614" s="88" t="s">
        <v>150</v>
      </c>
      <c r="G1614" s="89" t="s">
        <v>44</v>
      </c>
      <c r="H1614" s="89" t="s">
        <v>44</v>
      </c>
      <c r="I1614" s="89" t="s">
        <v>44</v>
      </c>
      <c r="J1614" s="89" t="s">
        <v>44</v>
      </c>
      <c r="K1614" s="90">
        <v>345435</v>
      </c>
    </row>
    <row r="1615" ht="15.75" customHeight="1" spans="1:11">
      <c r="A1615" s="87">
        <v>1614</v>
      </c>
      <c r="B1615" s="88" t="s">
        <v>58</v>
      </c>
      <c r="C1615" s="88" t="s">
        <v>58</v>
      </c>
      <c r="D1615" s="87">
        <v>2024</v>
      </c>
      <c r="E1615" s="88" t="s">
        <v>40</v>
      </c>
      <c r="F1615" s="88" t="s">
        <v>153</v>
      </c>
      <c r="G1615" s="90">
        <v>13785</v>
      </c>
      <c r="H1615" s="89">
        <v>1</v>
      </c>
      <c r="I1615" s="89" t="s">
        <v>44</v>
      </c>
      <c r="J1615" s="89" t="s">
        <v>44</v>
      </c>
      <c r="K1615" s="90">
        <v>13785</v>
      </c>
    </row>
    <row r="1616" ht="15.75" customHeight="1" spans="1:11">
      <c r="A1616" s="87">
        <v>1615</v>
      </c>
      <c r="B1616" s="88" t="s">
        <v>58</v>
      </c>
      <c r="C1616" s="88" t="s">
        <v>58</v>
      </c>
      <c r="D1616" s="87">
        <v>2024</v>
      </c>
      <c r="E1616" s="88" t="s">
        <v>40</v>
      </c>
      <c r="F1616" s="88" t="s">
        <v>151</v>
      </c>
      <c r="G1616" s="89" t="s">
        <v>44</v>
      </c>
      <c r="H1616" s="89" t="s">
        <v>44</v>
      </c>
      <c r="I1616" s="89" t="s">
        <v>44</v>
      </c>
      <c r="J1616" s="89" t="s">
        <v>44</v>
      </c>
      <c r="K1616" s="90">
        <v>101248249</v>
      </c>
    </row>
    <row r="1617" ht="15.75" customHeight="1" spans="1:11">
      <c r="A1617" s="87">
        <v>1616</v>
      </c>
      <c r="B1617" s="88" t="s">
        <v>58</v>
      </c>
      <c r="C1617" s="88" t="s">
        <v>58</v>
      </c>
      <c r="D1617" s="87">
        <v>2024</v>
      </c>
      <c r="E1617" s="88" t="s">
        <v>40</v>
      </c>
      <c r="F1617" s="88" t="s">
        <v>152</v>
      </c>
      <c r="G1617" s="89" t="s">
        <v>44</v>
      </c>
      <c r="H1617" s="89" t="s">
        <v>44</v>
      </c>
      <c r="I1617" s="89" t="s">
        <v>44</v>
      </c>
      <c r="J1617" s="89" t="s">
        <v>44</v>
      </c>
      <c r="K1617" s="90">
        <v>5039766</v>
      </c>
    </row>
    <row r="1618" ht="15.75" customHeight="1" spans="1:11">
      <c r="A1618" s="87">
        <v>1617</v>
      </c>
      <c r="B1618" s="88" t="s">
        <v>58</v>
      </c>
      <c r="C1618" s="88" t="s">
        <v>58</v>
      </c>
      <c r="D1618" s="87">
        <v>2024</v>
      </c>
      <c r="E1618" s="88" t="s">
        <v>41</v>
      </c>
      <c r="F1618" s="88" t="s">
        <v>149</v>
      </c>
      <c r="G1618" s="89" t="s">
        <v>44</v>
      </c>
      <c r="H1618" s="89">
        <v>6</v>
      </c>
      <c r="I1618" s="90">
        <v>231236</v>
      </c>
      <c r="J1618" s="89">
        <v>2</v>
      </c>
      <c r="K1618" s="90">
        <v>12487</v>
      </c>
    </row>
    <row r="1619" ht="15.75" customHeight="1" spans="1:11">
      <c r="A1619" s="87">
        <v>1618</v>
      </c>
      <c r="B1619" s="88" t="s">
        <v>58</v>
      </c>
      <c r="C1619" s="88" t="s">
        <v>58</v>
      </c>
      <c r="D1619" s="87">
        <v>2024</v>
      </c>
      <c r="E1619" s="88" t="s">
        <v>41</v>
      </c>
      <c r="F1619" s="88" t="s">
        <v>150</v>
      </c>
      <c r="G1619" s="89" t="s">
        <v>44</v>
      </c>
      <c r="H1619" s="89" t="s">
        <v>44</v>
      </c>
      <c r="I1619" s="89" t="s">
        <v>44</v>
      </c>
      <c r="J1619" s="89" t="s">
        <v>44</v>
      </c>
      <c r="K1619" s="90">
        <v>530930</v>
      </c>
    </row>
    <row r="1620" ht="15.75" customHeight="1" spans="1:11">
      <c r="A1620" s="87">
        <v>1619</v>
      </c>
      <c r="B1620" s="88" t="s">
        <v>58</v>
      </c>
      <c r="C1620" s="88" t="s">
        <v>58</v>
      </c>
      <c r="D1620" s="87">
        <v>2024</v>
      </c>
      <c r="E1620" s="88" t="s">
        <v>41</v>
      </c>
      <c r="F1620" s="88" t="s">
        <v>151</v>
      </c>
      <c r="G1620" s="89" t="s">
        <v>44</v>
      </c>
      <c r="H1620" s="89" t="s">
        <v>44</v>
      </c>
      <c r="I1620" s="89" t="s">
        <v>44</v>
      </c>
      <c r="J1620" s="89" t="s">
        <v>44</v>
      </c>
      <c r="K1620" s="90">
        <v>85045932</v>
      </c>
    </row>
    <row r="1621" ht="15.75" customHeight="1" spans="1:11">
      <c r="A1621" s="87">
        <v>1620</v>
      </c>
      <c r="B1621" s="88" t="s">
        <v>58</v>
      </c>
      <c r="C1621" s="88" t="s">
        <v>58</v>
      </c>
      <c r="D1621" s="87">
        <v>2024</v>
      </c>
      <c r="E1621" s="88" t="s">
        <v>41</v>
      </c>
      <c r="F1621" s="88" t="s">
        <v>152</v>
      </c>
      <c r="G1621" s="89" t="s">
        <v>44</v>
      </c>
      <c r="H1621" s="89" t="s">
        <v>44</v>
      </c>
      <c r="I1621" s="89" t="s">
        <v>44</v>
      </c>
      <c r="J1621" s="89" t="s">
        <v>44</v>
      </c>
      <c r="K1621" s="90">
        <v>3694867</v>
      </c>
    </row>
    <row r="1622" ht="15.75" customHeight="1" spans="1:11">
      <c r="A1622" s="87">
        <v>1621</v>
      </c>
      <c r="B1622" s="88" t="s">
        <v>58</v>
      </c>
      <c r="C1622" s="88" t="s">
        <v>58</v>
      </c>
      <c r="D1622" s="87">
        <v>2024</v>
      </c>
      <c r="E1622" s="88" t="s">
        <v>42</v>
      </c>
      <c r="F1622" s="88" t="s">
        <v>149</v>
      </c>
      <c r="G1622" s="89" t="s">
        <v>44</v>
      </c>
      <c r="H1622" s="89">
        <v>34</v>
      </c>
      <c r="I1622" s="90">
        <v>2003281</v>
      </c>
      <c r="J1622" s="89">
        <v>20</v>
      </c>
      <c r="K1622" s="90">
        <v>94663</v>
      </c>
    </row>
    <row r="1623" ht="15.75" customHeight="1" spans="1:11">
      <c r="A1623" s="87">
        <v>1622</v>
      </c>
      <c r="B1623" s="88" t="s">
        <v>58</v>
      </c>
      <c r="C1623" s="88" t="s">
        <v>58</v>
      </c>
      <c r="D1623" s="87">
        <v>2024</v>
      </c>
      <c r="E1623" s="88" t="s">
        <v>42</v>
      </c>
      <c r="F1623" s="88" t="s">
        <v>150</v>
      </c>
      <c r="G1623" s="89" t="s">
        <v>44</v>
      </c>
      <c r="H1623" s="89" t="s">
        <v>44</v>
      </c>
      <c r="I1623" s="89" t="s">
        <v>44</v>
      </c>
      <c r="J1623" s="89" t="s">
        <v>44</v>
      </c>
      <c r="K1623" s="90">
        <v>535790</v>
      </c>
    </row>
    <row r="1624" ht="15.75" customHeight="1" spans="1:11">
      <c r="A1624" s="87">
        <v>1623</v>
      </c>
      <c r="B1624" s="88" t="s">
        <v>58</v>
      </c>
      <c r="C1624" s="88" t="s">
        <v>58</v>
      </c>
      <c r="D1624" s="87">
        <v>2024</v>
      </c>
      <c r="E1624" s="88" t="s">
        <v>42</v>
      </c>
      <c r="F1624" s="88" t="s">
        <v>153</v>
      </c>
      <c r="G1624" s="90">
        <v>13878</v>
      </c>
      <c r="H1624" s="89">
        <v>1</v>
      </c>
      <c r="I1624" s="89" t="s">
        <v>44</v>
      </c>
      <c r="J1624" s="89" t="s">
        <v>44</v>
      </c>
      <c r="K1624" s="90">
        <v>13878</v>
      </c>
    </row>
    <row r="1625" ht="15.75" customHeight="1" spans="1:11">
      <c r="A1625" s="87">
        <v>1624</v>
      </c>
      <c r="B1625" s="88" t="s">
        <v>58</v>
      </c>
      <c r="C1625" s="88" t="s">
        <v>58</v>
      </c>
      <c r="D1625" s="87">
        <v>2024</v>
      </c>
      <c r="E1625" s="88" t="s">
        <v>42</v>
      </c>
      <c r="F1625" s="88" t="s">
        <v>151</v>
      </c>
      <c r="G1625" s="89" t="s">
        <v>44</v>
      </c>
      <c r="H1625" s="89" t="s">
        <v>44</v>
      </c>
      <c r="I1625" s="89" t="s">
        <v>44</v>
      </c>
      <c r="J1625" s="89" t="s">
        <v>44</v>
      </c>
      <c r="K1625" s="90">
        <v>82100595</v>
      </c>
    </row>
    <row r="1626" ht="15.75" customHeight="1" spans="1:11">
      <c r="A1626" s="87">
        <v>1625</v>
      </c>
      <c r="B1626" s="88" t="s">
        <v>58</v>
      </c>
      <c r="C1626" s="88" t="s">
        <v>58</v>
      </c>
      <c r="D1626" s="87">
        <v>2024</v>
      </c>
      <c r="E1626" s="88" t="s">
        <v>42</v>
      </c>
      <c r="F1626" s="88" t="s">
        <v>152</v>
      </c>
      <c r="G1626" s="89" t="s">
        <v>44</v>
      </c>
      <c r="H1626" s="89" t="s">
        <v>44</v>
      </c>
      <c r="I1626" s="89" t="s">
        <v>44</v>
      </c>
      <c r="J1626" s="89" t="s">
        <v>44</v>
      </c>
      <c r="K1626" s="90">
        <v>4335357</v>
      </c>
    </row>
    <row r="1627" ht="15.75" customHeight="1" spans="1:11">
      <c r="A1627" s="87">
        <v>1626</v>
      </c>
      <c r="B1627" s="88" t="s">
        <v>58</v>
      </c>
      <c r="C1627" s="88" t="s">
        <v>58</v>
      </c>
      <c r="D1627" s="87">
        <v>2024</v>
      </c>
      <c r="E1627" s="88" t="s">
        <v>43</v>
      </c>
      <c r="F1627" s="88" t="s">
        <v>149</v>
      </c>
      <c r="G1627" s="89" t="s">
        <v>44</v>
      </c>
      <c r="H1627" s="89">
        <v>42</v>
      </c>
      <c r="I1627" s="90">
        <v>2350148</v>
      </c>
      <c r="J1627" s="89">
        <v>32</v>
      </c>
      <c r="K1627" s="90">
        <v>113829</v>
      </c>
    </row>
    <row r="1628" ht="15.75" customHeight="1" spans="1:11">
      <c r="A1628" s="87">
        <v>1627</v>
      </c>
      <c r="B1628" s="88" t="s">
        <v>58</v>
      </c>
      <c r="C1628" s="88" t="s">
        <v>58</v>
      </c>
      <c r="D1628" s="87">
        <v>2024</v>
      </c>
      <c r="E1628" s="88" t="s">
        <v>43</v>
      </c>
      <c r="F1628" s="88" t="s">
        <v>150</v>
      </c>
      <c r="G1628" s="89" t="s">
        <v>44</v>
      </c>
      <c r="H1628" s="89" t="s">
        <v>44</v>
      </c>
      <c r="I1628" s="89" t="s">
        <v>44</v>
      </c>
      <c r="J1628" s="89" t="s">
        <v>44</v>
      </c>
      <c r="K1628" s="90">
        <v>373963</v>
      </c>
    </row>
    <row r="1629" ht="15.75" customHeight="1" spans="1:11">
      <c r="A1629" s="87">
        <v>1628</v>
      </c>
      <c r="B1629" s="88" t="s">
        <v>58</v>
      </c>
      <c r="C1629" s="88" t="s">
        <v>58</v>
      </c>
      <c r="D1629" s="87">
        <v>2024</v>
      </c>
      <c r="E1629" s="88" t="s">
        <v>43</v>
      </c>
      <c r="F1629" s="88" t="s">
        <v>153</v>
      </c>
      <c r="G1629" s="90">
        <v>13976</v>
      </c>
      <c r="H1629" s="89">
        <v>1</v>
      </c>
      <c r="I1629" s="89" t="s">
        <v>44</v>
      </c>
      <c r="J1629" s="89" t="s">
        <v>44</v>
      </c>
      <c r="K1629" s="90">
        <v>13976</v>
      </c>
    </row>
    <row r="1630" ht="15.75" customHeight="1" spans="1:11">
      <c r="A1630" s="87">
        <v>1629</v>
      </c>
      <c r="B1630" s="88" t="s">
        <v>58</v>
      </c>
      <c r="C1630" s="88" t="s">
        <v>58</v>
      </c>
      <c r="D1630" s="87">
        <v>2024</v>
      </c>
      <c r="E1630" s="88" t="s">
        <v>43</v>
      </c>
      <c r="F1630" s="88" t="s">
        <v>151</v>
      </c>
      <c r="G1630" s="89" t="s">
        <v>44</v>
      </c>
      <c r="H1630" s="89" t="s">
        <v>44</v>
      </c>
      <c r="I1630" s="89" t="s">
        <v>44</v>
      </c>
      <c r="J1630" s="89" t="s">
        <v>44</v>
      </c>
      <c r="K1630" s="90">
        <v>115570227</v>
      </c>
    </row>
    <row r="1631" ht="15.75" customHeight="1" spans="1:11">
      <c r="A1631" s="87">
        <v>1630</v>
      </c>
      <c r="B1631" s="88" t="s">
        <v>58</v>
      </c>
      <c r="C1631" s="88" t="s">
        <v>58</v>
      </c>
      <c r="D1631" s="87">
        <v>2024</v>
      </c>
      <c r="E1631" s="88" t="s">
        <v>43</v>
      </c>
      <c r="F1631" s="88" t="s">
        <v>152</v>
      </c>
      <c r="G1631" s="89" t="s">
        <v>44</v>
      </c>
      <c r="H1631" s="89" t="s">
        <v>44</v>
      </c>
      <c r="I1631" s="89" t="s">
        <v>44</v>
      </c>
      <c r="J1631" s="89" t="s">
        <v>44</v>
      </c>
      <c r="K1631" s="90">
        <v>5627016</v>
      </c>
    </row>
    <row r="1632" ht="15.75" customHeight="1" spans="1:11">
      <c r="A1632" s="87">
        <v>1631</v>
      </c>
      <c r="B1632" s="88" t="s">
        <v>58</v>
      </c>
      <c r="C1632" s="88" t="s">
        <v>58</v>
      </c>
      <c r="D1632" s="87">
        <v>2025</v>
      </c>
      <c r="E1632" s="88" t="s">
        <v>31</v>
      </c>
      <c r="F1632" s="88" t="s">
        <v>149</v>
      </c>
      <c r="G1632" s="89" t="s">
        <v>44</v>
      </c>
      <c r="H1632" s="89">
        <v>28</v>
      </c>
      <c r="I1632" s="90">
        <v>1690530</v>
      </c>
      <c r="J1632" s="89">
        <v>29</v>
      </c>
      <c r="K1632" s="90">
        <v>72193</v>
      </c>
    </row>
    <row r="1633" ht="15.75" customHeight="1" spans="1:11">
      <c r="A1633" s="87">
        <v>1632</v>
      </c>
      <c r="B1633" s="88" t="s">
        <v>58</v>
      </c>
      <c r="C1633" s="88" t="s">
        <v>58</v>
      </c>
      <c r="D1633" s="87">
        <v>2025</v>
      </c>
      <c r="E1633" s="88" t="s">
        <v>31</v>
      </c>
      <c r="F1633" s="88" t="s">
        <v>150</v>
      </c>
      <c r="G1633" s="89" t="s">
        <v>44</v>
      </c>
      <c r="H1633" s="89" t="s">
        <v>44</v>
      </c>
      <c r="I1633" s="89" t="s">
        <v>44</v>
      </c>
      <c r="J1633" s="89" t="s">
        <v>44</v>
      </c>
      <c r="K1633" s="90">
        <v>281660</v>
      </c>
    </row>
    <row r="1634" ht="15.75" customHeight="1" spans="1:11">
      <c r="A1634" s="87">
        <v>1633</v>
      </c>
      <c r="B1634" s="88" t="s">
        <v>58</v>
      </c>
      <c r="C1634" s="88" t="s">
        <v>58</v>
      </c>
      <c r="D1634" s="87">
        <v>2025</v>
      </c>
      <c r="E1634" s="88" t="s">
        <v>31</v>
      </c>
      <c r="F1634" s="88" t="s">
        <v>153</v>
      </c>
      <c r="G1634" s="90">
        <v>34845</v>
      </c>
      <c r="H1634" s="89">
        <v>1</v>
      </c>
      <c r="I1634" s="89" t="s">
        <v>44</v>
      </c>
      <c r="J1634" s="89" t="s">
        <v>44</v>
      </c>
      <c r="K1634" s="90">
        <v>34845</v>
      </c>
    </row>
    <row r="1635" ht="15.75" customHeight="1" spans="1:11">
      <c r="A1635" s="87">
        <v>1634</v>
      </c>
      <c r="B1635" s="88" t="s">
        <v>58</v>
      </c>
      <c r="C1635" s="88" t="s">
        <v>58</v>
      </c>
      <c r="D1635" s="87">
        <v>2025</v>
      </c>
      <c r="E1635" s="88" t="s">
        <v>31</v>
      </c>
      <c r="F1635" s="88" t="s">
        <v>151</v>
      </c>
      <c r="G1635" s="89" t="s">
        <v>44</v>
      </c>
      <c r="H1635" s="89" t="s">
        <v>44</v>
      </c>
      <c r="I1635" s="89" t="s">
        <v>44</v>
      </c>
      <c r="J1635" s="89" t="s">
        <v>44</v>
      </c>
      <c r="K1635" s="90">
        <v>85438087</v>
      </c>
    </row>
    <row r="1636" ht="15.75" customHeight="1" spans="1:11">
      <c r="A1636" s="87">
        <v>1635</v>
      </c>
      <c r="B1636" s="88" t="s">
        <v>58</v>
      </c>
      <c r="C1636" s="88" t="s">
        <v>58</v>
      </c>
      <c r="D1636" s="87">
        <v>2025</v>
      </c>
      <c r="E1636" s="88" t="s">
        <v>31</v>
      </c>
      <c r="F1636" s="88" t="s">
        <v>152</v>
      </c>
      <c r="G1636" s="89" t="s">
        <v>44</v>
      </c>
      <c r="H1636" s="89" t="s">
        <v>44</v>
      </c>
      <c r="I1636" s="89" t="s">
        <v>44</v>
      </c>
      <c r="J1636" s="89" t="s">
        <v>44</v>
      </c>
      <c r="K1636" s="90">
        <v>5966404</v>
      </c>
    </row>
    <row r="1637" ht="15.75" customHeight="1" spans="1:11">
      <c r="A1637" s="87">
        <v>1636</v>
      </c>
      <c r="B1637" s="88" t="s">
        <v>58</v>
      </c>
      <c r="C1637" s="88" t="s">
        <v>58</v>
      </c>
      <c r="D1637" s="87">
        <v>2025</v>
      </c>
      <c r="E1637" s="88" t="s">
        <v>33</v>
      </c>
      <c r="F1637" s="88" t="s">
        <v>149</v>
      </c>
      <c r="G1637" s="89" t="s">
        <v>44</v>
      </c>
      <c r="H1637" s="89">
        <v>63</v>
      </c>
      <c r="I1637" s="90">
        <v>5072383</v>
      </c>
      <c r="J1637" s="89">
        <v>43</v>
      </c>
      <c r="K1637" s="90">
        <v>250201</v>
      </c>
    </row>
    <row r="1638" ht="15.75" customHeight="1" spans="1:11">
      <c r="A1638" s="87">
        <v>1637</v>
      </c>
      <c r="B1638" s="88" t="s">
        <v>58</v>
      </c>
      <c r="C1638" s="88" t="s">
        <v>58</v>
      </c>
      <c r="D1638" s="87">
        <v>2025</v>
      </c>
      <c r="E1638" s="88" t="s">
        <v>33</v>
      </c>
      <c r="F1638" s="88" t="s">
        <v>150</v>
      </c>
      <c r="G1638" s="89" t="s">
        <v>44</v>
      </c>
      <c r="H1638" s="89" t="s">
        <v>44</v>
      </c>
      <c r="I1638" s="89" t="s">
        <v>44</v>
      </c>
      <c r="J1638" s="89" t="s">
        <v>44</v>
      </c>
      <c r="K1638" s="90">
        <v>427919</v>
      </c>
    </row>
    <row r="1639" ht="15.75" customHeight="1" spans="1:11">
      <c r="A1639" s="87">
        <v>1638</v>
      </c>
      <c r="B1639" s="88" t="s">
        <v>58</v>
      </c>
      <c r="C1639" s="88" t="s">
        <v>58</v>
      </c>
      <c r="D1639" s="87">
        <v>2025</v>
      </c>
      <c r="E1639" s="88" t="s">
        <v>33</v>
      </c>
      <c r="F1639" s="88" t="s">
        <v>153</v>
      </c>
      <c r="G1639" s="90">
        <v>27905</v>
      </c>
      <c r="H1639" s="89">
        <v>2</v>
      </c>
      <c r="I1639" s="89" t="s">
        <v>44</v>
      </c>
      <c r="J1639" s="89" t="s">
        <v>44</v>
      </c>
      <c r="K1639" s="90">
        <v>27905</v>
      </c>
    </row>
    <row r="1640" ht="15.75" customHeight="1" spans="1:11">
      <c r="A1640" s="87">
        <v>1639</v>
      </c>
      <c r="B1640" s="88" t="s">
        <v>58</v>
      </c>
      <c r="C1640" s="88" t="s">
        <v>58</v>
      </c>
      <c r="D1640" s="87">
        <v>2025</v>
      </c>
      <c r="E1640" s="88" t="s">
        <v>33</v>
      </c>
      <c r="F1640" s="88" t="s">
        <v>151</v>
      </c>
      <c r="G1640" s="89" t="s">
        <v>44</v>
      </c>
      <c r="H1640" s="89" t="s">
        <v>44</v>
      </c>
      <c r="I1640" s="89" t="s">
        <v>44</v>
      </c>
      <c r="J1640" s="89" t="s">
        <v>44</v>
      </c>
      <c r="K1640" s="90">
        <v>115184624</v>
      </c>
    </row>
    <row r="1641" ht="15.75" customHeight="1" spans="1:11">
      <c r="A1641" s="87">
        <v>1640</v>
      </c>
      <c r="B1641" s="88" t="s">
        <v>58</v>
      </c>
      <c r="C1641" s="88" t="s">
        <v>58</v>
      </c>
      <c r="D1641" s="87">
        <v>2025</v>
      </c>
      <c r="E1641" s="88" t="s">
        <v>33</v>
      </c>
      <c r="F1641" s="88" t="s">
        <v>152</v>
      </c>
      <c r="G1641" s="89" t="s">
        <v>44</v>
      </c>
      <c r="H1641" s="89" t="s">
        <v>44</v>
      </c>
      <c r="I1641" s="89" t="s">
        <v>44</v>
      </c>
      <c r="J1641" s="89" t="s">
        <v>44</v>
      </c>
      <c r="K1641" s="90">
        <v>8162267</v>
      </c>
    </row>
    <row r="1642" ht="15.75" customHeight="1" spans="1:11">
      <c r="A1642" s="87">
        <v>1641</v>
      </c>
      <c r="B1642" s="88" t="s">
        <v>58</v>
      </c>
      <c r="C1642" s="88" t="s">
        <v>58</v>
      </c>
      <c r="D1642" s="87">
        <v>2025</v>
      </c>
      <c r="E1642" s="88" t="s">
        <v>34</v>
      </c>
      <c r="F1642" s="88" t="s">
        <v>149</v>
      </c>
      <c r="G1642" s="89" t="s">
        <v>44</v>
      </c>
      <c r="H1642" s="89">
        <v>192</v>
      </c>
      <c r="I1642" s="90">
        <v>16787074</v>
      </c>
      <c r="J1642" s="89">
        <v>177</v>
      </c>
      <c r="K1642" s="90">
        <v>785947</v>
      </c>
    </row>
    <row r="1643" ht="15.75" customHeight="1" spans="1:11">
      <c r="A1643" s="87">
        <v>1642</v>
      </c>
      <c r="B1643" s="88" t="s">
        <v>58</v>
      </c>
      <c r="C1643" s="88" t="s">
        <v>58</v>
      </c>
      <c r="D1643" s="87">
        <v>2025</v>
      </c>
      <c r="E1643" s="88" t="s">
        <v>34</v>
      </c>
      <c r="F1643" s="88" t="s">
        <v>154</v>
      </c>
      <c r="G1643" s="89" t="s">
        <v>44</v>
      </c>
      <c r="H1643" s="89" t="s">
        <v>44</v>
      </c>
      <c r="I1643" s="89" t="s">
        <v>44</v>
      </c>
      <c r="J1643" s="89" t="s">
        <v>44</v>
      </c>
      <c r="K1643" s="90">
        <v>1989831</v>
      </c>
    </row>
    <row r="1644" ht="15.75" customHeight="1" spans="1:11">
      <c r="A1644" s="87">
        <v>1643</v>
      </c>
      <c r="B1644" s="88" t="s">
        <v>58</v>
      </c>
      <c r="C1644" s="88" t="s">
        <v>58</v>
      </c>
      <c r="D1644" s="87">
        <v>2025</v>
      </c>
      <c r="E1644" s="88" t="s">
        <v>34</v>
      </c>
      <c r="F1644" s="88" t="s">
        <v>150</v>
      </c>
      <c r="G1644" s="89" t="s">
        <v>44</v>
      </c>
      <c r="H1644" s="89" t="s">
        <v>44</v>
      </c>
      <c r="I1644" s="89" t="s">
        <v>44</v>
      </c>
      <c r="J1644" s="89" t="s">
        <v>44</v>
      </c>
      <c r="K1644" s="90">
        <v>390148</v>
      </c>
    </row>
    <row r="1645" ht="15.75" customHeight="1" spans="1:11">
      <c r="A1645" s="87">
        <v>1644</v>
      </c>
      <c r="B1645" s="88" t="s">
        <v>58</v>
      </c>
      <c r="C1645" s="88" t="s">
        <v>58</v>
      </c>
      <c r="D1645" s="87">
        <v>2025</v>
      </c>
      <c r="E1645" s="88" t="s">
        <v>34</v>
      </c>
      <c r="F1645" s="88" t="s">
        <v>153</v>
      </c>
      <c r="G1645" s="90">
        <v>13819</v>
      </c>
      <c r="H1645" s="89">
        <v>1</v>
      </c>
      <c r="I1645" s="89" t="s">
        <v>44</v>
      </c>
      <c r="J1645" s="89" t="s">
        <v>44</v>
      </c>
      <c r="K1645" s="90">
        <v>13819</v>
      </c>
    </row>
    <row r="1646" ht="15.75" customHeight="1" spans="1:11">
      <c r="A1646" s="87">
        <v>1645</v>
      </c>
      <c r="B1646" s="88" t="s">
        <v>58</v>
      </c>
      <c r="C1646" s="88" t="s">
        <v>58</v>
      </c>
      <c r="D1646" s="87">
        <v>2025</v>
      </c>
      <c r="E1646" s="88" t="s">
        <v>34</v>
      </c>
      <c r="F1646" s="88" t="s">
        <v>151</v>
      </c>
      <c r="G1646" s="89" t="s">
        <v>44</v>
      </c>
      <c r="H1646" s="89" t="s">
        <v>44</v>
      </c>
      <c r="I1646" s="89" t="s">
        <v>44</v>
      </c>
      <c r="J1646" s="89" t="s">
        <v>44</v>
      </c>
      <c r="K1646" s="90">
        <v>140235468</v>
      </c>
    </row>
    <row r="1647" ht="15.75" customHeight="1" spans="1:11">
      <c r="A1647" s="87">
        <v>1646</v>
      </c>
      <c r="B1647" s="88" t="s">
        <v>58</v>
      </c>
      <c r="C1647" s="88" t="s">
        <v>58</v>
      </c>
      <c r="D1647" s="87">
        <v>2025</v>
      </c>
      <c r="E1647" s="88" t="s">
        <v>34</v>
      </c>
      <c r="F1647" s="88" t="s">
        <v>152</v>
      </c>
      <c r="G1647" s="89" t="s">
        <v>44</v>
      </c>
      <c r="H1647" s="89" t="s">
        <v>44</v>
      </c>
      <c r="I1647" s="89" t="s">
        <v>44</v>
      </c>
      <c r="J1647" s="89" t="s">
        <v>44</v>
      </c>
      <c r="K1647" s="90">
        <v>6633127</v>
      </c>
    </row>
    <row r="1648" ht="15.75" customHeight="1" spans="1:11">
      <c r="A1648" s="87">
        <v>1647</v>
      </c>
      <c r="B1648" s="88" t="s">
        <v>58</v>
      </c>
      <c r="C1648" s="88" t="s">
        <v>58</v>
      </c>
      <c r="D1648" s="87">
        <v>2025</v>
      </c>
      <c r="E1648" s="88" t="s">
        <v>35</v>
      </c>
      <c r="F1648" s="88" t="s">
        <v>149</v>
      </c>
      <c r="G1648" s="89" t="s">
        <v>44</v>
      </c>
      <c r="H1648" s="89">
        <v>198</v>
      </c>
      <c r="I1648" s="90">
        <v>13752711</v>
      </c>
      <c r="J1648" s="89">
        <v>171</v>
      </c>
      <c r="K1648" s="90">
        <v>616649</v>
      </c>
    </row>
    <row r="1649" ht="15.75" customHeight="1" spans="1:11">
      <c r="A1649" s="87">
        <v>1648</v>
      </c>
      <c r="B1649" s="88" t="s">
        <v>58</v>
      </c>
      <c r="C1649" s="88" t="s">
        <v>58</v>
      </c>
      <c r="D1649" s="87">
        <v>2025</v>
      </c>
      <c r="E1649" s="88" t="s">
        <v>35</v>
      </c>
      <c r="F1649" s="88" t="s">
        <v>150</v>
      </c>
      <c r="G1649" s="89" t="s">
        <v>44</v>
      </c>
      <c r="H1649" s="89" t="s">
        <v>44</v>
      </c>
      <c r="I1649" s="89" t="s">
        <v>44</v>
      </c>
      <c r="J1649" s="89" t="s">
        <v>44</v>
      </c>
      <c r="K1649" s="90">
        <v>298670</v>
      </c>
    </row>
    <row r="1650" ht="15.75" customHeight="1" spans="1:11">
      <c r="A1650" s="87">
        <v>1649</v>
      </c>
      <c r="B1650" s="88" t="s">
        <v>58</v>
      </c>
      <c r="C1650" s="88" t="s">
        <v>58</v>
      </c>
      <c r="D1650" s="87">
        <v>2025</v>
      </c>
      <c r="E1650" s="88" t="s">
        <v>35</v>
      </c>
      <c r="F1650" s="88" t="s">
        <v>153</v>
      </c>
      <c r="G1650" s="90">
        <v>13866</v>
      </c>
      <c r="H1650" s="89">
        <v>1</v>
      </c>
      <c r="I1650" s="89" t="s">
        <v>44</v>
      </c>
      <c r="J1650" s="89" t="s">
        <v>44</v>
      </c>
      <c r="K1650" s="90">
        <v>13866</v>
      </c>
    </row>
    <row r="1651" ht="15.75" customHeight="1" spans="1:11">
      <c r="A1651" s="87">
        <v>1650</v>
      </c>
      <c r="B1651" s="88" t="s">
        <v>58</v>
      </c>
      <c r="C1651" s="88" t="s">
        <v>58</v>
      </c>
      <c r="D1651" s="87">
        <v>2025</v>
      </c>
      <c r="E1651" s="88" t="s">
        <v>35</v>
      </c>
      <c r="F1651" s="88" t="s">
        <v>151</v>
      </c>
      <c r="G1651" s="89" t="s">
        <v>44</v>
      </c>
      <c r="H1651" s="89" t="s">
        <v>44</v>
      </c>
      <c r="I1651" s="89" t="s">
        <v>44</v>
      </c>
      <c r="J1651" s="89" t="s">
        <v>44</v>
      </c>
      <c r="K1651" s="90">
        <v>91422314</v>
      </c>
    </row>
    <row r="1652" ht="15.75" customHeight="1" spans="1:11">
      <c r="A1652" s="87">
        <v>1651</v>
      </c>
      <c r="B1652" s="88" t="s">
        <v>58</v>
      </c>
      <c r="C1652" s="88" t="s">
        <v>58</v>
      </c>
      <c r="D1652" s="87">
        <v>2025</v>
      </c>
      <c r="E1652" s="88" t="s">
        <v>35</v>
      </c>
      <c r="F1652" s="88" t="s">
        <v>152</v>
      </c>
      <c r="G1652" s="89" t="s">
        <v>44</v>
      </c>
      <c r="H1652" s="89" t="s">
        <v>44</v>
      </c>
      <c r="I1652" s="89" t="s">
        <v>44</v>
      </c>
      <c r="J1652" s="89" t="s">
        <v>44</v>
      </c>
      <c r="K1652" s="90">
        <v>5148715</v>
      </c>
    </row>
    <row r="1653" ht="15.75" customHeight="1" spans="1:11">
      <c r="A1653" s="87">
        <v>1652</v>
      </c>
      <c r="B1653" s="88" t="s">
        <v>58</v>
      </c>
      <c r="C1653" s="88" t="s">
        <v>58</v>
      </c>
      <c r="D1653" s="87">
        <v>2025</v>
      </c>
      <c r="E1653" s="88" t="s">
        <v>36</v>
      </c>
      <c r="F1653" s="88" t="s">
        <v>149</v>
      </c>
      <c r="G1653" s="89" t="s">
        <v>44</v>
      </c>
      <c r="H1653" s="89">
        <v>405</v>
      </c>
      <c r="I1653" s="90">
        <v>27478179</v>
      </c>
      <c r="J1653" s="89">
        <v>332</v>
      </c>
      <c r="K1653" s="90">
        <v>1273711</v>
      </c>
    </row>
    <row r="1654" ht="15.75" customHeight="1" spans="1:11">
      <c r="A1654" s="87">
        <v>1653</v>
      </c>
      <c r="B1654" s="88" t="s">
        <v>58</v>
      </c>
      <c r="C1654" s="88" t="s">
        <v>58</v>
      </c>
      <c r="D1654" s="87">
        <v>2025</v>
      </c>
      <c r="E1654" s="88" t="s">
        <v>36</v>
      </c>
      <c r="F1654" s="88" t="s">
        <v>150</v>
      </c>
      <c r="G1654" s="89" t="s">
        <v>44</v>
      </c>
      <c r="H1654" s="89" t="s">
        <v>44</v>
      </c>
      <c r="I1654" s="89" t="s">
        <v>44</v>
      </c>
      <c r="J1654" s="89" t="s">
        <v>44</v>
      </c>
      <c r="K1654" s="90">
        <v>528312</v>
      </c>
    </row>
    <row r="1655" ht="15.75" customHeight="1" spans="1:11">
      <c r="A1655" s="87">
        <v>1654</v>
      </c>
      <c r="B1655" s="88" t="s">
        <v>58</v>
      </c>
      <c r="C1655" s="88" t="s">
        <v>58</v>
      </c>
      <c r="D1655" s="87">
        <v>2025</v>
      </c>
      <c r="E1655" s="88" t="s">
        <v>36</v>
      </c>
      <c r="F1655" s="88" t="s">
        <v>155</v>
      </c>
      <c r="G1655" s="90">
        <v>29256</v>
      </c>
      <c r="H1655" s="89">
        <v>2</v>
      </c>
      <c r="I1655" s="89" t="s">
        <v>44</v>
      </c>
      <c r="J1655" s="89" t="s">
        <v>44</v>
      </c>
      <c r="K1655" s="90">
        <v>29256</v>
      </c>
    </row>
    <row r="1656" ht="15.75" customHeight="1" spans="1:11">
      <c r="A1656" s="87">
        <v>1655</v>
      </c>
      <c r="B1656" s="88" t="s">
        <v>58</v>
      </c>
      <c r="C1656" s="88" t="s">
        <v>58</v>
      </c>
      <c r="D1656" s="87">
        <v>2025</v>
      </c>
      <c r="E1656" s="88" t="s">
        <v>36</v>
      </c>
      <c r="F1656" s="88" t="s">
        <v>153</v>
      </c>
      <c r="G1656" s="90">
        <v>13891</v>
      </c>
      <c r="H1656" s="89">
        <v>1</v>
      </c>
      <c r="I1656" s="89" t="s">
        <v>44</v>
      </c>
      <c r="J1656" s="89" t="s">
        <v>44</v>
      </c>
      <c r="K1656" s="90">
        <v>13891</v>
      </c>
    </row>
    <row r="1657" ht="15.75" customHeight="1" spans="1:11">
      <c r="A1657" s="87">
        <v>1656</v>
      </c>
      <c r="B1657" s="88" t="s">
        <v>58</v>
      </c>
      <c r="C1657" s="88" t="s">
        <v>58</v>
      </c>
      <c r="D1657" s="87">
        <v>2025</v>
      </c>
      <c r="E1657" s="88" t="s">
        <v>36</v>
      </c>
      <c r="F1657" s="88" t="s">
        <v>151</v>
      </c>
      <c r="G1657" s="89" t="s">
        <v>44</v>
      </c>
      <c r="H1657" s="89" t="s">
        <v>44</v>
      </c>
      <c r="I1657" s="89" t="s">
        <v>44</v>
      </c>
      <c r="J1657" s="89" t="s">
        <v>44</v>
      </c>
      <c r="K1657" s="90">
        <v>100374856</v>
      </c>
    </row>
    <row r="1658" ht="15.75" customHeight="1" spans="1:11">
      <c r="A1658" s="87">
        <v>1657</v>
      </c>
      <c r="B1658" s="88" t="s">
        <v>58</v>
      </c>
      <c r="C1658" s="88" t="s">
        <v>58</v>
      </c>
      <c r="D1658" s="87">
        <v>2025</v>
      </c>
      <c r="E1658" s="88" t="s">
        <v>36</v>
      </c>
      <c r="F1658" s="88" t="s">
        <v>152</v>
      </c>
      <c r="G1658" s="89" t="s">
        <v>44</v>
      </c>
      <c r="H1658" s="89" t="s">
        <v>44</v>
      </c>
      <c r="I1658" s="89" t="s">
        <v>44</v>
      </c>
      <c r="J1658" s="89" t="s">
        <v>44</v>
      </c>
      <c r="K1658" s="90">
        <v>5692128</v>
      </c>
    </row>
    <row r="1659" ht="15.75" customHeight="1" spans="1:11">
      <c r="A1659" s="87">
        <v>1658</v>
      </c>
      <c r="B1659" s="88" t="s">
        <v>58</v>
      </c>
      <c r="C1659" s="88" t="s">
        <v>58</v>
      </c>
      <c r="D1659" s="87">
        <v>2025</v>
      </c>
      <c r="E1659" s="88" t="s">
        <v>37</v>
      </c>
      <c r="F1659" s="88" t="s">
        <v>149</v>
      </c>
      <c r="G1659" s="89" t="s">
        <v>44</v>
      </c>
      <c r="H1659" s="89">
        <v>234</v>
      </c>
      <c r="I1659" s="90">
        <v>12619064</v>
      </c>
      <c r="J1659" s="89">
        <v>193</v>
      </c>
      <c r="K1659" s="90">
        <v>509772</v>
      </c>
    </row>
    <row r="1660" ht="15.75" customHeight="1" spans="1:11">
      <c r="A1660" s="87">
        <v>1659</v>
      </c>
      <c r="B1660" s="88" t="s">
        <v>58</v>
      </c>
      <c r="C1660" s="88" t="s">
        <v>58</v>
      </c>
      <c r="D1660" s="87">
        <v>2025</v>
      </c>
      <c r="E1660" s="88" t="s">
        <v>37</v>
      </c>
      <c r="F1660" s="88" t="s">
        <v>150</v>
      </c>
      <c r="G1660" s="89" t="s">
        <v>44</v>
      </c>
      <c r="H1660" s="89" t="s">
        <v>44</v>
      </c>
      <c r="I1660" s="89" t="s">
        <v>44</v>
      </c>
      <c r="J1660" s="89" t="s">
        <v>44</v>
      </c>
      <c r="K1660" s="90">
        <v>629755</v>
      </c>
    </row>
    <row r="1661" ht="15.75" customHeight="1" spans="1:11">
      <c r="A1661" s="87">
        <v>1660</v>
      </c>
      <c r="B1661" s="88" t="s">
        <v>58</v>
      </c>
      <c r="C1661" s="88" t="s">
        <v>58</v>
      </c>
      <c r="D1661" s="87">
        <v>2025</v>
      </c>
      <c r="E1661" s="88" t="s">
        <v>37</v>
      </c>
      <c r="F1661" s="88" t="s">
        <v>151</v>
      </c>
      <c r="G1661" s="89" t="s">
        <v>44</v>
      </c>
      <c r="H1661" s="89" t="s">
        <v>44</v>
      </c>
      <c r="I1661" s="89" t="s">
        <v>44</v>
      </c>
      <c r="J1661" s="89" t="s">
        <v>44</v>
      </c>
      <c r="K1661" s="90">
        <v>87776905</v>
      </c>
    </row>
    <row r="1662" ht="15.75" customHeight="1" spans="1:11">
      <c r="A1662" s="87">
        <v>1661</v>
      </c>
      <c r="B1662" s="88" t="s">
        <v>58</v>
      </c>
      <c r="C1662" s="88" t="s">
        <v>58</v>
      </c>
      <c r="D1662" s="87">
        <v>2025</v>
      </c>
      <c r="E1662" s="88" t="s">
        <v>37</v>
      </c>
      <c r="F1662" s="88" t="s">
        <v>152</v>
      </c>
      <c r="G1662" s="89" t="s">
        <v>44</v>
      </c>
      <c r="H1662" s="89" t="s">
        <v>44</v>
      </c>
      <c r="I1662" s="89" t="s">
        <v>44</v>
      </c>
      <c r="J1662" s="89" t="s">
        <v>44</v>
      </c>
      <c r="K1662" s="90">
        <v>5078033</v>
      </c>
    </row>
    <row r="1663" ht="15.75" customHeight="1" spans="1:11">
      <c r="A1663" s="87">
        <v>1662</v>
      </c>
      <c r="B1663" s="88" t="s">
        <v>58</v>
      </c>
      <c r="C1663" s="88" t="s">
        <v>58</v>
      </c>
      <c r="D1663" s="87">
        <v>2025</v>
      </c>
      <c r="E1663" s="88" t="s">
        <v>38</v>
      </c>
      <c r="F1663" s="88" t="s">
        <v>149</v>
      </c>
      <c r="G1663" s="89" t="s">
        <v>44</v>
      </c>
      <c r="H1663" s="89">
        <v>410</v>
      </c>
      <c r="I1663" s="90">
        <v>25341519</v>
      </c>
      <c r="J1663" s="89">
        <v>364</v>
      </c>
      <c r="K1663" s="90">
        <v>1117901</v>
      </c>
    </row>
    <row r="1664" ht="15.75" customHeight="1" spans="1:11">
      <c r="A1664" s="87">
        <v>1663</v>
      </c>
      <c r="B1664" s="88" t="s">
        <v>58</v>
      </c>
      <c r="C1664" s="88" t="s">
        <v>58</v>
      </c>
      <c r="D1664" s="87">
        <v>2025</v>
      </c>
      <c r="E1664" s="88" t="s">
        <v>38</v>
      </c>
      <c r="F1664" s="88" t="s">
        <v>150</v>
      </c>
      <c r="G1664" s="89" t="s">
        <v>44</v>
      </c>
      <c r="H1664" s="89" t="s">
        <v>44</v>
      </c>
      <c r="I1664" s="89" t="s">
        <v>44</v>
      </c>
      <c r="J1664" s="89" t="s">
        <v>44</v>
      </c>
      <c r="K1664" s="90">
        <v>270065</v>
      </c>
    </row>
    <row r="1665" ht="15.75" customHeight="1" spans="1:11">
      <c r="A1665" s="87">
        <v>1664</v>
      </c>
      <c r="B1665" s="88" t="s">
        <v>58</v>
      </c>
      <c r="C1665" s="88" t="s">
        <v>58</v>
      </c>
      <c r="D1665" s="87">
        <v>2025</v>
      </c>
      <c r="E1665" s="88" t="s">
        <v>38</v>
      </c>
      <c r="F1665" s="88" t="s">
        <v>151</v>
      </c>
      <c r="G1665" s="89" t="s">
        <v>44</v>
      </c>
      <c r="H1665" s="89" t="s">
        <v>44</v>
      </c>
      <c r="I1665" s="89" t="s">
        <v>44</v>
      </c>
      <c r="J1665" s="89" t="s">
        <v>44</v>
      </c>
      <c r="K1665" s="90">
        <v>112176664</v>
      </c>
    </row>
    <row r="1666" ht="15.75" customHeight="1" spans="1:11">
      <c r="A1666" s="87">
        <v>1665</v>
      </c>
      <c r="B1666" s="88" t="s">
        <v>58</v>
      </c>
      <c r="C1666" s="88" t="s">
        <v>58</v>
      </c>
      <c r="D1666" s="87">
        <v>2025</v>
      </c>
      <c r="E1666" s="88" t="s">
        <v>38</v>
      </c>
      <c r="F1666" s="88" t="s">
        <v>152</v>
      </c>
      <c r="G1666" s="89" t="s">
        <v>44</v>
      </c>
      <c r="H1666" s="89" t="s">
        <v>44</v>
      </c>
      <c r="I1666" s="89" t="s">
        <v>44</v>
      </c>
      <c r="J1666" s="89" t="s">
        <v>44</v>
      </c>
      <c r="K1666" s="90">
        <v>5805896</v>
      </c>
    </row>
    <row r="1667" ht="15.75" customHeight="1" spans="1:11">
      <c r="A1667" s="87">
        <v>1666</v>
      </c>
      <c r="B1667" s="88" t="s">
        <v>58</v>
      </c>
      <c r="C1667" s="88" t="s">
        <v>58</v>
      </c>
      <c r="D1667" s="87">
        <v>2025</v>
      </c>
      <c r="E1667" s="88" t="s">
        <v>39</v>
      </c>
      <c r="F1667" s="88" t="s">
        <v>149</v>
      </c>
      <c r="G1667" s="89" t="s">
        <v>44</v>
      </c>
      <c r="H1667" s="89">
        <v>203</v>
      </c>
      <c r="I1667" s="90">
        <v>13493065</v>
      </c>
      <c r="J1667" s="89">
        <v>181</v>
      </c>
      <c r="K1667" s="90">
        <v>650275</v>
      </c>
    </row>
    <row r="1668" ht="15.75" customHeight="1" spans="1:11">
      <c r="A1668" s="87">
        <v>1667</v>
      </c>
      <c r="B1668" s="88" t="s">
        <v>58</v>
      </c>
      <c r="C1668" s="88" t="s">
        <v>58</v>
      </c>
      <c r="D1668" s="87">
        <v>2025</v>
      </c>
      <c r="E1668" s="88" t="s">
        <v>39</v>
      </c>
      <c r="F1668" s="88" t="s">
        <v>154</v>
      </c>
      <c r="G1668" s="89" t="s">
        <v>44</v>
      </c>
      <c r="H1668" s="89" t="s">
        <v>44</v>
      </c>
      <c r="I1668" s="89" t="s">
        <v>44</v>
      </c>
      <c r="J1668" s="89" t="s">
        <v>44</v>
      </c>
      <c r="K1668" s="90">
        <v>824902</v>
      </c>
    </row>
    <row r="1669" ht="15.75" customHeight="1" spans="1:11">
      <c r="A1669" s="87">
        <v>1668</v>
      </c>
      <c r="B1669" s="88" t="s">
        <v>58</v>
      </c>
      <c r="C1669" s="88" t="s">
        <v>58</v>
      </c>
      <c r="D1669" s="87">
        <v>2025</v>
      </c>
      <c r="E1669" s="88" t="s">
        <v>39</v>
      </c>
      <c r="F1669" s="88" t="s">
        <v>150</v>
      </c>
      <c r="G1669" s="89" t="s">
        <v>44</v>
      </c>
      <c r="H1669" s="89" t="s">
        <v>44</v>
      </c>
      <c r="I1669" s="89" t="s">
        <v>44</v>
      </c>
      <c r="J1669" s="89" t="s">
        <v>44</v>
      </c>
      <c r="K1669" s="90">
        <v>538861</v>
      </c>
    </row>
    <row r="1670" ht="15.75" customHeight="1" spans="1:11">
      <c r="A1670" s="87">
        <v>1669</v>
      </c>
      <c r="B1670" s="88" t="s">
        <v>58</v>
      </c>
      <c r="C1670" s="88" t="s">
        <v>58</v>
      </c>
      <c r="D1670" s="87">
        <v>2025</v>
      </c>
      <c r="E1670" s="88" t="s">
        <v>39</v>
      </c>
      <c r="F1670" s="88" t="s">
        <v>157</v>
      </c>
      <c r="G1670" s="90">
        <v>6226</v>
      </c>
      <c r="H1670" s="89">
        <v>1</v>
      </c>
      <c r="I1670" s="89" t="s">
        <v>44</v>
      </c>
      <c r="J1670" s="89" t="s">
        <v>44</v>
      </c>
      <c r="K1670" s="90">
        <v>6226</v>
      </c>
    </row>
    <row r="1671" ht="15.75" customHeight="1" spans="1:11">
      <c r="A1671" s="87">
        <v>1670</v>
      </c>
      <c r="B1671" s="88" t="s">
        <v>58</v>
      </c>
      <c r="C1671" s="88" t="s">
        <v>58</v>
      </c>
      <c r="D1671" s="87">
        <v>2025</v>
      </c>
      <c r="E1671" s="88" t="s">
        <v>39</v>
      </c>
      <c r="F1671" s="88" t="s">
        <v>151</v>
      </c>
      <c r="G1671" s="89" t="s">
        <v>44</v>
      </c>
      <c r="H1671" s="89" t="s">
        <v>44</v>
      </c>
      <c r="I1671" s="89" t="s">
        <v>44</v>
      </c>
      <c r="J1671" s="89" t="s">
        <v>44</v>
      </c>
      <c r="K1671" s="90">
        <v>126642977</v>
      </c>
    </row>
    <row r="1672" ht="15.75" customHeight="1" spans="1:11">
      <c r="A1672" s="87">
        <v>1671</v>
      </c>
      <c r="B1672" s="88" t="s">
        <v>58</v>
      </c>
      <c r="C1672" s="88" t="s">
        <v>58</v>
      </c>
      <c r="D1672" s="87">
        <v>2025</v>
      </c>
      <c r="E1672" s="88" t="s">
        <v>39</v>
      </c>
      <c r="F1672" s="88" t="s">
        <v>152</v>
      </c>
      <c r="G1672" s="89" t="s">
        <v>44</v>
      </c>
      <c r="H1672" s="89" t="s">
        <v>44</v>
      </c>
      <c r="I1672" s="89" t="s">
        <v>44</v>
      </c>
      <c r="J1672" s="89" t="s">
        <v>44</v>
      </c>
      <c r="K1672" s="90">
        <v>7566471</v>
      </c>
    </row>
    <row r="1673" ht="15.75" customHeight="1" spans="1:11">
      <c r="A1673" s="87">
        <v>1672</v>
      </c>
      <c r="B1673" s="88" t="s">
        <v>58</v>
      </c>
      <c r="C1673" s="88" t="s">
        <v>58</v>
      </c>
      <c r="D1673" s="87">
        <v>2025</v>
      </c>
      <c r="E1673" s="88" t="s">
        <v>40</v>
      </c>
      <c r="F1673" s="88" t="s">
        <v>149</v>
      </c>
      <c r="G1673" s="89" t="s">
        <v>44</v>
      </c>
      <c r="H1673" s="89">
        <v>242</v>
      </c>
      <c r="I1673" s="90">
        <v>12743820</v>
      </c>
      <c r="J1673" s="89">
        <v>197</v>
      </c>
      <c r="K1673" s="90">
        <v>583876</v>
      </c>
    </row>
    <row r="1674" ht="15.75" customHeight="1" spans="1:11">
      <c r="A1674" s="87">
        <v>1673</v>
      </c>
      <c r="B1674" s="88" t="s">
        <v>58</v>
      </c>
      <c r="C1674" s="88" t="s">
        <v>58</v>
      </c>
      <c r="D1674" s="87">
        <v>2025</v>
      </c>
      <c r="E1674" s="88" t="s">
        <v>40</v>
      </c>
      <c r="F1674" s="88" t="s">
        <v>150</v>
      </c>
      <c r="G1674" s="89" t="s">
        <v>44</v>
      </c>
      <c r="H1674" s="89" t="s">
        <v>44</v>
      </c>
      <c r="I1674" s="89" t="s">
        <v>44</v>
      </c>
      <c r="J1674" s="89" t="s">
        <v>44</v>
      </c>
      <c r="K1674" s="90">
        <v>393239</v>
      </c>
    </row>
    <row r="1675" ht="15.75" customHeight="1" spans="1:11">
      <c r="A1675" s="87">
        <v>1674</v>
      </c>
      <c r="B1675" s="88" t="s">
        <v>58</v>
      </c>
      <c r="C1675" s="88" t="s">
        <v>58</v>
      </c>
      <c r="D1675" s="87">
        <v>2025</v>
      </c>
      <c r="E1675" s="88" t="s">
        <v>40</v>
      </c>
      <c r="F1675" s="88" t="s">
        <v>157</v>
      </c>
      <c r="G1675" s="90">
        <v>24004</v>
      </c>
      <c r="H1675" s="89">
        <v>2</v>
      </c>
      <c r="I1675" s="89" t="s">
        <v>44</v>
      </c>
      <c r="J1675" s="89" t="s">
        <v>44</v>
      </c>
      <c r="K1675" s="90">
        <v>24004</v>
      </c>
    </row>
    <row r="1676" ht="15.75" customHeight="1" spans="1:11">
      <c r="A1676" s="87">
        <v>1675</v>
      </c>
      <c r="B1676" s="88" t="s">
        <v>58</v>
      </c>
      <c r="C1676" s="88" t="s">
        <v>58</v>
      </c>
      <c r="D1676" s="87">
        <v>2025</v>
      </c>
      <c r="E1676" s="88" t="s">
        <v>40</v>
      </c>
      <c r="F1676" s="88" t="s">
        <v>153</v>
      </c>
      <c r="G1676" s="90">
        <v>13792</v>
      </c>
      <c r="H1676" s="89">
        <v>1</v>
      </c>
      <c r="I1676" s="89" t="s">
        <v>44</v>
      </c>
      <c r="J1676" s="89" t="s">
        <v>44</v>
      </c>
      <c r="K1676" s="90">
        <v>13792</v>
      </c>
    </row>
    <row r="1677" ht="15.75" customHeight="1" spans="1:11">
      <c r="A1677" s="87">
        <v>1676</v>
      </c>
      <c r="B1677" s="88" t="s">
        <v>58</v>
      </c>
      <c r="C1677" s="88" t="s">
        <v>58</v>
      </c>
      <c r="D1677" s="87">
        <v>2025</v>
      </c>
      <c r="E1677" s="88" t="s">
        <v>40</v>
      </c>
      <c r="F1677" s="88" t="s">
        <v>151</v>
      </c>
      <c r="G1677" s="89" t="s">
        <v>44</v>
      </c>
      <c r="H1677" s="89" t="s">
        <v>44</v>
      </c>
      <c r="I1677" s="89" t="s">
        <v>44</v>
      </c>
      <c r="J1677" s="89" t="s">
        <v>44</v>
      </c>
      <c r="K1677" s="90">
        <v>126768944</v>
      </c>
    </row>
    <row r="1678" ht="15.75" customHeight="1" spans="1:11">
      <c r="A1678" s="87">
        <v>1677</v>
      </c>
      <c r="B1678" s="88" t="s">
        <v>58</v>
      </c>
      <c r="C1678" s="88" t="s">
        <v>58</v>
      </c>
      <c r="D1678" s="87">
        <v>2025</v>
      </c>
      <c r="E1678" s="88" t="s">
        <v>40</v>
      </c>
      <c r="F1678" s="88" t="s">
        <v>152</v>
      </c>
      <c r="G1678" s="89" t="s">
        <v>44</v>
      </c>
      <c r="H1678" s="89" t="s">
        <v>44</v>
      </c>
      <c r="I1678" s="89" t="s">
        <v>44</v>
      </c>
      <c r="J1678" s="89" t="s">
        <v>44</v>
      </c>
      <c r="K1678" s="90">
        <v>8700288</v>
      </c>
    </row>
    <row r="1679" ht="15.75" customHeight="1" spans="1:11">
      <c r="A1679" s="87">
        <v>1678</v>
      </c>
      <c r="B1679" s="88" t="s">
        <v>58</v>
      </c>
      <c r="C1679" s="88" t="s">
        <v>58</v>
      </c>
      <c r="D1679" s="87">
        <v>2025</v>
      </c>
      <c r="E1679" s="88" t="s">
        <v>41</v>
      </c>
      <c r="F1679" s="88" t="s">
        <v>149</v>
      </c>
      <c r="G1679" s="89" t="s">
        <v>44</v>
      </c>
      <c r="H1679" s="89">
        <v>95</v>
      </c>
      <c r="I1679" s="90">
        <v>6355791</v>
      </c>
      <c r="J1679" s="89">
        <v>98</v>
      </c>
      <c r="K1679" s="90">
        <v>321859</v>
      </c>
    </row>
    <row r="1680" ht="15.75" customHeight="1" spans="1:11">
      <c r="A1680" s="87">
        <v>1679</v>
      </c>
      <c r="B1680" s="88" t="s">
        <v>58</v>
      </c>
      <c r="C1680" s="88" t="s">
        <v>58</v>
      </c>
      <c r="D1680" s="87">
        <v>2025</v>
      </c>
      <c r="E1680" s="88" t="s">
        <v>41</v>
      </c>
      <c r="F1680" s="88" t="s">
        <v>150</v>
      </c>
      <c r="G1680" s="89" t="s">
        <v>44</v>
      </c>
      <c r="H1680" s="89" t="s">
        <v>44</v>
      </c>
      <c r="I1680" s="89" t="s">
        <v>44</v>
      </c>
      <c r="J1680" s="89" t="s">
        <v>44</v>
      </c>
      <c r="K1680" s="90">
        <v>541262</v>
      </c>
    </row>
    <row r="1681" ht="15.75" customHeight="1" spans="1:11">
      <c r="A1681" s="87">
        <v>1680</v>
      </c>
      <c r="B1681" s="88" t="s">
        <v>58</v>
      </c>
      <c r="C1681" s="88" t="s">
        <v>58</v>
      </c>
      <c r="D1681" s="87">
        <v>2025</v>
      </c>
      <c r="E1681" s="88" t="s">
        <v>41</v>
      </c>
      <c r="F1681" s="88" t="s">
        <v>157</v>
      </c>
      <c r="G1681" s="90">
        <v>14073</v>
      </c>
      <c r="H1681" s="89">
        <v>2</v>
      </c>
      <c r="I1681" s="89" t="s">
        <v>44</v>
      </c>
      <c r="J1681" s="89" t="s">
        <v>44</v>
      </c>
      <c r="K1681" s="90">
        <v>14073</v>
      </c>
    </row>
    <row r="1682" ht="15.75" customHeight="1" spans="1:11">
      <c r="A1682" s="87">
        <v>1681</v>
      </c>
      <c r="B1682" s="88" t="s">
        <v>58</v>
      </c>
      <c r="C1682" s="88" t="s">
        <v>58</v>
      </c>
      <c r="D1682" s="87">
        <v>2025</v>
      </c>
      <c r="E1682" s="88" t="s">
        <v>41</v>
      </c>
      <c r="F1682" s="88" t="s">
        <v>153</v>
      </c>
      <c r="G1682" s="90">
        <v>15366</v>
      </c>
      <c r="H1682" s="89">
        <v>1</v>
      </c>
      <c r="I1682" s="89" t="s">
        <v>44</v>
      </c>
      <c r="J1682" s="89" t="s">
        <v>44</v>
      </c>
      <c r="K1682" s="90">
        <v>15366</v>
      </c>
    </row>
    <row r="1683" ht="15.75" customHeight="1" spans="1:11">
      <c r="A1683" s="87">
        <v>1682</v>
      </c>
      <c r="B1683" s="88" t="s">
        <v>58</v>
      </c>
      <c r="C1683" s="88" t="s">
        <v>58</v>
      </c>
      <c r="D1683" s="87">
        <v>2025</v>
      </c>
      <c r="E1683" s="88" t="s">
        <v>41</v>
      </c>
      <c r="F1683" s="88" t="s">
        <v>151</v>
      </c>
      <c r="G1683" s="89" t="s">
        <v>44</v>
      </c>
      <c r="H1683" s="89" t="s">
        <v>44</v>
      </c>
      <c r="I1683" s="89" t="s">
        <v>44</v>
      </c>
      <c r="J1683" s="89" t="s">
        <v>44</v>
      </c>
      <c r="K1683" s="90">
        <v>99171216</v>
      </c>
    </row>
    <row r="1684" ht="15.75" customHeight="1" spans="1:11">
      <c r="A1684" s="87">
        <v>1683</v>
      </c>
      <c r="B1684" s="88" t="s">
        <v>58</v>
      </c>
      <c r="C1684" s="88" t="s">
        <v>58</v>
      </c>
      <c r="D1684" s="87">
        <v>2025</v>
      </c>
      <c r="E1684" s="88" t="s">
        <v>41</v>
      </c>
      <c r="F1684" s="88" t="s">
        <v>152</v>
      </c>
      <c r="G1684" s="89" t="s">
        <v>44</v>
      </c>
      <c r="H1684" s="89" t="s">
        <v>44</v>
      </c>
      <c r="I1684" s="89" t="s">
        <v>44</v>
      </c>
      <c r="J1684" s="89" t="s">
        <v>44</v>
      </c>
      <c r="K1684" s="90">
        <v>5686503</v>
      </c>
    </row>
    <row r="1685" ht="15.75" customHeight="1" spans="1:11">
      <c r="A1685" s="87">
        <v>1684</v>
      </c>
      <c r="B1685" s="88" t="s">
        <v>58</v>
      </c>
      <c r="C1685" s="88" t="s">
        <v>58</v>
      </c>
      <c r="D1685" s="87">
        <v>2025</v>
      </c>
      <c r="E1685" s="88" t="s">
        <v>42</v>
      </c>
      <c r="F1685" s="88" t="s">
        <v>149</v>
      </c>
      <c r="G1685" s="89" t="s">
        <v>44</v>
      </c>
      <c r="H1685" s="89">
        <v>63</v>
      </c>
      <c r="I1685" s="90">
        <v>7263962</v>
      </c>
      <c r="J1685" s="89">
        <v>62</v>
      </c>
      <c r="K1685" s="90">
        <v>147349</v>
      </c>
    </row>
    <row r="1686" ht="15.75" customHeight="1" spans="1:11">
      <c r="A1686" s="87">
        <v>1685</v>
      </c>
      <c r="B1686" s="88" t="s">
        <v>58</v>
      </c>
      <c r="C1686" s="88" t="s">
        <v>58</v>
      </c>
      <c r="D1686" s="87">
        <v>2025</v>
      </c>
      <c r="E1686" s="88" t="s">
        <v>42</v>
      </c>
      <c r="F1686" s="88" t="s">
        <v>150</v>
      </c>
      <c r="G1686" s="89" t="s">
        <v>44</v>
      </c>
      <c r="H1686" s="89" t="s">
        <v>44</v>
      </c>
      <c r="I1686" s="89" t="s">
        <v>44</v>
      </c>
      <c r="J1686" s="89" t="s">
        <v>44</v>
      </c>
      <c r="K1686" s="90">
        <v>885159</v>
      </c>
    </row>
    <row r="1687" ht="15.75" customHeight="1" spans="1:11">
      <c r="A1687" s="87">
        <v>1686</v>
      </c>
      <c r="B1687" s="88" t="s">
        <v>58</v>
      </c>
      <c r="C1687" s="88" t="s">
        <v>58</v>
      </c>
      <c r="D1687" s="87">
        <v>2025</v>
      </c>
      <c r="E1687" s="88" t="s">
        <v>42</v>
      </c>
      <c r="F1687" s="88" t="s">
        <v>153</v>
      </c>
      <c r="G1687" s="90">
        <v>30655</v>
      </c>
      <c r="H1687" s="89">
        <v>2</v>
      </c>
      <c r="I1687" s="89" t="s">
        <v>44</v>
      </c>
      <c r="J1687" s="89" t="s">
        <v>44</v>
      </c>
      <c r="K1687" s="90">
        <v>30655</v>
      </c>
    </row>
    <row r="1688" ht="15.75" customHeight="1" spans="1:11">
      <c r="A1688" s="87">
        <v>1687</v>
      </c>
      <c r="B1688" s="88" t="s">
        <v>58</v>
      </c>
      <c r="C1688" s="88" t="s">
        <v>58</v>
      </c>
      <c r="D1688" s="87">
        <v>2025</v>
      </c>
      <c r="E1688" s="88" t="s">
        <v>42</v>
      </c>
      <c r="F1688" s="88" t="s">
        <v>151</v>
      </c>
      <c r="G1688" s="89" t="s">
        <v>44</v>
      </c>
      <c r="H1688" s="89" t="s">
        <v>44</v>
      </c>
      <c r="I1688" s="89" t="s">
        <v>44</v>
      </c>
      <c r="J1688" s="89" t="s">
        <v>44</v>
      </c>
      <c r="K1688" s="90">
        <v>124060200</v>
      </c>
    </row>
    <row r="1689" ht="15.75" customHeight="1" spans="1:11">
      <c r="A1689" s="87">
        <v>1688</v>
      </c>
      <c r="B1689" s="88" t="s">
        <v>58</v>
      </c>
      <c r="C1689" s="88" t="s">
        <v>58</v>
      </c>
      <c r="D1689" s="87">
        <v>2025</v>
      </c>
      <c r="E1689" s="88" t="s">
        <v>42</v>
      </c>
      <c r="F1689" s="88" t="s">
        <v>152</v>
      </c>
      <c r="G1689" s="89" t="s">
        <v>44</v>
      </c>
      <c r="H1689" s="89" t="s">
        <v>44</v>
      </c>
      <c r="I1689" s="89" t="s">
        <v>44</v>
      </c>
      <c r="J1689" s="89" t="s">
        <v>44</v>
      </c>
      <c r="K1689" s="90">
        <v>7410410</v>
      </c>
    </row>
    <row r="1690" ht="15.75" customHeight="1" spans="1:11">
      <c r="A1690" s="87">
        <v>1689</v>
      </c>
      <c r="B1690" s="88" t="s">
        <v>58</v>
      </c>
      <c r="C1690" s="88" t="s">
        <v>58</v>
      </c>
      <c r="D1690" s="87">
        <v>2025</v>
      </c>
      <c r="E1690" s="88" t="s">
        <v>43</v>
      </c>
      <c r="F1690" s="88" t="s">
        <v>149</v>
      </c>
      <c r="G1690" s="89" t="s">
        <v>44</v>
      </c>
      <c r="H1690" s="89">
        <v>97</v>
      </c>
      <c r="I1690" s="90">
        <v>9018724</v>
      </c>
      <c r="J1690" s="89">
        <v>105</v>
      </c>
      <c r="K1690" s="90">
        <v>349506</v>
      </c>
    </row>
    <row r="1691" ht="15.75" customHeight="1" spans="1:11">
      <c r="A1691" s="87">
        <v>1690</v>
      </c>
      <c r="B1691" s="88" t="s">
        <v>58</v>
      </c>
      <c r="C1691" s="88" t="s">
        <v>58</v>
      </c>
      <c r="D1691" s="87">
        <v>2025</v>
      </c>
      <c r="E1691" s="88" t="s">
        <v>43</v>
      </c>
      <c r="F1691" s="88" t="s">
        <v>150</v>
      </c>
      <c r="G1691" s="89" t="s">
        <v>44</v>
      </c>
      <c r="H1691" s="89" t="s">
        <v>44</v>
      </c>
      <c r="I1691" s="89" t="s">
        <v>44</v>
      </c>
      <c r="J1691" s="89" t="s">
        <v>44</v>
      </c>
      <c r="K1691" s="90">
        <v>1172424</v>
      </c>
    </row>
    <row r="1692" ht="15.75" customHeight="1" spans="1:11">
      <c r="A1692" s="87">
        <v>1691</v>
      </c>
      <c r="B1692" s="88" t="s">
        <v>58</v>
      </c>
      <c r="C1692" s="88" t="s">
        <v>58</v>
      </c>
      <c r="D1692" s="87">
        <v>2025</v>
      </c>
      <c r="E1692" s="88" t="s">
        <v>43</v>
      </c>
      <c r="F1692" s="88" t="s">
        <v>151</v>
      </c>
      <c r="G1692" s="89" t="s">
        <v>44</v>
      </c>
      <c r="H1692" s="89" t="s">
        <v>44</v>
      </c>
      <c r="I1692" s="89" t="s">
        <v>44</v>
      </c>
      <c r="J1692" s="89" t="s">
        <v>44</v>
      </c>
      <c r="K1692" s="90">
        <v>122782968</v>
      </c>
    </row>
    <row r="1693" ht="15.75" customHeight="1" spans="1:11">
      <c r="A1693" s="87">
        <v>1692</v>
      </c>
      <c r="B1693" s="88" t="s">
        <v>58</v>
      </c>
      <c r="C1693" s="88" t="s">
        <v>58</v>
      </c>
      <c r="D1693" s="87">
        <v>2025</v>
      </c>
      <c r="E1693" s="88" t="s">
        <v>43</v>
      </c>
      <c r="F1693" s="88" t="s">
        <v>152</v>
      </c>
      <c r="G1693" s="89" t="s">
        <v>44</v>
      </c>
      <c r="H1693" s="89" t="s">
        <v>44</v>
      </c>
      <c r="I1693" s="89" t="s">
        <v>44</v>
      </c>
      <c r="J1693" s="89" t="s">
        <v>44</v>
      </c>
      <c r="K1693" s="90">
        <v>7596093</v>
      </c>
    </row>
    <row r="1694" ht="15.75" customHeight="1" spans="1:11">
      <c r="A1694" s="87">
        <v>1693</v>
      </c>
      <c r="B1694" s="88" t="s">
        <v>58</v>
      </c>
      <c r="C1694" s="88" t="s">
        <v>58</v>
      </c>
      <c r="D1694" s="87">
        <v>2026</v>
      </c>
      <c r="E1694" s="88" t="s">
        <v>31</v>
      </c>
      <c r="F1694" s="88" t="s">
        <v>149</v>
      </c>
      <c r="G1694" s="89" t="s">
        <v>44</v>
      </c>
      <c r="H1694" s="89">
        <v>72</v>
      </c>
      <c r="I1694" s="90">
        <v>3770636</v>
      </c>
      <c r="J1694" s="89">
        <v>71</v>
      </c>
      <c r="K1694" s="90">
        <v>186669</v>
      </c>
    </row>
    <row r="1695" ht="15.75" customHeight="1" spans="1:11">
      <c r="A1695" s="87">
        <v>1694</v>
      </c>
      <c r="B1695" s="88" t="s">
        <v>58</v>
      </c>
      <c r="C1695" s="88" t="s">
        <v>58</v>
      </c>
      <c r="D1695" s="87">
        <v>2026</v>
      </c>
      <c r="E1695" s="88" t="s">
        <v>31</v>
      </c>
      <c r="F1695" s="88" t="s">
        <v>154</v>
      </c>
      <c r="G1695" s="89" t="s">
        <v>44</v>
      </c>
      <c r="H1695" s="89" t="s">
        <v>44</v>
      </c>
      <c r="I1695" s="89" t="s">
        <v>44</v>
      </c>
      <c r="J1695" s="89" t="s">
        <v>44</v>
      </c>
      <c r="K1695" s="90">
        <v>419637</v>
      </c>
    </row>
    <row r="1696" ht="15.75" customHeight="1" spans="1:11">
      <c r="A1696" s="87">
        <v>1695</v>
      </c>
      <c r="B1696" s="88" t="s">
        <v>58</v>
      </c>
      <c r="C1696" s="88" t="s">
        <v>58</v>
      </c>
      <c r="D1696" s="87">
        <v>2026</v>
      </c>
      <c r="E1696" s="88" t="s">
        <v>31</v>
      </c>
      <c r="F1696" s="88" t="s">
        <v>150</v>
      </c>
      <c r="G1696" s="89" t="s">
        <v>44</v>
      </c>
      <c r="H1696" s="89" t="s">
        <v>44</v>
      </c>
      <c r="I1696" s="89" t="s">
        <v>44</v>
      </c>
      <c r="J1696" s="89" t="s">
        <v>44</v>
      </c>
      <c r="K1696" s="90">
        <v>755175</v>
      </c>
    </row>
    <row r="1697" ht="15.75" customHeight="1" spans="1:11">
      <c r="A1697" s="87">
        <v>1696</v>
      </c>
      <c r="B1697" s="88" t="s">
        <v>58</v>
      </c>
      <c r="C1697" s="88" t="s">
        <v>58</v>
      </c>
      <c r="D1697" s="87">
        <v>2026</v>
      </c>
      <c r="E1697" s="88" t="s">
        <v>31</v>
      </c>
      <c r="F1697" s="88" t="s">
        <v>151</v>
      </c>
      <c r="G1697" s="89" t="s">
        <v>44</v>
      </c>
      <c r="H1697" s="89" t="s">
        <v>44</v>
      </c>
      <c r="I1697" s="89" t="s">
        <v>44</v>
      </c>
      <c r="J1697" s="89" t="s">
        <v>44</v>
      </c>
      <c r="K1697" s="90">
        <v>78228707</v>
      </c>
    </row>
    <row r="1698" ht="15.75" customHeight="1" spans="1:11">
      <c r="A1698" s="87">
        <v>1697</v>
      </c>
      <c r="B1698" s="88" t="s">
        <v>58</v>
      </c>
      <c r="C1698" s="88" t="s">
        <v>58</v>
      </c>
      <c r="D1698" s="87">
        <v>2026</v>
      </c>
      <c r="E1698" s="88" t="s">
        <v>31</v>
      </c>
      <c r="F1698" s="88" t="s">
        <v>152</v>
      </c>
      <c r="G1698" s="89" t="s">
        <v>44</v>
      </c>
      <c r="H1698" s="89" t="s">
        <v>44</v>
      </c>
      <c r="I1698" s="89" t="s">
        <v>44</v>
      </c>
      <c r="J1698" s="89" t="s">
        <v>44</v>
      </c>
      <c r="K1698" s="90">
        <v>6034202</v>
      </c>
    </row>
    <row r="1699" ht="15.75" customHeight="1" spans="1:11">
      <c r="A1699" s="87">
        <v>1698</v>
      </c>
      <c r="B1699" s="88" t="s">
        <v>58</v>
      </c>
      <c r="C1699" s="88" t="s">
        <v>58</v>
      </c>
      <c r="D1699" s="87">
        <v>2026</v>
      </c>
      <c r="E1699" s="88" t="s">
        <v>33</v>
      </c>
      <c r="F1699" s="88" t="s">
        <v>151</v>
      </c>
      <c r="G1699" s="89" t="s">
        <v>44</v>
      </c>
      <c r="H1699" s="89" t="s">
        <v>44</v>
      </c>
      <c r="I1699" s="89" t="s">
        <v>44</v>
      </c>
      <c r="J1699" s="89" t="s">
        <v>44</v>
      </c>
      <c r="K1699" s="90">
        <v>119653335</v>
      </c>
    </row>
    <row r="1700" ht="15.75" customHeight="1" spans="1:11">
      <c r="A1700" s="87">
        <v>1699</v>
      </c>
      <c r="B1700" s="88" t="s">
        <v>58</v>
      </c>
      <c r="C1700" s="88" t="s">
        <v>58</v>
      </c>
      <c r="D1700" s="87">
        <v>2026</v>
      </c>
      <c r="E1700" s="88" t="s">
        <v>33</v>
      </c>
      <c r="F1700" s="88" t="s">
        <v>152</v>
      </c>
      <c r="G1700" s="89" t="s">
        <v>44</v>
      </c>
      <c r="H1700" s="89" t="s">
        <v>44</v>
      </c>
      <c r="I1700" s="89" t="s">
        <v>44</v>
      </c>
      <c r="J1700" s="89" t="s">
        <v>44</v>
      </c>
      <c r="K1700" s="90">
        <v>8970844</v>
      </c>
    </row>
    <row r="1701" ht="15.75" customHeight="1" spans="1:11">
      <c r="A1701" s="87">
        <v>1700</v>
      </c>
      <c r="B1701" s="88" t="s">
        <v>58</v>
      </c>
      <c r="C1701" s="88" t="s">
        <v>58</v>
      </c>
      <c r="D1701" s="87">
        <v>2026</v>
      </c>
      <c r="E1701" s="88" t="s">
        <v>33</v>
      </c>
      <c r="F1701" s="88" t="s">
        <v>149</v>
      </c>
      <c r="G1701" s="89" t="s">
        <v>44</v>
      </c>
      <c r="H1701" s="89">
        <v>46</v>
      </c>
      <c r="I1701" s="90">
        <v>1967096</v>
      </c>
      <c r="J1701" s="89">
        <v>42</v>
      </c>
      <c r="K1701" s="90">
        <v>98764</v>
      </c>
    </row>
    <row r="1702" ht="15.75" customHeight="1" spans="1:11">
      <c r="A1702" s="87">
        <v>1701</v>
      </c>
      <c r="B1702" s="88" t="s">
        <v>58</v>
      </c>
      <c r="C1702" s="88" t="s">
        <v>58</v>
      </c>
      <c r="D1702" s="87">
        <v>2026</v>
      </c>
      <c r="E1702" s="88" t="s">
        <v>33</v>
      </c>
      <c r="F1702" s="88" t="s">
        <v>150</v>
      </c>
      <c r="G1702" s="89" t="s">
        <v>44</v>
      </c>
      <c r="H1702" s="89" t="s">
        <v>44</v>
      </c>
      <c r="I1702" s="89" t="s">
        <v>44</v>
      </c>
      <c r="J1702" s="89" t="s">
        <v>44</v>
      </c>
      <c r="K1702" s="90">
        <v>590644</v>
      </c>
    </row>
    <row r="1703" ht="15.75" customHeight="1" spans="1:11">
      <c r="A1703" s="87">
        <v>1702</v>
      </c>
      <c r="B1703" s="88" t="s">
        <v>58</v>
      </c>
      <c r="C1703" s="88" t="s">
        <v>58</v>
      </c>
      <c r="D1703" s="87">
        <v>2026</v>
      </c>
      <c r="E1703" s="88" t="s">
        <v>34</v>
      </c>
      <c r="F1703" s="88" t="s">
        <v>149</v>
      </c>
      <c r="G1703" s="89" t="s">
        <v>44</v>
      </c>
      <c r="H1703" s="89">
        <v>99</v>
      </c>
      <c r="I1703" s="90">
        <v>6489773</v>
      </c>
      <c r="J1703" s="89">
        <v>88</v>
      </c>
      <c r="K1703" s="90">
        <v>249159</v>
      </c>
    </row>
    <row r="1704" ht="15.75" customHeight="1" spans="1:11">
      <c r="A1704" s="87">
        <v>1703</v>
      </c>
      <c r="B1704" s="88" t="s">
        <v>58</v>
      </c>
      <c r="C1704" s="88" t="s">
        <v>58</v>
      </c>
      <c r="D1704" s="87">
        <v>2026</v>
      </c>
      <c r="E1704" s="88" t="s">
        <v>34</v>
      </c>
      <c r="F1704" s="88" t="s">
        <v>152</v>
      </c>
      <c r="G1704" s="89" t="s">
        <v>44</v>
      </c>
      <c r="H1704" s="89" t="s">
        <v>44</v>
      </c>
      <c r="I1704" s="89" t="s">
        <v>44</v>
      </c>
      <c r="J1704" s="89" t="s">
        <v>44</v>
      </c>
      <c r="K1704" s="90">
        <v>16900929</v>
      </c>
    </row>
    <row r="1705" ht="15.75" customHeight="1" spans="1:11">
      <c r="A1705" s="87">
        <v>1704</v>
      </c>
      <c r="B1705" s="88" t="s">
        <v>58</v>
      </c>
      <c r="C1705" s="88" t="s">
        <v>58</v>
      </c>
      <c r="D1705" s="87">
        <v>2026</v>
      </c>
      <c r="E1705" s="88" t="s">
        <v>34</v>
      </c>
      <c r="F1705" s="88" t="s">
        <v>150</v>
      </c>
      <c r="G1705" s="89" t="s">
        <v>44</v>
      </c>
      <c r="H1705" s="89" t="s">
        <v>44</v>
      </c>
      <c r="I1705" s="89" t="s">
        <v>44</v>
      </c>
      <c r="J1705" s="89" t="s">
        <v>44</v>
      </c>
      <c r="K1705" s="90">
        <v>1247669</v>
      </c>
    </row>
    <row r="1706" ht="15.75" customHeight="1" spans="1:11">
      <c r="A1706" s="87">
        <v>1705</v>
      </c>
      <c r="B1706" s="88" t="s">
        <v>58</v>
      </c>
      <c r="C1706" s="88" t="s">
        <v>58</v>
      </c>
      <c r="D1706" s="87">
        <v>2026</v>
      </c>
      <c r="E1706" s="88" t="s">
        <v>34</v>
      </c>
      <c r="F1706" s="88" t="s">
        <v>151</v>
      </c>
      <c r="G1706" s="89" t="s">
        <v>44</v>
      </c>
      <c r="H1706" s="89" t="s">
        <v>44</v>
      </c>
      <c r="I1706" s="89" t="s">
        <v>44</v>
      </c>
      <c r="J1706" s="89" t="s">
        <v>44</v>
      </c>
      <c r="K1706" s="90">
        <v>352941500</v>
      </c>
    </row>
    <row r="1707" ht="15.75" customHeight="1" spans="1:11">
      <c r="A1707" s="87">
        <v>1706</v>
      </c>
      <c r="B1707" s="88" t="s">
        <v>28</v>
      </c>
      <c r="C1707" s="88" t="s">
        <v>28</v>
      </c>
      <c r="D1707" s="87">
        <v>2026</v>
      </c>
      <c r="E1707" s="88" t="s">
        <v>35</v>
      </c>
      <c r="F1707" s="88" t="s">
        <v>149</v>
      </c>
      <c r="G1707" s="89" t="s">
        <v>44</v>
      </c>
      <c r="H1707" s="89">
        <v>13</v>
      </c>
      <c r="I1707" s="90">
        <v>800539</v>
      </c>
      <c r="J1707" s="89">
        <v>10</v>
      </c>
      <c r="K1707" s="90">
        <v>21360</v>
      </c>
    </row>
    <row r="1708" ht="15.75" customHeight="1" spans="1:11">
      <c r="A1708" s="87">
        <v>1707</v>
      </c>
      <c r="B1708" s="88" t="s">
        <v>28</v>
      </c>
      <c r="C1708" s="88" t="s">
        <v>28</v>
      </c>
      <c r="D1708" s="87">
        <v>2026</v>
      </c>
      <c r="E1708" s="88" t="s">
        <v>35</v>
      </c>
      <c r="F1708" s="88" t="s">
        <v>152</v>
      </c>
      <c r="G1708" s="89" t="s">
        <v>44</v>
      </c>
      <c r="H1708" s="89" t="s">
        <v>44</v>
      </c>
      <c r="I1708" s="89" t="s">
        <v>44</v>
      </c>
      <c r="J1708" s="89" t="s">
        <v>44</v>
      </c>
      <c r="K1708" s="90">
        <v>3433968</v>
      </c>
    </row>
    <row r="1709" ht="15.75" customHeight="1" spans="1:11">
      <c r="A1709" s="87">
        <v>1708</v>
      </c>
      <c r="B1709" s="88" t="s">
        <v>28</v>
      </c>
      <c r="C1709" s="88" t="s">
        <v>28</v>
      </c>
      <c r="D1709" s="87">
        <v>2026</v>
      </c>
      <c r="E1709" s="88" t="s">
        <v>35</v>
      </c>
      <c r="F1709" s="88" t="s">
        <v>150</v>
      </c>
      <c r="G1709" s="89" t="s">
        <v>44</v>
      </c>
      <c r="H1709" s="89" t="s">
        <v>44</v>
      </c>
      <c r="I1709" s="89" t="s">
        <v>44</v>
      </c>
      <c r="J1709" s="89" t="s">
        <v>44</v>
      </c>
      <c r="K1709" s="90">
        <v>153431</v>
      </c>
    </row>
    <row r="1710" ht="15.75" customHeight="1" spans="1:11">
      <c r="A1710" s="87">
        <v>1709</v>
      </c>
      <c r="B1710" s="88" t="s">
        <v>28</v>
      </c>
      <c r="C1710" s="88" t="s">
        <v>28</v>
      </c>
      <c r="D1710" s="87">
        <v>2026</v>
      </c>
      <c r="E1710" s="88" t="s">
        <v>35</v>
      </c>
      <c r="F1710" s="88" t="s">
        <v>151</v>
      </c>
      <c r="G1710" s="89" t="s">
        <v>44</v>
      </c>
      <c r="H1710" s="89" t="s">
        <v>44</v>
      </c>
      <c r="I1710" s="89" t="s">
        <v>44</v>
      </c>
      <c r="J1710" s="89" t="s">
        <v>44</v>
      </c>
      <c r="K1710" s="90">
        <v>40325214</v>
      </c>
    </row>
    <row r="1711" ht="15.75" customHeight="1" spans="1:11">
      <c r="A1711" s="87">
        <v>1710</v>
      </c>
      <c r="B1711" s="88" t="s">
        <v>28</v>
      </c>
      <c r="C1711" s="88" t="s">
        <v>132</v>
      </c>
      <c r="D1711" s="87">
        <v>2026</v>
      </c>
      <c r="E1711" s="88" t="s">
        <v>35</v>
      </c>
      <c r="F1711" s="88" t="s">
        <v>152</v>
      </c>
      <c r="G1711" s="89" t="s">
        <v>44</v>
      </c>
      <c r="H1711" s="89" t="s">
        <v>44</v>
      </c>
      <c r="I1711" s="89" t="s">
        <v>44</v>
      </c>
      <c r="J1711" s="89" t="s">
        <v>44</v>
      </c>
      <c r="K1711" s="90">
        <v>875617</v>
      </c>
    </row>
    <row r="1712" ht="15.75" customHeight="1" spans="1:11">
      <c r="A1712" s="87">
        <v>1711</v>
      </c>
      <c r="B1712" s="88" t="s">
        <v>28</v>
      </c>
      <c r="C1712" s="88" t="s">
        <v>132</v>
      </c>
      <c r="D1712" s="87">
        <v>2026</v>
      </c>
      <c r="E1712" s="88" t="s">
        <v>35</v>
      </c>
      <c r="F1712" s="88" t="s">
        <v>150</v>
      </c>
      <c r="G1712" s="89" t="s">
        <v>44</v>
      </c>
      <c r="H1712" s="89" t="s">
        <v>44</v>
      </c>
      <c r="I1712" s="89" t="s">
        <v>44</v>
      </c>
      <c r="J1712" s="89" t="s">
        <v>44</v>
      </c>
      <c r="K1712" s="90">
        <v>38321</v>
      </c>
    </row>
    <row r="1713" ht="15.75" customHeight="1" spans="1:11">
      <c r="A1713" s="87">
        <v>1712</v>
      </c>
      <c r="B1713" s="88" t="s">
        <v>28</v>
      </c>
      <c r="C1713" s="88" t="s">
        <v>132</v>
      </c>
      <c r="D1713" s="87">
        <v>2026</v>
      </c>
      <c r="E1713" s="88" t="s">
        <v>35</v>
      </c>
      <c r="F1713" s="88" t="s">
        <v>151</v>
      </c>
      <c r="G1713" s="89" t="s">
        <v>44</v>
      </c>
      <c r="H1713" s="89" t="s">
        <v>44</v>
      </c>
      <c r="I1713" s="89" t="s">
        <v>44</v>
      </c>
      <c r="J1713" s="89" t="s">
        <v>44</v>
      </c>
      <c r="K1713" s="90">
        <v>6040537</v>
      </c>
    </row>
    <row r="1714" ht="15.75" customHeight="1" spans="1:11">
      <c r="A1714" s="87">
        <v>1713</v>
      </c>
      <c r="B1714" s="88" t="s">
        <v>46</v>
      </c>
      <c r="C1714" s="88" t="s">
        <v>47</v>
      </c>
      <c r="D1714" s="87">
        <v>2026</v>
      </c>
      <c r="E1714" s="88" t="s">
        <v>35</v>
      </c>
      <c r="F1714" s="88" t="s">
        <v>152</v>
      </c>
      <c r="G1714" s="89" t="s">
        <v>44</v>
      </c>
      <c r="H1714" s="89" t="s">
        <v>44</v>
      </c>
      <c r="I1714" s="89" t="s">
        <v>44</v>
      </c>
      <c r="J1714" s="89" t="s">
        <v>44</v>
      </c>
      <c r="K1714" s="90">
        <v>198478</v>
      </c>
    </row>
    <row r="1715" ht="15.75" customHeight="1" spans="1:11">
      <c r="A1715" s="87">
        <v>1714</v>
      </c>
      <c r="B1715" s="88" t="s">
        <v>46</v>
      </c>
      <c r="C1715" s="88" t="s">
        <v>47</v>
      </c>
      <c r="D1715" s="87">
        <v>2026</v>
      </c>
      <c r="E1715" s="88" t="s">
        <v>35</v>
      </c>
      <c r="F1715" s="88" t="s">
        <v>150</v>
      </c>
      <c r="G1715" s="89" t="s">
        <v>44</v>
      </c>
      <c r="H1715" s="89" t="s">
        <v>44</v>
      </c>
      <c r="I1715" s="89" t="s">
        <v>44</v>
      </c>
      <c r="J1715" s="89" t="s">
        <v>44</v>
      </c>
      <c r="K1715" s="90">
        <v>15687</v>
      </c>
    </row>
    <row r="1716" ht="15.75" customHeight="1" spans="1:11">
      <c r="A1716" s="87">
        <v>1715</v>
      </c>
      <c r="B1716" s="88" t="s">
        <v>46</v>
      </c>
      <c r="C1716" s="88" t="s">
        <v>47</v>
      </c>
      <c r="D1716" s="87">
        <v>2026</v>
      </c>
      <c r="E1716" s="88" t="s">
        <v>35</v>
      </c>
      <c r="F1716" s="88" t="s">
        <v>151</v>
      </c>
      <c r="G1716" s="89" t="s">
        <v>44</v>
      </c>
      <c r="H1716" s="89" t="s">
        <v>44</v>
      </c>
      <c r="I1716" s="89" t="s">
        <v>44</v>
      </c>
      <c r="J1716" s="89" t="s">
        <v>44</v>
      </c>
      <c r="K1716" s="90">
        <v>6292198</v>
      </c>
    </row>
    <row r="1717" ht="15.75" customHeight="1" spans="1:11">
      <c r="A1717" s="87">
        <v>1716</v>
      </c>
      <c r="B1717" s="88" t="s">
        <v>46</v>
      </c>
      <c r="C1717" s="88" t="s">
        <v>133</v>
      </c>
      <c r="D1717" s="87">
        <v>2026</v>
      </c>
      <c r="E1717" s="88" t="s">
        <v>35</v>
      </c>
      <c r="F1717" s="88" t="s">
        <v>152</v>
      </c>
      <c r="G1717" s="89" t="s">
        <v>44</v>
      </c>
      <c r="H1717" s="89" t="s">
        <v>44</v>
      </c>
      <c r="I1717" s="89" t="s">
        <v>44</v>
      </c>
      <c r="J1717" s="89" t="s">
        <v>44</v>
      </c>
      <c r="K1717" s="90">
        <v>354098</v>
      </c>
    </row>
    <row r="1718" ht="15.75" customHeight="1" spans="1:11">
      <c r="A1718" s="87">
        <v>1717</v>
      </c>
      <c r="B1718" s="88" t="s">
        <v>46</v>
      </c>
      <c r="C1718" s="88" t="s">
        <v>133</v>
      </c>
      <c r="D1718" s="87">
        <v>2026</v>
      </c>
      <c r="E1718" s="88" t="s">
        <v>35</v>
      </c>
      <c r="F1718" s="88" t="s">
        <v>150</v>
      </c>
      <c r="G1718" s="89" t="s">
        <v>44</v>
      </c>
      <c r="H1718" s="89" t="s">
        <v>44</v>
      </c>
      <c r="I1718" s="89" t="s">
        <v>44</v>
      </c>
      <c r="J1718" s="89" t="s">
        <v>44</v>
      </c>
      <c r="K1718" s="89">
        <v>450</v>
      </c>
    </row>
    <row r="1719" ht="15.75" customHeight="1" spans="1:11">
      <c r="A1719" s="87">
        <v>1718</v>
      </c>
      <c r="B1719" s="88" t="s">
        <v>46</v>
      </c>
      <c r="C1719" s="88" t="s">
        <v>133</v>
      </c>
      <c r="D1719" s="87">
        <v>2026</v>
      </c>
      <c r="E1719" s="88" t="s">
        <v>35</v>
      </c>
      <c r="F1719" s="88" t="s">
        <v>151</v>
      </c>
      <c r="G1719" s="89" t="s">
        <v>44</v>
      </c>
      <c r="H1719" s="89" t="s">
        <v>44</v>
      </c>
      <c r="I1719" s="89" t="s">
        <v>44</v>
      </c>
      <c r="J1719" s="89" t="s">
        <v>44</v>
      </c>
      <c r="K1719" s="90">
        <v>6348506</v>
      </c>
    </row>
    <row r="1720" ht="15.75" customHeight="1" spans="1:11">
      <c r="A1720" s="87">
        <v>1719</v>
      </c>
      <c r="B1720" s="88" t="s">
        <v>46</v>
      </c>
      <c r="C1720" s="88" t="s">
        <v>134</v>
      </c>
      <c r="D1720" s="87">
        <v>2026</v>
      </c>
      <c r="E1720" s="88" t="s">
        <v>35</v>
      </c>
      <c r="F1720" s="88" t="s">
        <v>152</v>
      </c>
      <c r="G1720" s="89" t="s">
        <v>44</v>
      </c>
      <c r="H1720" s="89" t="s">
        <v>44</v>
      </c>
      <c r="I1720" s="89" t="s">
        <v>44</v>
      </c>
      <c r="J1720" s="89" t="s">
        <v>44</v>
      </c>
      <c r="K1720" s="90">
        <v>109255</v>
      </c>
    </row>
    <row r="1721" ht="15.75" customHeight="1" spans="1:11">
      <c r="A1721" s="87">
        <v>1720</v>
      </c>
      <c r="B1721" s="88" t="s">
        <v>46</v>
      </c>
      <c r="C1721" s="88" t="s">
        <v>134</v>
      </c>
      <c r="D1721" s="87">
        <v>2026</v>
      </c>
      <c r="E1721" s="88" t="s">
        <v>35</v>
      </c>
      <c r="F1721" s="88" t="s">
        <v>150</v>
      </c>
      <c r="G1721" s="89" t="s">
        <v>44</v>
      </c>
      <c r="H1721" s="89" t="s">
        <v>44</v>
      </c>
      <c r="I1721" s="89" t="s">
        <v>44</v>
      </c>
      <c r="J1721" s="89" t="s">
        <v>44</v>
      </c>
      <c r="K1721" s="89">
        <v>74</v>
      </c>
    </row>
    <row r="1722" ht="15.75" customHeight="1" spans="1:11">
      <c r="A1722" s="87">
        <v>1721</v>
      </c>
      <c r="B1722" s="88" t="s">
        <v>46</v>
      </c>
      <c r="C1722" s="88" t="s">
        <v>134</v>
      </c>
      <c r="D1722" s="87">
        <v>2026</v>
      </c>
      <c r="E1722" s="88" t="s">
        <v>35</v>
      </c>
      <c r="F1722" s="88" t="s">
        <v>151</v>
      </c>
      <c r="G1722" s="89" t="s">
        <v>44</v>
      </c>
      <c r="H1722" s="89" t="s">
        <v>44</v>
      </c>
      <c r="I1722" s="89" t="s">
        <v>44</v>
      </c>
      <c r="J1722" s="89" t="s">
        <v>44</v>
      </c>
      <c r="K1722" s="90">
        <v>2907279</v>
      </c>
    </row>
    <row r="1723" ht="15.75" customHeight="1" spans="1:11">
      <c r="A1723" s="87">
        <v>1722</v>
      </c>
      <c r="B1723" s="88" t="s">
        <v>46</v>
      </c>
      <c r="C1723" s="88" t="s">
        <v>135</v>
      </c>
      <c r="D1723" s="87">
        <v>2026</v>
      </c>
      <c r="E1723" s="88" t="s">
        <v>35</v>
      </c>
      <c r="F1723" s="88" t="s">
        <v>152</v>
      </c>
      <c r="G1723" s="89" t="s">
        <v>44</v>
      </c>
      <c r="H1723" s="89" t="s">
        <v>44</v>
      </c>
      <c r="I1723" s="89" t="s">
        <v>44</v>
      </c>
      <c r="J1723" s="89" t="s">
        <v>44</v>
      </c>
      <c r="K1723" s="90">
        <v>157722</v>
      </c>
    </row>
    <row r="1724" ht="15.75" customHeight="1" spans="1:11">
      <c r="A1724" s="87">
        <v>1723</v>
      </c>
      <c r="B1724" s="88" t="s">
        <v>46</v>
      </c>
      <c r="C1724" s="88" t="s">
        <v>135</v>
      </c>
      <c r="D1724" s="87">
        <v>2026</v>
      </c>
      <c r="E1724" s="88" t="s">
        <v>35</v>
      </c>
      <c r="F1724" s="88" t="s">
        <v>150</v>
      </c>
      <c r="G1724" s="89" t="s">
        <v>44</v>
      </c>
      <c r="H1724" s="89" t="s">
        <v>44</v>
      </c>
      <c r="I1724" s="89" t="s">
        <v>44</v>
      </c>
      <c r="J1724" s="89" t="s">
        <v>44</v>
      </c>
      <c r="K1724" s="89">
        <v>362</v>
      </c>
    </row>
    <row r="1725" ht="15.75" customHeight="1" spans="1:11">
      <c r="A1725" s="87">
        <v>1724</v>
      </c>
      <c r="B1725" s="88" t="s">
        <v>46</v>
      </c>
      <c r="C1725" s="88" t="s">
        <v>135</v>
      </c>
      <c r="D1725" s="87">
        <v>2026</v>
      </c>
      <c r="E1725" s="88" t="s">
        <v>35</v>
      </c>
      <c r="F1725" s="88" t="s">
        <v>151</v>
      </c>
      <c r="G1725" s="89" t="s">
        <v>44</v>
      </c>
      <c r="H1725" s="89" t="s">
        <v>44</v>
      </c>
      <c r="I1725" s="89" t="s">
        <v>44</v>
      </c>
      <c r="J1725" s="89" t="s">
        <v>44</v>
      </c>
      <c r="K1725" s="90">
        <v>3756576</v>
      </c>
    </row>
    <row r="1726" ht="15.75" customHeight="1" spans="1:11">
      <c r="A1726" s="87">
        <v>1725</v>
      </c>
      <c r="B1726" s="88" t="s">
        <v>46</v>
      </c>
      <c r="C1726" s="88" t="s">
        <v>156</v>
      </c>
      <c r="D1726" s="87">
        <v>2026</v>
      </c>
      <c r="E1726" s="88" t="s">
        <v>35</v>
      </c>
      <c r="F1726" s="88" t="s">
        <v>152</v>
      </c>
      <c r="G1726" s="89" t="s">
        <v>44</v>
      </c>
      <c r="H1726" s="89" t="s">
        <v>44</v>
      </c>
      <c r="I1726" s="89" t="s">
        <v>44</v>
      </c>
      <c r="J1726" s="89" t="s">
        <v>44</v>
      </c>
      <c r="K1726" s="90">
        <v>583417</v>
      </c>
    </row>
    <row r="1727" ht="15.75" customHeight="1" spans="1:11">
      <c r="A1727" s="87">
        <v>1726</v>
      </c>
      <c r="B1727" s="88" t="s">
        <v>46</v>
      </c>
      <c r="C1727" s="88" t="s">
        <v>156</v>
      </c>
      <c r="D1727" s="87">
        <v>2026</v>
      </c>
      <c r="E1727" s="88" t="s">
        <v>35</v>
      </c>
      <c r="F1727" s="88" t="s">
        <v>150</v>
      </c>
      <c r="G1727" s="89" t="s">
        <v>44</v>
      </c>
      <c r="H1727" s="89" t="s">
        <v>44</v>
      </c>
      <c r="I1727" s="89" t="s">
        <v>44</v>
      </c>
      <c r="J1727" s="89" t="s">
        <v>44</v>
      </c>
      <c r="K1727" s="89">
        <v>139</v>
      </c>
    </row>
    <row r="1728" ht="15.75" customHeight="1" spans="1:11">
      <c r="A1728" s="87">
        <v>1727</v>
      </c>
      <c r="B1728" s="88" t="s">
        <v>46</v>
      </c>
      <c r="C1728" s="88" t="s">
        <v>156</v>
      </c>
      <c r="D1728" s="87">
        <v>2026</v>
      </c>
      <c r="E1728" s="88" t="s">
        <v>35</v>
      </c>
      <c r="F1728" s="88" t="s">
        <v>151</v>
      </c>
      <c r="G1728" s="89" t="s">
        <v>44</v>
      </c>
      <c r="H1728" s="89" t="s">
        <v>44</v>
      </c>
      <c r="I1728" s="89" t="s">
        <v>44</v>
      </c>
      <c r="J1728" s="89" t="s">
        <v>44</v>
      </c>
      <c r="K1728" s="90">
        <v>13696198</v>
      </c>
    </row>
    <row r="1729" ht="15.75" customHeight="1" spans="1:11">
      <c r="A1729" s="87">
        <v>1728</v>
      </c>
      <c r="B1729" s="88" t="s">
        <v>46</v>
      </c>
      <c r="C1729" s="88" t="s">
        <v>137</v>
      </c>
      <c r="D1729" s="87">
        <v>2026</v>
      </c>
      <c r="E1729" s="88" t="s">
        <v>35</v>
      </c>
      <c r="F1729" s="88" t="s">
        <v>152</v>
      </c>
      <c r="G1729" s="89" t="s">
        <v>44</v>
      </c>
      <c r="H1729" s="89" t="s">
        <v>44</v>
      </c>
      <c r="I1729" s="89" t="s">
        <v>44</v>
      </c>
      <c r="J1729" s="89" t="s">
        <v>44</v>
      </c>
      <c r="K1729" s="90">
        <v>329681</v>
      </c>
    </row>
    <row r="1730" ht="15.75" customHeight="1" spans="1:11">
      <c r="A1730" s="87">
        <v>1729</v>
      </c>
      <c r="B1730" s="88" t="s">
        <v>46</v>
      </c>
      <c r="C1730" s="88" t="s">
        <v>137</v>
      </c>
      <c r="D1730" s="87">
        <v>2026</v>
      </c>
      <c r="E1730" s="88" t="s">
        <v>35</v>
      </c>
      <c r="F1730" s="88" t="s">
        <v>150</v>
      </c>
      <c r="G1730" s="89" t="s">
        <v>44</v>
      </c>
      <c r="H1730" s="89" t="s">
        <v>44</v>
      </c>
      <c r="I1730" s="89" t="s">
        <v>44</v>
      </c>
      <c r="J1730" s="89" t="s">
        <v>44</v>
      </c>
      <c r="K1730" s="90">
        <v>1019</v>
      </c>
    </row>
    <row r="1731" ht="15.75" customHeight="1" spans="1:11">
      <c r="A1731" s="87">
        <v>1730</v>
      </c>
      <c r="B1731" s="88" t="s">
        <v>46</v>
      </c>
      <c r="C1731" s="88" t="s">
        <v>137</v>
      </c>
      <c r="D1731" s="87">
        <v>2026</v>
      </c>
      <c r="E1731" s="88" t="s">
        <v>35</v>
      </c>
      <c r="F1731" s="88" t="s">
        <v>151</v>
      </c>
      <c r="G1731" s="89" t="s">
        <v>44</v>
      </c>
      <c r="H1731" s="89" t="s">
        <v>44</v>
      </c>
      <c r="I1731" s="89" t="s">
        <v>44</v>
      </c>
      <c r="J1731" s="89" t="s">
        <v>44</v>
      </c>
      <c r="K1731" s="90">
        <v>7244128</v>
      </c>
    </row>
    <row r="1732" ht="15.75" customHeight="1" spans="1:11">
      <c r="A1732" s="87">
        <v>1731</v>
      </c>
      <c r="B1732" s="88" t="s">
        <v>46</v>
      </c>
      <c r="C1732" s="88" t="s">
        <v>158</v>
      </c>
      <c r="D1732" s="87">
        <v>2026</v>
      </c>
      <c r="E1732" s="88" t="s">
        <v>35</v>
      </c>
      <c r="F1732" s="88" t="s">
        <v>152</v>
      </c>
      <c r="G1732" s="89" t="s">
        <v>44</v>
      </c>
      <c r="H1732" s="89" t="s">
        <v>44</v>
      </c>
      <c r="I1732" s="89" t="s">
        <v>44</v>
      </c>
      <c r="J1732" s="89" t="s">
        <v>44</v>
      </c>
      <c r="K1732" s="90">
        <v>422268</v>
      </c>
    </row>
    <row r="1733" ht="15.75" customHeight="1" spans="1:11">
      <c r="A1733" s="87">
        <v>1732</v>
      </c>
      <c r="B1733" s="88" t="s">
        <v>46</v>
      </c>
      <c r="C1733" s="88" t="s">
        <v>158</v>
      </c>
      <c r="D1733" s="87">
        <v>2026</v>
      </c>
      <c r="E1733" s="88" t="s">
        <v>35</v>
      </c>
      <c r="F1733" s="88" t="s">
        <v>150</v>
      </c>
      <c r="G1733" s="89" t="s">
        <v>44</v>
      </c>
      <c r="H1733" s="89" t="s">
        <v>44</v>
      </c>
      <c r="I1733" s="89" t="s">
        <v>44</v>
      </c>
      <c r="J1733" s="89" t="s">
        <v>44</v>
      </c>
      <c r="K1733" s="89">
        <v>68</v>
      </c>
    </row>
    <row r="1734" ht="15.75" customHeight="1" spans="1:11">
      <c r="A1734" s="87">
        <v>1733</v>
      </c>
      <c r="B1734" s="88" t="s">
        <v>46</v>
      </c>
      <c r="C1734" s="88" t="s">
        <v>158</v>
      </c>
      <c r="D1734" s="87">
        <v>2026</v>
      </c>
      <c r="E1734" s="88" t="s">
        <v>35</v>
      </c>
      <c r="F1734" s="88" t="s">
        <v>151</v>
      </c>
      <c r="G1734" s="89" t="s">
        <v>44</v>
      </c>
      <c r="H1734" s="89" t="s">
        <v>44</v>
      </c>
      <c r="I1734" s="89" t="s">
        <v>44</v>
      </c>
      <c r="J1734" s="89" t="s">
        <v>44</v>
      </c>
      <c r="K1734" s="90">
        <v>5145269</v>
      </c>
    </row>
    <row r="1735" ht="15.75" customHeight="1" spans="1:11">
      <c r="A1735" s="87">
        <v>1734</v>
      </c>
      <c r="B1735" s="88" t="s">
        <v>46</v>
      </c>
      <c r="C1735" s="88" t="s">
        <v>49</v>
      </c>
      <c r="D1735" s="87">
        <v>2026</v>
      </c>
      <c r="E1735" s="88" t="s">
        <v>35</v>
      </c>
      <c r="F1735" s="88" t="s">
        <v>152</v>
      </c>
      <c r="G1735" s="89" t="s">
        <v>44</v>
      </c>
      <c r="H1735" s="89" t="s">
        <v>44</v>
      </c>
      <c r="I1735" s="89" t="s">
        <v>44</v>
      </c>
      <c r="J1735" s="89" t="s">
        <v>44</v>
      </c>
      <c r="K1735" s="90">
        <v>374211</v>
      </c>
    </row>
    <row r="1736" ht="15.75" customHeight="1" spans="1:11">
      <c r="A1736" s="87">
        <v>1735</v>
      </c>
      <c r="B1736" s="88" t="s">
        <v>46</v>
      </c>
      <c r="C1736" s="88" t="s">
        <v>49</v>
      </c>
      <c r="D1736" s="87">
        <v>2026</v>
      </c>
      <c r="E1736" s="88" t="s">
        <v>35</v>
      </c>
      <c r="F1736" s="88" t="s">
        <v>150</v>
      </c>
      <c r="G1736" s="89" t="s">
        <v>44</v>
      </c>
      <c r="H1736" s="89" t="s">
        <v>44</v>
      </c>
      <c r="I1736" s="89" t="s">
        <v>44</v>
      </c>
      <c r="J1736" s="89" t="s">
        <v>44</v>
      </c>
      <c r="K1736" s="90">
        <v>15614</v>
      </c>
    </row>
    <row r="1737" ht="15.75" customHeight="1" spans="1:11">
      <c r="A1737" s="87">
        <v>1736</v>
      </c>
      <c r="B1737" s="88" t="s">
        <v>46</v>
      </c>
      <c r="C1737" s="88" t="s">
        <v>49</v>
      </c>
      <c r="D1737" s="87">
        <v>2026</v>
      </c>
      <c r="E1737" s="88" t="s">
        <v>35</v>
      </c>
      <c r="F1737" s="88" t="s">
        <v>151</v>
      </c>
      <c r="G1737" s="89" t="s">
        <v>44</v>
      </c>
      <c r="H1737" s="89" t="s">
        <v>44</v>
      </c>
      <c r="I1737" s="89" t="s">
        <v>44</v>
      </c>
      <c r="J1737" s="89" t="s">
        <v>44</v>
      </c>
      <c r="K1737" s="90">
        <v>7614102</v>
      </c>
    </row>
    <row r="1738" ht="15.75" customHeight="1" spans="1:11">
      <c r="A1738" s="87">
        <v>1737</v>
      </c>
      <c r="B1738" s="88" t="s">
        <v>46</v>
      </c>
      <c r="C1738" s="88" t="s">
        <v>51</v>
      </c>
      <c r="D1738" s="87">
        <v>2026</v>
      </c>
      <c r="E1738" s="88" t="s">
        <v>35</v>
      </c>
      <c r="F1738" s="88" t="s">
        <v>160</v>
      </c>
      <c r="G1738" s="90">
        <v>8640911</v>
      </c>
      <c r="H1738" s="90">
        <v>1227</v>
      </c>
      <c r="I1738" s="89" t="s">
        <v>44</v>
      </c>
      <c r="J1738" s="89" t="s">
        <v>44</v>
      </c>
      <c r="K1738" s="90">
        <v>8640911</v>
      </c>
    </row>
    <row r="1739" ht="15.75" customHeight="1" spans="1:11">
      <c r="A1739" s="87">
        <v>1738</v>
      </c>
      <c r="B1739" s="88" t="s">
        <v>46</v>
      </c>
      <c r="C1739" s="88" t="s">
        <v>51</v>
      </c>
      <c r="D1739" s="87">
        <v>2026</v>
      </c>
      <c r="E1739" s="88" t="s">
        <v>35</v>
      </c>
      <c r="F1739" s="88" t="s">
        <v>153</v>
      </c>
      <c r="G1739" s="90">
        <v>11935</v>
      </c>
      <c r="H1739" s="89">
        <v>1</v>
      </c>
      <c r="I1739" s="89" t="s">
        <v>44</v>
      </c>
      <c r="J1739" s="89" t="s">
        <v>44</v>
      </c>
      <c r="K1739" s="90">
        <v>11935</v>
      </c>
    </row>
    <row r="1740" ht="15.75" customHeight="1" spans="1:11">
      <c r="A1740" s="87">
        <v>1739</v>
      </c>
      <c r="B1740" s="88" t="s">
        <v>46</v>
      </c>
      <c r="C1740" s="88" t="s">
        <v>51</v>
      </c>
      <c r="D1740" s="87">
        <v>2026</v>
      </c>
      <c r="E1740" s="88" t="s">
        <v>35</v>
      </c>
      <c r="F1740" s="88" t="s">
        <v>157</v>
      </c>
      <c r="G1740" s="90">
        <v>6845</v>
      </c>
      <c r="H1740" s="89">
        <v>1</v>
      </c>
      <c r="I1740" s="89" t="s">
        <v>44</v>
      </c>
      <c r="J1740" s="89" t="s">
        <v>44</v>
      </c>
      <c r="K1740" s="90">
        <v>6845</v>
      </c>
    </row>
    <row r="1741" ht="15.75" customHeight="1" spans="1:11">
      <c r="A1741" s="87">
        <v>1740</v>
      </c>
      <c r="B1741" s="88" t="s">
        <v>46</v>
      </c>
      <c r="C1741" s="88" t="s">
        <v>51</v>
      </c>
      <c r="D1741" s="87">
        <v>2026</v>
      </c>
      <c r="E1741" s="88" t="s">
        <v>35</v>
      </c>
      <c r="F1741" s="88" t="s">
        <v>149</v>
      </c>
      <c r="G1741" s="89" t="s">
        <v>44</v>
      </c>
      <c r="H1741" s="90">
        <v>4638</v>
      </c>
      <c r="I1741" s="90">
        <v>488111897</v>
      </c>
      <c r="J1741" s="90">
        <v>3624</v>
      </c>
      <c r="K1741" s="90">
        <v>17751425</v>
      </c>
    </row>
    <row r="1742" ht="15.75" customHeight="1" spans="1:11">
      <c r="A1742" s="87">
        <v>1741</v>
      </c>
      <c r="B1742" s="88" t="s">
        <v>46</v>
      </c>
      <c r="C1742" s="88" t="s">
        <v>51</v>
      </c>
      <c r="D1742" s="87">
        <v>2026</v>
      </c>
      <c r="E1742" s="88" t="s">
        <v>35</v>
      </c>
      <c r="F1742" s="88" t="s">
        <v>150</v>
      </c>
      <c r="G1742" s="89" t="s">
        <v>44</v>
      </c>
      <c r="H1742" s="89" t="s">
        <v>44</v>
      </c>
      <c r="I1742" s="89" t="s">
        <v>44</v>
      </c>
      <c r="J1742" s="89" t="s">
        <v>44</v>
      </c>
      <c r="K1742" s="90">
        <v>5412968</v>
      </c>
    </row>
    <row r="1743" ht="15.75" customHeight="1" spans="1:11">
      <c r="A1743" s="87">
        <v>1742</v>
      </c>
      <c r="B1743" s="88" t="s">
        <v>46</v>
      </c>
      <c r="C1743" s="88" t="s">
        <v>51</v>
      </c>
      <c r="D1743" s="87">
        <v>2026</v>
      </c>
      <c r="E1743" s="88" t="s">
        <v>35</v>
      </c>
      <c r="F1743" s="88" t="s">
        <v>151</v>
      </c>
      <c r="G1743" s="89" t="s">
        <v>44</v>
      </c>
      <c r="H1743" s="89" t="s">
        <v>44</v>
      </c>
      <c r="I1743" s="89" t="s">
        <v>44</v>
      </c>
      <c r="J1743" s="89" t="s">
        <v>44</v>
      </c>
      <c r="K1743" s="90">
        <v>623424629</v>
      </c>
    </row>
    <row r="1744" ht="15.75" customHeight="1" spans="1:11">
      <c r="A1744" s="87">
        <v>1743</v>
      </c>
      <c r="B1744" s="88" t="s">
        <v>46</v>
      </c>
      <c r="C1744" s="88" t="s">
        <v>51</v>
      </c>
      <c r="D1744" s="87">
        <v>2026</v>
      </c>
      <c r="E1744" s="88" t="s">
        <v>35</v>
      </c>
      <c r="F1744" s="88" t="s">
        <v>152</v>
      </c>
      <c r="G1744" s="89" t="s">
        <v>44</v>
      </c>
      <c r="H1744" s="89" t="s">
        <v>44</v>
      </c>
      <c r="I1744" s="89" t="s">
        <v>44</v>
      </c>
      <c r="J1744" s="89" t="s">
        <v>44</v>
      </c>
      <c r="K1744" s="90">
        <v>45133621</v>
      </c>
    </row>
    <row r="1745" ht="15.75" customHeight="1" spans="1:11">
      <c r="A1745" s="87">
        <v>1744</v>
      </c>
      <c r="B1745" s="88" t="s">
        <v>46</v>
      </c>
      <c r="C1745" s="88" t="s">
        <v>139</v>
      </c>
      <c r="D1745" s="87">
        <v>2026</v>
      </c>
      <c r="E1745" s="88" t="s">
        <v>35</v>
      </c>
      <c r="F1745" s="88" t="s">
        <v>149</v>
      </c>
      <c r="G1745" s="89" t="s">
        <v>44</v>
      </c>
      <c r="H1745" s="90">
        <v>4043</v>
      </c>
      <c r="I1745" s="90">
        <v>410803986</v>
      </c>
      <c r="J1745" s="90">
        <v>3154</v>
      </c>
      <c r="K1745" s="90">
        <v>15514802</v>
      </c>
    </row>
    <row r="1746" ht="15.75" customHeight="1" spans="1:11">
      <c r="A1746" s="87">
        <v>1745</v>
      </c>
      <c r="B1746" s="88" t="s">
        <v>46</v>
      </c>
      <c r="C1746" s="88" t="s">
        <v>139</v>
      </c>
      <c r="D1746" s="87">
        <v>2026</v>
      </c>
      <c r="E1746" s="88" t="s">
        <v>35</v>
      </c>
      <c r="F1746" s="88" t="s">
        <v>152</v>
      </c>
      <c r="G1746" s="89" t="s">
        <v>44</v>
      </c>
      <c r="H1746" s="89" t="s">
        <v>44</v>
      </c>
      <c r="I1746" s="89" t="s">
        <v>44</v>
      </c>
      <c r="J1746" s="89" t="s">
        <v>44</v>
      </c>
      <c r="K1746" s="90">
        <v>6118010</v>
      </c>
    </row>
    <row r="1747" ht="15.75" customHeight="1" spans="1:11">
      <c r="A1747" s="87">
        <v>1746</v>
      </c>
      <c r="B1747" s="88" t="s">
        <v>46</v>
      </c>
      <c r="C1747" s="88" t="s">
        <v>139</v>
      </c>
      <c r="D1747" s="87">
        <v>2026</v>
      </c>
      <c r="E1747" s="88" t="s">
        <v>35</v>
      </c>
      <c r="F1747" s="88" t="s">
        <v>150</v>
      </c>
      <c r="G1747" s="89" t="s">
        <v>44</v>
      </c>
      <c r="H1747" s="89" t="s">
        <v>44</v>
      </c>
      <c r="I1747" s="89" t="s">
        <v>44</v>
      </c>
      <c r="J1747" s="89" t="s">
        <v>44</v>
      </c>
      <c r="K1747" s="90">
        <v>2962</v>
      </c>
    </row>
    <row r="1748" ht="15.75" customHeight="1" spans="1:11">
      <c r="A1748" s="87">
        <v>1747</v>
      </c>
      <c r="B1748" s="88" t="s">
        <v>46</v>
      </c>
      <c r="C1748" s="88" t="s">
        <v>139</v>
      </c>
      <c r="D1748" s="87">
        <v>2026</v>
      </c>
      <c r="E1748" s="88" t="s">
        <v>35</v>
      </c>
      <c r="F1748" s="88" t="s">
        <v>151</v>
      </c>
      <c r="G1748" s="89" t="s">
        <v>44</v>
      </c>
      <c r="H1748" s="89" t="s">
        <v>44</v>
      </c>
      <c r="I1748" s="89" t="s">
        <v>44</v>
      </c>
      <c r="J1748" s="89" t="s">
        <v>44</v>
      </c>
      <c r="K1748" s="90">
        <v>39517570</v>
      </c>
    </row>
    <row r="1749" ht="15.75" customHeight="1" spans="1:11">
      <c r="A1749" s="87">
        <v>1748</v>
      </c>
      <c r="B1749" s="88" t="s">
        <v>46</v>
      </c>
      <c r="C1749" s="88" t="s">
        <v>52</v>
      </c>
      <c r="D1749" s="87">
        <v>2026</v>
      </c>
      <c r="E1749" s="88" t="s">
        <v>35</v>
      </c>
      <c r="F1749" s="88" t="s">
        <v>149</v>
      </c>
      <c r="G1749" s="89" t="s">
        <v>44</v>
      </c>
      <c r="H1749" s="89">
        <v>3</v>
      </c>
      <c r="I1749" s="90">
        <v>53323</v>
      </c>
      <c r="J1749" s="89">
        <v>3</v>
      </c>
      <c r="K1749" s="90">
        <v>2879</v>
      </c>
    </row>
    <row r="1750" ht="15.75" customHeight="1" spans="1:11">
      <c r="A1750" s="87">
        <v>1749</v>
      </c>
      <c r="B1750" s="88" t="s">
        <v>46</v>
      </c>
      <c r="C1750" s="88" t="s">
        <v>52</v>
      </c>
      <c r="D1750" s="87">
        <v>2026</v>
      </c>
      <c r="E1750" s="88" t="s">
        <v>35</v>
      </c>
      <c r="F1750" s="88" t="s">
        <v>152</v>
      </c>
      <c r="G1750" s="89" t="s">
        <v>44</v>
      </c>
      <c r="H1750" s="89" t="s">
        <v>44</v>
      </c>
      <c r="I1750" s="89" t="s">
        <v>44</v>
      </c>
      <c r="J1750" s="89" t="s">
        <v>44</v>
      </c>
      <c r="K1750" s="90">
        <v>748193</v>
      </c>
    </row>
    <row r="1751" ht="15.75" customHeight="1" spans="1:11">
      <c r="A1751" s="87">
        <v>1750</v>
      </c>
      <c r="B1751" s="88" t="s">
        <v>46</v>
      </c>
      <c r="C1751" s="88" t="s">
        <v>52</v>
      </c>
      <c r="D1751" s="87">
        <v>2026</v>
      </c>
      <c r="E1751" s="88" t="s">
        <v>35</v>
      </c>
      <c r="F1751" s="88" t="s">
        <v>150</v>
      </c>
      <c r="G1751" s="89" t="s">
        <v>44</v>
      </c>
      <c r="H1751" s="89" t="s">
        <v>44</v>
      </c>
      <c r="I1751" s="89" t="s">
        <v>44</v>
      </c>
      <c r="J1751" s="89" t="s">
        <v>44</v>
      </c>
      <c r="K1751" s="90">
        <v>22214</v>
      </c>
    </row>
    <row r="1752" ht="15.75" customHeight="1" spans="1:11">
      <c r="A1752" s="87">
        <v>1751</v>
      </c>
      <c r="B1752" s="88" t="s">
        <v>46</v>
      </c>
      <c r="C1752" s="88" t="s">
        <v>52</v>
      </c>
      <c r="D1752" s="87">
        <v>2026</v>
      </c>
      <c r="E1752" s="88" t="s">
        <v>35</v>
      </c>
      <c r="F1752" s="88" t="s">
        <v>151</v>
      </c>
      <c r="G1752" s="89" t="s">
        <v>44</v>
      </c>
      <c r="H1752" s="89" t="s">
        <v>44</v>
      </c>
      <c r="I1752" s="89" t="s">
        <v>44</v>
      </c>
      <c r="J1752" s="89" t="s">
        <v>44</v>
      </c>
      <c r="K1752" s="90">
        <v>13606328</v>
      </c>
    </row>
    <row r="1753" ht="15.75" customHeight="1" spans="1:11">
      <c r="A1753" s="87">
        <v>1752</v>
      </c>
      <c r="B1753" s="88" t="s">
        <v>46</v>
      </c>
      <c r="C1753" s="88" t="s">
        <v>140</v>
      </c>
      <c r="D1753" s="87">
        <v>2026</v>
      </c>
      <c r="E1753" s="88" t="s">
        <v>35</v>
      </c>
      <c r="F1753" s="88" t="s">
        <v>152</v>
      </c>
      <c r="G1753" s="89" t="s">
        <v>44</v>
      </c>
      <c r="H1753" s="89" t="s">
        <v>44</v>
      </c>
      <c r="I1753" s="89" t="s">
        <v>44</v>
      </c>
      <c r="J1753" s="89" t="s">
        <v>44</v>
      </c>
      <c r="K1753" s="90">
        <v>697549</v>
      </c>
    </row>
    <row r="1754" ht="15.75" customHeight="1" spans="1:11">
      <c r="A1754" s="87">
        <v>1753</v>
      </c>
      <c r="B1754" s="88" t="s">
        <v>46</v>
      </c>
      <c r="C1754" s="88" t="s">
        <v>140</v>
      </c>
      <c r="D1754" s="87">
        <v>2026</v>
      </c>
      <c r="E1754" s="88" t="s">
        <v>35</v>
      </c>
      <c r="F1754" s="88" t="s">
        <v>150</v>
      </c>
      <c r="G1754" s="89" t="s">
        <v>44</v>
      </c>
      <c r="H1754" s="89" t="s">
        <v>44</v>
      </c>
      <c r="I1754" s="89" t="s">
        <v>44</v>
      </c>
      <c r="J1754" s="89" t="s">
        <v>44</v>
      </c>
      <c r="K1754" s="90">
        <v>87373</v>
      </c>
    </row>
    <row r="1755" ht="15.75" customHeight="1" spans="1:11">
      <c r="A1755" s="87">
        <v>1754</v>
      </c>
      <c r="B1755" s="88" t="s">
        <v>46</v>
      </c>
      <c r="C1755" s="88" t="s">
        <v>140</v>
      </c>
      <c r="D1755" s="87">
        <v>2026</v>
      </c>
      <c r="E1755" s="88" t="s">
        <v>35</v>
      </c>
      <c r="F1755" s="88" t="s">
        <v>151</v>
      </c>
      <c r="G1755" s="89" t="s">
        <v>44</v>
      </c>
      <c r="H1755" s="89" t="s">
        <v>44</v>
      </c>
      <c r="I1755" s="89" t="s">
        <v>44</v>
      </c>
      <c r="J1755" s="89" t="s">
        <v>44</v>
      </c>
      <c r="K1755" s="90">
        <v>19766799</v>
      </c>
    </row>
    <row r="1756" ht="15.75" customHeight="1" spans="1:11">
      <c r="A1756" s="87">
        <v>1755</v>
      </c>
      <c r="B1756" s="88" t="s">
        <v>53</v>
      </c>
      <c r="C1756" s="88" t="s">
        <v>53</v>
      </c>
      <c r="D1756" s="87">
        <v>2026</v>
      </c>
      <c r="E1756" s="88" t="s">
        <v>35</v>
      </c>
      <c r="F1756" s="88" t="s">
        <v>153</v>
      </c>
      <c r="G1756" s="90">
        <v>12332</v>
      </c>
      <c r="H1756" s="89">
        <v>1</v>
      </c>
      <c r="I1756" s="89" t="s">
        <v>44</v>
      </c>
      <c r="J1756" s="89" t="s">
        <v>44</v>
      </c>
      <c r="K1756" s="90">
        <v>12332</v>
      </c>
    </row>
    <row r="1757" ht="15.75" customHeight="1" spans="1:11">
      <c r="A1757" s="87">
        <v>1756</v>
      </c>
      <c r="B1757" s="88" t="s">
        <v>53</v>
      </c>
      <c r="C1757" s="88" t="s">
        <v>53</v>
      </c>
      <c r="D1757" s="87">
        <v>2026</v>
      </c>
      <c r="E1757" s="88" t="s">
        <v>35</v>
      </c>
      <c r="F1757" s="88" t="s">
        <v>152</v>
      </c>
      <c r="G1757" s="89" t="s">
        <v>44</v>
      </c>
      <c r="H1757" s="89" t="s">
        <v>44</v>
      </c>
      <c r="I1757" s="89" t="s">
        <v>44</v>
      </c>
      <c r="J1757" s="89" t="s">
        <v>44</v>
      </c>
      <c r="K1757" s="90">
        <v>2742710</v>
      </c>
    </row>
    <row r="1758" ht="15.75" customHeight="1" spans="1:11">
      <c r="A1758" s="87">
        <v>1757</v>
      </c>
      <c r="B1758" s="88" t="s">
        <v>53</v>
      </c>
      <c r="C1758" s="88" t="s">
        <v>53</v>
      </c>
      <c r="D1758" s="87">
        <v>2026</v>
      </c>
      <c r="E1758" s="88" t="s">
        <v>35</v>
      </c>
      <c r="F1758" s="88" t="s">
        <v>149</v>
      </c>
      <c r="G1758" s="89" t="s">
        <v>44</v>
      </c>
      <c r="H1758" s="89">
        <v>133</v>
      </c>
      <c r="I1758" s="90">
        <v>8981872</v>
      </c>
      <c r="J1758" s="89">
        <v>106</v>
      </c>
      <c r="K1758" s="90">
        <v>500444</v>
      </c>
    </row>
    <row r="1759" ht="15.75" customHeight="1" spans="1:11">
      <c r="A1759" s="87">
        <v>1758</v>
      </c>
      <c r="B1759" s="88" t="s">
        <v>53</v>
      </c>
      <c r="C1759" s="88" t="s">
        <v>53</v>
      </c>
      <c r="D1759" s="87">
        <v>2026</v>
      </c>
      <c r="E1759" s="88" t="s">
        <v>35</v>
      </c>
      <c r="F1759" s="88" t="s">
        <v>150</v>
      </c>
      <c r="G1759" s="89" t="s">
        <v>44</v>
      </c>
      <c r="H1759" s="89" t="s">
        <v>44</v>
      </c>
      <c r="I1759" s="89" t="s">
        <v>44</v>
      </c>
      <c r="J1759" s="89" t="s">
        <v>44</v>
      </c>
      <c r="K1759" s="90">
        <v>127233</v>
      </c>
    </row>
    <row r="1760" ht="15.75" customHeight="1" spans="1:11">
      <c r="A1760" s="87">
        <v>1759</v>
      </c>
      <c r="B1760" s="88" t="s">
        <v>53</v>
      </c>
      <c r="C1760" s="88" t="s">
        <v>53</v>
      </c>
      <c r="D1760" s="87">
        <v>2026</v>
      </c>
      <c r="E1760" s="88" t="s">
        <v>35</v>
      </c>
      <c r="F1760" s="88" t="s">
        <v>151</v>
      </c>
      <c r="G1760" s="89" t="s">
        <v>44</v>
      </c>
      <c r="H1760" s="89" t="s">
        <v>44</v>
      </c>
      <c r="I1760" s="89" t="s">
        <v>44</v>
      </c>
      <c r="J1760" s="89" t="s">
        <v>44</v>
      </c>
      <c r="K1760" s="90">
        <v>63838023</v>
      </c>
    </row>
    <row r="1761" ht="15.75" customHeight="1" spans="1:11">
      <c r="A1761" s="87">
        <v>1760</v>
      </c>
      <c r="B1761" s="88" t="s">
        <v>53</v>
      </c>
      <c r="C1761" s="88" t="s">
        <v>141</v>
      </c>
      <c r="D1761" s="87">
        <v>2026</v>
      </c>
      <c r="E1761" s="88" t="s">
        <v>35</v>
      </c>
      <c r="F1761" s="88" t="s">
        <v>149</v>
      </c>
      <c r="G1761" s="89" t="s">
        <v>44</v>
      </c>
      <c r="H1761" s="89">
        <v>2</v>
      </c>
      <c r="I1761" s="90">
        <v>48790</v>
      </c>
      <c r="J1761" s="89">
        <v>2</v>
      </c>
      <c r="K1761" s="90">
        <v>2635</v>
      </c>
    </row>
    <row r="1762" ht="15.75" customHeight="1" spans="1:11">
      <c r="A1762" s="87">
        <v>1761</v>
      </c>
      <c r="B1762" s="88" t="s">
        <v>53</v>
      </c>
      <c r="C1762" s="88" t="s">
        <v>141</v>
      </c>
      <c r="D1762" s="87">
        <v>2026</v>
      </c>
      <c r="E1762" s="88" t="s">
        <v>35</v>
      </c>
      <c r="F1762" s="88" t="s">
        <v>152</v>
      </c>
      <c r="G1762" s="89" t="s">
        <v>44</v>
      </c>
      <c r="H1762" s="89" t="s">
        <v>44</v>
      </c>
      <c r="I1762" s="89" t="s">
        <v>44</v>
      </c>
      <c r="J1762" s="89" t="s">
        <v>44</v>
      </c>
      <c r="K1762" s="90">
        <v>95343</v>
      </c>
    </row>
    <row r="1763" ht="15.75" customHeight="1" spans="1:11">
      <c r="A1763" s="87">
        <v>1762</v>
      </c>
      <c r="B1763" s="88" t="s">
        <v>53</v>
      </c>
      <c r="C1763" s="88" t="s">
        <v>141</v>
      </c>
      <c r="D1763" s="87">
        <v>2026</v>
      </c>
      <c r="E1763" s="88" t="s">
        <v>35</v>
      </c>
      <c r="F1763" s="88" t="s">
        <v>150</v>
      </c>
      <c r="G1763" s="89" t="s">
        <v>44</v>
      </c>
      <c r="H1763" s="89" t="s">
        <v>44</v>
      </c>
      <c r="I1763" s="89" t="s">
        <v>44</v>
      </c>
      <c r="J1763" s="89" t="s">
        <v>44</v>
      </c>
      <c r="K1763" s="90">
        <v>14083</v>
      </c>
    </row>
    <row r="1764" ht="15.75" customHeight="1" spans="1:11">
      <c r="A1764" s="87">
        <v>1763</v>
      </c>
      <c r="B1764" s="88" t="s">
        <v>53</v>
      </c>
      <c r="C1764" s="88" t="s">
        <v>141</v>
      </c>
      <c r="D1764" s="87">
        <v>2026</v>
      </c>
      <c r="E1764" s="88" t="s">
        <v>35</v>
      </c>
      <c r="F1764" s="88" t="s">
        <v>151</v>
      </c>
      <c r="G1764" s="89" t="s">
        <v>44</v>
      </c>
      <c r="H1764" s="89" t="s">
        <v>44</v>
      </c>
      <c r="I1764" s="89" t="s">
        <v>44</v>
      </c>
      <c r="J1764" s="89" t="s">
        <v>44</v>
      </c>
      <c r="K1764" s="90">
        <v>5962671</v>
      </c>
    </row>
    <row r="1765" ht="15.75" customHeight="1" spans="1:11">
      <c r="A1765" s="87">
        <v>1764</v>
      </c>
      <c r="B1765" s="88" t="s">
        <v>53</v>
      </c>
      <c r="C1765" s="88" t="s">
        <v>142</v>
      </c>
      <c r="D1765" s="87">
        <v>2026</v>
      </c>
      <c r="E1765" s="88" t="s">
        <v>35</v>
      </c>
      <c r="F1765" s="88" t="s">
        <v>152</v>
      </c>
      <c r="G1765" s="89" t="s">
        <v>44</v>
      </c>
      <c r="H1765" s="89" t="s">
        <v>44</v>
      </c>
      <c r="I1765" s="89" t="s">
        <v>44</v>
      </c>
      <c r="J1765" s="89" t="s">
        <v>44</v>
      </c>
      <c r="K1765" s="90">
        <v>9347</v>
      </c>
    </row>
    <row r="1766" ht="15.75" customHeight="1" spans="1:11">
      <c r="A1766" s="87">
        <v>1765</v>
      </c>
      <c r="B1766" s="88" t="s">
        <v>53</v>
      </c>
      <c r="C1766" s="88" t="s">
        <v>142</v>
      </c>
      <c r="D1766" s="87">
        <v>2026</v>
      </c>
      <c r="E1766" s="88" t="s">
        <v>35</v>
      </c>
      <c r="F1766" s="88" t="s">
        <v>150</v>
      </c>
      <c r="G1766" s="89" t="s">
        <v>44</v>
      </c>
      <c r="H1766" s="89" t="s">
        <v>44</v>
      </c>
      <c r="I1766" s="89" t="s">
        <v>44</v>
      </c>
      <c r="J1766" s="89" t="s">
        <v>44</v>
      </c>
      <c r="K1766" s="90">
        <v>12772</v>
      </c>
    </row>
    <row r="1767" ht="15.75" customHeight="1" spans="1:11">
      <c r="A1767" s="87">
        <v>1766</v>
      </c>
      <c r="B1767" s="88" t="s">
        <v>53</v>
      </c>
      <c r="C1767" s="88" t="s">
        <v>142</v>
      </c>
      <c r="D1767" s="87">
        <v>2026</v>
      </c>
      <c r="E1767" s="88" t="s">
        <v>35</v>
      </c>
      <c r="F1767" s="88" t="s">
        <v>151</v>
      </c>
      <c r="G1767" s="89" t="s">
        <v>44</v>
      </c>
      <c r="H1767" s="89" t="s">
        <v>44</v>
      </c>
      <c r="I1767" s="89" t="s">
        <v>44</v>
      </c>
      <c r="J1767" s="89" t="s">
        <v>44</v>
      </c>
      <c r="K1767" s="90">
        <v>591486</v>
      </c>
    </row>
    <row r="1768" ht="15.75" customHeight="1" spans="1:11">
      <c r="A1768" s="87">
        <v>1767</v>
      </c>
      <c r="B1768" s="88" t="s">
        <v>58</v>
      </c>
      <c r="C1768" s="88" t="s">
        <v>144</v>
      </c>
      <c r="D1768" s="87">
        <v>2026</v>
      </c>
      <c r="E1768" s="88" t="s">
        <v>35</v>
      </c>
      <c r="F1768" s="88" t="s">
        <v>152</v>
      </c>
      <c r="G1768" s="89" t="s">
        <v>44</v>
      </c>
      <c r="H1768" s="89" t="s">
        <v>44</v>
      </c>
      <c r="I1768" s="89" t="s">
        <v>44</v>
      </c>
      <c r="J1768" s="89" t="s">
        <v>44</v>
      </c>
      <c r="K1768" s="90">
        <v>2251</v>
      </c>
    </row>
    <row r="1769" ht="15.75" customHeight="1" spans="1:11">
      <c r="A1769" s="87">
        <v>1768</v>
      </c>
      <c r="B1769" s="88" t="s">
        <v>58</v>
      </c>
      <c r="C1769" s="88" t="s">
        <v>144</v>
      </c>
      <c r="D1769" s="87">
        <v>2026</v>
      </c>
      <c r="E1769" s="88" t="s">
        <v>35</v>
      </c>
      <c r="F1769" s="88" t="s">
        <v>150</v>
      </c>
      <c r="G1769" s="89" t="s">
        <v>44</v>
      </c>
      <c r="H1769" s="89" t="s">
        <v>44</v>
      </c>
      <c r="I1769" s="89" t="s">
        <v>44</v>
      </c>
      <c r="J1769" s="89" t="s">
        <v>44</v>
      </c>
      <c r="K1769" s="90">
        <v>3892</v>
      </c>
    </row>
    <row r="1770" ht="15.75" customHeight="1" spans="1:11">
      <c r="A1770" s="87">
        <v>1769</v>
      </c>
      <c r="B1770" s="88" t="s">
        <v>58</v>
      </c>
      <c r="C1770" s="88" t="s">
        <v>144</v>
      </c>
      <c r="D1770" s="87">
        <v>2026</v>
      </c>
      <c r="E1770" s="88" t="s">
        <v>35</v>
      </c>
      <c r="F1770" s="88" t="s">
        <v>151</v>
      </c>
      <c r="G1770" s="89" t="s">
        <v>44</v>
      </c>
      <c r="H1770" s="89" t="s">
        <v>44</v>
      </c>
      <c r="I1770" s="89" t="s">
        <v>44</v>
      </c>
      <c r="J1770" s="89" t="s">
        <v>44</v>
      </c>
      <c r="K1770" s="90">
        <v>229000</v>
      </c>
    </row>
    <row r="1771" ht="15.75" customHeight="1" spans="1:11">
      <c r="A1771" s="87">
        <v>1770</v>
      </c>
      <c r="B1771" s="88" t="s">
        <v>58</v>
      </c>
      <c r="C1771" s="88" t="s">
        <v>146</v>
      </c>
      <c r="D1771" s="87">
        <v>2026</v>
      </c>
      <c r="E1771" s="88" t="s">
        <v>35</v>
      </c>
      <c r="F1771" s="88" t="s">
        <v>152</v>
      </c>
      <c r="G1771" s="89" t="s">
        <v>44</v>
      </c>
      <c r="H1771" s="89" t="s">
        <v>44</v>
      </c>
      <c r="I1771" s="89" t="s">
        <v>44</v>
      </c>
      <c r="J1771" s="89" t="s">
        <v>44</v>
      </c>
      <c r="K1771" s="90">
        <v>626532</v>
      </c>
    </row>
    <row r="1772" ht="15.75" customHeight="1" spans="1:11">
      <c r="A1772" s="87">
        <v>1771</v>
      </c>
      <c r="B1772" s="88" t="s">
        <v>58</v>
      </c>
      <c r="C1772" s="88" t="s">
        <v>146</v>
      </c>
      <c r="D1772" s="87">
        <v>2026</v>
      </c>
      <c r="E1772" s="88" t="s">
        <v>35</v>
      </c>
      <c r="F1772" s="88" t="s">
        <v>150</v>
      </c>
      <c r="G1772" s="89" t="s">
        <v>44</v>
      </c>
      <c r="H1772" s="89" t="s">
        <v>44</v>
      </c>
      <c r="I1772" s="89" t="s">
        <v>44</v>
      </c>
      <c r="J1772" s="89" t="s">
        <v>44</v>
      </c>
      <c r="K1772" s="90">
        <v>3218</v>
      </c>
    </row>
    <row r="1773" ht="15.75" customHeight="1" spans="1:11">
      <c r="A1773" s="87">
        <v>1772</v>
      </c>
      <c r="B1773" s="88" t="s">
        <v>58</v>
      </c>
      <c r="C1773" s="88" t="s">
        <v>146</v>
      </c>
      <c r="D1773" s="87">
        <v>2026</v>
      </c>
      <c r="E1773" s="88" t="s">
        <v>35</v>
      </c>
      <c r="F1773" s="88" t="s">
        <v>151</v>
      </c>
      <c r="G1773" s="89" t="s">
        <v>44</v>
      </c>
      <c r="H1773" s="89" t="s">
        <v>44</v>
      </c>
      <c r="I1773" s="89" t="s">
        <v>44</v>
      </c>
      <c r="J1773" s="89" t="s">
        <v>44</v>
      </c>
      <c r="K1773" s="90">
        <v>7922889</v>
      </c>
    </row>
    <row r="1774" ht="15.75" customHeight="1" spans="1:11">
      <c r="A1774" s="87">
        <v>1773</v>
      </c>
      <c r="B1774" s="88" t="s">
        <v>58</v>
      </c>
      <c r="C1774" s="88" t="s">
        <v>58</v>
      </c>
      <c r="D1774" s="87">
        <v>2026</v>
      </c>
      <c r="E1774" s="88" t="s">
        <v>35</v>
      </c>
      <c r="F1774" s="88" t="s">
        <v>149</v>
      </c>
      <c r="G1774" s="89" t="s">
        <v>44</v>
      </c>
      <c r="H1774" s="89">
        <v>105</v>
      </c>
      <c r="I1774" s="90">
        <v>9999632</v>
      </c>
      <c r="J1774" s="89">
        <v>69</v>
      </c>
      <c r="K1774" s="90">
        <v>287584</v>
      </c>
    </row>
    <row r="1775" ht="15.75" customHeight="1" spans="1:11">
      <c r="A1775" s="87">
        <v>1774</v>
      </c>
      <c r="B1775" s="88" t="s">
        <v>58</v>
      </c>
      <c r="C1775" s="88" t="s">
        <v>58</v>
      </c>
      <c r="D1775" s="87">
        <v>2026</v>
      </c>
      <c r="E1775" s="88" t="s">
        <v>35</v>
      </c>
      <c r="F1775" s="88" t="s">
        <v>152</v>
      </c>
      <c r="G1775" s="89" t="s">
        <v>44</v>
      </c>
      <c r="H1775" s="89" t="s">
        <v>44</v>
      </c>
      <c r="I1775" s="89" t="s">
        <v>44</v>
      </c>
      <c r="J1775" s="89" t="s">
        <v>44</v>
      </c>
      <c r="K1775" s="90">
        <v>12870125</v>
      </c>
    </row>
    <row r="1776" ht="15.75" customHeight="1" spans="1:11">
      <c r="A1776" s="87">
        <v>1775</v>
      </c>
      <c r="B1776" s="88" t="s">
        <v>58</v>
      </c>
      <c r="C1776" s="88" t="s">
        <v>58</v>
      </c>
      <c r="D1776" s="87">
        <v>2026</v>
      </c>
      <c r="E1776" s="88" t="s">
        <v>35</v>
      </c>
      <c r="F1776" s="88" t="s">
        <v>150</v>
      </c>
      <c r="G1776" s="89" t="s">
        <v>44</v>
      </c>
      <c r="H1776" s="89" t="s">
        <v>44</v>
      </c>
      <c r="I1776" s="89" t="s">
        <v>44</v>
      </c>
      <c r="J1776" s="89" t="s">
        <v>44</v>
      </c>
      <c r="K1776" s="90">
        <v>997368</v>
      </c>
    </row>
    <row r="1777" ht="15.75" customHeight="1" spans="1:11">
      <c r="A1777" s="87">
        <v>1776</v>
      </c>
      <c r="B1777" s="88" t="s">
        <v>58</v>
      </c>
      <c r="C1777" s="88" t="s">
        <v>58</v>
      </c>
      <c r="D1777" s="87">
        <v>2026</v>
      </c>
      <c r="E1777" s="88" t="s">
        <v>35</v>
      </c>
      <c r="F1777" s="88" t="s">
        <v>151</v>
      </c>
      <c r="G1777" s="89" t="s">
        <v>44</v>
      </c>
      <c r="H1777" s="89" t="s">
        <v>44</v>
      </c>
      <c r="I1777" s="89" t="s">
        <v>44</v>
      </c>
      <c r="J1777" s="89" t="s">
        <v>44</v>
      </c>
      <c r="K1777" s="90">
        <v>227295895</v>
      </c>
    </row>
    <row r="1778" ht="15.75" customHeight="1" spans="1:11">
      <c r="A1778" s="87">
        <v>1777</v>
      </c>
      <c r="B1778" s="88" t="s">
        <v>28</v>
      </c>
      <c r="C1778" s="88" t="s">
        <v>28</v>
      </c>
      <c r="D1778" s="87">
        <v>2026</v>
      </c>
      <c r="E1778" s="88" t="s">
        <v>36</v>
      </c>
      <c r="F1778" s="88" t="s">
        <v>149</v>
      </c>
      <c r="G1778" s="89" t="s">
        <v>44</v>
      </c>
      <c r="H1778" s="89">
        <v>1</v>
      </c>
      <c r="I1778" s="90">
        <v>25694</v>
      </c>
      <c r="J1778" s="89">
        <v>1</v>
      </c>
      <c r="K1778" s="90">
        <v>1387</v>
      </c>
    </row>
    <row r="1779" ht="15.75" customHeight="1" spans="1:11">
      <c r="A1779" s="87">
        <v>1778</v>
      </c>
      <c r="B1779" s="88" t="s">
        <v>28</v>
      </c>
      <c r="C1779" s="88" t="s">
        <v>28</v>
      </c>
      <c r="D1779" s="87">
        <v>2026</v>
      </c>
      <c r="E1779" s="88" t="s">
        <v>36</v>
      </c>
      <c r="F1779" s="88" t="s">
        <v>152</v>
      </c>
      <c r="G1779" s="89" t="s">
        <v>44</v>
      </c>
      <c r="H1779" s="89" t="s">
        <v>44</v>
      </c>
      <c r="I1779" s="89" t="s">
        <v>44</v>
      </c>
      <c r="J1779" s="89" t="s">
        <v>44</v>
      </c>
      <c r="K1779" s="90">
        <v>4432797</v>
      </c>
    </row>
    <row r="1780" ht="15.75" customHeight="1" spans="1:11">
      <c r="A1780" s="87">
        <v>1779</v>
      </c>
      <c r="B1780" s="88" t="s">
        <v>28</v>
      </c>
      <c r="C1780" s="88" t="s">
        <v>28</v>
      </c>
      <c r="D1780" s="87">
        <v>2026</v>
      </c>
      <c r="E1780" s="88" t="s">
        <v>36</v>
      </c>
      <c r="F1780" s="88" t="s">
        <v>150</v>
      </c>
      <c r="G1780" s="89" t="s">
        <v>44</v>
      </c>
      <c r="H1780" s="89" t="s">
        <v>44</v>
      </c>
      <c r="I1780" s="89" t="s">
        <v>44</v>
      </c>
      <c r="J1780" s="89" t="s">
        <v>44</v>
      </c>
      <c r="K1780" s="90">
        <v>201101</v>
      </c>
    </row>
    <row r="1781" ht="15.75" customHeight="1" spans="1:11">
      <c r="A1781" s="87">
        <v>1780</v>
      </c>
      <c r="B1781" s="88" t="s">
        <v>28</v>
      </c>
      <c r="C1781" s="88" t="s">
        <v>28</v>
      </c>
      <c r="D1781" s="87">
        <v>2026</v>
      </c>
      <c r="E1781" s="88" t="s">
        <v>36</v>
      </c>
      <c r="F1781" s="88" t="s">
        <v>151</v>
      </c>
      <c r="G1781" s="89" t="s">
        <v>44</v>
      </c>
      <c r="H1781" s="89" t="s">
        <v>44</v>
      </c>
      <c r="I1781" s="89" t="s">
        <v>44</v>
      </c>
      <c r="J1781" s="89" t="s">
        <v>44</v>
      </c>
      <c r="K1781" s="90">
        <v>56339252</v>
      </c>
    </row>
    <row r="1782" ht="15.75" customHeight="1" spans="1:11">
      <c r="A1782" s="87">
        <v>1781</v>
      </c>
      <c r="B1782" s="88" t="s">
        <v>28</v>
      </c>
      <c r="C1782" s="88" t="s">
        <v>132</v>
      </c>
      <c r="D1782" s="87">
        <v>2026</v>
      </c>
      <c r="E1782" s="88" t="s">
        <v>36</v>
      </c>
      <c r="F1782" s="88" t="s">
        <v>152</v>
      </c>
      <c r="G1782" s="89" t="s">
        <v>44</v>
      </c>
      <c r="H1782" s="89" t="s">
        <v>44</v>
      </c>
      <c r="I1782" s="89" t="s">
        <v>44</v>
      </c>
      <c r="J1782" s="89" t="s">
        <v>44</v>
      </c>
      <c r="K1782" s="90">
        <v>834057</v>
      </c>
    </row>
    <row r="1783" ht="15.75" customHeight="1" spans="1:11">
      <c r="A1783" s="87">
        <v>1782</v>
      </c>
      <c r="B1783" s="88" t="s">
        <v>28</v>
      </c>
      <c r="C1783" s="88" t="s">
        <v>132</v>
      </c>
      <c r="D1783" s="87">
        <v>2026</v>
      </c>
      <c r="E1783" s="88" t="s">
        <v>36</v>
      </c>
      <c r="F1783" s="88" t="s">
        <v>150</v>
      </c>
      <c r="G1783" s="89" t="s">
        <v>44</v>
      </c>
      <c r="H1783" s="89" t="s">
        <v>44</v>
      </c>
      <c r="I1783" s="89" t="s">
        <v>44</v>
      </c>
      <c r="J1783" s="89" t="s">
        <v>44</v>
      </c>
      <c r="K1783" s="90">
        <v>44452</v>
      </c>
    </row>
    <row r="1784" ht="15.75" customHeight="1" spans="1:11">
      <c r="A1784" s="87">
        <v>1783</v>
      </c>
      <c r="B1784" s="88" t="s">
        <v>28</v>
      </c>
      <c r="C1784" s="88" t="s">
        <v>132</v>
      </c>
      <c r="D1784" s="87">
        <v>2026</v>
      </c>
      <c r="E1784" s="88" t="s">
        <v>36</v>
      </c>
      <c r="F1784" s="88" t="s">
        <v>151</v>
      </c>
      <c r="G1784" s="89" t="s">
        <v>44</v>
      </c>
      <c r="H1784" s="89" t="s">
        <v>44</v>
      </c>
      <c r="I1784" s="89" t="s">
        <v>44</v>
      </c>
      <c r="J1784" s="89" t="s">
        <v>44</v>
      </c>
      <c r="K1784" s="90">
        <v>7271097</v>
      </c>
    </row>
    <row r="1785" ht="15.75" customHeight="1" spans="1:11">
      <c r="A1785" s="87">
        <v>1784</v>
      </c>
      <c r="B1785" s="88" t="s">
        <v>46</v>
      </c>
      <c r="C1785" s="88" t="s">
        <v>47</v>
      </c>
      <c r="D1785" s="87">
        <v>2026</v>
      </c>
      <c r="E1785" s="88" t="s">
        <v>36</v>
      </c>
      <c r="F1785" s="88" t="s">
        <v>152</v>
      </c>
      <c r="G1785" s="89" t="s">
        <v>44</v>
      </c>
      <c r="H1785" s="89" t="s">
        <v>44</v>
      </c>
      <c r="I1785" s="89" t="s">
        <v>44</v>
      </c>
      <c r="J1785" s="89" t="s">
        <v>44</v>
      </c>
      <c r="K1785" s="90">
        <v>212605</v>
      </c>
    </row>
    <row r="1786" ht="15.75" customHeight="1" spans="1:11">
      <c r="A1786" s="87">
        <v>1785</v>
      </c>
      <c r="B1786" s="88" t="s">
        <v>46</v>
      </c>
      <c r="C1786" s="88" t="s">
        <v>47</v>
      </c>
      <c r="D1786" s="87">
        <v>2026</v>
      </c>
      <c r="E1786" s="88" t="s">
        <v>36</v>
      </c>
      <c r="F1786" s="88" t="s">
        <v>150</v>
      </c>
      <c r="G1786" s="89" t="s">
        <v>44</v>
      </c>
      <c r="H1786" s="89" t="s">
        <v>44</v>
      </c>
      <c r="I1786" s="89" t="s">
        <v>44</v>
      </c>
      <c r="J1786" s="89" t="s">
        <v>44</v>
      </c>
      <c r="K1786" s="90">
        <v>18040</v>
      </c>
    </row>
    <row r="1787" ht="15.75" customHeight="1" spans="1:11">
      <c r="A1787" s="87">
        <v>1786</v>
      </c>
      <c r="B1787" s="88" t="s">
        <v>46</v>
      </c>
      <c r="C1787" s="88" t="s">
        <v>47</v>
      </c>
      <c r="D1787" s="87">
        <v>2026</v>
      </c>
      <c r="E1787" s="88" t="s">
        <v>36</v>
      </c>
      <c r="F1787" s="88" t="s">
        <v>151</v>
      </c>
      <c r="G1787" s="89" t="s">
        <v>44</v>
      </c>
      <c r="H1787" s="89" t="s">
        <v>44</v>
      </c>
      <c r="I1787" s="89" t="s">
        <v>44</v>
      </c>
      <c r="J1787" s="89" t="s">
        <v>44</v>
      </c>
      <c r="K1787" s="90">
        <v>7215820</v>
      </c>
    </row>
    <row r="1788" ht="15.75" customHeight="1" spans="1:11">
      <c r="A1788" s="87">
        <v>1787</v>
      </c>
      <c r="B1788" s="88" t="s">
        <v>46</v>
      </c>
      <c r="C1788" s="88" t="s">
        <v>133</v>
      </c>
      <c r="D1788" s="87">
        <v>2026</v>
      </c>
      <c r="E1788" s="88" t="s">
        <v>36</v>
      </c>
      <c r="F1788" s="88" t="s">
        <v>152</v>
      </c>
      <c r="G1788" s="89" t="s">
        <v>44</v>
      </c>
      <c r="H1788" s="89" t="s">
        <v>44</v>
      </c>
      <c r="I1788" s="89" t="s">
        <v>44</v>
      </c>
      <c r="J1788" s="89" t="s">
        <v>44</v>
      </c>
      <c r="K1788" s="90">
        <v>403864</v>
      </c>
    </row>
    <row r="1789" ht="15.75" customHeight="1" spans="1:11">
      <c r="A1789" s="87">
        <v>1788</v>
      </c>
      <c r="B1789" s="88" t="s">
        <v>46</v>
      </c>
      <c r="C1789" s="88" t="s">
        <v>133</v>
      </c>
      <c r="D1789" s="87">
        <v>2026</v>
      </c>
      <c r="E1789" s="88" t="s">
        <v>36</v>
      </c>
      <c r="F1789" s="88" t="s">
        <v>150</v>
      </c>
      <c r="G1789" s="89" t="s">
        <v>44</v>
      </c>
      <c r="H1789" s="89" t="s">
        <v>44</v>
      </c>
      <c r="I1789" s="89" t="s">
        <v>44</v>
      </c>
      <c r="J1789" s="89" t="s">
        <v>44</v>
      </c>
      <c r="K1789" s="89">
        <v>994</v>
      </c>
    </row>
    <row r="1790" ht="15.75" customHeight="1" spans="1:11">
      <c r="A1790" s="87">
        <v>1789</v>
      </c>
      <c r="B1790" s="88" t="s">
        <v>46</v>
      </c>
      <c r="C1790" s="88" t="s">
        <v>133</v>
      </c>
      <c r="D1790" s="87">
        <v>2026</v>
      </c>
      <c r="E1790" s="88" t="s">
        <v>36</v>
      </c>
      <c r="F1790" s="88" t="s">
        <v>151</v>
      </c>
      <c r="G1790" s="89" t="s">
        <v>44</v>
      </c>
      <c r="H1790" s="89" t="s">
        <v>44</v>
      </c>
      <c r="I1790" s="89" t="s">
        <v>44</v>
      </c>
      <c r="J1790" s="89" t="s">
        <v>44</v>
      </c>
      <c r="K1790" s="90">
        <v>8563458</v>
      </c>
    </row>
    <row r="1791" ht="15.75" customHeight="1" spans="1:11">
      <c r="A1791" s="87">
        <v>1790</v>
      </c>
      <c r="B1791" s="88" t="s">
        <v>46</v>
      </c>
      <c r="C1791" s="88" t="s">
        <v>134</v>
      </c>
      <c r="D1791" s="87">
        <v>2026</v>
      </c>
      <c r="E1791" s="88" t="s">
        <v>36</v>
      </c>
      <c r="F1791" s="88" t="s">
        <v>152</v>
      </c>
      <c r="G1791" s="89" t="s">
        <v>44</v>
      </c>
      <c r="H1791" s="89" t="s">
        <v>44</v>
      </c>
      <c r="I1791" s="89" t="s">
        <v>44</v>
      </c>
      <c r="J1791" s="89" t="s">
        <v>44</v>
      </c>
      <c r="K1791" s="90">
        <v>239471</v>
      </c>
    </row>
    <row r="1792" ht="15.75" customHeight="1" spans="1:11">
      <c r="A1792" s="87">
        <v>1791</v>
      </c>
      <c r="B1792" s="88" t="s">
        <v>46</v>
      </c>
      <c r="C1792" s="88" t="s">
        <v>134</v>
      </c>
      <c r="D1792" s="87">
        <v>2026</v>
      </c>
      <c r="E1792" s="88" t="s">
        <v>36</v>
      </c>
      <c r="F1792" s="88" t="s">
        <v>150</v>
      </c>
      <c r="G1792" s="89" t="s">
        <v>44</v>
      </c>
      <c r="H1792" s="89" t="s">
        <v>44</v>
      </c>
      <c r="I1792" s="89" t="s">
        <v>44</v>
      </c>
      <c r="J1792" s="89" t="s">
        <v>44</v>
      </c>
      <c r="K1792" s="89">
        <v>105</v>
      </c>
    </row>
    <row r="1793" ht="15.75" customHeight="1" spans="1:11">
      <c r="A1793" s="87">
        <v>1792</v>
      </c>
      <c r="B1793" s="88" t="s">
        <v>46</v>
      </c>
      <c r="C1793" s="88" t="s">
        <v>134</v>
      </c>
      <c r="D1793" s="87">
        <v>2026</v>
      </c>
      <c r="E1793" s="88" t="s">
        <v>36</v>
      </c>
      <c r="F1793" s="88" t="s">
        <v>151</v>
      </c>
      <c r="G1793" s="89" t="s">
        <v>44</v>
      </c>
      <c r="H1793" s="89" t="s">
        <v>44</v>
      </c>
      <c r="I1793" s="89" t="s">
        <v>44</v>
      </c>
      <c r="J1793" s="89" t="s">
        <v>44</v>
      </c>
      <c r="K1793" s="90">
        <v>6599111</v>
      </c>
    </row>
    <row r="1794" ht="15.75" customHeight="1" spans="1:11">
      <c r="A1794" s="87">
        <v>1793</v>
      </c>
      <c r="B1794" s="88" t="s">
        <v>46</v>
      </c>
      <c r="C1794" s="88" t="s">
        <v>135</v>
      </c>
      <c r="D1794" s="87">
        <v>2026</v>
      </c>
      <c r="E1794" s="88" t="s">
        <v>36</v>
      </c>
      <c r="F1794" s="88" t="s">
        <v>152</v>
      </c>
      <c r="G1794" s="89" t="s">
        <v>44</v>
      </c>
      <c r="H1794" s="89" t="s">
        <v>44</v>
      </c>
      <c r="I1794" s="89" t="s">
        <v>44</v>
      </c>
      <c r="J1794" s="89" t="s">
        <v>44</v>
      </c>
      <c r="K1794" s="90">
        <v>181769</v>
      </c>
    </row>
    <row r="1795" ht="15.75" customHeight="1" spans="1:11">
      <c r="A1795" s="87">
        <v>1794</v>
      </c>
      <c r="B1795" s="88" t="s">
        <v>46</v>
      </c>
      <c r="C1795" s="88" t="s">
        <v>135</v>
      </c>
      <c r="D1795" s="87">
        <v>2026</v>
      </c>
      <c r="E1795" s="88" t="s">
        <v>36</v>
      </c>
      <c r="F1795" s="88" t="s">
        <v>150</v>
      </c>
      <c r="G1795" s="89" t="s">
        <v>44</v>
      </c>
      <c r="H1795" s="89" t="s">
        <v>44</v>
      </c>
      <c r="I1795" s="89" t="s">
        <v>44</v>
      </c>
      <c r="J1795" s="89" t="s">
        <v>44</v>
      </c>
      <c r="K1795" s="89">
        <v>479</v>
      </c>
    </row>
    <row r="1796" ht="15.75" customHeight="1" spans="1:11">
      <c r="A1796" s="87">
        <v>1795</v>
      </c>
      <c r="B1796" s="88" t="s">
        <v>46</v>
      </c>
      <c r="C1796" s="88" t="s">
        <v>135</v>
      </c>
      <c r="D1796" s="87">
        <v>2026</v>
      </c>
      <c r="E1796" s="88" t="s">
        <v>36</v>
      </c>
      <c r="F1796" s="88" t="s">
        <v>151</v>
      </c>
      <c r="G1796" s="89" t="s">
        <v>44</v>
      </c>
      <c r="H1796" s="89" t="s">
        <v>44</v>
      </c>
      <c r="I1796" s="89" t="s">
        <v>44</v>
      </c>
      <c r="J1796" s="89" t="s">
        <v>44</v>
      </c>
      <c r="K1796" s="90">
        <v>4579671</v>
      </c>
    </row>
    <row r="1797" ht="15.75" customHeight="1" spans="1:11">
      <c r="A1797" s="87">
        <v>1796</v>
      </c>
      <c r="B1797" s="88" t="s">
        <v>46</v>
      </c>
      <c r="C1797" s="88" t="s">
        <v>156</v>
      </c>
      <c r="D1797" s="87">
        <v>2026</v>
      </c>
      <c r="E1797" s="88" t="s">
        <v>36</v>
      </c>
      <c r="F1797" s="88" t="s">
        <v>152</v>
      </c>
      <c r="G1797" s="89" t="s">
        <v>44</v>
      </c>
      <c r="H1797" s="89" t="s">
        <v>44</v>
      </c>
      <c r="I1797" s="89" t="s">
        <v>44</v>
      </c>
      <c r="J1797" s="89" t="s">
        <v>44</v>
      </c>
      <c r="K1797" s="90">
        <v>1424296</v>
      </c>
    </row>
    <row r="1798" ht="15.75" customHeight="1" spans="1:11">
      <c r="A1798" s="87">
        <v>1797</v>
      </c>
      <c r="B1798" s="88" t="s">
        <v>46</v>
      </c>
      <c r="C1798" s="88" t="s">
        <v>156</v>
      </c>
      <c r="D1798" s="87">
        <v>2026</v>
      </c>
      <c r="E1798" s="88" t="s">
        <v>36</v>
      </c>
      <c r="F1798" s="88" t="s">
        <v>150</v>
      </c>
      <c r="G1798" s="89" t="s">
        <v>44</v>
      </c>
      <c r="H1798" s="89" t="s">
        <v>44</v>
      </c>
      <c r="I1798" s="89" t="s">
        <v>44</v>
      </c>
      <c r="J1798" s="89" t="s">
        <v>44</v>
      </c>
      <c r="K1798" s="89">
        <v>172</v>
      </c>
    </row>
    <row r="1799" ht="15.75" customHeight="1" spans="1:11">
      <c r="A1799" s="87">
        <v>1798</v>
      </c>
      <c r="B1799" s="88" t="s">
        <v>46</v>
      </c>
      <c r="C1799" s="88" t="s">
        <v>156</v>
      </c>
      <c r="D1799" s="87">
        <v>2026</v>
      </c>
      <c r="E1799" s="88" t="s">
        <v>36</v>
      </c>
      <c r="F1799" s="88" t="s">
        <v>151</v>
      </c>
      <c r="G1799" s="89" t="s">
        <v>44</v>
      </c>
      <c r="H1799" s="89" t="s">
        <v>44</v>
      </c>
      <c r="I1799" s="89" t="s">
        <v>44</v>
      </c>
      <c r="J1799" s="89" t="s">
        <v>44</v>
      </c>
      <c r="K1799" s="90">
        <v>25195986</v>
      </c>
    </row>
    <row r="1800" ht="15.75" customHeight="1" spans="1:11">
      <c r="A1800" s="87">
        <v>1799</v>
      </c>
      <c r="B1800" s="88" t="s">
        <v>46</v>
      </c>
      <c r="C1800" s="88" t="s">
        <v>137</v>
      </c>
      <c r="D1800" s="87">
        <v>2026</v>
      </c>
      <c r="E1800" s="88" t="s">
        <v>36</v>
      </c>
      <c r="F1800" s="88" t="s">
        <v>152</v>
      </c>
      <c r="G1800" s="89" t="s">
        <v>44</v>
      </c>
      <c r="H1800" s="89" t="s">
        <v>44</v>
      </c>
      <c r="I1800" s="89" t="s">
        <v>44</v>
      </c>
      <c r="J1800" s="89" t="s">
        <v>44</v>
      </c>
      <c r="K1800" s="90">
        <v>197043</v>
      </c>
    </row>
    <row r="1801" ht="15.75" customHeight="1" spans="1:11">
      <c r="A1801" s="87">
        <v>1800</v>
      </c>
      <c r="B1801" s="88" t="s">
        <v>46</v>
      </c>
      <c r="C1801" s="88" t="s">
        <v>137</v>
      </c>
      <c r="D1801" s="87">
        <v>2026</v>
      </c>
      <c r="E1801" s="88" t="s">
        <v>36</v>
      </c>
      <c r="F1801" s="88" t="s">
        <v>150</v>
      </c>
      <c r="G1801" s="89" t="s">
        <v>44</v>
      </c>
      <c r="H1801" s="89" t="s">
        <v>44</v>
      </c>
      <c r="I1801" s="89" t="s">
        <v>44</v>
      </c>
      <c r="J1801" s="89" t="s">
        <v>44</v>
      </c>
      <c r="K1801" s="89">
        <v>608</v>
      </c>
    </row>
    <row r="1802" ht="15.75" customHeight="1" spans="1:11">
      <c r="A1802" s="87">
        <v>1801</v>
      </c>
      <c r="B1802" s="88" t="s">
        <v>46</v>
      </c>
      <c r="C1802" s="88" t="s">
        <v>137</v>
      </c>
      <c r="D1802" s="87">
        <v>2026</v>
      </c>
      <c r="E1802" s="88" t="s">
        <v>36</v>
      </c>
      <c r="F1802" s="88" t="s">
        <v>151</v>
      </c>
      <c r="G1802" s="89" t="s">
        <v>44</v>
      </c>
      <c r="H1802" s="89" t="s">
        <v>44</v>
      </c>
      <c r="I1802" s="89" t="s">
        <v>44</v>
      </c>
      <c r="J1802" s="89" t="s">
        <v>44</v>
      </c>
      <c r="K1802" s="90">
        <v>6070422</v>
      </c>
    </row>
    <row r="1803" ht="15.75" customHeight="1" spans="1:11">
      <c r="A1803" s="87">
        <v>1802</v>
      </c>
      <c r="B1803" s="88" t="s">
        <v>46</v>
      </c>
      <c r="C1803" s="88" t="s">
        <v>158</v>
      </c>
      <c r="D1803" s="87">
        <v>2026</v>
      </c>
      <c r="E1803" s="88" t="s">
        <v>36</v>
      </c>
      <c r="F1803" s="88" t="s">
        <v>152</v>
      </c>
      <c r="G1803" s="89" t="s">
        <v>44</v>
      </c>
      <c r="H1803" s="89" t="s">
        <v>44</v>
      </c>
      <c r="I1803" s="89" t="s">
        <v>44</v>
      </c>
      <c r="J1803" s="89" t="s">
        <v>44</v>
      </c>
      <c r="K1803" s="90">
        <v>259211</v>
      </c>
    </row>
    <row r="1804" ht="15.75" customHeight="1" spans="1:11">
      <c r="A1804" s="87">
        <v>1803</v>
      </c>
      <c r="B1804" s="88" t="s">
        <v>46</v>
      </c>
      <c r="C1804" s="88" t="s">
        <v>158</v>
      </c>
      <c r="D1804" s="87">
        <v>2026</v>
      </c>
      <c r="E1804" s="88" t="s">
        <v>36</v>
      </c>
      <c r="F1804" s="88" t="s">
        <v>150</v>
      </c>
      <c r="G1804" s="89" t="s">
        <v>44</v>
      </c>
      <c r="H1804" s="89" t="s">
        <v>44</v>
      </c>
      <c r="I1804" s="89" t="s">
        <v>44</v>
      </c>
      <c r="J1804" s="89" t="s">
        <v>44</v>
      </c>
      <c r="K1804" s="89">
        <v>132</v>
      </c>
    </row>
    <row r="1805" ht="15.75" customHeight="1" spans="1:11">
      <c r="A1805" s="87">
        <v>1804</v>
      </c>
      <c r="B1805" s="88" t="s">
        <v>46</v>
      </c>
      <c r="C1805" s="88" t="s">
        <v>158</v>
      </c>
      <c r="D1805" s="87">
        <v>2026</v>
      </c>
      <c r="E1805" s="88" t="s">
        <v>36</v>
      </c>
      <c r="F1805" s="88" t="s">
        <v>151</v>
      </c>
      <c r="G1805" s="89" t="s">
        <v>44</v>
      </c>
      <c r="H1805" s="89" t="s">
        <v>44</v>
      </c>
      <c r="I1805" s="89" t="s">
        <v>44</v>
      </c>
      <c r="J1805" s="89" t="s">
        <v>44</v>
      </c>
      <c r="K1805" s="90">
        <v>5666777</v>
      </c>
    </row>
    <row r="1806" ht="15.75" customHeight="1" spans="1:11">
      <c r="A1806" s="87">
        <v>1805</v>
      </c>
      <c r="B1806" s="88" t="s">
        <v>46</v>
      </c>
      <c r="C1806" s="88" t="s">
        <v>49</v>
      </c>
      <c r="D1806" s="87">
        <v>2026</v>
      </c>
      <c r="E1806" s="88" t="s">
        <v>36</v>
      </c>
      <c r="F1806" s="88" t="s">
        <v>157</v>
      </c>
      <c r="G1806" s="90">
        <v>6907</v>
      </c>
      <c r="H1806" s="89">
        <v>1</v>
      </c>
      <c r="I1806" s="89" t="s">
        <v>44</v>
      </c>
      <c r="J1806" s="89" t="s">
        <v>44</v>
      </c>
      <c r="K1806" s="90">
        <v>6907</v>
      </c>
    </row>
    <row r="1807" ht="15.75" customHeight="1" spans="1:11">
      <c r="A1807" s="87">
        <v>1806</v>
      </c>
      <c r="B1807" s="88" t="s">
        <v>46</v>
      </c>
      <c r="C1807" s="88" t="s">
        <v>49</v>
      </c>
      <c r="D1807" s="87">
        <v>2026</v>
      </c>
      <c r="E1807" s="88" t="s">
        <v>36</v>
      </c>
      <c r="F1807" s="88" t="s">
        <v>152</v>
      </c>
      <c r="G1807" s="89" t="s">
        <v>44</v>
      </c>
      <c r="H1807" s="89" t="s">
        <v>44</v>
      </c>
      <c r="I1807" s="89" t="s">
        <v>44</v>
      </c>
      <c r="J1807" s="89" t="s">
        <v>44</v>
      </c>
      <c r="K1807" s="90">
        <v>340401</v>
      </c>
    </row>
    <row r="1808" ht="15.75" customHeight="1" spans="1:11">
      <c r="A1808" s="87">
        <v>1807</v>
      </c>
      <c r="B1808" s="88" t="s">
        <v>46</v>
      </c>
      <c r="C1808" s="88" t="s">
        <v>49</v>
      </c>
      <c r="D1808" s="87">
        <v>2026</v>
      </c>
      <c r="E1808" s="88" t="s">
        <v>36</v>
      </c>
      <c r="F1808" s="88" t="s">
        <v>150</v>
      </c>
      <c r="G1808" s="89" t="s">
        <v>44</v>
      </c>
      <c r="H1808" s="89" t="s">
        <v>44</v>
      </c>
      <c r="I1808" s="89" t="s">
        <v>44</v>
      </c>
      <c r="J1808" s="89" t="s">
        <v>44</v>
      </c>
      <c r="K1808" s="90">
        <v>22416</v>
      </c>
    </row>
    <row r="1809" ht="15.75" customHeight="1" spans="1:11">
      <c r="A1809" s="87">
        <v>1808</v>
      </c>
      <c r="B1809" s="88" t="s">
        <v>46</v>
      </c>
      <c r="C1809" s="88" t="s">
        <v>49</v>
      </c>
      <c r="D1809" s="87">
        <v>2026</v>
      </c>
      <c r="E1809" s="88" t="s">
        <v>36</v>
      </c>
      <c r="F1809" s="88" t="s">
        <v>151</v>
      </c>
      <c r="G1809" s="89" t="s">
        <v>44</v>
      </c>
      <c r="H1809" s="89" t="s">
        <v>44</v>
      </c>
      <c r="I1809" s="89" t="s">
        <v>44</v>
      </c>
      <c r="J1809" s="89" t="s">
        <v>44</v>
      </c>
      <c r="K1809" s="90">
        <v>8016788</v>
      </c>
    </row>
    <row r="1810" ht="15.75" customHeight="1" spans="1:11">
      <c r="A1810" s="87">
        <v>1809</v>
      </c>
      <c r="B1810" s="88" t="s">
        <v>46</v>
      </c>
      <c r="C1810" s="88" t="s">
        <v>51</v>
      </c>
      <c r="D1810" s="87">
        <v>2026</v>
      </c>
      <c r="E1810" s="88" t="s">
        <v>36</v>
      </c>
      <c r="F1810" s="88" t="s">
        <v>160</v>
      </c>
      <c r="G1810" s="90">
        <v>7870837</v>
      </c>
      <c r="H1810" s="90">
        <v>1120</v>
      </c>
      <c r="I1810" s="89" t="s">
        <v>44</v>
      </c>
      <c r="J1810" s="89" t="s">
        <v>44</v>
      </c>
      <c r="K1810" s="90">
        <v>7870837</v>
      </c>
    </row>
    <row r="1811" ht="15.75" customHeight="1" spans="1:11">
      <c r="A1811" s="87">
        <v>1810</v>
      </c>
      <c r="B1811" s="88" t="s">
        <v>46</v>
      </c>
      <c r="C1811" s="88" t="s">
        <v>51</v>
      </c>
      <c r="D1811" s="87">
        <v>2026</v>
      </c>
      <c r="E1811" s="88" t="s">
        <v>36</v>
      </c>
      <c r="F1811" s="88" t="s">
        <v>153</v>
      </c>
      <c r="G1811" s="90">
        <v>13842</v>
      </c>
      <c r="H1811" s="89">
        <v>1</v>
      </c>
      <c r="I1811" s="89" t="s">
        <v>44</v>
      </c>
      <c r="J1811" s="89" t="s">
        <v>44</v>
      </c>
      <c r="K1811" s="90">
        <v>13842</v>
      </c>
    </row>
    <row r="1812" ht="15.75" customHeight="1" spans="1:11">
      <c r="A1812" s="87">
        <v>1811</v>
      </c>
      <c r="B1812" s="88" t="s">
        <v>46</v>
      </c>
      <c r="C1812" s="88" t="s">
        <v>51</v>
      </c>
      <c r="D1812" s="87">
        <v>2026</v>
      </c>
      <c r="E1812" s="88" t="s">
        <v>36</v>
      </c>
      <c r="F1812" s="88" t="s">
        <v>152</v>
      </c>
      <c r="G1812" s="89" t="s">
        <v>44</v>
      </c>
      <c r="H1812" s="89" t="s">
        <v>44</v>
      </c>
      <c r="I1812" s="89" t="s">
        <v>44</v>
      </c>
      <c r="J1812" s="89" t="s">
        <v>44</v>
      </c>
      <c r="K1812" s="90">
        <v>30175418</v>
      </c>
    </row>
    <row r="1813" ht="15.75" customHeight="1" spans="1:11">
      <c r="A1813" s="87">
        <v>1812</v>
      </c>
      <c r="B1813" s="88" t="s">
        <v>46</v>
      </c>
      <c r="C1813" s="88" t="s">
        <v>51</v>
      </c>
      <c r="D1813" s="87">
        <v>2026</v>
      </c>
      <c r="E1813" s="88" t="s">
        <v>36</v>
      </c>
      <c r="F1813" s="88" t="s">
        <v>150</v>
      </c>
      <c r="G1813" s="89" t="s">
        <v>44</v>
      </c>
      <c r="H1813" s="89" t="s">
        <v>44</v>
      </c>
      <c r="I1813" s="89" t="s">
        <v>44</v>
      </c>
      <c r="J1813" s="89" t="s">
        <v>44</v>
      </c>
      <c r="K1813" s="90">
        <v>4137054</v>
      </c>
    </row>
    <row r="1814" ht="15.75" customHeight="1" spans="1:11">
      <c r="A1814" s="87">
        <v>1813</v>
      </c>
      <c r="B1814" s="88" t="s">
        <v>46</v>
      </c>
      <c r="C1814" s="88" t="s">
        <v>51</v>
      </c>
      <c r="D1814" s="87">
        <v>2026</v>
      </c>
      <c r="E1814" s="88" t="s">
        <v>36</v>
      </c>
      <c r="F1814" s="88" t="s">
        <v>151</v>
      </c>
      <c r="G1814" s="89" t="s">
        <v>44</v>
      </c>
      <c r="H1814" s="89" t="s">
        <v>44</v>
      </c>
      <c r="I1814" s="89" t="s">
        <v>44</v>
      </c>
      <c r="J1814" s="89" t="s">
        <v>44</v>
      </c>
      <c r="K1814" s="90">
        <v>445048307</v>
      </c>
    </row>
    <row r="1815" ht="15.75" customHeight="1" spans="1:11">
      <c r="A1815" s="87">
        <v>1814</v>
      </c>
      <c r="B1815" s="88" t="s">
        <v>46</v>
      </c>
      <c r="C1815" s="88" t="s">
        <v>51</v>
      </c>
      <c r="D1815" s="87">
        <v>2026</v>
      </c>
      <c r="E1815" s="88" t="s">
        <v>36</v>
      </c>
      <c r="F1815" s="88" t="s">
        <v>162</v>
      </c>
      <c r="G1815" s="89" t="s">
        <v>44</v>
      </c>
      <c r="H1815" s="89" t="s">
        <v>44</v>
      </c>
      <c r="I1815" s="89" t="s">
        <v>44</v>
      </c>
      <c r="J1815" s="89" t="s">
        <v>44</v>
      </c>
      <c r="K1815" s="90">
        <v>64358035</v>
      </c>
    </row>
    <row r="1816" ht="15.75" customHeight="1" spans="1:11">
      <c r="A1816" s="87">
        <v>1815</v>
      </c>
      <c r="B1816" s="88" t="s">
        <v>46</v>
      </c>
      <c r="C1816" s="88" t="s">
        <v>51</v>
      </c>
      <c r="D1816" s="87">
        <v>2026</v>
      </c>
      <c r="E1816" s="88" t="s">
        <v>36</v>
      </c>
      <c r="F1816" s="88" t="s">
        <v>149</v>
      </c>
      <c r="G1816" s="89" t="s">
        <v>44</v>
      </c>
      <c r="H1816" s="90">
        <v>2782</v>
      </c>
      <c r="I1816" s="90">
        <v>290016750</v>
      </c>
      <c r="J1816" s="90">
        <v>2365</v>
      </c>
      <c r="K1816" s="90">
        <v>10184890</v>
      </c>
    </row>
    <row r="1817" ht="15.75" customHeight="1" spans="1:11">
      <c r="A1817" s="87">
        <v>1816</v>
      </c>
      <c r="B1817" s="88" t="s">
        <v>46</v>
      </c>
      <c r="C1817" s="88" t="s">
        <v>139</v>
      </c>
      <c r="D1817" s="87">
        <v>2026</v>
      </c>
      <c r="E1817" s="88" t="s">
        <v>36</v>
      </c>
      <c r="F1817" s="88" t="s">
        <v>149</v>
      </c>
      <c r="G1817" s="89" t="s">
        <v>44</v>
      </c>
      <c r="H1817" s="90">
        <v>2402</v>
      </c>
      <c r="I1817" s="90">
        <v>250294329</v>
      </c>
      <c r="J1817" s="90">
        <v>1925</v>
      </c>
      <c r="K1817" s="90">
        <v>8694305</v>
      </c>
    </row>
    <row r="1818" ht="15.75" customHeight="1" spans="1:11">
      <c r="A1818" s="87">
        <v>1817</v>
      </c>
      <c r="B1818" s="88" t="s">
        <v>46</v>
      </c>
      <c r="C1818" s="88" t="s">
        <v>139</v>
      </c>
      <c r="D1818" s="87">
        <v>2026</v>
      </c>
      <c r="E1818" s="88" t="s">
        <v>36</v>
      </c>
      <c r="F1818" s="88" t="s">
        <v>152</v>
      </c>
      <c r="G1818" s="89" t="s">
        <v>44</v>
      </c>
      <c r="H1818" s="89" t="s">
        <v>44</v>
      </c>
      <c r="I1818" s="89" t="s">
        <v>44</v>
      </c>
      <c r="J1818" s="89" t="s">
        <v>44</v>
      </c>
      <c r="K1818" s="90">
        <v>4683191</v>
      </c>
    </row>
    <row r="1819" ht="15.75" customHeight="1" spans="1:11">
      <c r="A1819" s="87">
        <v>1818</v>
      </c>
      <c r="B1819" s="88" t="s">
        <v>46</v>
      </c>
      <c r="C1819" s="88" t="s">
        <v>139</v>
      </c>
      <c r="D1819" s="87">
        <v>2026</v>
      </c>
      <c r="E1819" s="88" t="s">
        <v>36</v>
      </c>
      <c r="F1819" s="88" t="s">
        <v>150</v>
      </c>
      <c r="G1819" s="89" t="s">
        <v>44</v>
      </c>
      <c r="H1819" s="89" t="s">
        <v>44</v>
      </c>
      <c r="I1819" s="89" t="s">
        <v>44</v>
      </c>
      <c r="J1819" s="89" t="s">
        <v>44</v>
      </c>
      <c r="K1819" s="90">
        <v>6769</v>
      </c>
    </row>
    <row r="1820" ht="15.75" customHeight="1" spans="1:11">
      <c r="A1820" s="87">
        <v>1819</v>
      </c>
      <c r="B1820" s="88" t="s">
        <v>46</v>
      </c>
      <c r="C1820" s="88" t="s">
        <v>139</v>
      </c>
      <c r="D1820" s="87">
        <v>2026</v>
      </c>
      <c r="E1820" s="88" t="s">
        <v>36</v>
      </c>
      <c r="F1820" s="88" t="s">
        <v>151</v>
      </c>
      <c r="G1820" s="89" t="s">
        <v>44</v>
      </c>
      <c r="H1820" s="89" t="s">
        <v>44</v>
      </c>
      <c r="I1820" s="89" t="s">
        <v>44</v>
      </c>
      <c r="J1820" s="89" t="s">
        <v>44</v>
      </c>
      <c r="K1820" s="90">
        <v>36470358</v>
      </c>
    </row>
    <row r="1821" ht="15.75" customHeight="1" spans="1:11">
      <c r="A1821" s="87">
        <v>1820</v>
      </c>
      <c r="B1821" s="88" t="s">
        <v>46</v>
      </c>
      <c r="C1821" s="88" t="s">
        <v>52</v>
      </c>
      <c r="D1821" s="87">
        <v>2026</v>
      </c>
      <c r="E1821" s="88" t="s">
        <v>36</v>
      </c>
      <c r="F1821" s="88" t="s">
        <v>149</v>
      </c>
      <c r="G1821" s="89" t="s">
        <v>44</v>
      </c>
      <c r="H1821" s="89">
        <v>5</v>
      </c>
      <c r="I1821" s="90">
        <v>320124</v>
      </c>
      <c r="J1821" s="89">
        <v>5</v>
      </c>
      <c r="K1821" s="90">
        <v>17287</v>
      </c>
    </row>
    <row r="1822" ht="15.75" customHeight="1" spans="1:11">
      <c r="A1822" s="87">
        <v>1821</v>
      </c>
      <c r="B1822" s="88" t="s">
        <v>46</v>
      </c>
      <c r="C1822" s="88" t="s">
        <v>52</v>
      </c>
      <c r="D1822" s="87">
        <v>2026</v>
      </c>
      <c r="E1822" s="88" t="s">
        <v>36</v>
      </c>
      <c r="F1822" s="88" t="s">
        <v>152</v>
      </c>
      <c r="G1822" s="89" t="s">
        <v>44</v>
      </c>
      <c r="H1822" s="89" t="s">
        <v>44</v>
      </c>
      <c r="I1822" s="89" t="s">
        <v>44</v>
      </c>
      <c r="J1822" s="89" t="s">
        <v>44</v>
      </c>
      <c r="K1822" s="90">
        <v>478777</v>
      </c>
    </row>
    <row r="1823" ht="15.75" customHeight="1" spans="1:11">
      <c r="A1823" s="87">
        <v>1822</v>
      </c>
      <c r="B1823" s="88" t="s">
        <v>46</v>
      </c>
      <c r="C1823" s="88" t="s">
        <v>52</v>
      </c>
      <c r="D1823" s="87">
        <v>2026</v>
      </c>
      <c r="E1823" s="88" t="s">
        <v>36</v>
      </c>
      <c r="F1823" s="88" t="s">
        <v>150</v>
      </c>
      <c r="G1823" s="89" t="s">
        <v>44</v>
      </c>
      <c r="H1823" s="89" t="s">
        <v>44</v>
      </c>
      <c r="I1823" s="89" t="s">
        <v>44</v>
      </c>
      <c r="J1823" s="89" t="s">
        <v>44</v>
      </c>
      <c r="K1823" s="90">
        <v>23606</v>
      </c>
    </row>
    <row r="1824" ht="15.75" customHeight="1" spans="1:11">
      <c r="A1824" s="87">
        <v>1823</v>
      </c>
      <c r="B1824" s="88" t="s">
        <v>46</v>
      </c>
      <c r="C1824" s="88" t="s">
        <v>52</v>
      </c>
      <c r="D1824" s="87">
        <v>2026</v>
      </c>
      <c r="E1824" s="88" t="s">
        <v>36</v>
      </c>
      <c r="F1824" s="88" t="s">
        <v>151</v>
      </c>
      <c r="G1824" s="89" t="s">
        <v>44</v>
      </c>
      <c r="H1824" s="89" t="s">
        <v>44</v>
      </c>
      <c r="I1824" s="89" t="s">
        <v>44</v>
      </c>
      <c r="J1824" s="89" t="s">
        <v>44</v>
      </c>
      <c r="K1824" s="90">
        <v>11376659</v>
      </c>
    </row>
    <row r="1825" ht="15.75" customHeight="1" spans="1:11">
      <c r="A1825" s="87">
        <v>1824</v>
      </c>
      <c r="B1825" s="88" t="s">
        <v>46</v>
      </c>
      <c r="C1825" s="88" t="s">
        <v>140</v>
      </c>
      <c r="D1825" s="87">
        <v>2026</v>
      </c>
      <c r="E1825" s="88" t="s">
        <v>36</v>
      </c>
      <c r="F1825" s="88" t="s">
        <v>152</v>
      </c>
      <c r="G1825" s="89" t="s">
        <v>44</v>
      </c>
      <c r="H1825" s="89" t="s">
        <v>44</v>
      </c>
      <c r="I1825" s="89" t="s">
        <v>44</v>
      </c>
      <c r="J1825" s="89" t="s">
        <v>44</v>
      </c>
      <c r="K1825" s="90">
        <v>680368</v>
      </c>
    </row>
    <row r="1826" ht="15.75" customHeight="1" spans="1:11">
      <c r="A1826" s="87">
        <v>1825</v>
      </c>
      <c r="B1826" s="88" t="s">
        <v>46</v>
      </c>
      <c r="C1826" s="88" t="s">
        <v>140</v>
      </c>
      <c r="D1826" s="87">
        <v>2026</v>
      </c>
      <c r="E1826" s="88" t="s">
        <v>36</v>
      </c>
      <c r="F1826" s="88" t="s">
        <v>150</v>
      </c>
      <c r="G1826" s="89" t="s">
        <v>44</v>
      </c>
      <c r="H1826" s="89" t="s">
        <v>44</v>
      </c>
      <c r="I1826" s="89" t="s">
        <v>44</v>
      </c>
      <c r="J1826" s="89" t="s">
        <v>44</v>
      </c>
      <c r="K1826" s="90">
        <v>56870</v>
      </c>
    </row>
    <row r="1827" ht="15.75" customHeight="1" spans="1:11">
      <c r="A1827" s="87">
        <v>1826</v>
      </c>
      <c r="B1827" s="88" t="s">
        <v>46</v>
      </c>
      <c r="C1827" s="88" t="s">
        <v>140</v>
      </c>
      <c r="D1827" s="87">
        <v>2026</v>
      </c>
      <c r="E1827" s="88" t="s">
        <v>36</v>
      </c>
      <c r="F1827" s="88" t="s">
        <v>151</v>
      </c>
      <c r="G1827" s="89" t="s">
        <v>44</v>
      </c>
      <c r="H1827" s="89" t="s">
        <v>44</v>
      </c>
      <c r="I1827" s="89" t="s">
        <v>44</v>
      </c>
      <c r="J1827" s="89" t="s">
        <v>44</v>
      </c>
      <c r="K1827" s="90">
        <v>15154141</v>
      </c>
    </row>
    <row r="1828" ht="15.75" customHeight="1" spans="1:11">
      <c r="A1828" s="87">
        <v>1827</v>
      </c>
      <c r="B1828" s="88" t="s">
        <v>53</v>
      </c>
      <c r="C1828" s="88" t="s">
        <v>53</v>
      </c>
      <c r="D1828" s="87">
        <v>2026</v>
      </c>
      <c r="E1828" s="88" t="s">
        <v>36</v>
      </c>
      <c r="F1828" s="88" t="s">
        <v>149</v>
      </c>
      <c r="G1828" s="89" t="s">
        <v>44</v>
      </c>
      <c r="H1828" s="89">
        <v>113</v>
      </c>
      <c r="I1828" s="90">
        <v>17810704</v>
      </c>
      <c r="J1828" s="89">
        <v>98</v>
      </c>
      <c r="K1828" s="90">
        <v>409803</v>
      </c>
    </row>
    <row r="1829" ht="15.75" customHeight="1" spans="1:11">
      <c r="A1829" s="87">
        <v>1828</v>
      </c>
      <c r="B1829" s="88" t="s">
        <v>53</v>
      </c>
      <c r="C1829" s="88" t="s">
        <v>53</v>
      </c>
      <c r="D1829" s="87">
        <v>2026</v>
      </c>
      <c r="E1829" s="88" t="s">
        <v>36</v>
      </c>
      <c r="F1829" s="88" t="s">
        <v>152</v>
      </c>
      <c r="G1829" s="89" t="s">
        <v>44</v>
      </c>
      <c r="H1829" s="89" t="s">
        <v>44</v>
      </c>
      <c r="I1829" s="89" t="s">
        <v>44</v>
      </c>
      <c r="J1829" s="89" t="s">
        <v>44</v>
      </c>
      <c r="K1829" s="90">
        <v>3562949</v>
      </c>
    </row>
    <row r="1830" ht="15.75" customHeight="1" spans="1:11">
      <c r="A1830" s="87">
        <v>1829</v>
      </c>
      <c r="B1830" s="88" t="s">
        <v>53</v>
      </c>
      <c r="C1830" s="88" t="s">
        <v>53</v>
      </c>
      <c r="D1830" s="87">
        <v>2026</v>
      </c>
      <c r="E1830" s="88" t="s">
        <v>36</v>
      </c>
      <c r="F1830" s="88" t="s">
        <v>150</v>
      </c>
      <c r="G1830" s="89" t="s">
        <v>44</v>
      </c>
      <c r="H1830" s="89" t="s">
        <v>44</v>
      </c>
      <c r="I1830" s="89" t="s">
        <v>44</v>
      </c>
      <c r="J1830" s="89" t="s">
        <v>44</v>
      </c>
      <c r="K1830" s="90">
        <v>190320</v>
      </c>
    </row>
    <row r="1831" ht="15.75" customHeight="1" spans="1:11">
      <c r="A1831" s="87">
        <v>1830</v>
      </c>
      <c r="B1831" s="88" t="s">
        <v>53</v>
      </c>
      <c r="C1831" s="88" t="s">
        <v>53</v>
      </c>
      <c r="D1831" s="87">
        <v>2026</v>
      </c>
      <c r="E1831" s="88" t="s">
        <v>36</v>
      </c>
      <c r="F1831" s="88" t="s">
        <v>151</v>
      </c>
      <c r="G1831" s="89" t="s">
        <v>44</v>
      </c>
      <c r="H1831" s="89" t="s">
        <v>44</v>
      </c>
      <c r="I1831" s="89" t="s">
        <v>44</v>
      </c>
      <c r="J1831" s="89" t="s">
        <v>44</v>
      </c>
      <c r="K1831" s="90">
        <v>81515829</v>
      </c>
    </row>
    <row r="1832" ht="15.75" customHeight="1" spans="1:11">
      <c r="A1832" s="87">
        <v>1831</v>
      </c>
      <c r="B1832" s="88" t="s">
        <v>53</v>
      </c>
      <c r="C1832" s="88" t="s">
        <v>141</v>
      </c>
      <c r="D1832" s="87">
        <v>2026</v>
      </c>
      <c r="E1832" s="88" t="s">
        <v>36</v>
      </c>
      <c r="F1832" s="88" t="s">
        <v>149</v>
      </c>
      <c r="G1832" s="89" t="s">
        <v>44</v>
      </c>
      <c r="H1832" s="89">
        <v>2</v>
      </c>
      <c r="I1832" s="90">
        <v>25137</v>
      </c>
      <c r="J1832" s="89">
        <v>2</v>
      </c>
      <c r="K1832" s="90">
        <v>1357</v>
      </c>
    </row>
    <row r="1833" ht="15.75" customHeight="1" spans="1:11">
      <c r="A1833" s="87">
        <v>1832</v>
      </c>
      <c r="B1833" s="88" t="s">
        <v>53</v>
      </c>
      <c r="C1833" s="88" t="s">
        <v>141</v>
      </c>
      <c r="D1833" s="87">
        <v>2026</v>
      </c>
      <c r="E1833" s="88" t="s">
        <v>36</v>
      </c>
      <c r="F1833" s="88" t="s">
        <v>152</v>
      </c>
      <c r="G1833" s="89" t="s">
        <v>44</v>
      </c>
      <c r="H1833" s="89" t="s">
        <v>44</v>
      </c>
      <c r="I1833" s="89" t="s">
        <v>44</v>
      </c>
      <c r="J1833" s="89" t="s">
        <v>44</v>
      </c>
      <c r="K1833" s="90">
        <v>340363</v>
      </c>
    </row>
    <row r="1834" ht="15.75" customHeight="1" spans="1:11">
      <c r="A1834" s="87">
        <v>1833</v>
      </c>
      <c r="B1834" s="88" t="s">
        <v>53</v>
      </c>
      <c r="C1834" s="88" t="s">
        <v>141</v>
      </c>
      <c r="D1834" s="87">
        <v>2026</v>
      </c>
      <c r="E1834" s="88" t="s">
        <v>36</v>
      </c>
      <c r="F1834" s="88" t="s">
        <v>150</v>
      </c>
      <c r="G1834" s="89" t="s">
        <v>44</v>
      </c>
      <c r="H1834" s="89" t="s">
        <v>44</v>
      </c>
      <c r="I1834" s="89" t="s">
        <v>44</v>
      </c>
      <c r="J1834" s="89" t="s">
        <v>44</v>
      </c>
      <c r="K1834" s="90">
        <v>210800</v>
      </c>
    </row>
    <row r="1835" ht="15.75" customHeight="1" spans="1:11">
      <c r="A1835" s="87">
        <v>1834</v>
      </c>
      <c r="B1835" s="88" t="s">
        <v>53</v>
      </c>
      <c r="C1835" s="88" t="s">
        <v>141</v>
      </c>
      <c r="D1835" s="87">
        <v>2026</v>
      </c>
      <c r="E1835" s="88" t="s">
        <v>36</v>
      </c>
      <c r="F1835" s="88" t="s">
        <v>151</v>
      </c>
      <c r="G1835" s="89" t="s">
        <v>44</v>
      </c>
      <c r="H1835" s="89" t="s">
        <v>44</v>
      </c>
      <c r="I1835" s="89" t="s">
        <v>44</v>
      </c>
      <c r="J1835" s="89" t="s">
        <v>44</v>
      </c>
      <c r="K1835" s="90">
        <v>8815429</v>
      </c>
    </row>
    <row r="1836" ht="15.75" customHeight="1" spans="1:11">
      <c r="A1836" s="87">
        <v>1835</v>
      </c>
      <c r="B1836" s="88" t="s">
        <v>53</v>
      </c>
      <c r="C1836" s="88" t="s">
        <v>142</v>
      </c>
      <c r="D1836" s="87">
        <v>2026</v>
      </c>
      <c r="E1836" s="88" t="s">
        <v>36</v>
      </c>
      <c r="F1836" s="88" t="s">
        <v>152</v>
      </c>
      <c r="G1836" s="89" t="s">
        <v>44</v>
      </c>
      <c r="H1836" s="89" t="s">
        <v>44</v>
      </c>
      <c r="I1836" s="89" t="s">
        <v>44</v>
      </c>
      <c r="J1836" s="89" t="s">
        <v>44</v>
      </c>
      <c r="K1836" s="90">
        <v>10030</v>
      </c>
    </row>
    <row r="1837" ht="15.75" customHeight="1" spans="1:11">
      <c r="A1837" s="87">
        <v>1836</v>
      </c>
      <c r="B1837" s="88" t="s">
        <v>53</v>
      </c>
      <c r="C1837" s="88" t="s">
        <v>142</v>
      </c>
      <c r="D1837" s="87">
        <v>2026</v>
      </c>
      <c r="E1837" s="88" t="s">
        <v>36</v>
      </c>
      <c r="F1837" s="88" t="s">
        <v>150</v>
      </c>
      <c r="G1837" s="89" t="s">
        <v>44</v>
      </c>
      <c r="H1837" s="89" t="s">
        <v>44</v>
      </c>
      <c r="I1837" s="89" t="s">
        <v>44</v>
      </c>
      <c r="J1837" s="89" t="s">
        <v>44</v>
      </c>
      <c r="K1837" s="90">
        <v>6036</v>
      </c>
    </row>
    <row r="1838" ht="15.75" customHeight="1" spans="1:11">
      <c r="A1838" s="87">
        <v>1837</v>
      </c>
      <c r="B1838" s="88" t="s">
        <v>53</v>
      </c>
      <c r="C1838" s="88" t="s">
        <v>142</v>
      </c>
      <c r="D1838" s="87">
        <v>2026</v>
      </c>
      <c r="E1838" s="88" t="s">
        <v>36</v>
      </c>
      <c r="F1838" s="88" t="s">
        <v>151</v>
      </c>
      <c r="G1838" s="89" t="s">
        <v>44</v>
      </c>
      <c r="H1838" s="89" t="s">
        <v>44</v>
      </c>
      <c r="I1838" s="89" t="s">
        <v>44</v>
      </c>
      <c r="J1838" s="89" t="s">
        <v>44</v>
      </c>
      <c r="K1838" s="90">
        <v>668824</v>
      </c>
    </row>
    <row r="1839" ht="15.75" customHeight="1" spans="1:11">
      <c r="A1839" s="87">
        <v>1838</v>
      </c>
      <c r="B1839" s="88" t="s">
        <v>58</v>
      </c>
      <c r="C1839" s="88" t="s">
        <v>144</v>
      </c>
      <c r="D1839" s="87">
        <v>2026</v>
      </c>
      <c r="E1839" s="88" t="s">
        <v>36</v>
      </c>
      <c r="F1839" s="88" t="s">
        <v>152</v>
      </c>
      <c r="G1839" s="89" t="s">
        <v>44</v>
      </c>
      <c r="H1839" s="89" t="s">
        <v>44</v>
      </c>
      <c r="I1839" s="89" t="s">
        <v>44</v>
      </c>
      <c r="J1839" s="89" t="s">
        <v>44</v>
      </c>
      <c r="K1839" s="90">
        <v>4165</v>
      </c>
    </row>
    <row r="1840" ht="15.75" customHeight="1" spans="1:11">
      <c r="A1840" s="87">
        <v>1839</v>
      </c>
      <c r="B1840" s="88" t="s">
        <v>58</v>
      </c>
      <c r="C1840" s="88" t="s">
        <v>144</v>
      </c>
      <c r="D1840" s="87">
        <v>2026</v>
      </c>
      <c r="E1840" s="88" t="s">
        <v>36</v>
      </c>
      <c r="F1840" s="88" t="s">
        <v>150</v>
      </c>
      <c r="G1840" s="89" t="s">
        <v>44</v>
      </c>
      <c r="H1840" s="89" t="s">
        <v>44</v>
      </c>
      <c r="I1840" s="89" t="s">
        <v>44</v>
      </c>
      <c r="J1840" s="89" t="s">
        <v>44</v>
      </c>
      <c r="K1840" s="90">
        <v>3347</v>
      </c>
    </row>
    <row r="1841" ht="15.75" customHeight="1" spans="1:11">
      <c r="A1841" s="87">
        <v>1840</v>
      </c>
      <c r="B1841" s="88" t="s">
        <v>58</v>
      </c>
      <c r="C1841" s="88" t="s">
        <v>144</v>
      </c>
      <c r="D1841" s="87">
        <v>2026</v>
      </c>
      <c r="E1841" s="88" t="s">
        <v>36</v>
      </c>
      <c r="F1841" s="88" t="s">
        <v>151</v>
      </c>
      <c r="G1841" s="89" t="s">
        <v>44</v>
      </c>
      <c r="H1841" s="89" t="s">
        <v>44</v>
      </c>
      <c r="I1841" s="89" t="s">
        <v>44</v>
      </c>
      <c r="J1841" s="89" t="s">
        <v>44</v>
      </c>
      <c r="K1841" s="90">
        <v>231527</v>
      </c>
    </row>
    <row r="1842" ht="15.75" customHeight="1" spans="1:11">
      <c r="A1842" s="87">
        <v>1841</v>
      </c>
      <c r="B1842" s="88" t="s">
        <v>58</v>
      </c>
      <c r="C1842" s="88" t="s">
        <v>146</v>
      </c>
      <c r="D1842" s="87">
        <v>2026</v>
      </c>
      <c r="E1842" s="88" t="s">
        <v>36</v>
      </c>
      <c r="F1842" s="88" t="s">
        <v>152</v>
      </c>
      <c r="G1842" s="89" t="s">
        <v>44</v>
      </c>
      <c r="H1842" s="89" t="s">
        <v>44</v>
      </c>
      <c r="I1842" s="89" t="s">
        <v>44</v>
      </c>
      <c r="J1842" s="89" t="s">
        <v>44</v>
      </c>
      <c r="K1842" s="90">
        <v>448363</v>
      </c>
    </row>
    <row r="1843" ht="15.75" customHeight="1" spans="1:11">
      <c r="A1843" s="87">
        <v>1842</v>
      </c>
      <c r="B1843" s="88" t="s">
        <v>58</v>
      </c>
      <c r="C1843" s="88" t="s">
        <v>146</v>
      </c>
      <c r="D1843" s="87">
        <v>2026</v>
      </c>
      <c r="E1843" s="88" t="s">
        <v>36</v>
      </c>
      <c r="F1843" s="88" t="s">
        <v>150</v>
      </c>
      <c r="G1843" s="89" t="s">
        <v>44</v>
      </c>
      <c r="H1843" s="89" t="s">
        <v>44</v>
      </c>
      <c r="I1843" s="89" t="s">
        <v>44</v>
      </c>
      <c r="J1843" s="89" t="s">
        <v>44</v>
      </c>
      <c r="K1843" s="90">
        <v>56635</v>
      </c>
    </row>
    <row r="1844" ht="15.75" customHeight="1" spans="1:11">
      <c r="A1844" s="87">
        <v>1843</v>
      </c>
      <c r="B1844" s="88" t="s">
        <v>58</v>
      </c>
      <c r="C1844" s="88" t="s">
        <v>146</v>
      </c>
      <c r="D1844" s="87">
        <v>2026</v>
      </c>
      <c r="E1844" s="88" t="s">
        <v>36</v>
      </c>
      <c r="F1844" s="88" t="s">
        <v>151</v>
      </c>
      <c r="G1844" s="89" t="s">
        <v>44</v>
      </c>
      <c r="H1844" s="89" t="s">
        <v>44</v>
      </c>
      <c r="I1844" s="89" t="s">
        <v>44</v>
      </c>
      <c r="J1844" s="89" t="s">
        <v>44</v>
      </c>
      <c r="K1844" s="90">
        <v>5264039</v>
      </c>
    </row>
    <row r="1845" ht="15.75" customHeight="1" spans="1:11">
      <c r="A1845" s="87">
        <v>1844</v>
      </c>
      <c r="B1845" s="88" t="s">
        <v>58</v>
      </c>
      <c r="C1845" s="88" t="s">
        <v>58</v>
      </c>
      <c r="D1845" s="87">
        <v>2026</v>
      </c>
      <c r="E1845" s="88" t="s">
        <v>36</v>
      </c>
      <c r="F1845" s="88" t="s">
        <v>153</v>
      </c>
      <c r="G1845" s="90">
        <v>17584</v>
      </c>
      <c r="H1845" s="89">
        <v>1</v>
      </c>
      <c r="I1845" s="89" t="s">
        <v>44</v>
      </c>
      <c r="J1845" s="89" t="s">
        <v>44</v>
      </c>
      <c r="K1845" s="90">
        <v>17584</v>
      </c>
    </row>
    <row r="1846" ht="15.75" customHeight="1" spans="1:11">
      <c r="A1846" s="87">
        <v>1845</v>
      </c>
      <c r="B1846" s="88" t="s">
        <v>58</v>
      </c>
      <c r="C1846" s="88" t="s">
        <v>58</v>
      </c>
      <c r="D1846" s="87">
        <v>2026</v>
      </c>
      <c r="E1846" s="88" t="s">
        <v>36</v>
      </c>
      <c r="F1846" s="88" t="s">
        <v>152</v>
      </c>
      <c r="G1846" s="89" t="s">
        <v>44</v>
      </c>
      <c r="H1846" s="89" t="s">
        <v>44</v>
      </c>
      <c r="I1846" s="89" t="s">
        <v>44</v>
      </c>
      <c r="J1846" s="89" t="s">
        <v>44</v>
      </c>
      <c r="K1846" s="90">
        <v>10876525</v>
      </c>
    </row>
    <row r="1847" ht="15.75" customHeight="1" spans="1:11">
      <c r="A1847" s="87">
        <v>1846</v>
      </c>
      <c r="B1847" s="88" t="s">
        <v>58</v>
      </c>
      <c r="C1847" s="88" t="s">
        <v>58</v>
      </c>
      <c r="D1847" s="87">
        <v>2026</v>
      </c>
      <c r="E1847" s="88" t="s">
        <v>36</v>
      </c>
      <c r="F1847" s="88" t="s">
        <v>149</v>
      </c>
      <c r="G1847" s="89" t="s">
        <v>44</v>
      </c>
      <c r="H1847" s="89">
        <v>82</v>
      </c>
      <c r="I1847" s="90">
        <v>5266341</v>
      </c>
      <c r="J1847" s="89">
        <v>73</v>
      </c>
      <c r="K1847" s="90">
        <v>316988</v>
      </c>
    </row>
    <row r="1848" ht="15.75" customHeight="1" spans="1:11">
      <c r="A1848" s="87">
        <v>1847</v>
      </c>
      <c r="B1848" s="88" t="s">
        <v>58</v>
      </c>
      <c r="C1848" s="88" t="s">
        <v>58</v>
      </c>
      <c r="D1848" s="87">
        <v>2026</v>
      </c>
      <c r="E1848" s="88" t="s">
        <v>36</v>
      </c>
      <c r="F1848" s="88" t="s">
        <v>150</v>
      </c>
      <c r="G1848" s="89" t="s">
        <v>44</v>
      </c>
      <c r="H1848" s="89" t="s">
        <v>44</v>
      </c>
      <c r="I1848" s="89" t="s">
        <v>44</v>
      </c>
      <c r="J1848" s="89" t="s">
        <v>44</v>
      </c>
      <c r="K1848" s="90">
        <v>923669</v>
      </c>
    </row>
    <row r="1849" ht="15.75" customHeight="1" spans="1:11">
      <c r="A1849" s="87">
        <v>1848</v>
      </c>
      <c r="B1849" s="88" t="s">
        <v>58</v>
      </c>
      <c r="C1849" s="88" t="s">
        <v>58</v>
      </c>
      <c r="D1849" s="87">
        <v>2026</v>
      </c>
      <c r="E1849" s="88" t="s">
        <v>36</v>
      </c>
      <c r="F1849" s="88" t="s">
        <v>151</v>
      </c>
      <c r="G1849" s="89" t="s">
        <v>44</v>
      </c>
      <c r="H1849" s="89" t="s">
        <v>44</v>
      </c>
      <c r="I1849" s="89" t="s">
        <v>44</v>
      </c>
      <c r="J1849" s="89" t="s">
        <v>44</v>
      </c>
      <c r="K1849" s="90">
        <v>200162350</v>
      </c>
    </row>
    <row r="1850" ht="15.75" customHeight="1" spans="1:11">
      <c r="A1850" s="87">
        <v>1849</v>
      </c>
      <c r="B1850" s="88" t="s">
        <v>28</v>
      </c>
      <c r="C1850" s="88" t="s">
        <v>28</v>
      </c>
      <c r="D1850" s="87">
        <v>2026</v>
      </c>
      <c r="E1850" s="88" t="s">
        <v>37</v>
      </c>
      <c r="F1850" s="88" t="s">
        <v>157</v>
      </c>
      <c r="G1850" s="90">
        <v>42768</v>
      </c>
      <c r="H1850" s="89">
        <v>2</v>
      </c>
      <c r="I1850" s="89" t="s">
        <v>44</v>
      </c>
      <c r="J1850" s="89" t="s">
        <v>44</v>
      </c>
      <c r="K1850" s="90">
        <v>42768</v>
      </c>
    </row>
    <row r="1851" ht="15.75" customHeight="1" spans="1:11">
      <c r="A1851" s="87">
        <v>1850</v>
      </c>
      <c r="B1851" s="88" t="s">
        <v>28</v>
      </c>
      <c r="C1851" s="88" t="s">
        <v>28</v>
      </c>
      <c r="D1851" s="87">
        <v>2026</v>
      </c>
      <c r="E1851" s="88" t="s">
        <v>37</v>
      </c>
      <c r="F1851" s="88" t="s">
        <v>149</v>
      </c>
      <c r="G1851" s="89" t="s">
        <v>44</v>
      </c>
      <c r="H1851" s="89">
        <v>5</v>
      </c>
      <c r="I1851" s="90">
        <v>527178</v>
      </c>
      <c r="J1851" s="89">
        <v>5</v>
      </c>
      <c r="K1851" s="90">
        <v>28468</v>
      </c>
    </row>
    <row r="1852" ht="15.75" customHeight="1" spans="1:11">
      <c r="A1852" s="87">
        <v>1851</v>
      </c>
      <c r="B1852" s="88" t="s">
        <v>28</v>
      </c>
      <c r="C1852" s="88" t="s">
        <v>28</v>
      </c>
      <c r="D1852" s="87">
        <v>2026</v>
      </c>
      <c r="E1852" s="88" t="s">
        <v>37</v>
      </c>
      <c r="F1852" s="88" t="s">
        <v>152</v>
      </c>
      <c r="G1852" s="89" t="s">
        <v>44</v>
      </c>
      <c r="H1852" s="89" t="s">
        <v>44</v>
      </c>
      <c r="I1852" s="89" t="s">
        <v>44</v>
      </c>
      <c r="J1852" s="89" t="s">
        <v>44</v>
      </c>
      <c r="K1852" s="90">
        <v>3570929</v>
      </c>
    </row>
    <row r="1853" ht="15.75" customHeight="1" spans="1:11">
      <c r="A1853" s="87">
        <v>1852</v>
      </c>
      <c r="B1853" s="88" t="s">
        <v>28</v>
      </c>
      <c r="C1853" s="88" t="s">
        <v>28</v>
      </c>
      <c r="D1853" s="87">
        <v>2026</v>
      </c>
      <c r="E1853" s="88" t="s">
        <v>37</v>
      </c>
      <c r="F1853" s="88" t="s">
        <v>150</v>
      </c>
      <c r="G1853" s="89" t="s">
        <v>44</v>
      </c>
      <c r="H1853" s="89" t="s">
        <v>44</v>
      </c>
      <c r="I1853" s="89" t="s">
        <v>44</v>
      </c>
      <c r="J1853" s="89" t="s">
        <v>44</v>
      </c>
      <c r="K1853" s="90">
        <v>319066</v>
      </c>
    </row>
    <row r="1854" ht="15.75" customHeight="1" spans="1:11">
      <c r="A1854" s="87">
        <v>1853</v>
      </c>
      <c r="B1854" s="88" t="s">
        <v>28</v>
      </c>
      <c r="C1854" s="88" t="s">
        <v>28</v>
      </c>
      <c r="D1854" s="87">
        <v>2026</v>
      </c>
      <c r="E1854" s="88" t="s">
        <v>37</v>
      </c>
      <c r="F1854" s="88" t="s">
        <v>151</v>
      </c>
      <c r="G1854" s="89" t="s">
        <v>44</v>
      </c>
      <c r="H1854" s="89" t="s">
        <v>44</v>
      </c>
      <c r="I1854" s="89" t="s">
        <v>44</v>
      </c>
      <c r="J1854" s="89" t="s">
        <v>44</v>
      </c>
      <c r="K1854" s="90">
        <v>40613495</v>
      </c>
    </row>
    <row r="1855" ht="15.75" customHeight="1" spans="1:11">
      <c r="A1855" s="87">
        <v>1854</v>
      </c>
      <c r="B1855" s="88" t="s">
        <v>28</v>
      </c>
      <c r="C1855" s="88" t="s">
        <v>132</v>
      </c>
      <c r="D1855" s="87">
        <v>2026</v>
      </c>
      <c r="E1855" s="88" t="s">
        <v>37</v>
      </c>
      <c r="F1855" s="88" t="s">
        <v>152</v>
      </c>
      <c r="G1855" s="89" t="s">
        <v>44</v>
      </c>
      <c r="H1855" s="89" t="s">
        <v>44</v>
      </c>
      <c r="I1855" s="89" t="s">
        <v>44</v>
      </c>
      <c r="J1855" s="89" t="s">
        <v>44</v>
      </c>
      <c r="K1855" s="90">
        <v>895464</v>
      </c>
    </row>
    <row r="1856" ht="15.75" customHeight="1" spans="1:11">
      <c r="A1856" s="87">
        <v>1855</v>
      </c>
      <c r="B1856" s="88" t="s">
        <v>28</v>
      </c>
      <c r="C1856" s="88" t="s">
        <v>132</v>
      </c>
      <c r="D1856" s="87">
        <v>2026</v>
      </c>
      <c r="E1856" s="88" t="s">
        <v>37</v>
      </c>
      <c r="F1856" s="88" t="s">
        <v>150</v>
      </c>
      <c r="G1856" s="89" t="s">
        <v>44</v>
      </c>
      <c r="H1856" s="89" t="s">
        <v>44</v>
      </c>
      <c r="I1856" s="89" t="s">
        <v>44</v>
      </c>
      <c r="J1856" s="89" t="s">
        <v>44</v>
      </c>
      <c r="K1856" s="90">
        <v>11182</v>
      </c>
    </row>
    <row r="1857" ht="15.75" customHeight="1" spans="1:11">
      <c r="A1857" s="87">
        <v>1856</v>
      </c>
      <c r="B1857" s="88" t="s">
        <v>28</v>
      </c>
      <c r="C1857" s="88" t="s">
        <v>132</v>
      </c>
      <c r="D1857" s="87">
        <v>2026</v>
      </c>
      <c r="E1857" s="88" t="s">
        <v>37</v>
      </c>
      <c r="F1857" s="88" t="s">
        <v>151</v>
      </c>
      <c r="G1857" s="89" t="s">
        <v>44</v>
      </c>
      <c r="H1857" s="89" t="s">
        <v>44</v>
      </c>
      <c r="I1857" s="89" t="s">
        <v>44</v>
      </c>
      <c r="J1857" s="89" t="s">
        <v>44</v>
      </c>
      <c r="K1857" s="90">
        <v>8769445</v>
      </c>
    </row>
    <row r="1858" ht="15.75" customHeight="1" spans="1:11">
      <c r="A1858" s="87">
        <v>1857</v>
      </c>
      <c r="B1858" s="88" t="s">
        <v>46</v>
      </c>
      <c r="C1858" s="88" t="s">
        <v>47</v>
      </c>
      <c r="D1858" s="87">
        <v>2026</v>
      </c>
      <c r="E1858" s="88" t="s">
        <v>37</v>
      </c>
      <c r="F1858" s="88" t="s">
        <v>152</v>
      </c>
      <c r="G1858" s="89" t="s">
        <v>44</v>
      </c>
      <c r="H1858" s="89" t="s">
        <v>44</v>
      </c>
      <c r="I1858" s="89" t="s">
        <v>44</v>
      </c>
      <c r="J1858" s="89" t="s">
        <v>44</v>
      </c>
      <c r="K1858" s="90">
        <v>295165</v>
      </c>
    </row>
    <row r="1859" ht="15.75" customHeight="1" spans="1:11">
      <c r="A1859" s="87">
        <v>1858</v>
      </c>
      <c r="B1859" s="88" t="s">
        <v>46</v>
      </c>
      <c r="C1859" s="88" t="s">
        <v>47</v>
      </c>
      <c r="D1859" s="87">
        <v>2026</v>
      </c>
      <c r="E1859" s="88" t="s">
        <v>37</v>
      </c>
      <c r="F1859" s="88" t="s">
        <v>150</v>
      </c>
      <c r="G1859" s="89" t="s">
        <v>44</v>
      </c>
      <c r="H1859" s="89" t="s">
        <v>44</v>
      </c>
      <c r="I1859" s="89" t="s">
        <v>44</v>
      </c>
      <c r="J1859" s="89" t="s">
        <v>44</v>
      </c>
      <c r="K1859" s="90">
        <v>18056</v>
      </c>
    </row>
    <row r="1860" ht="15.75" customHeight="1" spans="1:11">
      <c r="A1860" s="87">
        <v>1859</v>
      </c>
      <c r="B1860" s="88" t="s">
        <v>46</v>
      </c>
      <c r="C1860" s="88" t="s">
        <v>47</v>
      </c>
      <c r="D1860" s="87">
        <v>2026</v>
      </c>
      <c r="E1860" s="88" t="s">
        <v>37</v>
      </c>
      <c r="F1860" s="88" t="s">
        <v>151</v>
      </c>
      <c r="G1860" s="89" t="s">
        <v>44</v>
      </c>
      <c r="H1860" s="89" t="s">
        <v>44</v>
      </c>
      <c r="I1860" s="89" t="s">
        <v>44</v>
      </c>
      <c r="J1860" s="89" t="s">
        <v>44</v>
      </c>
      <c r="K1860" s="90">
        <v>9598625</v>
      </c>
    </row>
    <row r="1861" ht="15.75" customHeight="1" spans="1:11">
      <c r="A1861" s="87">
        <v>1860</v>
      </c>
      <c r="B1861" s="88" t="s">
        <v>46</v>
      </c>
      <c r="C1861" s="88" t="s">
        <v>133</v>
      </c>
      <c r="D1861" s="87">
        <v>2026</v>
      </c>
      <c r="E1861" s="88" t="s">
        <v>37</v>
      </c>
      <c r="F1861" s="88" t="s">
        <v>152</v>
      </c>
      <c r="G1861" s="89" t="s">
        <v>44</v>
      </c>
      <c r="H1861" s="89" t="s">
        <v>44</v>
      </c>
      <c r="I1861" s="89" t="s">
        <v>44</v>
      </c>
      <c r="J1861" s="89" t="s">
        <v>44</v>
      </c>
      <c r="K1861" s="90">
        <v>431898</v>
      </c>
    </row>
    <row r="1862" ht="15.75" customHeight="1" spans="1:11">
      <c r="A1862" s="87">
        <v>1861</v>
      </c>
      <c r="B1862" s="88" t="s">
        <v>46</v>
      </c>
      <c r="C1862" s="88" t="s">
        <v>133</v>
      </c>
      <c r="D1862" s="87">
        <v>2026</v>
      </c>
      <c r="E1862" s="88" t="s">
        <v>37</v>
      </c>
      <c r="F1862" s="88" t="s">
        <v>150</v>
      </c>
      <c r="G1862" s="89" t="s">
        <v>44</v>
      </c>
      <c r="H1862" s="89" t="s">
        <v>44</v>
      </c>
      <c r="I1862" s="89" t="s">
        <v>44</v>
      </c>
      <c r="J1862" s="89" t="s">
        <v>44</v>
      </c>
      <c r="K1862" s="90">
        <v>1037</v>
      </c>
    </row>
    <row r="1863" ht="15.75" customHeight="1" spans="1:11">
      <c r="A1863" s="87">
        <v>1862</v>
      </c>
      <c r="B1863" s="88" t="s">
        <v>46</v>
      </c>
      <c r="C1863" s="88" t="s">
        <v>133</v>
      </c>
      <c r="D1863" s="87">
        <v>2026</v>
      </c>
      <c r="E1863" s="88" t="s">
        <v>37</v>
      </c>
      <c r="F1863" s="88" t="s">
        <v>151</v>
      </c>
      <c r="G1863" s="89" t="s">
        <v>44</v>
      </c>
      <c r="H1863" s="89" t="s">
        <v>44</v>
      </c>
      <c r="I1863" s="89" t="s">
        <v>44</v>
      </c>
      <c r="J1863" s="89" t="s">
        <v>44</v>
      </c>
      <c r="K1863" s="90">
        <v>6333426</v>
      </c>
    </row>
    <row r="1864" ht="15.75" customHeight="1" spans="1:11">
      <c r="A1864" s="87">
        <v>1863</v>
      </c>
      <c r="B1864" s="88" t="s">
        <v>46</v>
      </c>
      <c r="C1864" s="88" t="s">
        <v>134</v>
      </c>
      <c r="D1864" s="87">
        <v>2026</v>
      </c>
      <c r="E1864" s="88" t="s">
        <v>37</v>
      </c>
      <c r="F1864" s="88" t="s">
        <v>152</v>
      </c>
      <c r="G1864" s="89" t="s">
        <v>44</v>
      </c>
      <c r="H1864" s="89" t="s">
        <v>44</v>
      </c>
      <c r="I1864" s="89" t="s">
        <v>44</v>
      </c>
      <c r="J1864" s="89" t="s">
        <v>44</v>
      </c>
      <c r="K1864" s="90">
        <v>208224</v>
      </c>
    </row>
    <row r="1865" ht="15.75" customHeight="1" spans="1:11">
      <c r="A1865" s="87">
        <v>1864</v>
      </c>
      <c r="B1865" s="88" t="s">
        <v>46</v>
      </c>
      <c r="C1865" s="88" t="s">
        <v>134</v>
      </c>
      <c r="D1865" s="87">
        <v>2026</v>
      </c>
      <c r="E1865" s="88" t="s">
        <v>37</v>
      </c>
      <c r="F1865" s="88" t="s">
        <v>150</v>
      </c>
      <c r="G1865" s="89" t="s">
        <v>44</v>
      </c>
      <c r="H1865" s="89" t="s">
        <v>44</v>
      </c>
      <c r="I1865" s="89" t="s">
        <v>44</v>
      </c>
      <c r="J1865" s="89" t="s">
        <v>44</v>
      </c>
      <c r="K1865" s="89">
        <v>516</v>
      </c>
    </row>
    <row r="1866" ht="15.75" customHeight="1" spans="1:11">
      <c r="A1866" s="87">
        <v>1865</v>
      </c>
      <c r="B1866" s="88" t="s">
        <v>46</v>
      </c>
      <c r="C1866" s="88" t="s">
        <v>134</v>
      </c>
      <c r="D1866" s="87">
        <v>2026</v>
      </c>
      <c r="E1866" s="88" t="s">
        <v>37</v>
      </c>
      <c r="F1866" s="88" t="s">
        <v>151</v>
      </c>
      <c r="G1866" s="89" t="s">
        <v>44</v>
      </c>
      <c r="H1866" s="89" t="s">
        <v>44</v>
      </c>
      <c r="I1866" s="89" t="s">
        <v>44</v>
      </c>
      <c r="J1866" s="89" t="s">
        <v>44</v>
      </c>
      <c r="K1866" s="90">
        <v>4763572</v>
      </c>
    </row>
    <row r="1867" ht="15.75" customHeight="1" spans="1:11">
      <c r="A1867" s="87">
        <v>1866</v>
      </c>
      <c r="B1867" s="88" t="s">
        <v>46</v>
      </c>
      <c r="C1867" s="88" t="s">
        <v>135</v>
      </c>
      <c r="D1867" s="87">
        <v>2026</v>
      </c>
      <c r="E1867" s="88" t="s">
        <v>37</v>
      </c>
      <c r="F1867" s="88" t="s">
        <v>152</v>
      </c>
      <c r="G1867" s="89" t="s">
        <v>44</v>
      </c>
      <c r="H1867" s="89" t="s">
        <v>44</v>
      </c>
      <c r="I1867" s="89" t="s">
        <v>44</v>
      </c>
      <c r="J1867" s="89" t="s">
        <v>44</v>
      </c>
      <c r="K1867" s="90">
        <v>556978</v>
      </c>
    </row>
    <row r="1868" ht="15.75" customHeight="1" spans="1:11">
      <c r="A1868" s="87">
        <v>1867</v>
      </c>
      <c r="B1868" s="88" t="s">
        <v>46</v>
      </c>
      <c r="C1868" s="88" t="s">
        <v>135</v>
      </c>
      <c r="D1868" s="87">
        <v>2026</v>
      </c>
      <c r="E1868" s="88" t="s">
        <v>37</v>
      </c>
      <c r="F1868" s="88" t="s">
        <v>150</v>
      </c>
      <c r="G1868" s="89" t="s">
        <v>44</v>
      </c>
      <c r="H1868" s="89" t="s">
        <v>44</v>
      </c>
      <c r="I1868" s="89" t="s">
        <v>44</v>
      </c>
      <c r="J1868" s="89" t="s">
        <v>44</v>
      </c>
      <c r="K1868" s="90">
        <v>3262</v>
      </c>
    </row>
    <row r="1869" ht="15.75" customHeight="1" spans="1:11">
      <c r="A1869" s="87">
        <v>1868</v>
      </c>
      <c r="B1869" s="88" t="s">
        <v>46</v>
      </c>
      <c r="C1869" s="88" t="s">
        <v>135</v>
      </c>
      <c r="D1869" s="87">
        <v>2026</v>
      </c>
      <c r="E1869" s="88" t="s">
        <v>37</v>
      </c>
      <c r="F1869" s="88" t="s">
        <v>151</v>
      </c>
      <c r="G1869" s="89" t="s">
        <v>44</v>
      </c>
      <c r="H1869" s="89" t="s">
        <v>44</v>
      </c>
      <c r="I1869" s="89" t="s">
        <v>44</v>
      </c>
      <c r="J1869" s="89" t="s">
        <v>44</v>
      </c>
      <c r="K1869" s="90">
        <v>9209163</v>
      </c>
    </row>
    <row r="1870" ht="15.75" customHeight="1" spans="1:11">
      <c r="A1870" s="87">
        <v>1869</v>
      </c>
      <c r="B1870" s="88" t="s">
        <v>46</v>
      </c>
      <c r="C1870" s="88" t="s">
        <v>156</v>
      </c>
      <c r="D1870" s="87">
        <v>2026</v>
      </c>
      <c r="E1870" s="88" t="s">
        <v>37</v>
      </c>
      <c r="F1870" s="88" t="s">
        <v>152</v>
      </c>
      <c r="G1870" s="89" t="s">
        <v>44</v>
      </c>
      <c r="H1870" s="89" t="s">
        <v>44</v>
      </c>
      <c r="I1870" s="89" t="s">
        <v>44</v>
      </c>
      <c r="J1870" s="89" t="s">
        <v>44</v>
      </c>
      <c r="K1870" s="90">
        <v>787646</v>
      </c>
    </row>
    <row r="1871" ht="15.75" customHeight="1" spans="1:11">
      <c r="A1871" s="87">
        <v>1870</v>
      </c>
      <c r="B1871" s="88" t="s">
        <v>46</v>
      </c>
      <c r="C1871" s="88" t="s">
        <v>156</v>
      </c>
      <c r="D1871" s="87">
        <v>2026</v>
      </c>
      <c r="E1871" s="88" t="s">
        <v>37</v>
      </c>
      <c r="F1871" s="88" t="s">
        <v>150</v>
      </c>
      <c r="G1871" s="89" t="s">
        <v>44</v>
      </c>
      <c r="H1871" s="89" t="s">
        <v>44</v>
      </c>
      <c r="I1871" s="89" t="s">
        <v>44</v>
      </c>
      <c r="J1871" s="89" t="s">
        <v>44</v>
      </c>
      <c r="K1871" s="89">
        <v>678</v>
      </c>
    </row>
    <row r="1872" ht="15.75" customHeight="1" spans="1:11">
      <c r="A1872" s="87">
        <v>1871</v>
      </c>
      <c r="B1872" s="88" t="s">
        <v>46</v>
      </c>
      <c r="C1872" s="88" t="s">
        <v>156</v>
      </c>
      <c r="D1872" s="87">
        <v>2026</v>
      </c>
      <c r="E1872" s="88" t="s">
        <v>37</v>
      </c>
      <c r="F1872" s="88" t="s">
        <v>151</v>
      </c>
      <c r="G1872" s="89" t="s">
        <v>44</v>
      </c>
      <c r="H1872" s="89" t="s">
        <v>44</v>
      </c>
      <c r="I1872" s="89" t="s">
        <v>44</v>
      </c>
      <c r="J1872" s="89" t="s">
        <v>44</v>
      </c>
      <c r="K1872" s="90">
        <v>16553345</v>
      </c>
    </row>
    <row r="1873" ht="15.75" customHeight="1" spans="1:11">
      <c r="A1873" s="87">
        <v>1872</v>
      </c>
      <c r="B1873" s="88" t="s">
        <v>46</v>
      </c>
      <c r="C1873" s="88" t="s">
        <v>137</v>
      </c>
      <c r="D1873" s="87">
        <v>2026</v>
      </c>
      <c r="E1873" s="88" t="s">
        <v>37</v>
      </c>
      <c r="F1873" s="88" t="s">
        <v>152</v>
      </c>
      <c r="G1873" s="89" t="s">
        <v>44</v>
      </c>
      <c r="H1873" s="89" t="s">
        <v>44</v>
      </c>
      <c r="I1873" s="89" t="s">
        <v>44</v>
      </c>
      <c r="J1873" s="89" t="s">
        <v>44</v>
      </c>
      <c r="K1873" s="90">
        <v>224737</v>
      </c>
    </row>
    <row r="1874" ht="15.75" customHeight="1" spans="1:11">
      <c r="A1874" s="87">
        <v>1873</v>
      </c>
      <c r="B1874" s="88" t="s">
        <v>46</v>
      </c>
      <c r="C1874" s="88" t="s">
        <v>137</v>
      </c>
      <c r="D1874" s="87">
        <v>2026</v>
      </c>
      <c r="E1874" s="88" t="s">
        <v>37</v>
      </c>
      <c r="F1874" s="88" t="s">
        <v>150</v>
      </c>
      <c r="G1874" s="89" t="s">
        <v>44</v>
      </c>
      <c r="H1874" s="89" t="s">
        <v>44</v>
      </c>
      <c r="I1874" s="89" t="s">
        <v>44</v>
      </c>
      <c r="J1874" s="89" t="s">
        <v>44</v>
      </c>
      <c r="K1874" s="89">
        <v>459</v>
      </c>
    </row>
    <row r="1875" ht="15.75" customHeight="1" spans="1:11">
      <c r="A1875" s="87">
        <v>1874</v>
      </c>
      <c r="B1875" s="88" t="s">
        <v>46</v>
      </c>
      <c r="C1875" s="88" t="s">
        <v>137</v>
      </c>
      <c r="D1875" s="87">
        <v>2026</v>
      </c>
      <c r="E1875" s="88" t="s">
        <v>37</v>
      </c>
      <c r="F1875" s="88" t="s">
        <v>151</v>
      </c>
      <c r="G1875" s="89" t="s">
        <v>44</v>
      </c>
      <c r="H1875" s="89" t="s">
        <v>44</v>
      </c>
      <c r="I1875" s="89" t="s">
        <v>44</v>
      </c>
      <c r="J1875" s="89" t="s">
        <v>44</v>
      </c>
      <c r="K1875" s="90">
        <v>15015151</v>
      </c>
    </row>
    <row r="1876" ht="15.75" customHeight="1" spans="1:11">
      <c r="A1876" s="87">
        <v>1875</v>
      </c>
      <c r="B1876" s="88" t="s">
        <v>46</v>
      </c>
      <c r="C1876" s="88" t="s">
        <v>158</v>
      </c>
      <c r="D1876" s="87">
        <v>2026</v>
      </c>
      <c r="E1876" s="88" t="s">
        <v>37</v>
      </c>
      <c r="F1876" s="88" t="s">
        <v>152</v>
      </c>
      <c r="G1876" s="89" t="s">
        <v>44</v>
      </c>
      <c r="H1876" s="89" t="s">
        <v>44</v>
      </c>
      <c r="I1876" s="89" t="s">
        <v>44</v>
      </c>
      <c r="J1876" s="89" t="s">
        <v>44</v>
      </c>
      <c r="K1876" s="90">
        <v>402102</v>
      </c>
    </row>
    <row r="1877" ht="15.75" customHeight="1" spans="1:11">
      <c r="A1877" s="87">
        <v>1876</v>
      </c>
      <c r="B1877" s="88" t="s">
        <v>46</v>
      </c>
      <c r="C1877" s="88" t="s">
        <v>158</v>
      </c>
      <c r="D1877" s="87">
        <v>2026</v>
      </c>
      <c r="E1877" s="88" t="s">
        <v>37</v>
      </c>
      <c r="F1877" s="88" t="s">
        <v>150</v>
      </c>
      <c r="G1877" s="89" t="s">
        <v>44</v>
      </c>
      <c r="H1877" s="89" t="s">
        <v>44</v>
      </c>
      <c r="I1877" s="89" t="s">
        <v>44</v>
      </c>
      <c r="J1877" s="89" t="s">
        <v>44</v>
      </c>
      <c r="K1877" s="89">
        <v>269</v>
      </c>
    </row>
    <row r="1878" ht="15.75" customHeight="1" spans="1:11">
      <c r="A1878" s="87">
        <v>1877</v>
      </c>
      <c r="B1878" s="88" t="s">
        <v>46</v>
      </c>
      <c r="C1878" s="88" t="s">
        <v>158</v>
      </c>
      <c r="D1878" s="87">
        <v>2026</v>
      </c>
      <c r="E1878" s="88" t="s">
        <v>37</v>
      </c>
      <c r="F1878" s="88" t="s">
        <v>151</v>
      </c>
      <c r="G1878" s="89" t="s">
        <v>44</v>
      </c>
      <c r="H1878" s="89" t="s">
        <v>44</v>
      </c>
      <c r="I1878" s="89" t="s">
        <v>44</v>
      </c>
      <c r="J1878" s="89" t="s">
        <v>44</v>
      </c>
      <c r="K1878" s="90">
        <v>5328623</v>
      </c>
    </row>
    <row r="1879" ht="15.75" customHeight="1" spans="1:11">
      <c r="A1879" s="87">
        <v>1878</v>
      </c>
      <c r="B1879" s="88" t="s">
        <v>46</v>
      </c>
      <c r="C1879" s="88" t="s">
        <v>49</v>
      </c>
      <c r="D1879" s="87">
        <v>2026</v>
      </c>
      <c r="E1879" s="88" t="s">
        <v>37</v>
      </c>
      <c r="F1879" s="88" t="s">
        <v>152</v>
      </c>
      <c r="G1879" s="89" t="s">
        <v>44</v>
      </c>
      <c r="H1879" s="89" t="s">
        <v>44</v>
      </c>
      <c r="I1879" s="89" t="s">
        <v>44</v>
      </c>
      <c r="J1879" s="89" t="s">
        <v>44</v>
      </c>
      <c r="K1879" s="90">
        <v>338850</v>
      </c>
    </row>
    <row r="1880" ht="15.75" customHeight="1" spans="1:11">
      <c r="A1880" s="87">
        <v>1879</v>
      </c>
      <c r="B1880" s="88" t="s">
        <v>46</v>
      </c>
      <c r="C1880" s="88" t="s">
        <v>49</v>
      </c>
      <c r="D1880" s="87">
        <v>2026</v>
      </c>
      <c r="E1880" s="88" t="s">
        <v>37</v>
      </c>
      <c r="F1880" s="88" t="s">
        <v>150</v>
      </c>
      <c r="G1880" s="89" t="s">
        <v>44</v>
      </c>
      <c r="H1880" s="89" t="s">
        <v>44</v>
      </c>
      <c r="I1880" s="89" t="s">
        <v>44</v>
      </c>
      <c r="J1880" s="89" t="s">
        <v>44</v>
      </c>
      <c r="K1880" s="90">
        <v>30298</v>
      </c>
    </row>
    <row r="1881" ht="15.75" customHeight="1" spans="1:11">
      <c r="A1881" s="87">
        <v>1880</v>
      </c>
      <c r="B1881" s="88" t="s">
        <v>46</v>
      </c>
      <c r="C1881" s="88" t="s">
        <v>49</v>
      </c>
      <c r="D1881" s="87">
        <v>2026</v>
      </c>
      <c r="E1881" s="88" t="s">
        <v>37</v>
      </c>
      <c r="F1881" s="88" t="s">
        <v>151</v>
      </c>
      <c r="G1881" s="89" t="s">
        <v>44</v>
      </c>
      <c r="H1881" s="89" t="s">
        <v>44</v>
      </c>
      <c r="I1881" s="89" t="s">
        <v>44</v>
      </c>
      <c r="J1881" s="89" t="s">
        <v>44</v>
      </c>
      <c r="K1881" s="90">
        <v>11034420</v>
      </c>
    </row>
    <row r="1882" ht="15.75" customHeight="1" spans="1:11">
      <c r="A1882" s="87">
        <v>1881</v>
      </c>
      <c r="B1882" s="88" t="s">
        <v>46</v>
      </c>
      <c r="C1882" s="88" t="s">
        <v>51</v>
      </c>
      <c r="D1882" s="87">
        <v>2026</v>
      </c>
      <c r="E1882" s="88" t="s">
        <v>37</v>
      </c>
      <c r="F1882" s="88" t="s">
        <v>160</v>
      </c>
      <c r="G1882" s="90">
        <v>7544816</v>
      </c>
      <c r="H1882" s="90">
        <v>1072</v>
      </c>
      <c r="I1882" s="89" t="s">
        <v>44</v>
      </c>
      <c r="J1882" s="89" t="s">
        <v>44</v>
      </c>
      <c r="K1882" s="90">
        <v>7544816</v>
      </c>
    </row>
    <row r="1883" ht="15.75" customHeight="1" spans="1:11">
      <c r="A1883" s="87">
        <v>1882</v>
      </c>
      <c r="B1883" s="88" t="s">
        <v>46</v>
      </c>
      <c r="C1883" s="88" t="s">
        <v>51</v>
      </c>
      <c r="D1883" s="87">
        <v>2026</v>
      </c>
      <c r="E1883" s="88" t="s">
        <v>37</v>
      </c>
      <c r="F1883" s="88" t="s">
        <v>153</v>
      </c>
      <c r="G1883" s="90">
        <v>13791</v>
      </c>
      <c r="H1883" s="89">
        <v>1</v>
      </c>
      <c r="I1883" s="89" t="s">
        <v>44</v>
      </c>
      <c r="J1883" s="89" t="s">
        <v>44</v>
      </c>
      <c r="K1883" s="90">
        <v>13791</v>
      </c>
    </row>
    <row r="1884" ht="15.75" customHeight="1" spans="1:11">
      <c r="A1884" s="87">
        <v>1883</v>
      </c>
      <c r="B1884" s="88" t="s">
        <v>46</v>
      </c>
      <c r="C1884" s="88" t="s">
        <v>51</v>
      </c>
      <c r="D1884" s="87">
        <v>2026</v>
      </c>
      <c r="E1884" s="88" t="s">
        <v>37</v>
      </c>
      <c r="F1884" s="88" t="s">
        <v>155</v>
      </c>
      <c r="G1884" s="90">
        <v>13758</v>
      </c>
      <c r="H1884" s="89">
        <v>1</v>
      </c>
      <c r="I1884" s="89" t="s">
        <v>44</v>
      </c>
      <c r="J1884" s="89" t="s">
        <v>44</v>
      </c>
      <c r="K1884" s="90">
        <v>13758</v>
      </c>
    </row>
    <row r="1885" ht="15.75" customHeight="1" spans="1:11">
      <c r="A1885" s="87">
        <v>1884</v>
      </c>
      <c r="B1885" s="88" t="s">
        <v>46</v>
      </c>
      <c r="C1885" s="88" t="s">
        <v>51</v>
      </c>
      <c r="D1885" s="87">
        <v>2026</v>
      </c>
      <c r="E1885" s="88" t="s">
        <v>37</v>
      </c>
      <c r="F1885" s="88" t="s">
        <v>150</v>
      </c>
      <c r="G1885" s="89" t="s">
        <v>44</v>
      </c>
      <c r="H1885" s="89" t="s">
        <v>44</v>
      </c>
      <c r="I1885" s="89" t="s">
        <v>44</v>
      </c>
      <c r="J1885" s="89" t="s">
        <v>44</v>
      </c>
      <c r="K1885" s="90">
        <v>5985882</v>
      </c>
    </row>
    <row r="1886" ht="15.75" customHeight="1" spans="1:11">
      <c r="A1886" s="87">
        <v>1885</v>
      </c>
      <c r="B1886" s="88" t="s">
        <v>46</v>
      </c>
      <c r="C1886" s="88" t="s">
        <v>51</v>
      </c>
      <c r="D1886" s="87">
        <v>2026</v>
      </c>
      <c r="E1886" s="88" t="s">
        <v>37</v>
      </c>
      <c r="F1886" s="88" t="s">
        <v>151</v>
      </c>
      <c r="G1886" s="89" t="s">
        <v>44</v>
      </c>
      <c r="H1886" s="89" t="s">
        <v>44</v>
      </c>
      <c r="I1886" s="89" t="s">
        <v>44</v>
      </c>
      <c r="J1886" s="89" t="s">
        <v>44</v>
      </c>
      <c r="K1886" s="90">
        <v>443831852</v>
      </c>
    </row>
    <row r="1887" ht="15.75" customHeight="1" spans="1:11">
      <c r="A1887" s="87">
        <v>1886</v>
      </c>
      <c r="B1887" s="88" t="s">
        <v>46</v>
      </c>
      <c r="C1887" s="88" t="s">
        <v>51</v>
      </c>
      <c r="D1887" s="87">
        <v>2026</v>
      </c>
      <c r="E1887" s="88" t="s">
        <v>37</v>
      </c>
      <c r="F1887" s="88" t="s">
        <v>152</v>
      </c>
      <c r="G1887" s="89" t="s">
        <v>44</v>
      </c>
      <c r="H1887" s="89" t="s">
        <v>44</v>
      </c>
      <c r="I1887" s="89" t="s">
        <v>44</v>
      </c>
      <c r="J1887" s="89" t="s">
        <v>44</v>
      </c>
      <c r="K1887" s="90">
        <v>25945770</v>
      </c>
    </row>
    <row r="1888" ht="15.75" customHeight="1" spans="1:11">
      <c r="A1888" s="87">
        <v>1887</v>
      </c>
      <c r="B1888" s="88" t="s">
        <v>46</v>
      </c>
      <c r="C1888" s="88" t="s">
        <v>51</v>
      </c>
      <c r="D1888" s="87">
        <v>2026</v>
      </c>
      <c r="E1888" s="88" t="s">
        <v>37</v>
      </c>
      <c r="F1888" s="88" t="s">
        <v>149</v>
      </c>
      <c r="G1888" s="89" t="s">
        <v>44</v>
      </c>
      <c r="H1888" s="90">
        <v>1982</v>
      </c>
      <c r="I1888" s="90">
        <v>234176913</v>
      </c>
      <c r="J1888" s="90">
        <v>1576</v>
      </c>
      <c r="K1888" s="90">
        <v>7894944</v>
      </c>
    </row>
    <row r="1889" ht="15.75" customHeight="1" spans="1:11">
      <c r="A1889" s="87">
        <v>1888</v>
      </c>
      <c r="B1889" s="88" t="s">
        <v>46</v>
      </c>
      <c r="C1889" s="88" t="s">
        <v>139</v>
      </c>
      <c r="D1889" s="87">
        <v>2026</v>
      </c>
      <c r="E1889" s="88" t="s">
        <v>37</v>
      </c>
      <c r="F1889" s="88" t="s">
        <v>155</v>
      </c>
      <c r="G1889" s="90">
        <v>39689</v>
      </c>
      <c r="H1889" s="89">
        <v>1</v>
      </c>
      <c r="I1889" s="89" t="s">
        <v>44</v>
      </c>
      <c r="J1889" s="89" t="s">
        <v>44</v>
      </c>
      <c r="K1889" s="90">
        <v>39689</v>
      </c>
    </row>
    <row r="1890" ht="15.75" customHeight="1" spans="1:11">
      <c r="A1890" s="87">
        <v>1889</v>
      </c>
      <c r="B1890" s="88" t="s">
        <v>46</v>
      </c>
      <c r="C1890" s="88" t="s">
        <v>139</v>
      </c>
      <c r="D1890" s="87">
        <v>2026</v>
      </c>
      <c r="E1890" s="88" t="s">
        <v>37</v>
      </c>
      <c r="F1890" s="88" t="s">
        <v>152</v>
      </c>
      <c r="G1890" s="89" t="s">
        <v>44</v>
      </c>
      <c r="H1890" s="89" t="s">
        <v>44</v>
      </c>
      <c r="I1890" s="89" t="s">
        <v>44</v>
      </c>
      <c r="J1890" s="89" t="s">
        <v>44</v>
      </c>
      <c r="K1890" s="90">
        <v>7286792</v>
      </c>
    </row>
    <row r="1891" ht="15.75" customHeight="1" spans="1:11">
      <c r="A1891" s="87">
        <v>1890</v>
      </c>
      <c r="B1891" s="88" t="s">
        <v>46</v>
      </c>
      <c r="C1891" s="88" t="s">
        <v>139</v>
      </c>
      <c r="D1891" s="87">
        <v>2026</v>
      </c>
      <c r="E1891" s="88" t="s">
        <v>37</v>
      </c>
      <c r="F1891" s="88" t="s">
        <v>150</v>
      </c>
      <c r="G1891" s="89" t="s">
        <v>44</v>
      </c>
      <c r="H1891" s="89" t="s">
        <v>44</v>
      </c>
      <c r="I1891" s="89" t="s">
        <v>44</v>
      </c>
      <c r="J1891" s="89" t="s">
        <v>44</v>
      </c>
      <c r="K1891" s="90">
        <v>7820</v>
      </c>
    </row>
    <row r="1892" ht="15.75" customHeight="1" spans="1:11">
      <c r="A1892" s="87">
        <v>1891</v>
      </c>
      <c r="B1892" s="88" t="s">
        <v>46</v>
      </c>
      <c r="C1892" s="88" t="s">
        <v>139</v>
      </c>
      <c r="D1892" s="87">
        <v>2026</v>
      </c>
      <c r="E1892" s="88" t="s">
        <v>37</v>
      </c>
      <c r="F1892" s="88" t="s">
        <v>151</v>
      </c>
      <c r="G1892" s="89" t="s">
        <v>44</v>
      </c>
      <c r="H1892" s="89" t="s">
        <v>44</v>
      </c>
      <c r="I1892" s="89" t="s">
        <v>44</v>
      </c>
      <c r="J1892" s="89" t="s">
        <v>44</v>
      </c>
      <c r="K1892" s="90">
        <v>57673355</v>
      </c>
    </row>
    <row r="1893" ht="15.75" customHeight="1" spans="1:11">
      <c r="A1893" s="87">
        <v>1892</v>
      </c>
      <c r="B1893" s="88" t="s">
        <v>46</v>
      </c>
      <c r="C1893" s="88" t="s">
        <v>139</v>
      </c>
      <c r="D1893" s="87">
        <v>2026</v>
      </c>
      <c r="E1893" s="88" t="s">
        <v>37</v>
      </c>
      <c r="F1893" s="88" t="s">
        <v>149</v>
      </c>
      <c r="G1893" s="89" t="s">
        <v>44</v>
      </c>
      <c r="H1893" s="90">
        <v>1797</v>
      </c>
      <c r="I1893" s="90">
        <v>165265966</v>
      </c>
      <c r="J1893" s="90">
        <v>1362</v>
      </c>
      <c r="K1893" s="90">
        <v>6220251</v>
      </c>
    </row>
    <row r="1894" ht="15.75" customHeight="1" spans="1:11">
      <c r="A1894" s="87">
        <v>1893</v>
      </c>
      <c r="B1894" s="88" t="s">
        <v>46</v>
      </c>
      <c r="C1894" s="88" t="s">
        <v>52</v>
      </c>
      <c r="D1894" s="87">
        <v>2026</v>
      </c>
      <c r="E1894" s="88" t="s">
        <v>37</v>
      </c>
      <c r="F1894" s="88" t="s">
        <v>149</v>
      </c>
      <c r="G1894" s="89" t="s">
        <v>44</v>
      </c>
      <c r="H1894" s="89">
        <v>8</v>
      </c>
      <c r="I1894" s="90">
        <v>458425</v>
      </c>
      <c r="J1894" s="89">
        <v>6</v>
      </c>
      <c r="K1894" s="90">
        <v>26852</v>
      </c>
    </row>
    <row r="1895" ht="15.75" customHeight="1" spans="1:11">
      <c r="A1895" s="87">
        <v>1894</v>
      </c>
      <c r="B1895" s="88" t="s">
        <v>46</v>
      </c>
      <c r="C1895" s="88" t="s">
        <v>52</v>
      </c>
      <c r="D1895" s="87">
        <v>2026</v>
      </c>
      <c r="E1895" s="88" t="s">
        <v>37</v>
      </c>
      <c r="F1895" s="88" t="s">
        <v>152</v>
      </c>
      <c r="G1895" s="89" t="s">
        <v>44</v>
      </c>
      <c r="H1895" s="89" t="s">
        <v>44</v>
      </c>
      <c r="I1895" s="89" t="s">
        <v>44</v>
      </c>
      <c r="J1895" s="89" t="s">
        <v>44</v>
      </c>
      <c r="K1895" s="90">
        <v>657318</v>
      </c>
    </row>
    <row r="1896" ht="15.75" customHeight="1" spans="1:11">
      <c r="A1896" s="87">
        <v>1895</v>
      </c>
      <c r="B1896" s="88" t="s">
        <v>46</v>
      </c>
      <c r="C1896" s="88" t="s">
        <v>52</v>
      </c>
      <c r="D1896" s="87">
        <v>2026</v>
      </c>
      <c r="E1896" s="88" t="s">
        <v>37</v>
      </c>
      <c r="F1896" s="88" t="s">
        <v>150</v>
      </c>
      <c r="G1896" s="89" t="s">
        <v>44</v>
      </c>
      <c r="H1896" s="89" t="s">
        <v>44</v>
      </c>
      <c r="I1896" s="89" t="s">
        <v>44</v>
      </c>
      <c r="J1896" s="89" t="s">
        <v>44</v>
      </c>
      <c r="K1896" s="90">
        <v>23653</v>
      </c>
    </row>
    <row r="1897" ht="15.75" customHeight="1" spans="1:11">
      <c r="A1897" s="87">
        <v>1896</v>
      </c>
      <c r="B1897" s="88" t="s">
        <v>46</v>
      </c>
      <c r="C1897" s="88" t="s">
        <v>52</v>
      </c>
      <c r="D1897" s="87">
        <v>2026</v>
      </c>
      <c r="E1897" s="88" t="s">
        <v>37</v>
      </c>
      <c r="F1897" s="88" t="s">
        <v>151</v>
      </c>
      <c r="G1897" s="89" t="s">
        <v>44</v>
      </c>
      <c r="H1897" s="89" t="s">
        <v>44</v>
      </c>
      <c r="I1897" s="89" t="s">
        <v>44</v>
      </c>
      <c r="J1897" s="89" t="s">
        <v>44</v>
      </c>
      <c r="K1897" s="90">
        <v>13871648</v>
      </c>
    </row>
    <row r="1898" ht="15.75" customHeight="1" spans="1:11">
      <c r="A1898" s="87">
        <v>1897</v>
      </c>
      <c r="B1898" s="88" t="s">
        <v>46</v>
      </c>
      <c r="C1898" s="88" t="s">
        <v>140</v>
      </c>
      <c r="D1898" s="87">
        <v>2026</v>
      </c>
      <c r="E1898" s="88" t="s">
        <v>37</v>
      </c>
      <c r="F1898" s="88" t="s">
        <v>152</v>
      </c>
      <c r="G1898" s="89" t="s">
        <v>44</v>
      </c>
      <c r="H1898" s="89" t="s">
        <v>44</v>
      </c>
      <c r="I1898" s="89" t="s">
        <v>44</v>
      </c>
      <c r="J1898" s="89" t="s">
        <v>44</v>
      </c>
      <c r="K1898" s="90">
        <v>662164</v>
      </c>
    </row>
    <row r="1899" ht="15.75" customHeight="1" spans="1:11">
      <c r="A1899" s="87">
        <v>1898</v>
      </c>
      <c r="B1899" s="88" t="s">
        <v>46</v>
      </c>
      <c r="C1899" s="88" t="s">
        <v>140</v>
      </c>
      <c r="D1899" s="87">
        <v>2026</v>
      </c>
      <c r="E1899" s="88" t="s">
        <v>37</v>
      </c>
      <c r="F1899" s="88" t="s">
        <v>150</v>
      </c>
      <c r="G1899" s="89" t="s">
        <v>44</v>
      </c>
      <c r="H1899" s="89" t="s">
        <v>44</v>
      </c>
      <c r="I1899" s="89" t="s">
        <v>44</v>
      </c>
      <c r="J1899" s="89" t="s">
        <v>44</v>
      </c>
      <c r="K1899" s="90">
        <v>15560</v>
      </c>
    </row>
    <row r="1900" ht="15.75" customHeight="1" spans="1:11">
      <c r="A1900" s="87">
        <v>1899</v>
      </c>
      <c r="B1900" s="88" t="s">
        <v>46</v>
      </c>
      <c r="C1900" s="88" t="s">
        <v>140</v>
      </c>
      <c r="D1900" s="87">
        <v>2026</v>
      </c>
      <c r="E1900" s="88" t="s">
        <v>37</v>
      </c>
      <c r="F1900" s="88" t="s">
        <v>151</v>
      </c>
      <c r="G1900" s="89" t="s">
        <v>44</v>
      </c>
      <c r="H1900" s="89" t="s">
        <v>44</v>
      </c>
      <c r="I1900" s="89" t="s">
        <v>44</v>
      </c>
      <c r="J1900" s="89" t="s">
        <v>44</v>
      </c>
      <c r="K1900" s="90">
        <v>15606249</v>
      </c>
    </row>
    <row r="1901" ht="15.75" customHeight="1" spans="1:11">
      <c r="A1901" s="87">
        <v>1900</v>
      </c>
      <c r="B1901" s="88" t="s">
        <v>53</v>
      </c>
      <c r="C1901" s="88" t="s">
        <v>53</v>
      </c>
      <c r="D1901" s="87">
        <v>2026</v>
      </c>
      <c r="E1901" s="88" t="s">
        <v>37</v>
      </c>
      <c r="F1901" s="88" t="s">
        <v>157</v>
      </c>
      <c r="G1901" s="90">
        <v>47965</v>
      </c>
      <c r="H1901" s="89">
        <v>2</v>
      </c>
      <c r="I1901" s="89" t="s">
        <v>44</v>
      </c>
      <c r="J1901" s="89" t="s">
        <v>44</v>
      </c>
      <c r="K1901" s="90">
        <v>47965</v>
      </c>
    </row>
    <row r="1902" ht="15.75" customHeight="1" spans="1:11">
      <c r="A1902" s="87">
        <v>1901</v>
      </c>
      <c r="B1902" s="88" t="s">
        <v>53</v>
      </c>
      <c r="C1902" s="88" t="s">
        <v>53</v>
      </c>
      <c r="D1902" s="87">
        <v>2026</v>
      </c>
      <c r="E1902" s="88" t="s">
        <v>37</v>
      </c>
      <c r="F1902" s="88" t="s">
        <v>149</v>
      </c>
      <c r="G1902" s="89" t="s">
        <v>44</v>
      </c>
      <c r="H1902" s="89">
        <v>49</v>
      </c>
      <c r="I1902" s="90">
        <v>3325698</v>
      </c>
      <c r="J1902" s="89">
        <v>46</v>
      </c>
      <c r="K1902" s="90">
        <v>160049</v>
      </c>
    </row>
    <row r="1903" ht="15.75" customHeight="1" spans="1:11">
      <c r="A1903" s="87">
        <v>1902</v>
      </c>
      <c r="B1903" s="88" t="s">
        <v>53</v>
      </c>
      <c r="C1903" s="88" t="s">
        <v>53</v>
      </c>
      <c r="D1903" s="87">
        <v>2026</v>
      </c>
      <c r="E1903" s="88" t="s">
        <v>37</v>
      </c>
      <c r="F1903" s="88" t="s">
        <v>152</v>
      </c>
      <c r="G1903" s="89" t="s">
        <v>44</v>
      </c>
      <c r="H1903" s="89" t="s">
        <v>44</v>
      </c>
      <c r="I1903" s="89" t="s">
        <v>44</v>
      </c>
      <c r="J1903" s="89" t="s">
        <v>44</v>
      </c>
      <c r="K1903" s="90">
        <v>2825618</v>
      </c>
    </row>
    <row r="1904" ht="15.75" customHeight="1" spans="1:11">
      <c r="A1904" s="87">
        <v>1903</v>
      </c>
      <c r="B1904" s="88" t="s">
        <v>53</v>
      </c>
      <c r="C1904" s="88" t="s">
        <v>53</v>
      </c>
      <c r="D1904" s="87">
        <v>2026</v>
      </c>
      <c r="E1904" s="88" t="s">
        <v>37</v>
      </c>
      <c r="F1904" s="88" t="s">
        <v>150</v>
      </c>
      <c r="G1904" s="89" t="s">
        <v>44</v>
      </c>
      <c r="H1904" s="89" t="s">
        <v>44</v>
      </c>
      <c r="I1904" s="89" t="s">
        <v>44</v>
      </c>
      <c r="J1904" s="89" t="s">
        <v>44</v>
      </c>
      <c r="K1904" s="90">
        <v>304887</v>
      </c>
    </row>
    <row r="1905" ht="15.75" customHeight="1" spans="1:11">
      <c r="A1905" s="87">
        <v>1904</v>
      </c>
      <c r="B1905" s="88" t="s">
        <v>53</v>
      </c>
      <c r="C1905" s="88" t="s">
        <v>53</v>
      </c>
      <c r="D1905" s="87">
        <v>2026</v>
      </c>
      <c r="E1905" s="88" t="s">
        <v>37</v>
      </c>
      <c r="F1905" s="88" t="s">
        <v>151</v>
      </c>
      <c r="G1905" s="89" t="s">
        <v>44</v>
      </c>
      <c r="H1905" s="89" t="s">
        <v>44</v>
      </c>
      <c r="I1905" s="89" t="s">
        <v>44</v>
      </c>
      <c r="J1905" s="89" t="s">
        <v>44</v>
      </c>
      <c r="K1905" s="90">
        <v>73815357</v>
      </c>
    </row>
    <row r="1906" ht="15.75" customHeight="1" spans="1:11">
      <c r="A1906" s="87">
        <v>1905</v>
      </c>
      <c r="B1906" s="88" t="s">
        <v>53</v>
      </c>
      <c r="C1906" s="88" t="s">
        <v>141</v>
      </c>
      <c r="D1906" s="87">
        <v>2026</v>
      </c>
      <c r="E1906" s="88" t="s">
        <v>37</v>
      </c>
      <c r="F1906" s="88" t="s">
        <v>153</v>
      </c>
      <c r="G1906" s="90">
        <v>15956</v>
      </c>
      <c r="H1906" s="89">
        <v>1</v>
      </c>
      <c r="I1906" s="89" t="s">
        <v>44</v>
      </c>
      <c r="J1906" s="89" t="s">
        <v>44</v>
      </c>
      <c r="K1906" s="90">
        <v>15956</v>
      </c>
    </row>
    <row r="1907" ht="15.75" customHeight="1" spans="1:11">
      <c r="A1907" s="87">
        <v>1906</v>
      </c>
      <c r="B1907" s="88" t="s">
        <v>53</v>
      </c>
      <c r="C1907" s="88" t="s">
        <v>141</v>
      </c>
      <c r="D1907" s="87">
        <v>2026</v>
      </c>
      <c r="E1907" s="88" t="s">
        <v>37</v>
      </c>
      <c r="F1907" s="88" t="s">
        <v>152</v>
      </c>
      <c r="G1907" s="89" t="s">
        <v>44</v>
      </c>
      <c r="H1907" s="89" t="s">
        <v>44</v>
      </c>
      <c r="I1907" s="89" t="s">
        <v>44</v>
      </c>
      <c r="J1907" s="89" t="s">
        <v>44</v>
      </c>
      <c r="K1907" s="90">
        <v>1378629</v>
      </c>
    </row>
    <row r="1908" ht="15.75" customHeight="1" spans="1:11">
      <c r="A1908" s="87">
        <v>1907</v>
      </c>
      <c r="B1908" s="88" t="s">
        <v>53</v>
      </c>
      <c r="C1908" s="88" t="s">
        <v>141</v>
      </c>
      <c r="D1908" s="87">
        <v>2026</v>
      </c>
      <c r="E1908" s="88" t="s">
        <v>37</v>
      </c>
      <c r="F1908" s="88" t="s">
        <v>149</v>
      </c>
      <c r="G1908" s="89" t="s">
        <v>44</v>
      </c>
      <c r="H1908" s="89">
        <v>1</v>
      </c>
      <c r="I1908" s="90">
        <v>85736</v>
      </c>
      <c r="J1908" s="89">
        <v>1</v>
      </c>
      <c r="K1908" s="90">
        <v>4630</v>
      </c>
    </row>
    <row r="1909" ht="15.75" customHeight="1" spans="1:11">
      <c r="A1909" s="87">
        <v>1908</v>
      </c>
      <c r="B1909" s="88" t="s">
        <v>53</v>
      </c>
      <c r="C1909" s="88" t="s">
        <v>141</v>
      </c>
      <c r="D1909" s="87">
        <v>2026</v>
      </c>
      <c r="E1909" s="88" t="s">
        <v>37</v>
      </c>
      <c r="F1909" s="88" t="s">
        <v>150</v>
      </c>
      <c r="G1909" s="89" t="s">
        <v>44</v>
      </c>
      <c r="H1909" s="89" t="s">
        <v>44</v>
      </c>
      <c r="I1909" s="89" t="s">
        <v>44</v>
      </c>
      <c r="J1909" s="89" t="s">
        <v>44</v>
      </c>
      <c r="K1909" s="90">
        <v>685722</v>
      </c>
    </row>
    <row r="1910" ht="15.75" customHeight="1" spans="1:11">
      <c r="A1910" s="87">
        <v>1909</v>
      </c>
      <c r="B1910" s="88" t="s">
        <v>53</v>
      </c>
      <c r="C1910" s="88" t="s">
        <v>141</v>
      </c>
      <c r="D1910" s="87">
        <v>2026</v>
      </c>
      <c r="E1910" s="88" t="s">
        <v>37</v>
      </c>
      <c r="F1910" s="88" t="s">
        <v>151</v>
      </c>
      <c r="G1910" s="89" t="s">
        <v>44</v>
      </c>
      <c r="H1910" s="89" t="s">
        <v>44</v>
      </c>
      <c r="I1910" s="89" t="s">
        <v>44</v>
      </c>
      <c r="J1910" s="89" t="s">
        <v>44</v>
      </c>
      <c r="K1910" s="90">
        <v>22512133</v>
      </c>
    </row>
    <row r="1911" ht="15.75" customHeight="1" spans="1:11">
      <c r="A1911" s="87">
        <v>1910</v>
      </c>
      <c r="B1911" s="88" t="s">
        <v>53</v>
      </c>
      <c r="C1911" s="88" t="s">
        <v>142</v>
      </c>
      <c r="D1911" s="87">
        <v>2026</v>
      </c>
      <c r="E1911" s="88" t="s">
        <v>37</v>
      </c>
      <c r="F1911" s="88" t="s">
        <v>152</v>
      </c>
      <c r="G1911" s="89" t="s">
        <v>44</v>
      </c>
      <c r="H1911" s="89" t="s">
        <v>44</v>
      </c>
      <c r="I1911" s="89" t="s">
        <v>44</v>
      </c>
      <c r="J1911" s="89" t="s">
        <v>44</v>
      </c>
      <c r="K1911" s="90">
        <v>7084</v>
      </c>
    </row>
    <row r="1912" ht="15.75" customHeight="1" spans="1:11">
      <c r="A1912" s="87">
        <v>1911</v>
      </c>
      <c r="B1912" s="88" t="s">
        <v>53</v>
      </c>
      <c r="C1912" s="88" t="s">
        <v>142</v>
      </c>
      <c r="D1912" s="87">
        <v>2026</v>
      </c>
      <c r="E1912" s="88" t="s">
        <v>37</v>
      </c>
      <c r="F1912" s="88" t="s">
        <v>150</v>
      </c>
      <c r="G1912" s="89" t="s">
        <v>44</v>
      </c>
      <c r="H1912" s="89" t="s">
        <v>44</v>
      </c>
      <c r="I1912" s="89" t="s">
        <v>44</v>
      </c>
      <c r="J1912" s="89" t="s">
        <v>44</v>
      </c>
      <c r="K1912" s="90">
        <v>4088</v>
      </c>
    </row>
    <row r="1913" ht="15.75" customHeight="1" spans="1:11">
      <c r="A1913" s="87">
        <v>1912</v>
      </c>
      <c r="B1913" s="88" t="s">
        <v>53</v>
      </c>
      <c r="C1913" s="88" t="s">
        <v>142</v>
      </c>
      <c r="D1913" s="87">
        <v>2026</v>
      </c>
      <c r="E1913" s="88" t="s">
        <v>37</v>
      </c>
      <c r="F1913" s="88" t="s">
        <v>151</v>
      </c>
      <c r="G1913" s="89" t="s">
        <v>44</v>
      </c>
      <c r="H1913" s="89" t="s">
        <v>44</v>
      </c>
      <c r="I1913" s="89" t="s">
        <v>44</v>
      </c>
      <c r="J1913" s="89" t="s">
        <v>44</v>
      </c>
      <c r="K1913" s="90">
        <v>536224</v>
      </c>
    </row>
    <row r="1914" ht="15.75" customHeight="1" spans="1:11">
      <c r="A1914" s="87">
        <v>1913</v>
      </c>
      <c r="B1914" s="88" t="s">
        <v>58</v>
      </c>
      <c r="C1914" s="88" t="s">
        <v>144</v>
      </c>
      <c r="D1914" s="87">
        <v>2026</v>
      </c>
      <c r="E1914" s="88" t="s">
        <v>37</v>
      </c>
      <c r="F1914" s="88" t="s">
        <v>152</v>
      </c>
      <c r="G1914" s="89" t="s">
        <v>44</v>
      </c>
      <c r="H1914" s="89" t="s">
        <v>44</v>
      </c>
      <c r="I1914" s="89" t="s">
        <v>44</v>
      </c>
      <c r="J1914" s="89" t="s">
        <v>44</v>
      </c>
      <c r="K1914" s="90">
        <v>1490</v>
      </c>
    </row>
    <row r="1915" ht="15.75" customHeight="1" spans="1:11">
      <c r="A1915" s="87">
        <v>1914</v>
      </c>
      <c r="B1915" s="88" t="s">
        <v>58</v>
      </c>
      <c r="C1915" s="88" t="s">
        <v>144</v>
      </c>
      <c r="D1915" s="87">
        <v>2026</v>
      </c>
      <c r="E1915" s="88" t="s">
        <v>37</v>
      </c>
      <c r="F1915" s="88" t="s">
        <v>150</v>
      </c>
      <c r="G1915" s="89" t="s">
        <v>44</v>
      </c>
      <c r="H1915" s="89" t="s">
        <v>44</v>
      </c>
      <c r="I1915" s="89" t="s">
        <v>44</v>
      </c>
      <c r="J1915" s="89" t="s">
        <v>44</v>
      </c>
      <c r="K1915" s="90">
        <v>1487</v>
      </c>
    </row>
    <row r="1916" ht="15.75" customHeight="1" spans="1:11">
      <c r="A1916" s="87">
        <v>1915</v>
      </c>
      <c r="B1916" s="88" t="s">
        <v>58</v>
      </c>
      <c r="C1916" s="88" t="s">
        <v>144</v>
      </c>
      <c r="D1916" s="87">
        <v>2026</v>
      </c>
      <c r="E1916" s="88" t="s">
        <v>37</v>
      </c>
      <c r="F1916" s="88" t="s">
        <v>151</v>
      </c>
      <c r="G1916" s="89" t="s">
        <v>44</v>
      </c>
      <c r="H1916" s="89" t="s">
        <v>44</v>
      </c>
      <c r="I1916" s="89" t="s">
        <v>44</v>
      </c>
      <c r="J1916" s="89" t="s">
        <v>44</v>
      </c>
      <c r="K1916" s="90">
        <v>120953</v>
      </c>
    </row>
    <row r="1917" ht="15.75" customHeight="1" spans="1:11">
      <c r="A1917" s="87">
        <v>1916</v>
      </c>
      <c r="B1917" s="88" t="s">
        <v>58</v>
      </c>
      <c r="C1917" s="88" t="s">
        <v>146</v>
      </c>
      <c r="D1917" s="87">
        <v>2026</v>
      </c>
      <c r="E1917" s="88" t="s">
        <v>37</v>
      </c>
      <c r="F1917" s="88" t="s">
        <v>152</v>
      </c>
      <c r="G1917" s="89" t="s">
        <v>44</v>
      </c>
      <c r="H1917" s="89" t="s">
        <v>44</v>
      </c>
      <c r="I1917" s="89" t="s">
        <v>44</v>
      </c>
      <c r="J1917" s="89" t="s">
        <v>44</v>
      </c>
      <c r="K1917" s="90">
        <v>538817</v>
      </c>
    </row>
    <row r="1918" ht="15.75" customHeight="1" spans="1:11">
      <c r="A1918" s="87">
        <v>1917</v>
      </c>
      <c r="B1918" s="88" t="s">
        <v>58</v>
      </c>
      <c r="C1918" s="88" t="s">
        <v>146</v>
      </c>
      <c r="D1918" s="87">
        <v>2026</v>
      </c>
      <c r="E1918" s="88" t="s">
        <v>37</v>
      </c>
      <c r="F1918" s="88" t="s">
        <v>150</v>
      </c>
      <c r="G1918" s="89" t="s">
        <v>44</v>
      </c>
      <c r="H1918" s="89" t="s">
        <v>44</v>
      </c>
      <c r="I1918" s="89" t="s">
        <v>44</v>
      </c>
      <c r="J1918" s="89" t="s">
        <v>44</v>
      </c>
      <c r="K1918" s="90">
        <v>38544</v>
      </c>
    </row>
    <row r="1919" ht="15.75" customHeight="1" spans="1:11">
      <c r="A1919" s="87">
        <v>1918</v>
      </c>
      <c r="B1919" s="88" t="s">
        <v>58</v>
      </c>
      <c r="C1919" s="88" t="s">
        <v>146</v>
      </c>
      <c r="D1919" s="87">
        <v>2026</v>
      </c>
      <c r="E1919" s="88" t="s">
        <v>37</v>
      </c>
      <c r="F1919" s="88" t="s">
        <v>151</v>
      </c>
      <c r="G1919" s="89" t="s">
        <v>44</v>
      </c>
      <c r="H1919" s="89" t="s">
        <v>44</v>
      </c>
      <c r="I1919" s="89" t="s">
        <v>44</v>
      </c>
      <c r="J1919" s="89" t="s">
        <v>44</v>
      </c>
      <c r="K1919" s="90">
        <v>7695079</v>
      </c>
    </row>
    <row r="1920" ht="15.75" customHeight="1" spans="1:11">
      <c r="A1920" s="87">
        <v>1919</v>
      </c>
      <c r="B1920" s="88" t="s">
        <v>58</v>
      </c>
      <c r="C1920" s="88" t="s">
        <v>58</v>
      </c>
      <c r="D1920" s="87">
        <v>2026</v>
      </c>
      <c r="E1920" s="88" t="s">
        <v>37</v>
      </c>
      <c r="F1920" s="88" t="s">
        <v>155</v>
      </c>
      <c r="G1920" s="90">
        <v>6982</v>
      </c>
      <c r="H1920" s="89">
        <v>1</v>
      </c>
      <c r="I1920" s="89" t="s">
        <v>44</v>
      </c>
      <c r="J1920" s="89" t="s">
        <v>44</v>
      </c>
      <c r="K1920" s="90">
        <v>6982</v>
      </c>
    </row>
    <row r="1921" ht="15.75" customHeight="1" spans="1:11">
      <c r="A1921" s="87">
        <v>1920</v>
      </c>
      <c r="B1921" s="88" t="s">
        <v>58</v>
      </c>
      <c r="C1921" s="88" t="s">
        <v>58</v>
      </c>
      <c r="D1921" s="87">
        <v>2026</v>
      </c>
      <c r="E1921" s="88" t="s">
        <v>37</v>
      </c>
      <c r="F1921" s="88" t="s">
        <v>152</v>
      </c>
      <c r="G1921" s="89" t="s">
        <v>44</v>
      </c>
      <c r="H1921" s="89" t="s">
        <v>44</v>
      </c>
      <c r="I1921" s="89" t="s">
        <v>44</v>
      </c>
      <c r="J1921" s="89" t="s">
        <v>44</v>
      </c>
      <c r="K1921" s="90">
        <v>10484384</v>
      </c>
    </row>
    <row r="1922" ht="15.75" customHeight="1" spans="1:11">
      <c r="A1922" s="87">
        <v>1921</v>
      </c>
      <c r="B1922" s="88" t="s">
        <v>58</v>
      </c>
      <c r="C1922" s="88" t="s">
        <v>58</v>
      </c>
      <c r="D1922" s="87">
        <v>2026</v>
      </c>
      <c r="E1922" s="88" t="s">
        <v>37</v>
      </c>
      <c r="F1922" s="88" t="s">
        <v>150</v>
      </c>
      <c r="G1922" s="89" t="s">
        <v>44</v>
      </c>
      <c r="H1922" s="89" t="s">
        <v>44</v>
      </c>
      <c r="I1922" s="89" t="s">
        <v>44</v>
      </c>
      <c r="J1922" s="89" t="s">
        <v>44</v>
      </c>
      <c r="K1922" s="90">
        <v>1453003</v>
      </c>
    </row>
    <row r="1923" ht="15.75" customHeight="1" spans="1:11">
      <c r="A1923" s="87">
        <v>1922</v>
      </c>
      <c r="B1923" s="88" t="s">
        <v>58</v>
      </c>
      <c r="C1923" s="88" t="s">
        <v>58</v>
      </c>
      <c r="D1923" s="87">
        <v>2026</v>
      </c>
      <c r="E1923" s="88" t="s">
        <v>37</v>
      </c>
      <c r="F1923" s="88" t="s">
        <v>151</v>
      </c>
      <c r="G1923" s="89" t="s">
        <v>44</v>
      </c>
      <c r="H1923" s="89" t="s">
        <v>44</v>
      </c>
      <c r="I1923" s="89" t="s">
        <v>44</v>
      </c>
      <c r="J1923" s="89" t="s">
        <v>44</v>
      </c>
      <c r="K1923" s="90">
        <v>211989302</v>
      </c>
    </row>
    <row r="1924" ht="15.75" customHeight="1" spans="1:11">
      <c r="A1924" s="87">
        <v>1923</v>
      </c>
      <c r="B1924" s="88" t="s">
        <v>58</v>
      </c>
      <c r="C1924" s="88" t="s">
        <v>58</v>
      </c>
      <c r="D1924" s="87">
        <v>2026</v>
      </c>
      <c r="E1924" s="88" t="s">
        <v>37</v>
      </c>
      <c r="F1924" s="88" t="s">
        <v>149</v>
      </c>
      <c r="G1924" s="89" t="s">
        <v>44</v>
      </c>
      <c r="H1924" s="89">
        <v>34</v>
      </c>
      <c r="I1924" s="90">
        <v>1614979</v>
      </c>
      <c r="J1924" s="89">
        <v>29</v>
      </c>
      <c r="K1924" s="90">
        <v>83291</v>
      </c>
    </row>
    <row r="1925" ht="15.75" customHeight="1" spans="1:11">
      <c r="A1925" s="87">
        <v>1924</v>
      </c>
      <c r="B1925" s="88" t="s">
        <v>28</v>
      </c>
      <c r="C1925" s="88" t="s">
        <v>28</v>
      </c>
      <c r="D1925" s="87">
        <v>2026</v>
      </c>
      <c r="E1925" s="88" t="s">
        <v>38</v>
      </c>
      <c r="F1925" s="88" t="s">
        <v>149</v>
      </c>
      <c r="G1925" s="89" t="s">
        <v>44</v>
      </c>
      <c r="H1925" s="89">
        <v>5</v>
      </c>
      <c r="I1925" s="90">
        <v>205115</v>
      </c>
      <c r="J1925" s="89">
        <v>4</v>
      </c>
      <c r="K1925" s="90">
        <v>11076</v>
      </c>
    </row>
    <row r="1926" ht="15.75" customHeight="1" spans="1:11">
      <c r="A1926" s="87">
        <v>1925</v>
      </c>
      <c r="B1926" s="88" t="s">
        <v>28</v>
      </c>
      <c r="C1926" s="88" t="s">
        <v>28</v>
      </c>
      <c r="D1926" s="87">
        <v>2026</v>
      </c>
      <c r="E1926" s="88" t="s">
        <v>38</v>
      </c>
      <c r="F1926" s="88" t="s">
        <v>152</v>
      </c>
      <c r="G1926" s="89" t="s">
        <v>44</v>
      </c>
      <c r="H1926" s="89" t="s">
        <v>44</v>
      </c>
      <c r="I1926" s="89" t="s">
        <v>44</v>
      </c>
      <c r="J1926" s="89" t="s">
        <v>44</v>
      </c>
      <c r="K1926" s="90">
        <v>3558434</v>
      </c>
    </row>
    <row r="1927" ht="15.75" customHeight="1" spans="1:11">
      <c r="A1927" s="87">
        <v>1926</v>
      </c>
      <c r="B1927" s="88" t="s">
        <v>28</v>
      </c>
      <c r="C1927" s="88" t="s">
        <v>28</v>
      </c>
      <c r="D1927" s="87">
        <v>2026</v>
      </c>
      <c r="E1927" s="88" t="s">
        <v>38</v>
      </c>
      <c r="F1927" s="88" t="s">
        <v>150</v>
      </c>
      <c r="G1927" s="89" t="s">
        <v>44</v>
      </c>
      <c r="H1927" s="89" t="s">
        <v>44</v>
      </c>
      <c r="I1927" s="89" t="s">
        <v>44</v>
      </c>
      <c r="J1927" s="89" t="s">
        <v>44</v>
      </c>
      <c r="K1927" s="90">
        <v>212558</v>
      </c>
    </row>
    <row r="1928" ht="15.75" customHeight="1" spans="1:11">
      <c r="A1928" s="87">
        <v>1927</v>
      </c>
      <c r="B1928" s="88" t="s">
        <v>28</v>
      </c>
      <c r="C1928" s="88" t="s">
        <v>28</v>
      </c>
      <c r="D1928" s="87">
        <v>2026</v>
      </c>
      <c r="E1928" s="88" t="s">
        <v>38</v>
      </c>
      <c r="F1928" s="88" t="s">
        <v>151</v>
      </c>
      <c r="G1928" s="89" t="s">
        <v>44</v>
      </c>
      <c r="H1928" s="89" t="s">
        <v>44</v>
      </c>
      <c r="I1928" s="89" t="s">
        <v>44</v>
      </c>
      <c r="J1928" s="89" t="s">
        <v>44</v>
      </c>
      <c r="K1928" s="90">
        <v>43132700</v>
      </c>
    </row>
    <row r="1929" ht="15.75" customHeight="1" spans="1:11">
      <c r="A1929" s="87">
        <v>1928</v>
      </c>
      <c r="B1929" s="88" t="s">
        <v>28</v>
      </c>
      <c r="C1929" s="88" t="s">
        <v>132</v>
      </c>
      <c r="D1929" s="87">
        <v>2026</v>
      </c>
      <c r="E1929" s="88" t="s">
        <v>38</v>
      </c>
      <c r="F1929" s="88" t="s">
        <v>152</v>
      </c>
      <c r="G1929" s="89" t="s">
        <v>44</v>
      </c>
      <c r="H1929" s="89" t="s">
        <v>44</v>
      </c>
      <c r="I1929" s="89" t="s">
        <v>44</v>
      </c>
      <c r="J1929" s="89" t="s">
        <v>44</v>
      </c>
      <c r="K1929" s="90">
        <v>637792</v>
      </c>
    </row>
    <row r="1930" ht="15.75" customHeight="1" spans="1:11">
      <c r="A1930" s="87">
        <v>1929</v>
      </c>
      <c r="B1930" s="88" t="s">
        <v>28</v>
      </c>
      <c r="C1930" s="88" t="s">
        <v>132</v>
      </c>
      <c r="D1930" s="87">
        <v>2026</v>
      </c>
      <c r="E1930" s="88" t="s">
        <v>38</v>
      </c>
      <c r="F1930" s="88" t="s">
        <v>150</v>
      </c>
      <c r="G1930" s="89" t="s">
        <v>44</v>
      </c>
      <c r="H1930" s="89" t="s">
        <v>44</v>
      </c>
      <c r="I1930" s="89" t="s">
        <v>44</v>
      </c>
      <c r="J1930" s="89" t="s">
        <v>44</v>
      </c>
      <c r="K1930" s="90">
        <v>16879</v>
      </c>
    </row>
    <row r="1931" ht="15.75" customHeight="1" spans="1:11">
      <c r="A1931" s="87">
        <v>1930</v>
      </c>
      <c r="B1931" s="88" t="s">
        <v>28</v>
      </c>
      <c r="C1931" s="88" t="s">
        <v>132</v>
      </c>
      <c r="D1931" s="87">
        <v>2026</v>
      </c>
      <c r="E1931" s="88" t="s">
        <v>38</v>
      </c>
      <c r="F1931" s="88" t="s">
        <v>151</v>
      </c>
      <c r="G1931" s="89" t="s">
        <v>44</v>
      </c>
      <c r="H1931" s="89" t="s">
        <v>44</v>
      </c>
      <c r="I1931" s="89" t="s">
        <v>44</v>
      </c>
      <c r="J1931" s="89" t="s">
        <v>44</v>
      </c>
      <c r="K1931" s="90">
        <v>6186205</v>
      </c>
    </row>
    <row r="1932" ht="15.75" customHeight="1" spans="1:11">
      <c r="A1932" s="87">
        <v>1931</v>
      </c>
      <c r="B1932" s="88" t="s">
        <v>46</v>
      </c>
      <c r="C1932" s="88" t="s">
        <v>47</v>
      </c>
      <c r="D1932" s="87">
        <v>2026</v>
      </c>
      <c r="E1932" s="88" t="s">
        <v>38</v>
      </c>
      <c r="F1932" s="88" t="s">
        <v>152</v>
      </c>
      <c r="G1932" s="89" t="s">
        <v>44</v>
      </c>
      <c r="H1932" s="89" t="s">
        <v>44</v>
      </c>
      <c r="I1932" s="89" t="s">
        <v>44</v>
      </c>
      <c r="J1932" s="89" t="s">
        <v>44</v>
      </c>
      <c r="K1932" s="90">
        <v>284673</v>
      </c>
    </row>
    <row r="1933" ht="15.75" customHeight="1" spans="1:11">
      <c r="A1933" s="87">
        <v>1932</v>
      </c>
      <c r="B1933" s="88" t="s">
        <v>46</v>
      </c>
      <c r="C1933" s="88" t="s">
        <v>47</v>
      </c>
      <c r="D1933" s="87">
        <v>2026</v>
      </c>
      <c r="E1933" s="88" t="s">
        <v>38</v>
      </c>
      <c r="F1933" s="88" t="s">
        <v>150</v>
      </c>
      <c r="G1933" s="89" t="s">
        <v>44</v>
      </c>
      <c r="H1933" s="89" t="s">
        <v>44</v>
      </c>
      <c r="I1933" s="89" t="s">
        <v>44</v>
      </c>
      <c r="J1933" s="89" t="s">
        <v>44</v>
      </c>
      <c r="K1933" s="90">
        <v>16461</v>
      </c>
    </row>
    <row r="1934" ht="15.75" customHeight="1" spans="1:11">
      <c r="A1934" s="87">
        <v>1933</v>
      </c>
      <c r="B1934" s="88" t="s">
        <v>46</v>
      </c>
      <c r="C1934" s="88" t="s">
        <v>47</v>
      </c>
      <c r="D1934" s="87">
        <v>2026</v>
      </c>
      <c r="E1934" s="88" t="s">
        <v>38</v>
      </c>
      <c r="F1934" s="88" t="s">
        <v>151</v>
      </c>
      <c r="G1934" s="89" t="s">
        <v>44</v>
      </c>
      <c r="H1934" s="89" t="s">
        <v>44</v>
      </c>
      <c r="I1934" s="89" t="s">
        <v>44</v>
      </c>
      <c r="J1934" s="89" t="s">
        <v>44</v>
      </c>
      <c r="K1934" s="90">
        <v>8049234</v>
      </c>
    </row>
    <row r="1935" ht="15.75" customHeight="1" spans="1:11">
      <c r="A1935" s="87">
        <v>1934</v>
      </c>
      <c r="B1935" s="88" t="s">
        <v>46</v>
      </c>
      <c r="C1935" s="88" t="s">
        <v>133</v>
      </c>
      <c r="D1935" s="87">
        <v>2026</v>
      </c>
      <c r="E1935" s="88" t="s">
        <v>38</v>
      </c>
      <c r="F1935" s="88" t="s">
        <v>152</v>
      </c>
      <c r="G1935" s="89" t="s">
        <v>44</v>
      </c>
      <c r="H1935" s="89" t="s">
        <v>44</v>
      </c>
      <c r="I1935" s="89" t="s">
        <v>44</v>
      </c>
      <c r="J1935" s="89" t="s">
        <v>44</v>
      </c>
      <c r="K1935" s="90">
        <v>196569</v>
      </c>
    </row>
    <row r="1936" ht="15.75" customHeight="1" spans="1:11">
      <c r="A1936" s="87">
        <v>1935</v>
      </c>
      <c r="B1936" s="88" t="s">
        <v>46</v>
      </c>
      <c r="C1936" s="88" t="s">
        <v>133</v>
      </c>
      <c r="D1936" s="87">
        <v>2026</v>
      </c>
      <c r="E1936" s="88" t="s">
        <v>38</v>
      </c>
      <c r="F1936" s="88" t="s">
        <v>150</v>
      </c>
      <c r="G1936" s="89" t="s">
        <v>44</v>
      </c>
      <c r="H1936" s="89" t="s">
        <v>44</v>
      </c>
      <c r="I1936" s="89" t="s">
        <v>44</v>
      </c>
      <c r="J1936" s="89" t="s">
        <v>44</v>
      </c>
      <c r="K1936" s="89">
        <v>481</v>
      </c>
    </row>
    <row r="1937" ht="15.75" customHeight="1" spans="1:11">
      <c r="A1937" s="87">
        <v>1936</v>
      </c>
      <c r="B1937" s="88" t="s">
        <v>46</v>
      </c>
      <c r="C1937" s="88" t="s">
        <v>133</v>
      </c>
      <c r="D1937" s="87">
        <v>2026</v>
      </c>
      <c r="E1937" s="88" t="s">
        <v>38</v>
      </c>
      <c r="F1937" s="88" t="s">
        <v>151</v>
      </c>
      <c r="G1937" s="89" t="s">
        <v>44</v>
      </c>
      <c r="H1937" s="89" t="s">
        <v>44</v>
      </c>
      <c r="I1937" s="89" t="s">
        <v>44</v>
      </c>
      <c r="J1937" s="89" t="s">
        <v>44</v>
      </c>
      <c r="K1937" s="90">
        <v>5610703</v>
      </c>
    </row>
    <row r="1938" ht="15.75" customHeight="1" spans="1:11">
      <c r="A1938" s="87">
        <v>1937</v>
      </c>
      <c r="B1938" s="88" t="s">
        <v>46</v>
      </c>
      <c r="C1938" s="88" t="s">
        <v>134</v>
      </c>
      <c r="D1938" s="87">
        <v>2026</v>
      </c>
      <c r="E1938" s="88" t="s">
        <v>38</v>
      </c>
      <c r="F1938" s="88" t="s">
        <v>152</v>
      </c>
      <c r="G1938" s="89" t="s">
        <v>44</v>
      </c>
      <c r="H1938" s="89" t="s">
        <v>44</v>
      </c>
      <c r="I1938" s="89" t="s">
        <v>44</v>
      </c>
      <c r="J1938" s="89" t="s">
        <v>44</v>
      </c>
      <c r="K1938" s="90">
        <v>214382</v>
      </c>
    </row>
    <row r="1939" ht="15.75" customHeight="1" spans="1:11">
      <c r="A1939" s="87">
        <v>1938</v>
      </c>
      <c r="B1939" s="88" t="s">
        <v>46</v>
      </c>
      <c r="C1939" s="88" t="s">
        <v>134</v>
      </c>
      <c r="D1939" s="87">
        <v>2026</v>
      </c>
      <c r="E1939" s="88" t="s">
        <v>38</v>
      </c>
      <c r="F1939" s="88" t="s">
        <v>150</v>
      </c>
      <c r="G1939" s="89" t="s">
        <v>44</v>
      </c>
      <c r="H1939" s="89" t="s">
        <v>44</v>
      </c>
      <c r="I1939" s="89" t="s">
        <v>44</v>
      </c>
      <c r="J1939" s="89" t="s">
        <v>44</v>
      </c>
      <c r="K1939" s="89">
        <v>126</v>
      </c>
    </row>
    <row r="1940" ht="15.75" customHeight="1" spans="1:11">
      <c r="A1940" s="87">
        <v>1939</v>
      </c>
      <c r="B1940" s="88" t="s">
        <v>46</v>
      </c>
      <c r="C1940" s="88" t="s">
        <v>134</v>
      </c>
      <c r="D1940" s="87">
        <v>2026</v>
      </c>
      <c r="E1940" s="88" t="s">
        <v>38</v>
      </c>
      <c r="F1940" s="88" t="s">
        <v>151</v>
      </c>
      <c r="G1940" s="89" t="s">
        <v>44</v>
      </c>
      <c r="H1940" s="89" t="s">
        <v>44</v>
      </c>
      <c r="I1940" s="89" t="s">
        <v>44</v>
      </c>
      <c r="J1940" s="89" t="s">
        <v>44</v>
      </c>
      <c r="K1940" s="90">
        <v>3427381</v>
      </c>
    </row>
    <row r="1941" ht="15.75" customHeight="1" spans="1:11">
      <c r="A1941" s="87">
        <v>1940</v>
      </c>
      <c r="B1941" s="88" t="s">
        <v>46</v>
      </c>
      <c r="C1941" s="88" t="s">
        <v>135</v>
      </c>
      <c r="D1941" s="87">
        <v>2026</v>
      </c>
      <c r="E1941" s="88" t="s">
        <v>38</v>
      </c>
      <c r="F1941" s="88" t="s">
        <v>152</v>
      </c>
      <c r="G1941" s="89" t="s">
        <v>44</v>
      </c>
      <c r="H1941" s="89" t="s">
        <v>44</v>
      </c>
      <c r="I1941" s="89" t="s">
        <v>44</v>
      </c>
      <c r="J1941" s="89" t="s">
        <v>44</v>
      </c>
      <c r="K1941" s="90">
        <v>770901</v>
      </c>
    </row>
    <row r="1942" ht="15.75" customHeight="1" spans="1:11">
      <c r="A1942" s="87">
        <v>1941</v>
      </c>
      <c r="B1942" s="88" t="s">
        <v>46</v>
      </c>
      <c r="C1942" s="88" t="s">
        <v>135</v>
      </c>
      <c r="D1942" s="87">
        <v>2026</v>
      </c>
      <c r="E1942" s="88" t="s">
        <v>38</v>
      </c>
      <c r="F1942" s="88" t="s">
        <v>150</v>
      </c>
      <c r="G1942" s="89" t="s">
        <v>44</v>
      </c>
      <c r="H1942" s="89" t="s">
        <v>44</v>
      </c>
      <c r="I1942" s="89" t="s">
        <v>44</v>
      </c>
      <c r="J1942" s="89" t="s">
        <v>44</v>
      </c>
      <c r="K1942" s="89">
        <v>797</v>
      </c>
    </row>
    <row r="1943" ht="15.75" customHeight="1" spans="1:11">
      <c r="A1943" s="87">
        <v>1942</v>
      </c>
      <c r="B1943" s="88" t="s">
        <v>46</v>
      </c>
      <c r="C1943" s="88" t="s">
        <v>135</v>
      </c>
      <c r="D1943" s="87">
        <v>2026</v>
      </c>
      <c r="E1943" s="88" t="s">
        <v>38</v>
      </c>
      <c r="F1943" s="88" t="s">
        <v>151</v>
      </c>
      <c r="G1943" s="89" t="s">
        <v>44</v>
      </c>
      <c r="H1943" s="89" t="s">
        <v>44</v>
      </c>
      <c r="I1943" s="89" t="s">
        <v>44</v>
      </c>
      <c r="J1943" s="89" t="s">
        <v>44</v>
      </c>
      <c r="K1943" s="90">
        <v>14194195</v>
      </c>
    </row>
    <row r="1944" ht="15.75" customHeight="1" spans="1:11">
      <c r="A1944" s="87">
        <v>1943</v>
      </c>
      <c r="B1944" s="88" t="s">
        <v>46</v>
      </c>
      <c r="C1944" s="88" t="s">
        <v>156</v>
      </c>
      <c r="D1944" s="87">
        <v>2026</v>
      </c>
      <c r="E1944" s="88" t="s">
        <v>38</v>
      </c>
      <c r="F1944" s="88" t="s">
        <v>152</v>
      </c>
      <c r="G1944" s="89" t="s">
        <v>44</v>
      </c>
      <c r="H1944" s="89" t="s">
        <v>44</v>
      </c>
      <c r="I1944" s="89" t="s">
        <v>44</v>
      </c>
      <c r="J1944" s="89" t="s">
        <v>44</v>
      </c>
      <c r="K1944" s="90">
        <v>1963246</v>
      </c>
    </row>
    <row r="1945" ht="15.75" customHeight="1" spans="1:11">
      <c r="A1945" s="87">
        <v>1944</v>
      </c>
      <c r="B1945" s="88" t="s">
        <v>46</v>
      </c>
      <c r="C1945" s="88" t="s">
        <v>156</v>
      </c>
      <c r="D1945" s="87">
        <v>2026</v>
      </c>
      <c r="E1945" s="88" t="s">
        <v>38</v>
      </c>
      <c r="F1945" s="88" t="s">
        <v>150</v>
      </c>
      <c r="G1945" s="89" t="s">
        <v>44</v>
      </c>
      <c r="H1945" s="89" t="s">
        <v>44</v>
      </c>
      <c r="I1945" s="89" t="s">
        <v>44</v>
      </c>
      <c r="J1945" s="89" t="s">
        <v>44</v>
      </c>
      <c r="K1945" s="89">
        <v>328</v>
      </c>
    </row>
    <row r="1946" ht="15.75" customHeight="1" spans="1:11">
      <c r="A1946" s="87">
        <v>1945</v>
      </c>
      <c r="B1946" s="88" t="s">
        <v>46</v>
      </c>
      <c r="C1946" s="88" t="s">
        <v>156</v>
      </c>
      <c r="D1946" s="87">
        <v>2026</v>
      </c>
      <c r="E1946" s="88" t="s">
        <v>38</v>
      </c>
      <c r="F1946" s="88" t="s">
        <v>151</v>
      </c>
      <c r="G1946" s="89" t="s">
        <v>44</v>
      </c>
      <c r="H1946" s="89" t="s">
        <v>44</v>
      </c>
      <c r="I1946" s="89" t="s">
        <v>44</v>
      </c>
      <c r="J1946" s="89" t="s">
        <v>44</v>
      </c>
      <c r="K1946" s="90">
        <v>33737224</v>
      </c>
    </row>
    <row r="1947" ht="15.75" customHeight="1" spans="1:11">
      <c r="A1947" s="87">
        <v>1946</v>
      </c>
      <c r="B1947" s="88" t="s">
        <v>46</v>
      </c>
      <c r="C1947" s="88" t="s">
        <v>137</v>
      </c>
      <c r="D1947" s="87">
        <v>2026</v>
      </c>
      <c r="E1947" s="88" t="s">
        <v>38</v>
      </c>
      <c r="F1947" s="88" t="s">
        <v>152</v>
      </c>
      <c r="G1947" s="89" t="s">
        <v>44</v>
      </c>
      <c r="H1947" s="89" t="s">
        <v>44</v>
      </c>
      <c r="I1947" s="89" t="s">
        <v>44</v>
      </c>
      <c r="J1947" s="89" t="s">
        <v>44</v>
      </c>
      <c r="K1947" s="90">
        <v>211524</v>
      </c>
    </row>
    <row r="1948" ht="15.75" customHeight="1" spans="1:11">
      <c r="A1948" s="87">
        <v>1947</v>
      </c>
      <c r="B1948" s="88" t="s">
        <v>46</v>
      </c>
      <c r="C1948" s="88" t="s">
        <v>137</v>
      </c>
      <c r="D1948" s="87">
        <v>2026</v>
      </c>
      <c r="E1948" s="88" t="s">
        <v>38</v>
      </c>
      <c r="F1948" s="88" t="s">
        <v>150</v>
      </c>
      <c r="G1948" s="89" t="s">
        <v>44</v>
      </c>
      <c r="H1948" s="89" t="s">
        <v>44</v>
      </c>
      <c r="I1948" s="89" t="s">
        <v>44</v>
      </c>
      <c r="J1948" s="89" t="s">
        <v>44</v>
      </c>
      <c r="K1948" s="89">
        <v>555</v>
      </c>
    </row>
    <row r="1949" ht="15.75" customHeight="1" spans="1:11">
      <c r="A1949" s="87">
        <v>1948</v>
      </c>
      <c r="B1949" s="88" t="s">
        <v>46</v>
      </c>
      <c r="C1949" s="88" t="s">
        <v>137</v>
      </c>
      <c r="D1949" s="87">
        <v>2026</v>
      </c>
      <c r="E1949" s="88" t="s">
        <v>38</v>
      </c>
      <c r="F1949" s="88" t="s">
        <v>151</v>
      </c>
      <c r="G1949" s="89" t="s">
        <v>44</v>
      </c>
      <c r="H1949" s="89" t="s">
        <v>44</v>
      </c>
      <c r="I1949" s="89" t="s">
        <v>44</v>
      </c>
      <c r="J1949" s="89" t="s">
        <v>44</v>
      </c>
      <c r="K1949" s="90">
        <v>14178932</v>
      </c>
    </row>
    <row r="1950" ht="15.75" customHeight="1" spans="1:11">
      <c r="A1950" s="87">
        <v>1949</v>
      </c>
      <c r="B1950" s="88" t="s">
        <v>46</v>
      </c>
      <c r="C1950" s="88" t="s">
        <v>158</v>
      </c>
      <c r="D1950" s="87">
        <v>2026</v>
      </c>
      <c r="E1950" s="88" t="s">
        <v>38</v>
      </c>
      <c r="F1950" s="88" t="s">
        <v>152</v>
      </c>
      <c r="G1950" s="89" t="s">
        <v>44</v>
      </c>
      <c r="H1950" s="89" t="s">
        <v>44</v>
      </c>
      <c r="I1950" s="89" t="s">
        <v>44</v>
      </c>
      <c r="J1950" s="89" t="s">
        <v>44</v>
      </c>
      <c r="K1950" s="90">
        <v>974390</v>
      </c>
    </row>
    <row r="1951" ht="15.75" customHeight="1" spans="1:11">
      <c r="A1951" s="87">
        <v>1950</v>
      </c>
      <c r="B1951" s="88" t="s">
        <v>46</v>
      </c>
      <c r="C1951" s="88" t="s">
        <v>158</v>
      </c>
      <c r="D1951" s="87">
        <v>2026</v>
      </c>
      <c r="E1951" s="88" t="s">
        <v>38</v>
      </c>
      <c r="F1951" s="88" t="s">
        <v>150</v>
      </c>
      <c r="G1951" s="89" t="s">
        <v>44</v>
      </c>
      <c r="H1951" s="89" t="s">
        <v>44</v>
      </c>
      <c r="I1951" s="89" t="s">
        <v>44</v>
      </c>
      <c r="J1951" s="89" t="s">
        <v>44</v>
      </c>
      <c r="K1951" s="89">
        <v>131</v>
      </c>
    </row>
    <row r="1952" ht="15.75" customHeight="1" spans="1:11">
      <c r="A1952" s="87">
        <v>1951</v>
      </c>
      <c r="B1952" s="88" t="s">
        <v>46</v>
      </c>
      <c r="C1952" s="88" t="s">
        <v>158</v>
      </c>
      <c r="D1952" s="87">
        <v>2026</v>
      </c>
      <c r="E1952" s="88" t="s">
        <v>38</v>
      </c>
      <c r="F1952" s="88" t="s">
        <v>151</v>
      </c>
      <c r="G1952" s="89" t="s">
        <v>44</v>
      </c>
      <c r="H1952" s="89" t="s">
        <v>44</v>
      </c>
      <c r="I1952" s="89" t="s">
        <v>44</v>
      </c>
      <c r="J1952" s="89" t="s">
        <v>44</v>
      </c>
      <c r="K1952" s="90">
        <v>10422787</v>
      </c>
    </row>
    <row r="1953" ht="15.75" customHeight="1" spans="1:11">
      <c r="A1953" s="87">
        <v>1952</v>
      </c>
      <c r="B1953" s="88" t="s">
        <v>46</v>
      </c>
      <c r="C1953" s="88" t="s">
        <v>49</v>
      </c>
      <c r="D1953" s="87">
        <v>2026</v>
      </c>
      <c r="E1953" s="88" t="s">
        <v>38</v>
      </c>
      <c r="F1953" s="88" t="s">
        <v>152</v>
      </c>
      <c r="G1953" s="89" t="s">
        <v>44</v>
      </c>
      <c r="H1953" s="89" t="s">
        <v>44</v>
      </c>
      <c r="I1953" s="89" t="s">
        <v>44</v>
      </c>
      <c r="J1953" s="89" t="s">
        <v>44</v>
      </c>
      <c r="K1953" s="90">
        <v>255195</v>
      </c>
    </row>
    <row r="1954" ht="15.75" customHeight="1" spans="1:11">
      <c r="A1954" s="87">
        <v>1953</v>
      </c>
      <c r="B1954" s="88" t="s">
        <v>46</v>
      </c>
      <c r="C1954" s="88" t="s">
        <v>49</v>
      </c>
      <c r="D1954" s="87">
        <v>2026</v>
      </c>
      <c r="E1954" s="88" t="s">
        <v>38</v>
      </c>
      <c r="F1954" s="88" t="s">
        <v>150</v>
      </c>
      <c r="G1954" s="89" t="s">
        <v>44</v>
      </c>
      <c r="H1954" s="89" t="s">
        <v>44</v>
      </c>
      <c r="I1954" s="89" t="s">
        <v>44</v>
      </c>
      <c r="J1954" s="89" t="s">
        <v>44</v>
      </c>
      <c r="K1954" s="90">
        <v>20957</v>
      </c>
    </row>
    <row r="1955" ht="15.75" customHeight="1" spans="1:11">
      <c r="A1955" s="87">
        <v>1954</v>
      </c>
      <c r="B1955" s="88" t="s">
        <v>46</v>
      </c>
      <c r="C1955" s="88" t="s">
        <v>49</v>
      </c>
      <c r="D1955" s="87">
        <v>2026</v>
      </c>
      <c r="E1955" s="88" t="s">
        <v>38</v>
      </c>
      <c r="F1955" s="88" t="s">
        <v>151</v>
      </c>
      <c r="G1955" s="89" t="s">
        <v>44</v>
      </c>
      <c r="H1955" s="89" t="s">
        <v>44</v>
      </c>
      <c r="I1955" s="89" t="s">
        <v>44</v>
      </c>
      <c r="J1955" s="89" t="s">
        <v>44</v>
      </c>
      <c r="K1955" s="90">
        <v>8125428</v>
      </c>
    </row>
    <row r="1956" ht="15.75" customHeight="1" spans="1:11">
      <c r="A1956" s="87">
        <v>1955</v>
      </c>
      <c r="B1956" s="88" t="s">
        <v>46</v>
      </c>
      <c r="C1956" s="88" t="s">
        <v>51</v>
      </c>
      <c r="D1956" s="87">
        <v>2026</v>
      </c>
      <c r="E1956" s="88" t="s">
        <v>38</v>
      </c>
      <c r="F1956" s="88" t="s">
        <v>160</v>
      </c>
      <c r="G1956" s="90">
        <v>7214991</v>
      </c>
      <c r="H1956" s="90">
        <v>1026</v>
      </c>
      <c r="I1956" s="89" t="s">
        <v>44</v>
      </c>
      <c r="J1956" s="89" t="s">
        <v>44</v>
      </c>
      <c r="K1956" s="90">
        <v>7214991</v>
      </c>
    </row>
    <row r="1957" ht="15.75" customHeight="1" spans="1:11">
      <c r="A1957" s="87">
        <v>1956</v>
      </c>
      <c r="B1957" s="88" t="s">
        <v>46</v>
      </c>
      <c r="C1957" s="88" t="s">
        <v>51</v>
      </c>
      <c r="D1957" s="87">
        <v>2026</v>
      </c>
      <c r="E1957" s="88" t="s">
        <v>38</v>
      </c>
      <c r="F1957" s="88" t="s">
        <v>153</v>
      </c>
      <c r="G1957" s="90">
        <v>13799</v>
      </c>
      <c r="H1957" s="89">
        <v>1</v>
      </c>
      <c r="I1957" s="89" t="s">
        <v>44</v>
      </c>
      <c r="J1957" s="89" t="s">
        <v>44</v>
      </c>
      <c r="K1957" s="90">
        <v>13799</v>
      </c>
    </row>
    <row r="1958" ht="15.75" customHeight="1" spans="1:11">
      <c r="A1958" s="87">
        <v>1957</v>
      </c>
      <c r="B1958" s="88" t="s">
        <v>46</v>
      </c>
      <c r="C1958" s="88" t="s">
        <v>51</v>
      </c>
      <c r="D1958" s="87">
        <v>2026</v>
      </c>
      <c r="E1958" s="88" t="s">
        <v>38</v>
      </c>
      <c r="F1958" s="88" t="s">
        <v>152</v>
      </c>
      <c r="G1958" s="89" t="s">
        <v>44</v>
      </c>
      <c r="H1958" s="89" t="s">
        <v>44</v>
      </c>
      <c r="I1958" s="89" t="s">
        <v>44</v>
      </c>
      <c r="J1958" s="89" t="s">
        <v>44</v>
      </c>
      <c r="K1958" s="90">
        <v>29827649</v>
      </c>
    </row>
    <row r="1959" ht="15.75" customHeight="1" spans="1:11">
      <c r="A1959" s="87">
        <v>1958</v>
      </c>
      <c r="B1959" s="88" t="s">
        <v>46</v>
      </c>
      <c r="C1959" s="88" t="s">
        <v>51</v>
      </c>
      <c r="D1959" s="87">
        <v>2026</v>
      </c>
      <c r="E1959" s="88" t="s">
        <v>38</v>
      </c>
      <c r="F1959" s="88" t="s">
        <v>150</v>
      </c>
      <c r="G1959" s="89" t="s">
        <v>44</v>
      </c>
      <c r="H1959" s="89" t="s">
        <v>44</v>
      </c>
      <c r="I1959" s="89" t="s">
        <v>44</v>
      </c>
      <c r="J1959" s="89" t="s">
        <v>44</v>
      </c>
      <c r="K1959" s="90">
        <v>5942440</v>
      </c>
    </row>
    <row r="1960" ht="15.75" customHeight="1" spans="1:11">
      <c r="A1960" s="87">
        <v>1959</v>
      </c>
      <c r="B1960" s="88" t="s">
        <v>46</v>
      </c>
      <c r="C1960" s="88" t="s">
        <v>51</v>
      </c>
      <c r="D1960" s="87">
        <v>2026</v>
      </c>
      <c r="E1960" s="88" t="s">
        <v>38</v>
      </c>
      <c r="F1960" s="88" t="s">
        <v>151</v>
      </c>
      <c r="G1960" s="89" t="s">
        <v>44</v>
      </c>
      <c r="H1960" s="89" t="s">
        <v>44</v>
      </c>
      <c r="I1960" s="89" t="s">
        <v>44</v>
      </c>
      <c r="J1960" s="89" t="s">
        <v>44</v>
      </c>
      <c r="K1960" s="90">
        <v>423780717</v>
      </c>
    </row>
    <row r="1961" ht="15.75" customHeight="1" spans="1:11">
      <c r="A1961" s="87">
        <v>1960</v>
      </c>
      <c r="B1961" s="88" t="s">
        <v>46</v>
      </c>
      <c r="C1961" s="88" t="s">
        <v>51</v>
      </c>
      <c r="D1961" s="87">
        <v>2026</v>
      </c>
      <c r="E1961" s="88" t="s">
        <v>38</v>
      </c>
      <c r="F1961" s="88" t="s">
        <v>149</v>
      </c>
      <c r="G1961" s="89" t="s">
        <v>44</v>
      </c>
      <c r="H1961" s="89">
        <v>767</v>
      </c>
      <c r="I1961" s="90">
        <v>76486745</v>
      </c>
      <c r="J1961" s="89">
        <v>661</v>
      </c>
      <c r="K1961" s="90">
        <v>2425843</v>
      </c>
    </row>
    <row r="1962" ht="15.75" customHeight="1" spans="1:11">
      <c r="A1962" s="87">
        <v>1961</v>
      </c>
      <c r="B1962" s="88" t="s">
        <v>46</v>
      </c>
      <c r="C1962" s="88" t="s">
        <v>139</v>
      </c>
      <c r="D1962" s="87">
        <v>2026</v>
      </c>
      <c r="E1962" s="88" t="s">
        <v>38</v>
      </c>
      <c r="F1962" s="88" t="s">
        <v>153</v>
      </c>
      <c r="G1962" s="90">
        <v>13928</v>
      </c>
      <c r="H1962" s="89">
        <v>1</v>
      </c>
      <c r="I1962" s="89" t="s">
        <v>44</v>
      </c>
      <c r="J1962" s="89" t="s">
        <v>44</v>
      </c>
      <c r="K1962" s="90">
        <v>13928</v>
      </c>
    </row>
    <row r="1963" ht="15.75" customHeight="1" spans="1:11">
      <c r="A1963" s="87">
        <v>1962</v>
      </c>
      <c r="B1963" s="88" t="s">
        <v>46</v>
      </c>
      <c r="C1963" s="88" t="s">
        <v>139</v>
      </c>
      <c r="D1963" s="87">
        <v>2026</v>
      </c>
      <c r="E1963" s="88" t="s">
        <v>38</v>
      </c>
      <c r="F1963" s="88" t="s">
        <v>152</v>
      </c>
      <c r="G1963" s="89" t="s">
        <v>44</v>
      </c>
      <c r="H1963" s="89" t="s">
        <v>44</v>
      </c>
      <c r="I1963" s="89" t="s">
        <v>44</v>
      </c>
      <c r="J1963" s="89" t="s">
        <v>44</v>
      </c>
      <c r="K1963" s="90">
        <v>6566869</v>
      </c>
    </row>
    <row r="1964" ht="15.75" customHeight="1" spans="1:11">
      <c r="A1964" s="87">
        <v>1963</v>
      </c>
      <c r="B1964" s="88" t="s">
        <v>46</v>
      </c>
      <c r="C1964" s="88" t="s">
        <v>139</v>
      </c>
      <c r="D1964" s="87">
        <v>2026</v>
      </c>
      <c r="E1964" s="88" t="s">
        <v>38</v>
      </c>
      <c r="F1964" s="88" t="s">
        <v>149</v>
      </c>
      <c r="G1964" s="89" t="s">
        <v>44</v>
      </c>
      <c r="H1964" s="89">
        <v>373</v>
      </c>
      <c r="I1964" s="90">
        <v>28975040</v>
      </c>
      <c r="J1964" s="89">
        <v>281</v>
      </c>
      <c r="K1964" s="90">
        <v>1178396</v>
      </c>
    </row>
    <row r="1965" ht="15.75" customHeight="1" spans="1:11">
      <c r="A1965" s="87">
        <v>1964</v>
      </c>
      <c r="B1965" s="88" t="s">
        <v>46</v>
      </c>
      <c r="C1965" s="88" t="s">
        <v>139</v>
      </c>
      <c r="D1965" s="87">
        <v>2026</v>
      </c>
      <c r="E1965" s="88" t="s">
        <v>38</v>
      </c>
      <c r="F1965" s="88" t="s">
        <v>150</v>
      </c>
      <c r="G1965" s="89" t="s">
        <v>44</v>
      </c>
      <c r="H1965" s="89" t="s">
        <v>44</v>
      </c>
      <c r="I1965" s="89" t="s">
        <v>44</v>
      </c>
      <c r="J1965" s="89" t="s">
        <v>44</v>
      </c>
      <c r="K1965" s="90">
        <v>5052</v>
      </c>
    </row>
    <row r="1966" ht="15.75" customHeight="1" spans="1:11">
      <c r="A1966" s="87">
        <v>1965</v>
      </c>
      <c r="B1966" s="88" t="s">
        <v>46</v>
      </c>
      <c r="C1966" s="88" t="s">
        <v>139</v>
      </c>
      <c r="D1966" s="87">
        <v>2026</v>
      </c>
      <c r="E1966" s="88" t="s">
        <v>38</v>
      </c>
      <c r="F1966" s="88" t="s">
        <v>151</v>
      </c>
      <c r="G1966" s="89" t="s">
        <v>44</v>
      </c>
      <c r="H1966" s="89" t="s">
        <v>44</v>
      </c>
      <c r="I1966" s="89" t="s">
        <v>44</v>
      </c>
      <c r="J1966" s="89" t="s">
        <v>44</v>
      </c>
      <c r="K1966" s="90">
        <v>60116890</v>
      </c>
    </row>
    <row r="1967" ht="15.75" customHeight="1" spans="1:11">
      <c r="A1967" s="87">
        <v>1966</v>
      </c>
      <c r="B1967" s="88" t="s">
        <v>46</v>
      </c>
      <c r="C1967" s="88" t="s">
        <v>52</v>
      </c>
      <c r="D1967" s="87">
        <v>2026</v>
      </c>
      <c r="E1967" s="88" t="s">
        <v>38</v>
      </c>
      <c r="F1967" s="88" t="s">
        <v>155</v>
      </c>
      <c r="G1967" s="90">
        <v>15371</v>
      </c>
      <c r="H1967" s="89">
        <v>1</v>
      </c>
      <c r="I1967" s="89" t="s">
        <v>44</v>
      </c>
      <c r="J1967" s="89" t="s">
        <v>44</v>
      </c>
      <c r="K1967" s="90">
        <v>15371</v>
      </c>
    </row>
    <row r="1968" ht="15.75" customHeight="1" spans="1:11">
      <c r="A1968" s="87">
        <v>1967</v>
      </c>
      <c r="B1968" s="88" t="s">
        <v>46</v>
      </c>
      <c r="C1968" s="88" t="s">
        <v>52</v>
      </c>
      <c r="D1968" s="87">
        <v>2026</v>
      </c>
      <c r="E1968" s="88" t="s">
        <v>38</v>
      </c>
      <c r="F1968" s="88" t="s">
        <v>152</v>
      </c>
      <c r="G1968" s="89" t="s">
        <v>44</v>
      </c>
      <c r="H1968" s="89" t="s">
        <v>44</v>
      </c>
      <c r="I1968" s="89" t="s">
        <v>44</v>
      </c>
      <c r="J1968" s="89" t="s">
        <v>44</v>
      </c>
      <c r="K1968" s="90">
        <v>1378884</v>
      </c>
    </row>
    <row r="1969" ht="15.75" customHeight="1" spans="1:11">
      <c r="A1969" s="87">
        <v>1968</v>
      </c>
      <c r="B1969" s="88" t="s">
        <v>46</v>
      </c>
      <c r="C1969" s="88" t="s">
        <v>52</v>
      </c>
      <c r="D1969" s="87">
        <v>2026</v>
      </c>
      <c r="E1969" s="88" t="s">
        <v>38</v>
      </c>
      <c r="F1969" s="88" t="s">
        <v>150</v>
      </c>
      <c r="G1969" s="89" t="s">
        <v>44</v>
      </c>
      <c r="H1969" s="89" t="s">
        <v>44</v>
      </c>
      <c r="I1969" s="89" t="s">
        <v>44</v>
      </c>
      <c r="J1969" s="89" t="s">
        <v>44</v>
      </c>
      <c r="K1969" s="90">
        <v>22505</v>
      </c>
    </row>
    <row r="1970" ht="15.75" customHeight="1" spans="1:11">
      <c r="A1970" s="87">
        <v>1969</v>
      </c>
      <c r="B1970" s="88" t="s">
        <v>46</v>
      </c>
      <c r="C1970" s="88" t="s">
        <v>52</v>
      </c>
      <c r="D1970" s="87">
        <v>2026</v>
      </c>
      <c r="E1970" s="88" t="s">
        <v>38</v>
      </c>
      <c r="F1970" s="88" t="s">
        <v>151</v>
      </c>
      <c r="G1970" s="89" t="s">
        <v>44</v>
      </c>
      <c r="H1970" s="89" t="s">
        <v>44</v>
      </c>
      <c r="I1970" s="89" t="s">
        <v>44</v>
      </c>
      <c r="J1970" s="89" t="s">
        <v>44</v>
      </c>
      <c r="K1970" s="90">
        <v>31744129</v>
      </c>
    </row>
    <row r="1971" ht="15.75" customHeight="1" spans="1:11">
      <c r="A1971" s="87">
        <v>1970</v>
      </c>
      <c r="B1971" s="88" t="s">
        <v>46</v>
      </c>
      <c r="C1971" s="88" t="s">
        <v>52</v>
      </c>
      <c r="D1971" s="87">
        <v>2026</v>
      </c>
      <c r="E1971" s="88" t="s">
        <v>38</v>
      </c>
      <c r="F1971" s="88" t="s">
        <v>149</v>
      </c>
      <c r="G1971" s="89" t="s">
        <v>44</v>
      </c>
      <c r="H1971" s="89">
        <v>5</v>
      </c>
      <c r="I1971" s="90">
        <v>271921</v>
      </c>
      <c r="J1971" s="89">
        <v>5</v>
      </c>
      <c r="K1971" s="90">
        <v>17467</v>
      </c>
    </row>
    <row r="1972" ht="15.75" customHeight="1" spans="1:11">
      <c r="A1972" s="87">
        <v>1971</v>
      </c>
      <c r="B1972" s="88" t="s">
        <v>46</v>
      </c>
      <c r="C1972" s="88" t="s">
        <v>140</v>
      </c>
      <c r="D1972" s="87">
        <v>2026</v>
      </c>
      <c r="E1972" s="88" t="s">
        <v>38</v>
      </c>
      <c r="F1972" s="88" t="s">
        <v>152</v>
      </c>
      <c r="G1972" s="89" t="s">
        <v>44</v>
      </c>
      <c r="H1972" s="89" t="s">
        <v>44</v>
      </c>
      <c r="I1972" s="89" t="s">
        <v>44</v>
      </c>
      <c r="J1972" s="89" t="s">
        <v>44</v>
      </c>
      <c r="K1972" s="90">
        <v>1013480</v>
      </c>
    </row>
    <row r="1973" ht="15.75" customHeight="1" spans="1:11">
      <c r="A1973" s="87">
        <v>1972</v>
      </c>
      <c r="B1973" s="88" t="s">
        <v>46</v>
      </c>
      <c r="C1973" s="88" t="s">
        <v>140</v>
      </c>
      <c r="D1973" s="87">
        <v>2026</v>
      </c>
      <c r="E1973" s="88" t="s">
        <v>38</v>
      </c>
      <c r="F1973" s="88" t="s">
        <v>150</v>
      </c>
      <c r="G1973" s="89" t="s">
        <v>44</v>
      </c>
      <c r="H1973" s="89" t="s">
        <v>44</v>
      </c>
      <c r="I1973" s="89" t="s">
        <v>44</v>
      </c>
      <c r="J1973" s="89" t="s">
        <v>44</v>
      </c>
      <c r="K1973" s="90">
        <v>219182</v>
      </c>
    </row>
    <row r="1974" ht="15.75" customHeight="1" spans="1:11">
      <c r="A1974" s="87">
        <v>1973</v>
      </c>
      <c r="B1974" s="88" t="s">
        <v>46</v>
      </c>
      <c r="C1974" s="88" t="s">
        <v>140</v>
      </c>
      <c r="D1974" s="87">
        <v>2026</v>
      </c>
      <c r="E1974" s="88" t="s">
        <v>38</v>
      </c>
      <c r="F1974" s="88" t="s">
        <v>151</v>
      </c>
      <c r="G1974" s="89" t="s">
        <v>44</v>
      </c>
      <c r="H1974" s="89" t="s">
        <v>44</v>
      </c>
      <c r="I1974" s="89" t="s">
        <v>44</v>
      </c>
      <c r="J1974" s="89" t="s">
        <v>44</v>
      </c>
      <c r="K1974" s="90">
        <v>26684932</v>
      </c>
    </row>
    <row r="1975" ht="15.75" customHeight="1" spans="1:11">
      <c r="A1975" s="87">
        <v>1974</v>
      </c>
      <c r="B1975" s="88" t="s">
        <v>53</v>
      </c>
      <c r="C1975" s="88" t="s">
        <v>53</v>
      </c>
      <c r="D1975" s="87">
        <v>2026</v>
      </c>
      <c r="E1975" s="88" t="s">
        <v>38</v>
      </c>
      <c r="F1975" s="88" t="s">
        <v>155</v>
      </c>
      <c r="G1975" s="90">
        <v>16081</v>
      </c>
      <c r="H1975" s="89">
        <v>1</v>
      </c>
      <c r="I1975" s="89" t="s">
        <v>44</v>
      </c>
      <c r="J1975" s="89" t="s">
        <v>44</v>
      </c>
      <c r="K1975" s="90">
        <v>16081</v>
      </c>
    </row>
    <row r="1976" ht="15.75" customHeight="1" spans="1:11">
      <c r="A1976" s="87">
        <v>1975</v>
      </c>
      <c r="B1976" s="88" t="s">
        <v>53</v>
      </c>
      <c r="C1976" s="88" t="s">
        <v>53</v>
      </c>
      <c r="D1976" s="87">
        <v>2026</v>
      </c>
      <c r="E1976" s="88" t="s">
        <v>38</v>
      </c>
      <c r="F1976" s="88" t="s">
        <v>152</v>
      </c>
      <c r="G1976" s="89" t="s">
        <v>44</v>
      </c>
      <c r="H1976" s="89" t="s">
        <v>44</v>
      </c>
      <c r="I1976" s="89" t="s">
        <v>44</v>
      </c>
      <c r="J1976" s="89" t="s">
        <v>44</v>
      </c>
      <c r="K1976" s="90">
        <v>4733396</v>
      </c>
    </row>
    <row r="1977" ht="15.75" customHeight="1" spans="1:11">
      <c r="A1977" s="87">
        <v>1976</v>
      </c>
      <c r="B1977" s="88" t="s">
        <v>53</v>
      </c>
      <c r="C1977" s="88" t="s">
        <v>53</v>
      </c>
      <c r="D1977" s="87">
        <v>2026</v>
      </c>
      <c r="E1977" s="88" t="s">
        <v>38</v>
      </c>
      <c r="F1977" s="88" t="s">
        <v>150</v>
      </c>
      <c r="G1977" s="89" t="s">
        <v>44</v>
      </c>
      <c r="H1977" s="89" t="s">
        <v>44</v>
      </c>
      <c r="I1977" s="89" t="s">
        <v>44</v>
      </c>
      <c r="J1977" s="89" t="s">
        <v>44</v>
      </c>
      <c r="K1977" s="90">
        <v>279459</v>
      </c>
    </row>
    <row r="1978" ht="15.75" customHeight="1" spans="1:11">
      <c r="A1978" s="87">
        <v>1977</v>
      </c>
      <c r="B1978" s="88" t="s">
        <v>53</v>
      </c>
      <c r="C1978" s="88" t="s">
        <v>53</v>
      </c>
      <c r="D1978" s="87">
        <v>2026</v>
      </c>
      <c r="E1978" s="88" t="s">
        <v>38</v>
      </c>
      <c r="F1978" s="88" t="s">
        <v>151</v>
      </c>
      <c r="G1978" s="89" t="s">
        <v>44</v>
      </c>
      <c r="H1978" s="89" t="s">
        <v>44</v>
      </c>
      <c r="I1978" s="89" t="s">
        <v>44</v>
      </c>
      <c r="J1978" s="89" t="s">
        <v>44</v>
      </c>
      <c r="K1978" s="90">
        <v>97443046</v>
      </c>
    </row>
    <row r="1979" ht="15.75" customHeight="1" spans="1:11">
      <c r="A1979" s="87">
        <v>1978</v>
      </c>
      <c r="B1979" s="88" t="s">
        <v>53</v>
      </c>
      <c r="C1979" s="88" t="s">
        <v>53</v>
      </c>
      <c r="D1979" s="87">
        <v>2026</v>
      </c>
      <c r="E1979" s="88" t="s">
        <v>38</v>
      </c>
      <c r="F1979" s="88" t="s">
        <v>149</v>
      </c>
      <c r="G1979" s="89" t="s">
        <v>44</v>
      </c>
      <c r="H1979" s="89">
        <v>30</v>
      </c>
      <c r="I1979" s="90">
        <v>3707157</v>
      </c>
      <c r="J1979" s="89">
        <v>30</v>
      </c>
      <c r="K1979" s="90">
        <v>284600</v>
      </c>
    </row>
    <row r="1980" ht="15.75" customHeight="1" spans="1:11">
      <c r="A1980" s="87">
        <v>1979</v>
      </c>
      <c r="B1980" s="88" t="s">
        <v>53</v>
      </c>
      <c r="C1980" s="88" t="s">
        <v>141</v>
      </c>
      <c r="D1980" s="87">
        <v>2026</v>
      </c>
      <c r="E1980" s="88" t="s">
        <v>38</v>
      </c>
      <c r="F1980" s="88" t="s">
        <v>149</v>
      </c>
      <c r="G1980" s="89" t="s">
        <v>44</v>
      </c>
      <c r="H1980" s="89">
        <v>1</v>
      </c>
      <c r="I1980" s="90">
        <v>62154</v>
      </c>
      <c r="J1980" s="89">
        <v>1</v>
      </c>
      <c r="K1980" s="90">
        <v>3356</v>
      </c>
    </row>
    <row r="1981" ht="15.75" customHeight="1" spans="1:11">
      <c r="A1981" s="87">
        <v>1980</v>
      </c>
      <c r="B1981" s="88" t="s">
        <v>53</v>
      </c>
      <c r="C1981" s="88" t="s">
        <v>141</v>
      </c>
      <c r="D1981" s="87">
        <v>2026</v>
      </c>
      <c r="E1981" s="88" t="s">
        <v>38</v>
      </c>
      <c r="F1981" s="88" t="s">
        <v>152</v>
      </c>
      <c r="G1981" s="89" t="s">
        <v>44</v>
      </c>
      <c r="H1981" s="89" t="s">
        <v>44</v>
      </c>
      <c r="I1981" s="89" t="s">
        <v>44</v>
      </c>
      <c r="J1981" s="89" t="s">
        <v>44</v>
      </c>
      <c r="K1981" s="90">
        <v>918202</v>
      </c>
    </row>
    <row r="1982" ht="15.75" customHeight="1" spans="1:11">
      <c r="A1982" s="87">
        <v>1981</v>
      </c>
      <c r="B1982" s="88" t="s">
        <v>53</v>
      </c>
      <c r="C1982" s="88" t="s">
        <v>141</v>
      </c>
      <c r="D1982" s="87">
        <v>2026</v>
      </c>
      <c r="E1982" s="88" t="s">
        <v>38</v>
      </c>
      <c r="F1982" s="88" t="s">
        <v>150</v>
      </c>
      <c r="G1982" s="89" t="s">
        <v>44</v>
      </c>
      <c r="H1982" s="89" t="s">
        <v>44</v>
      </c>
      <c r="I1982" s="89" t="s">
        <v>44</v>
      </c>
      <c r="J1982" s="89" t="s">
        <v>44</v>
      </c>
      <c r="K1982" s="90">
        <v>764185</v>
      </c>
    </row>
    <row r="1983" ht="15.75" customHeight="1" spans="1:11">
      <c r="A1983" s="87">
        <v>1982</v>
      </c>
      <c r="B1983" s="88" t="s">
        <v>53</v>
      </c>
      <c r="C1983" s="88" t="s">
        <v>141</v>
      </c>
      <c r="D1983" s="87">
        <v>2026</v>
      </c>
      <c r="E1983" s="88" t="s">
        <v>38</v>
      </c>
      <c r="F1983" s="88" t="s">
        <v>151</v>
      </c>
      <c r="G1983" s="89" t="s">
        <v>44</v>
      </c>
      <c r="H1983" s="89" t="s">
        <v>44</v>
      </c>
      <c r="I1983" s="89" t="s">
        <v>44</v>
      </c>
      <c r="J1983" s="89" t="s">
        <v>44</v>
      </c>
      <c r="K1983" s="90">
        <v>17828138</v>
      </c>
    </row>
    <row r="1984" ht="15.75" customHeight="1" spans="1:11">
      <c r="A1984" s="87">
        <v>1983</v>
      </c>
      <c r="B1984" s="88" t="s">
        <v>53</v>
      </c>
      <c r="C1984" s="88" t="s">
        <v>142</v>
      </c>
      <c r="D1984" s="87">
        <v>2026</v>
      </c>
      <c r="E1984" s="88" t="s">
        <v>38</v>
      </c>
      <c r="F1984" s="88" t="s">
        <v>152</v>
      </c>
      <c r="G1984" s="89" t="s">
        <v>44</v>
      </c>
      <c r="H1984" s="89" t="s">
        <v>44</v>
      </c>
      <c r="I1984" s="89" t="s">
        <v>44</v>
      </c>
      <c r="J1984" s="89" t="s">
        <v>44</v>
      </c>
      <c r="K1984" s="90">
        <v>40785</v>
      </c>
    </row>
    <row r="1985" ht="15.75" customHeight="1" spans="1:11">
      <c r="A1985" s="87">
        <v>1984</v>
      </c>
      <c r="B1985" s="88" t="s">
        <v>53</v>
      </c>
      <c r="C1985" s="88" t="s">
        <v>142</v>
      </c>
      <c r="D1985" s="87">
        <v>2026</v>
      </c>
      <c r="E1985" s="88" t="s">
        <v>38</v>
      </c>
      <c r="F1985" s="88" t="s">
        <v>150</v>
      </c>
      <c r="G1985" s="89" t="s">
        <v>44</v>
      </c>
      <c r="H1985" s="89" t="s">
        <v>44</v>
      </c>
      <c r="I1985" s="89" t="s">
        <v>44</v>
      </c>
      <c r="J1985" s="89" t="s">
        <v>44</v>
      </c>
      <c r="K1985" s="90">
        <v>4561</v>
      </c>
    </row>
    <row r="1986" ht="15.75" customHeight="1" spans="1:11">
      <c r="A1986" s="87">
        <v>1985</v>
      </c>
      <c r="B1986" s="88" t="s">
        <v>53</v>
      </c>
      <c r="C1986" s="88" t="s">
        <v>142</v>
      </c>
      <c r="D1986" s="87">
        <v>2026</v>
      </c>
      <c r="E1986" s="88" t="s">
        <v>38</v>
      </c>
      <c r="F1986" s="88" t="s">
        <v>151</v>
      </c>
      <c r="G1986" s="89" t="s">
        <v>44</v>
      </c>
      <c r="H1986" s="89" t="s">
        <v>44</v>
      </c>
      <c r="I1986" s="89" t="s">
        <v>44</v>
      </c>
      <c r="J1986" s="89" t="s">
        <v>44</v>
      </c>
      <c r="K1986" s="90">
        <v>1495079</v>
      </c>
    </row>
    <row r="1987" ht="15.75" customHeight="1" spans="1:11">
      <c r="A1987" s="87">
        <v>1986</v>
      </c>
      <c r="B1987" s="88" t="s">
        <v>58</v>
      </c>
      <c r="C1987" s="88" t="s">
        <v>144</v>
      </c>
      <c r="D1987" s="87">
        <v>2026</v>
      </c>
      <c r="E1987" s="88" t="s">
        <v>38</v>
      </c>
      <c r="F1987" s="88" t="s">
        <v>152</v>
      </c>
      <c r="G1987" s="89" t="s">
        <v>44</v>
      </c>
      <c r="H1987" s="89" t="s">
        <v>44</v>
      </c>
      <c r="I1987" s="89" t="s">
        <v>44</v>
      </c>
      <c r="J1987" s="89" t="s">
        <v>44</v>
      </c>
      <c r="K1987" s="89">
        <v>635</v>
      </c>
    </row>
    <row r="1988" ht="15.75" customHeight="1" spans="1:11">
      <c r="A1988" s="87">
        <v>1987</v>
      </c>
      <c r="B1988" s="88" t="s">
        <v>58</v>
      </c>
      <c r="C1988" s="88" t="s">
        <v>144</v>
      </c>
      <c r="D1988" s="87">
        <v>2026</v>
      </c>
      <c r="E1988" s="88" t="s">
        <v>38</v>
      </c>
      <c r="F1988" s="88" t="s">
        <v>150</v>
      </c>
      <c r="G1988" s="89" t="s">
        <v>44</v>
      </c>
      <c r="H1988" s="89" t="s">
        <v>44</v>
      </c>
      <c r="I1988" s="89" t="s">
        <v>44</v>
      </c>
      <c r="J1988" s="89" t="s">
        <v>44</v>
      </c>
      <c r="K1988" s="90">
        <v>4097</v>
      </c>
    </row>
    <row r="1989" ht="15.75" customHeight="1" spans="1:11">
      <c r="A1989" s="87">
        <v>1988</v>
      </c>
      <c r="B1989" s="88" t="s">
        <v>58</v>
      </c>
      <c r="C1989" s="88" t="s">
        <v>144</v>
      </c>
      <c r="D1989" s="87">
        <v>2026</v>
      </c>
      <c r="E1989" s="88" t="s">
        <v>38</v>
      </c>
      <c r="F1989" s="88" t="s">
        <v>151</v>
      </c>
      <c r="G1989" s="89" t="s">
        <v>44</v>
      </c>
      <c r="H1989" s="89" t="s">
        <v>44</v>
      </c>
      <c r="I1989" s="89" t="s">
        <v>44</v>
      </c>
      <c r="J1989" s="89" t="s">
        <v>44</v>
      </c>
      <c r="K1989" s="90">
        <v>91468</v>
      </c>
    </row>
    <row r="1990" ht="15.75" customHeight="1" spans="1:11">
      <c r="A1990" s="87">
        <v>1989</v>
      </c>
      <c r="B1990" s="88" t="s">
        <v>58</v>
      </c>
      <c r="C1990" s="88" t="s">
        <v>146</v>
      </c>
      <c r="D1990" s="87">
        <v>2026</v>
      </c>
      <c r="E1990" s="88" t="s">
        <v>38</v>
      </c>
      <c r="F1990" s="88" t="s">
        <v>152</v>
      </c>
      <c r="G1990" s="89" t="s">
        <v>44</v>
      </c>
      <c r="H1990" s="89" t="s">
        <v>44</v>
      </c>
      <c r="I1990" s="89" t="s">
        <v>44</v>
      </c>
      <c r="J1990" s="89" t="s">
        <v>44</v>
      </c>
      <c r="K1990" s="90">
        <v>742840</v>
      </c>
    </row>
    <row r="1991" ht="15.75" customHeight="1" spans="1:11">
      <c r="A1991" s="87">
        <v>1990</v>
      </c>
      <c r="B1991" s="88" t="s">
        <v>58</v>
      </c>
      <c r="C1991" s="88" t="s">
        <v>146</v>
      </c>
      <c r="D1991" s="87">
        <v>2026</v>
      </c>
      <c r="E1991" s="88" t="s">
        <v>38</v>
      </c>
      <c r="F1991" s="88" t="s">
        <v>150</v>
      </c>
      <c r="G1991" s="89" t="s">
        <v>44</v>
      </c>
      <c r="H1991" s="89" t="s">
        <v>44</v>
      </c>
      <c r="I1991" s="89" t="s">
        <v>44</v>
      </c>
      <c r="J1991" s="89" t="s">
        <v>44</v>
      </c>
      <c r="K1991" s="90">
        <v>40996</v>
      </c>
    </row>
    <row r="1992" ht="15.75" customHeight="1" spans="1:11">
      <c r="A1992" s="87">
        <v>1991</v>
      </c>
      <c r="B1992" s="88" t="s">
        <v>58</v>
      </c>
      <c r="C1992" s="88" t="s">
        <v>146</v>
      </c>
      <c r="D1992" s="87">
        <v>2026</v>
      </c>
      <c r="E1992" s="88" t="s">
        <v>38</v>
      </c>
      <c r="F1992" s="88" t="s">
        <v>151</v>
      </c>
      <c r="G1992" s="89" t="s">
        <v>44</v>
      </c>
      <c r="H1992" s="89" t="s">
        <v>44</v>
      </c>
      <c r="I1992" s="89" t="s">
        <v>44</v>
      </c>
      <c r="J1992" s="89" t="s">
        <v>44</v>
      </c>
      <c r="K1992" s="90">
        <v>9825072</v>
      </c>
    </row>
    <row r="1993" ht="15.75" customHeight="1" spans="1:11">
      <c r="A1993" s="87">
        <v>1992</v>
      </c>
      <c r="B1993" s="88" t="s">
        <v>58</v>
      </c>
      <c r="C1993" s="88" t="s">
        <v>58</v>
      </c>
      <c r="D1993" s="87">
        <v>2026</v>
      </c>
      <c r="E1993" s="88" t="s">
        <v>38</v>
      </c>
      <c r="F1993" s="88" t="s">
        <v>149</v>
      </c>
      <c r="G1993" s="89" t="s">
        <v>44</v>
      </c>
      <c r="H1993" s="89">
        <v>34</v>
      </c>
      <c r="I1993" s="90">
        <v>1793277</v>
      </c>
      <c r="J1993" s="89">
        <v>31</v>
      </c>
      <c r="K1993" s="90">
        <v>74409</v>
      </c>
    </row>
    <row r="1994" ht="15.75" customHeight="1" spans="1:11">
      <c r="A1994" s="87">
        <v>1993</v>
      </c>
      <c r="B1994" s="88" t="s">
        <v>58</v>
      </c>
      <c r="C1994" s="88" t="s">
        <v>58</v>
      </c>
      <c r="D1994" s="87">
        <v>2026</v>
      </c>
      <c r="E1994" s="88" t="s">
        <v>38</v>
      </c>
      <c r="F1994" s="88" t="s">
        <v>152</v>
      </c>
      <c r="G1994" s="89" t="s">
        <v>44</v>
      </c>
      <c r="H1994" s="89" t="s">
        <v>44</v>
      </c>
      <c r="I1994" s="89" t="s">
        <v>44</v>
      </c>
      <c r="J1994" s="89" t="s">
        <v>44</v>
      </c>
      <c r="K1994" s="90">
        <v>11452148</v>
      </c>
    </row>
    <row r="1995" ht="15.75" customHeight="1" spans="1:11">
      <c r="A1995" s="87">
        <v>1994</v>
      </c>
      <c r="B1995" s="88" t="s">
        <v>58</v>
      </c>
      <c r="C1995" s="88" t="s">
        <v>58</v>
      </c>
      <c r="D1995" s="87">
        <v>2026</v>
      </c>
      <c r="E1995" s="88" t="s">
        <v>38</v>
      </c>
      <c r="F1995" s="88" t="s">
        <v>150</v>
      </c>
      <c r="G1995" s="89" t="s">
        <v>44</v>
      </c>
      <c r="H1995" s="89" t="s">
        <v>44</v>
      </c>
      <c r="I1995" s="89" t="s">
        <v>44</v>
      </c>
      <c r="J1995" s="89" t="s">
        <v>44</v>
      </c>
      <c r="K1995" s="90">
        <v>1112804</v>
      </c>
    </row>
    <row r="1996" ht="15.75" customHeight="1" spans="1:11">
      <c r="A1996" s="87">
        <v>1995</v>
      </c>
      <c r="B1996" s="88" t="s">
        <v>58</v>
      </c>
      <c r="C1996" s="88" t="s">
        <v>58</v>
      </c>
      <c r="D1996" s="87">
        <v>2026</v>
      </c>
      <c r="E1996" s="88" t="s">
        <v>38</v>
      </c>
      <c r="F1996" s="88" t="s">
        <v>151</v>
      </c>
      <c r="G1996" s="89" t="s">
        <v>44</v>
      </c>
      <c r="H1996" s="89" t="s">
        <v>44</v>
      </c>
      <c r="I1996" s="89" t="s">
        <v>44</v>
      </c>
      <c r="J1996" s="89" t="s">
        <v>44</v>
      </c>
      <c r="K1996" s="90">
        <v>205109203</v>
      </c>
    </row>
    <row r="1997" ht="15.75" customHeight="1" spans="1:11">
      <c r="A1997" s="88"/>
      <c r="B1997" s="88"/>
      <c r="C1997" s="88"/>
      <c r="D1997" s="88"/>
      <c r="E1997" s="88"/>
      <c r="F1997" s="88"/>
      <c r="G1997" s="88"/>
      <c r="H1997" s="88"/>
      <c r="I1997" s="88"/>
      <c r="J1997" s="88"/>
      <c r="K1997" s="88"/>
    </row>
    <row r="1998" ht="15.75" customHeight="1" spans="1:11">
      <c r="A1998" s="88"/>
      <c r="B1998" s="88"/>
      <c r="C1998" s="88"/>
      <c r="D1998" s="88"/>
      <c r="E1998" s="88"/>
      <c r="F1998" s="88"/>
      <c r="G1998" s="88"/>
      <c r="H1998" s="88"/>
      <c r="I1998" s="88"/>
      <c r="J1998" s="88"/>
      <c r="K1998" s="88"/>
    </row>
    <row r="1999" ht="15.75" customHeight="1" spans="1:11">
      <c r="A1999" s="88"/>
      <c r="B1999" s="88"/>
      <c r="C1999" s="88"/>
      <c r="D1999" s="88"/>
      <c r="E1999" s="88"/>
      <c r="F1999" s="88"/>
      <c r="G1999" s="88"/>
      <c r="H1999" s="88"/>
      <c r="I1999" s="88"/>
      <c r="J1999" s="88"/>
      <c r="K1999" s="88"/>
    </row>
    <row r="2000" ht="15.75" customHeight="1" spans="1:11">
      <c r="A2000" s="88"/>
      <c r="B2000" s="88"/>
      <c r="C2000" s="88"/>
      <c r="D2000" s="88"/>
      <c r="E2000" s="88"/>
      <c r="F2000" s="88"/>
      <c r="G2000" s="88"/>
      <c r="H2000" s="88"/>
      <c r="I2000" s="88"/>
      <c r="J2000" s="88"/>
      <c r="K2000" s="88"/>
    </row>
    <row r="2001" ht="15.75" customHeight="1" spans="1:11">
      <c r="A2001" s="88"/>
      <c r="B2001" s="88"/>
      <c r="C2001" s="88"/>
      <c r="D2001" s="88"/>
      <c r="E2001" s="88"/>
      <c r="F2001" s="88"/>
      <c r="G2001" s="88"/>
      <c r="H2001" s="88"/>
      <c r="I2001" s="88"/>
      <c r="J2001" s="88"/>
      <c r="K2001" s="88"/>
    </row>
    <row r="2002" ht="15.75" customHeight="1" spans="1:11">
      <c r="A2002" s="88"/>
      <c r="B2002" s="88"/>
      <c r="C2002" s="88"/>
      <c r="D2002" s="88"/>
      <c r="E2002" s="88"/>
      <c r="F2002" s="88"/>
      <c r="G2002" s="88"/>
      <c r="H2002" s="88"/>
      <c r="I2002" s="88"/>
      <c r="J2002" s="88"/>
      <c r="K2002" s="88"/>
    </row>
    <row r="2003" ht="15.75" customHeight="1" spans="1:11">
      <c r="A2003" s="88"/>
      <c r="B2003" s="88"/>
      <c r="C2003" s="88"/>
      <c r="D2003" s="88"/>
      <c r="E2003" s="88"/>
      <c r="F2003" s="88"/>
      <c r="G2003" s="88"/>
      <c r="H2003" s="88"/>
      <c r="I2003" s="88"/>
      <c r="J2003" s="88"/>
      <c r="K2003" s="88"/>
    </row>
    <row r="2004" ht="15.75" customHeight="1" spans="1:11">
      <c r="A2004" s="88"/>
      <c r="B2004" s="88"/>
      <c r="C2004" s="88"/>
      <c r="D2004" s="88"/>
      <c r="E2004" s="88"/>
      <c r="F2004" s="88"/>
      <c r="G2004" s="88"/>
      <c r="H2004" s="88"/>
      <c r="I2004" s="88"/>
      <c r="J2004" s="88"/>
      <c r="K2004" s="88"/>
    </row>
    <row r="2005" ht="15.75" customHeight="1" spans="1:11">
      <c r="A2005" s="88"/>
      <c r="B2005" s="88"/>
      <c r="C2005" s="88"/>
      <c r="D2005" s="88"/>
      <c r="E2005" s="88"/>
      <c r="F2005" s="88"/>
      <c r="G2005" s="88"/>
      <c r="H2005" s="88"/>
      <c r="I2005" s="88"/>
      <c r="J2005" s="88"/>
      <c r="K2005" s="88"/>
    </row>
    <row r="2006" ht="15.75" customHeight="1" spans="1:11">
      <c r="A2006" s="88"/>
      <c r="B2006" s="88"/>
      <c r="C2006" s="88"/>
      <c r="D2006" s="88"/>
      <c r="E2006" s="88"/>
      <c r="F2006" s="88"/>
      <c r="G2006" s="88"/>
      <c r="H2006" s="88"/>
      <c r="I2006" s="88"/>
      <c r="J2006" s="88"/>
      <c r="K2006" s="88"/>
    </row>
    <row r="2007" ht="15.75" customHeight="1" spans="1:11">
      <c r="A2007" s="88"/>
      <c r="B2007" s="88"/>
      <c r="C2007" s="88"/>
      <c r="D2007" s="88"/>
      <c r="E2007" s="88"/>
      <c r="F2007" s="88"/>
      <c r="G2007" s="88"/>
      <c r="H2007" s="88"/>
      <c r="I2007" s="88"/>
      <c r="J2007" s="88"/>
      <c r="K2007" s="88"/>
    </row>
    <row r="2008" ht="15.75" customHeight="1" spans="1:11">
      <c r="A2008" s="88"/>
      <c r="B2008" s="88"/>
      <c r="C2008" s="88"/>
      <c r="D2008" s="88"/>
      <c r="E2008" s="88"/>
      <c r="F2008" s="88"/>
      <c r="G2008" s="88"/>
      <c r="H2008" s="88"/>
      <c r="I2008" s="88"/>
      <c r="J2008" s="88"/>
      <c r="K2008" s="88"/>
    </row>
    <row r="2009" ht="15.75" customHeight="1" spans="1:11">
      <c r="A2009" s="88"/>
      <c r="B2009" s="88"/>
      <c r="C2009" s="88"/>
      <c r="D2009" s="88"/>
      <c r="E2009" s="88"/>
      <c r="F2009" s="88"/>
      <c r="G2009" s="88"/>
      <c r="H2009" s="88"/>
      <c r="I2009" s="88"/>
      <c r="J2009" s="88"/>
      <c r="K2009" s="88"/>
    </row>
    <row r="2010" ht="15.75" customHeight="1" spans="1:11">
      <c r="A2010" s="88"/>
      <c r="B2010" s="88"/>
      <c r="C2010" s="88"/>
      <c r="D2010" s="88"/>
      <c r="E2010" s="88"/>
      <c r="F2010" s="88"/>
      <c r="G2010" s="88"/>
      <c r="H2010" s="88"/>
      <c r="I2010" s="88"/>
      <c r="J2010" s="88"/>
      <c r="K2010" s="88"/>
    </row>
    <row r="2011" ht="15.75" customHeight="1" spans="1:11">
      <c r="A2011" s="88"/>
      <c r="B2011" s="88"/>
      <c r="C2011" s="88"/>
      <c r="D2011" s="88"/>
      <c r="E2011" s="88"/>
      <c r="F2011" s="88"/>
      <c r="G2011" s="88"/>
      <c r="H2011" s="88"/>
      <c r="I2011" s="88"/>
      <c r="J2011" s="88"/>
      <c r="K2011" s="88"/>
    </row>
    <row r="2012" ht="15.75" customHeight="1" spans="1:11">
      <c r="A2012" s="88"/>
      <c r="B2012" s="88"/>
      <c r="C2012" s="88"/>
      <c r="D2012" s="88"/>
      <c r="E2012" s="88"/>
      <c r="F2012" s="88"/>
      <c r="G2012" s="88"/>
      <c r="H2012" s="88"/>
      <c r="I2012" s="88"/>
      <c r="J2012" s="88"/>
      <c r="K2012" s="88"/>
    </row>
    <row r="2013" ht="15.75" customHeight="1" spans="1:11">
      <c r="A2013" s="88"/>
      <c r="B2013" s="88"/>
      <c r="C2013" s="88"/>
      <c r="D2013" s="88"/>
      <c r="E2013" s="88"/>
      <c r="F2013" s="88"/>
      <c r="G2013" s="88"/>
      <c r="H2013" s="88"/>
      <c r="I2013" s="88"/>
      <c r="J2013" s="88"/>
      <c r="K2013" s="88"/>
    </row>
    <row r="2014" ht="15.75" customHeight="1" spans="1:11">
      <c r="A2014" s="88"/>
      <c r="B2014" s="88"/>
      <c r="C2014" s="88"/>
      <c r="D2014" s="88"/>
      <c r="E2014" s="88"/>
      <c r="F2014" s="88"/>
      <c r="G2014" s="88"/>
      <c r="H2014" s="88"/>
      <c r="I2014" s="88"/>
      <c r="J2014" s="88"/>
      <c r="K2014" s="88"/>
    </row>
    <row r="2015" ht="15.75" customHeight="1" spans="1:11">
      <c r="A2015" s="88"/>
      <c r="B2015" s="88"/>
      <c r="C2015" s="88"/>
      <c r="D2015" s="88"/>
      <c r="E2015" s="88"/>
      <c r="F2015" s="88"/>
      <c r="G2015" s="88"/>
      <c r="H2015" s="88"/>
      <c r="I2015" s="88"/>
      <c r="J2015" s="88"/>
      <c r="K2015" s="88"/>
    </row>
    <row r="2016" ht="15.75" customHeight="1" spans="1:11">
      <c r="A2016" s="88"/>
      <c r="B2016" s="88"/>
      <c r="C2016" s="88"/>
      <c r="D2016" s="88"/>
      <c r="E2016" s="88"/>
      <c r="F2016" s="88"/>
      <c r="G2016" s="88"/>
      <c r="H2016" s="88"/>
      <c r="I2016" s="88"/>
      <c r="J2016" s="88"/>
      <c r="K2016" s="88"/>
    </row>
    <row r="2017" ht="15.75" customHeight="1" spans="1:11">
      <c r="A2017" s="88"/>
      <c r="B2017" s="88"/>
      <c r="C2017" s="88"/>
      <c r="D2017" s="88"/>
      <c r="E2017" s="88"/>
      <c r="F2017" s="88"/>
      <c r="G2017" s="88"/>
      <c r="H2017" s="88"/>
      <c r="I2017" s="88"/>
      <c r="J2017" s="88"/>
      <c r="K2017" s="88"/>
    </row>
    <row r="2018" ht="15.75" customHeight="1" spans="1:11">
      <c r="A2018" s="88"/>
      <c r="B2018" s="88"/>
      <c r="C2018" s="88"/>
      <c r="D2018" s="88"/>
      <c r="E2018" s="88"/>
      <c r="F2018" s="88"/>
      <c r="G2018" s="88"/>
      <c r="H2018" s="88"/>
      <c r="I2018" s="88"/>
      <c r="J2018" s="88"/>
      <c r="K2018" s="88"/>
    </row>
    <row r="2019" ht="15.75" customHeight="1" spans="1:11">
      <c r="A2019" s="88"/>
      <c r="B2019" s="88"/>
      <c r="C2019" s="88"/>
      <c r="D2019" s="88"/>
      <c r="E2019" s="88"/>
      <c r="F2019" s="88"/>
      <c r="G2019" s="88"/>
      <c r="H2019" s="88"/>
      <c r="I2019" s="88"/>
      <c r="J2019" s="88"/>
      <c r="K2019" s="88"/>
    </row>
    <row r="2020" ht="15.75" customHeight="1" spans="1:11">
      <c r="A2020" s="88"/>
      <c r="B2020" s="88"/>
      <c r="C2020" s="88"/>
      <c r="D2020" s="88"/>
      <c r="E2020" s="88"/>
      <c r="F2020" s="88"/>
      <c r="G2020" s="88"/>
      <c r="H2020" s="88"/>
      <c r="I2020" s="88"/>
      <c r="J2020" s="88"/>
      <c r="K2020" s="88"/>
    </row>
    <row r="2021" ht="15.75" customHeight="1" spans="1:11">
      <c r="A2021" s="88"/>
      <c r="B2021" s="88"/>
      <c r="C2021" s="88"/>
      <c r="D2021" s="88"/>
      <c r="E2021" s="88"/>
      <c r="F2021" s="88"/>
      <c r="G2021" s="88"/>
      <c r="H2021" s="88"/>
      <c r="I2021" s="88"/>
      <c r="J2021" s="88"/>
      <c r="K2021" s="88"/>
    </row>
    <row r="2022" ht="15.75" customHeight="1" spans="1:11">
      <c r="A2022" s="88"/>
      <c r="B2022" s="88"/>
      <c r="C2022" s="88"/>
      <c r="D2022" s="88"/>
      <c r="E2022" s="88"/>
      <c r="F2022" s="88"/>
      <c r="G2022" s="88"/>
      <c r="H2022" s="88"/>
      <c r="I2022" s="88"/>
      <c r="J2022" s="88"/>
      <c r="K2022" s="88"/>
    </row>
    <row r="2023" ht="15.75" customHeight="1" spans="1:11">
      <c r="A2023" s="88"/>
      <c r="B2023" s="88"/>
      <c r="C2023" s="88"/>
      <c r="D2023" s="88"/>
      <c r="E2023" s="88"/>
      <c r="F2023" s="88"/>
      <c r="G2023" s="88"/>
      <c r="H2023" s="88"/>
      <c r="I2023" s="88"/>
      <c r="J2023" s="88"/>
      <c r="K2023" s="88"/>
    </row>
    <row r="2024" ht="15.75" customHeight="1" spans="1:11">
      <c r="A2024" s="88"/>
      <c r="B2024" s="88"/>
      <c r="C2024" s="88"/>
      <c r="D2024" s="88"/>
      <c r="E2024" s="88"/>
      <c r="F2024" s="88"/>
      <c r="G2024" s="88"/>
      <c r="H2024" s="88"/>
      <c r="I2024" s="88"/>
      <c r="J2024" s="88"/>
      <c r="K2024" s="88"/>
    </row>
    <row r="2025" ht="15.75" customHeight="1" spans="1:11">
      <c r="A2025" s="88"/>
      <c r="B2025" s="88"/>
      <c r="C2025" s="88"/>
      <c r="D2025" s="88"/>
      <c r="E2025" s="88"/>
      <c r="F2025" s="88"/>
      <c r="G2025" s="88"/>
      <c r="H2025" s="88"/>
      <c r="I2025" s="88"/>
      <c r="J2025" s="88"/>
      <c r="K2025" s="88"/>
    </row>
    <row r="2026" ht="15.75" customHeight="1" spans="1:11">
      <c r="A2026" s="88"/>
      <c r="B2026" s="88"/>
      <c r="C2026" s="88"/>
      <c r="D2026" s="88"/>
      <c r="E2026" s="88"/>
      <c r="F2026" s="88"/>
      <c r="G2026" s="88"/>
      <c r="H2026" s="88"/>
      <c r="I2026" s="88"/>
      <c r="J2026" s="88"/>
      <c r="K2026" s="88"/>
    </row>
    <row r="2027" ht="15.75" customHeight="1" spans="1:11">
      <c r="A2027" s="88"/>
      <c r="B2027" s="88"/>
      <c r="C2027" s="88"/>
      <c r="D2027" s="88"/>
      <c r="E2027" s="88"/>
      <c r="F2027" s="88"/>
      <c r="G2027" s="88"/>
      <c r="H2027" s="88"/>
      <c r="I2027" s="88"/>
      <c r="J2027" s="88"/>
      <c r="K2027" s="88"/>
    </row>
    <row r="2028" ht="15.75" customHeight="1" spans="1:11">
      <c r="A2028" s="88"/>
      <c r="B2028" s="88"/>
      <c r="C2028" s="88"/>
      <c r="D2028" s="88"/>
      <c r="E2028" s="88"/>
      <c r="F2028" s="88"/>
      <c r="G2028" s="88"/>
      <c r="H2028" s="88"/>
      <c r="I2028" s="88"/>
      <c r="J2028" s="88"/>
      <c r="K2028" s="88"/>
    </row>
    <row r="2029" ht="15.75" customHeight="1" spans="1:11">
      <c r="A2029" s="88"/>
      <c r="B2029" s="88"/>
      <c r="C2029" s="88"/>
      <c r="D2029" s="88"/>
      <c r="E2029" s="88"/>
      <c r="F2029" s="88"/>
      <c r="G2029" s="88"/>
      <c r="H2029" s="88"/>
      <c r="I2029" s="88"/>
      <c r="J2029" s="88"/>
      <c r="K2029" s="88"/>
    </row>
    <row r="2030" ht="15.75" customHeight="1" spans="1:11">
      <c r="A2030" s="88"/>
      <c r="B2030" s="88"/>
      <c r="C2030" s="88"/>
      <c r="D2030" s="88"/>
      <c r="E2030" s="88"/>
      <c r="F2030" s="88"/>
      <c r="G2030" s="88"/>
      <c r="H2030" s="88"/>
      <c r="I2030" s="88"/>
      <c r="J2030" s="88"/>
      <c r="K2030" s="88"/>
    </row>
    <row r="2031" ht="15.75" customHeight="1" spans="1:11">
      <c r="A2031" s="88"/>
      <c r="B2031" s="88"/>
      <c r="C2031" s="88"/>
      <c r="D2031" s="88"/>
      <c r="E2031" s="88"/>
      <c r="F2031" s="88"/>
      <c r="G2031" s="88"/>
      <c r="H2031" s="88"/>
      <c r="I2031" s="88"/>
      <c r="J2031" s="88"/>
      <c r="K2031" s="88"/>
    </row>
    <row r="2032" ht="15.75" customHeight="1" spans="1:11">
      <c r="A2032" s="88"/>
      <c r="B2032" s="88"/>
      <c r="C2032" s="88"/>
      <c r="D2032" s="88"/>
      <c r="E2032" s="88"/>
      <c r="F2032" s="88"/>
      <c r="G2032" s="88"/>
      <c r="H2032" s="88"/>
      <c r="I2032" s="88"/>
      <c r="J2032" s="88"/>
      <c r="K2032" s="88"/>
    </row>
    <row r="2033" ht="15.75" customHeight="1" spans="1:11">
      <c r="A2033" s="88"/>
      <c r="B2033" s="88"/>
      <c r="C2033" s="88"/>
      <c r="D2033" s="88"/>
      <c r="E2033" s="88"/>
      <c r="F2033" s="88"/>
      <c r="G2033" s="88"/>
      <c r="H2033" s="88"/>
      <c r="I2033" s="88"/>
      <c r="J2033" s="88"/>
      <c r="K2033" s="88"/>
    </row>
    <row r="2034" ht="15.75" customHeight="1" spans="1:11">
      <c r="A2034" s="88"/>
      <c r="B2034" s="88"/>
      <c r="C2034" s="88"/>
      <c r="D2034" s="88"/>
      <c r="E2034" s="88"/>
      <c r="F2034" s="88"/>
      <c r="G2034" s="88"/>
      <c r="H2034" s="88"/>
      <c r="I2034" s="88"/>
      <c r="J2034" s="88"/>
      <c r="K2034" s="88"/>
    </row>
    <row r="2035" ht="15.75" customHeight="1" spans="1:11">
      <c r="A2035" s="88"/>
      <c r="B2035" s="88"/>
      <c r="C2035" s="88"/>
      <c r="D2035" s="88"/>
      <c r="E2035" s="88"/>
      <c r="F2035" s="88"/>
      <c r="G2035" s="88"/>
      <c r="H2035" s="88"/>
      <c r="I2035" s="88"/>
      <c r="J2035" s="88"/>
      <c r="K2035" s="88"/>
    </row>
    <row r="2036" ht="15.75" customHeight="1" spans="1:11">
      <c r="A2036" s="88"/>
      <c r="B2036" s="88"/>
      <c r="C2036" s="88"/>
      <c r="D2036" s="88"/>
      <c r="E2036" s="88"/>
      <c r="F2036" s="88"/>
      <c r="G2036" s="88"/>
      <c r="H2036" s="88"/>
      <c r="I2036" s="88"/>
      <c r="J2036" s="88"/>
      <c r="K2036" s="88"/>
    </row>
    <row r="2037" ht="15.75" customHeight="1" spans="1:11">
      <c r="A2037" s="88"/>
      <c r="B2037" s="88"/>
      <c r="C2037" s="88"/>
      <c r="D2037" s="88"/>
      <c r="E2037" s="88"/>
      <c r="F2037" s="88"/>
      <c r="G2037" s="88"/>
      <c r="H2037" s="88"/>
      <c r="I2037" s="88"/>
      <c r="J2037" s="88"/>
      <c r="K2037" s="88"/>
    </row>
    <row r="2038" ht="15.75" customHeight="1" spans="1:11">
      <c r="A2038" s="88"/>
      <c r="B2038" s="88"/>
      <c r="C2038" s="88"/>
      <c r="D2038" s="88"/>
      <c r="E2038" s="88"/>
      <c r="F2038" s="88"/>
      <c r="G2038" s="88"/>
      <c r="H2038" s="88"/>
      <c r="I2038" s="88"/>
      <c r="J2038" s="88"/>
      <c r="K2038" s="88"/>
    </row>
    <row r="2039" ht="15.75" customHeight="1" spans="1:11">
      <c r="A2039" s="88"/>
      <c r="B2039" s="88"/>
      <c r="C2039" s="88"/>
      <c r="D2039" s="88"/>
      <c r="E2039" s="88"/>
      <c r="F2039" s="88"/>
      <c r="G2039" s="88"/>
      <c r="H2039" s="88"/>
      <c r="I2039" s="88"/>
      <c r="J2039" s="88"/>
      <c r="K2039" s="88"/>
    </row>
    <row r="2040" ht="15.75" customHeight="1" spans="1:11">
      <c r="A2040" s="88"/>
      <c r="B2040" s="88"/>
      <c r="C2040" s="88"/>
      <c r="D2040" s="88"/>
      <c r="E2040" s="88"/>
      <c r="F2040" s="88"/>
      <c r="G2040" s="88"/>
      <c r="H2040" s="88"/>
      <c r="I2040" s="88"/>
      <c r="J2040" s="88"/>
      <c r="K2040" s="88"/>
    </row>
    <row r="2041" ht="15.75" customHeight="1" spans="1:11">
      <c r="A2041" s="88"/>
      <c r="B2041" s="88"/>
      <c r="C2041" s="88"/>
      <c r="D2041" s="88"/>
      <c r="E2041" s="88"/>
      <c r="F2041" s="88"/>
      <c r="G2041" s="88"/>
      <c r="H2041" s="88"/>
      <c r="I2041" s="88"/>
      <c r="J2041" s="88"/>
      <c r="K2041" s="88"/>
    </row>
    <row r="2042" ht="15.75" customHeight="1" spans="1:11">
      <c r="A2042" s="88"/>
      <c r="B2042" s="88"/>
      <c r="C2042" s="88"/>
      <c r="D2042" s="88"/>
      <c r="E2042" s="88"/>
      <c r="F2042" s="88"/>
      <c r="G2042" s="88"/>
      <c r="H2042" s="88"/>
      <c r="I2042" s="88"/>
      <c r="J2042" s="88"/>
      <c r="K2042" s="88"/>
    </row>
    <row r="2043" ht="15.75" customHeight="1" spans="1:11">
      <c r="A2043" s="88"/>
      <c r="B2043" s="88"/>
      <c r="C2043" s="88"/>
      <c r="D2043" s="88"/>
      <c r="E2043" s="88"/>
      <c r="F2043" s="88"/>
      <c r="G2043" s="88"/>
      <c r="H2043" s="88"/>
      <c r="I2043" s="88"/>
      <c r="J2043" s="88"/>
      <c r="K2043" s="88"/>
    </row>
    <row r="2044" ht="15.75" customHeight="1" spans="1:11">
      <c r="A2044" s="88"/>
      <c r="B2044" s="88"/>
      <c r="C2044" s="88"/>
      <c r="D2044" s="88"/>
      <c r="E2044" s="88"/>
      <c r="F2044" s="88"/>
      <c r="G2044" s="88"/>
      <c r="H2044" s="88"/>
      <c r="I2044" s="88"/>
      <c r="J2044" s="88"/>
      <c r="K2044" s="88"/>
    </row>
    <row r="2045" ht="15.75" customHeight="1" spans="1:11">
      <c r="A2045" s="88"/>
      <c r="B2045" s="88"/>
      <c r="C2045" s="88"/>
      <c r="D2045" s="88"/>
      <c r="E2045" s="88"/>
      <c r="F2045" s="88"/>
      <c r="G2045" s="88"/>
      <c r="H2045" s="88"/>
      <c r="I2045" s="88"/>
      <c r="J2045" s="88"/>
      <c r="K2045" s="88"/>
    </row>
    <row r="2046" ht="15.75" customHeight="1" spans="1:11">
      <c r="A2046" s="88"/>
      <c r="B2046" s="88"/>
      <c r="C2046" s="88"/>
      <c r="D2046" s="88"/>
      <c r="E2046" s="88"/>
      <c r="F2046" s="88"/>
      <c r="G2046" s="88"/>
      <c r="H2046" s="88"/>
      <c r="I2046" s="88"/>
      <c r="J2046" s="88"/>
      <c r="K2046" s="88"/>
    </row>
    <row r="2047" ht="15.75" customHeight="1" spans="1:11">
      <c r="A2047" s="88"/>
      <c r="B2047" s="88"/>
      <c r="C2047" s="88"/>
      <c r="D2047" s="88"/>
      <c r="E2047" s="88"/>
      <c r="F2047" s="88"/>
      <c r="G2047" s="88"/>
      <c r="H2047" s="88"/>
      <c r="I2047" s="88"/>
      <c r="J2047" s="88"/>
      <c r="K2047" s="88"/>
    </row>
    <row r="2048" ht="15.75" customHeight="1" spans="1:11">
      <c r="A2048" s="88"/>
      <c r="B2048" s="88"/>
      <c r="C2048" s="88"/>
      <c r="D2048" s="88"/>
      <c r="E2048" s="88"/>
      <c r="F2048" s="88"/>
      <c r="G2048" s="88"/>
      <c r="H2048" s="88"/>
      <c r="I2048" s="88"/>
      <c r="J2048" s="88"/>
      <c r="K2048" s="88"/>
    </row>
    <row r="2049" ht="15.75" customHeight="1" spans="1:11">
      <c r="A2049" s="88"/>
      <c r="B2049" s="88"/>
      <c r="C2049" s="88"/>
      <c r="D2049" s="88"/>
      <c r="E2049" s="88"/>
      <c r="F2049" s="88"/>
      <c r="G2049" s="88"/>
      <c r="H2049" s="88"/>
      <c r="I2049" s="88"/>
      <c r="J2049" s="88"/>
      <c r="K2049" s="88"/>
    </row>
    <row r="2050" ht="15.75" customHeight="1" spans="1:11">
      <c r="A2050" s="88"/>
      <c r="B2050" s="88"/>
      <c r="C2050" s="88"/>
      <c r="D2050" s="88"/>
      <c r="E2050" s="88"/>
      <c r="F2050" s="88"/>
      <c r="G2050" s="88"/>
      <c r="H2050" s="88"/>
      <c r="I2050" s="88"/>
      <c r="J2050" s="88"/>
      <c r="K2050" s="88"/>
    </row>
    <row r="2051" ht="15.75" customHeight="1" spans="1:11">
      <c r="A2051" s="88"/>
      <c r="B2051" s="88"/>
      <c r="C2051" s="88"/>
      <c r="D2051" s="88"/>
      <c r="E2051" s="88"/>
      <c r="F2051" s="88"/>
      <c r="G2051" s="88"/>
      <c r="H2051" s="88"/>
      <c r="I2051" s="88"/>
      <c r="J2051" s="88"/>
      <c r="K2051" s="88"/>
    </row>
    <row r="2052" ht="15.75" customHeight="1" spans="1:11">
      <c r="A2052" s="88"/>
      <c r="B2052" s="88"/>
      <c r="C2052" s="88"/>
      <c r="D2052" s="88"/>
      <c r="E2052" s="88"/>
      <c r="F2052" s="88"/>
      <c r="G2052" s="88"/>
      <c r="H2052" s="88"/>
      <c r="I2052" s="88"/>
      <c r="J2052" s="88"/>
      <c r="K2052" s="88"/>
    </row>
    <row r="2053" ht="15.75" customHeight="1" spans="1:11">
      <c r="A2053" s="88"/>
      <c r="B2053" s="88"/>
      <c r="C2053" s="88"/>
      <c r="D2053" s="88"/>
      <c r="E2053" s="88"/>
      <c r="F2053" s="88"/>
      <c r="G2053" s="88"/>
      <c r="H2053" s="88"/>
      <c r="I2053" s="88"/>
      <c r="J2053" s="88"/>
      <c r="K2053" s="88"/>
    </row>
    <row r="2054" ht="15.75" customHeight="1" spans="1:11">
      <c r="A2054" s="88"/>
      <c r="B2054" s="88"/>
      <c r="C2054" s="88"/>
      <c r="D2054" s="88"/>
      <c r="E2054" s="88"/>
      <c r="F2054" s="88"/>
      <c r="G2054" s="88"/>
      <c r="H2054" s="88"/>
      <c r="I2054" s="88"/>
      <c r="J2054" s="88"/>
      <c r="K2054" s="88"/>
    </row>
    <row r="2055" ht="15.75" customHeight="1" spans="1:11">
      <c r="A2055" s="88"/>
      <c r="B2055" s="88"/>
      <c r="C2055" s="88"/>
      <c r="D2055" s="88"/>
      <c r="E2055" s="88"/>
      <c r="F2055" s="88"/>
      <c r="G2055" s="88"/>
      <c r="H2055" s="88"/>
      <c r="I2055" s="88"/>
      <c r="J2055" s="88"/>
      <c r="K2055" s="88"/>
    </row>
    <row r="2056" ht="15.75" customHeight="1" spans="1:11">
      <c r="A2056" s="88"/>
      <c r="B2056" s="88"/>
      <c r="C2056" s="88"/>
      <c r="D2056" s="88"/>
      <c r="E2056" s="88"/>
      <c r="F2056" s="88"/>
      <c r="G2056" s="88"/>
      <c r="H2056" s="88"/>
      <c r="I2056" s="88"/>
      <c r="J2056" s="88"/>
      <c r="K2056" s="88"/>
    </row>
    <row r="2057" ht="15.75" customHeight="1" spans="1:11">
      <c r="A2057" s="88"/>
      <c r="B2057" s="88"/>
      <c r="C2057" s="88"/>
      <c r="D2057" s="88"/>
      <c r="E2057" s="88"/>
      <c r="F2057" s="88"/>
      <c r="G2057" s="88"/>
      <c r="H2057" s="88"/>
      <c r="I2057" s="88"/>
      <c r="J2057" s="88"/>
      <c r="K2057" s="88"/>
    </row>
    <row r="2058" ht="15.75" customHeight="1" spans="1:11">
      <c r="A2058" s="88"/>
      <c r="B2058" s="88"/>
      <c r="C2058" s="88"/>
      <c r="D2058" s="88"/>
      <c r="E2058" s="88"/>
      <c r="F2058" s="88"/>
      <c r="G2058" s="88"/>
      <c r="H2058" s="88"/>
      <c r="I2058" s="88"/>
      <c r="J2058" s="88"/>
      <c r="K2058" s="88"/>
    </row>
    <row r="2059" ht="15.75" customHeight="1" spans="1:11">
      <c r="A2059" s="88"/>
      <c r="B2059" s="88"/>
      <c r="C2059" s="88"/>
      <c r="D2059" s="88"/>
      <c r="E2059" s="88"/>
      <c r="F2059" s="88"/>
      <c r="G2059" s="88"/>
      <c r="H2059" s="88"/>
      <c r="I2059" s="88"/>
      <c r="J2059" s="88"/>
      <c r="K2059" s="88"/>
    </row>
    <row r="2060" ht="15.75" customHeight="1" spans="1:11">
      <c r="A2060" s="88"/>
      <c r="B2060" s="88"/>
      <c r="C2060" s="88"/>
      <c r="D2060" s="88"/>
      <c r="E2060" s="88"/>
      <c r="F2060" s="88"/>
      <c r="G2060" s="88"/>
      <c r="H2060" s="88"/>
      <c r="I2060" s="88"/>
      <c r="J2060" s="88"/>
      <c r="K2060" s="88"/>
    </row>
    <row r="2061" ht="15.75" customHeight="1" spans="1:11">
      <c r="A2061" s="88"/>
      <c r="B2061" s="88"/>
      <c r="C2061" s="88"/>
      <c r="D2061" s="88"/>
      <c r="E2061" s="88"/>
      <c r="F2061" s="88"/>
      <c r="G2061" s="88"/>
      <c r="H2061" s="88"/>
      <c r="I2061" s="88"/>
      <c r="J2061" s="88"/>
      <c r="K2061" s="88"/>
    </row>
    <row r="2062" ht="15.75" customHeight="1" spans="1:11">
      <c r="A2062" s="88"/>
      <c r="B2062" s="88"/>
      <c r="C2062" s="88"/>
      <c r="D2062" s="88"/>
      <c r="E2062" s="88"/>
      <c r="F2062" s="88"/>
      <c r="G2062" s="88"/>
      <c r="H2062" s="88"/>
      <c r="I2062" s="88"/>
      <c r="J2062" s="88"/>
      <c r="K2062" s="88"/>
    </row>
    <row r="2063" ht="15.75" customHeight="1" spans="1:11">
      <c r="A2063" s="88"/>
      <c r="B2063" s="88"/>
      <c r="C2063" s="88"/>
      <c r="D2063" s="88"/>
      <c r="E2063" s="88"/>
      <c r="F2063" s="88"/>
      <c r="G2063" s="88"/>
      <c r="H2063" s="88"/>
      <c r="I2063" s="88"/>
      <c r="J2063" s="88"/>
      <c r="K2063" s="88"/>
    </row>
    <row r="2064" ht="15.75" customHeight="1" spans="1:11">
      <c r="A2064" s="88"/>
      <c r="B2064" s="88"/>
      <c r="C2064" s="88"/>
      <c r="D2064" s="88"/>
      <c r="E2064" s="88"/>
      <c r="F2064" s="88"/>
      <c r="G2064" s="88"/>
      <c r="H2064" s="88"/>
      <c r="I2064" s="88"/>
      <c r="J2064" s="88"/>
      <c r="K2064" s="88"/>
    </row>
    <row r="2065" ht="15.75" customHeight="1" spans="1:11">
      <c r="A2065" s="88"/>
      <c r="B2065" s="88"/>
      <c r="C2065" s="88"/>
      <c r="D2065" s="88"/>
      <c r="E2065" s="88"/>
      <c r="F2065" s="88"/>
      <c r="G2065" s="88"/>
      <c r="H2065" s="88"/>
      <c r="I2065" s="88"/>
      <c r="J2065" s="88"/>
      <c r="K2065" s="88"/>
    </row>
    <row r="2066" ht="15.75" customHeight="1" spans="1:11">
      <c r="A2066" s="88"/>
      <c r="B2066" s="88"/>
      <c r="C2066" s="88"/>
      <c r="D2066" s="88"/>
      <c r="E2066" s="88"/>
      <c r="F2066" s="88"/>
      <c r="G2066" s="88"/>
      <c r="H2066" s="88"/>
      <c r="I2066" s="88"/>
      <c r="J2066" s="88"/>
      <c r="K2066" s="88"/>
    </row>
    <row r="2067" ht="15.75" customHeight="1" spans="1:11">
      <c r="A2067" s="88"/>
      <c r="B2067" s="88"/>
      <c r="C2067" s="88"/>
      <c r="D2067" s="88"/>
      <c r="E2067" s="88"/>
      <c r="F2067" s="88"/>
      <c r="G2067" s="88"/>
      <c r="H2067" s="88"/>
      <c r="I2067" s="88"/>
      <c r="J2067" s="88"/>
      <c r="K2067" s="88"/>
    </row>
    <row r="2068" ht="15.75" customHeight="1" spans="1:11">
      <c r="A2068" s="88"/>
      <c r="B2068" s="88"/>
      <c r="C2068" s="88"/>
      <c r="D2068" s="88"/>
      <c r="E2068" s="88"/>
      <c r="F2068" s="88"/>
      <c r="G2068" s="88"/>
      <c r="H2068" s="88"/>
      <c r="I2068" s="88"/>
      <c r="J2068" s="88"/>
      <c r="K2068" s="88"/>
    </row>
    <row r="2069" ht="15.75" customHeight="1" spans="1:11">
      <c r="A2069" s="88"/>
      <c r="B2069" s="88"/>
      <c r="C2069" s="88"/>
      <c r="D2069" s="88"/>
      <c r="E2069" s="88"/>
      <c r="F2069" s="88"/>
      <c r="G2069" s="88"/>
      <c r="H2069" s="88"/>
      <c r="I2069" s="88"/>
      <c r="J2069" s="88"/>
      <c r="K2069" s="88"/>
    </row>
    <row r="2070" ht="15.75" customHeight="1" spans="1:11">
      <c r="A2070" s="88"/>
      <c r="B2070" s="88"/>
      <c r="C2070" s="88"/>
      <c r="D2070" s="88"/>
      <c r="E2070" s="88"/>
      <c r="F2070" s="88"/>
      <c r="G2070" s="88"/>
      <c r="H2070" s="88"/>
      <c r="I2070" s="88"/>
      <c r="J2070" s="88"/>
      <c r="K2070" s="88"/>
    </row>
    <row r="2071" ht="15.75" customHeight="1" spans="1:11">
      <c r="A2071" s="88"/>
      <c r="B2071" s="88"/>
      <c r="C2071" s="88"/>
      <c r="D2071" s="88"/>
      <c r="E2071" s="88"/>
      <c r="F2071" s="88"/>
      <c r="G2071" s="88"/>
      <c r="H2071" s="88"/>
      <c r="I2071" s="88"/>
      <c r="J2071" s="88"/>
      <c r="K2071" s="88"/>
    </row>
    <row r="2072" ht="15.75" customHeight="1" spans="1:11">
      <c r="A2072" s="88"/>
      <c r="B2072" s="88"/>
      <c r="C2072" s="88"/>
      <c r="D2072" s="88"/>
      <c r="E2072" s="88"/>
      <c r="F2072" s="88"/>
      <c r="G2072" s="88"/>
      <c r="H2072" s="88"/>
      <c r="I2072" s="88"/>
      <c r="J2072" s="88"/>
      <c r="K2072" s="88"/>
    </row>
    <row r="2073" ht="15.75" customHeight="1" spans="1:11">
      <c r="A2073" s="88"/>
      <c r="B2073" s="88"/>
      <c r="C2073" s="88"/>
      <c r="D2073" s="88"/>
      <c r="E2073" s="88"/>
      <c r="F2073" s="88"/>
      <c r="G2073" s="88"/>
      <c r="H2073" s="88"/>
      <c r="I2073" s="88"/>
      <c r="J2073" s="88"/>
      <c r="K2073" s="88"/>
    </row>
    <row r="2074" ht="15.75" customHeight="1" spans="1:11">
      <c r="A2074" s="88"/>
      <c r="B2074" s="88"/>
      <c r="C2074" s="88"/>
      <c r="D2074" s="88"/>
      <c r="E2074" s="88"/>
      <c r="F2074" s="88"/>
      <c r="G2074" s="88"/>
      <c r="H2074" s="88"/>
      <c r="I2074" s="88"/>
      <c r="J2074" s="88"/>
      <c r="K2074" s="88"/>
    </row>
    <row r="2075" ht="15.75" customHeight="1" spans="1:11">
      <c r="A2075" s="88"/>
      <c r="B2075" s="88"/>
      <c r="C2075" s="88"/>
      <c r="D2075" s="88"/>
      <c r="E2075" s="88"/>
      <c r="F2075" s="88"/>
      <c r="G2075" s="88"/>
      <c r="H2075" s="88"/>
      <c r="I2075" s="88"/>
      <c r="J2075" s="88"/>
      <c r="K2075" s="88"/>
    </row>
    <row r="2076" ht="15.75" customHeight="1" spans="1:11">
      <c r="A2076" s="88"/>
      <c r="B2076" s="88"/>
      <c r="C2076" s="88"/>
      <c r="D2076" s="88"/>
      <c r="E2076" s="88"/>
      <c r="F2076" s="88"/>
      <c r="G2076" s="88"/>
      <c r="H2076" s="88"/>
      <c r="I2076" s="88"/>
      <c r="J2076" s="88"/>
      <c r="K2076" s="88"/>
    </row>
    <row r="2077" ht="15.75" customHeight="1" spans="1:11">
      <c r="A2077" s="88"/>
      <c r="B2077" s="88"/>
      <c r="C2077" s="88"/>
      <c r="D2077" s="88"/>
      <c r="E2077" s="88"/>
      <c r="F2077" s="88"/>
      <c r="G2077" s="88"/>
      <c r="H2077" s="88"/>
      <c r="I2077" s="88"/>
      <c r="J2077" s="88"/>
      <c r="K2077" s="88"/>
    </row>
    <row r="2078" ht="15.75" customHeight="1" spans="1:11">
      <c r="A2078" s="88"/>
      <c r="B2078" s="88"/>
      <c r="C2078" s="88"/>
      <c r="D2078" s="88"/>
      <c r="E2078" s="88"/>
      <c r="F2078" s="88"/>
      <c r="G2078" s="88"/>
      <c r="H2078" s="88"/>
      <c r="I2078" s="88"/>
      <c r="J2078" s="88"/>
      <c r="K2078" s="88"/>
    </row>
    <row r="2079" ht="15.75" customHeight="1" spans="1:11">
      <c r="A2079" s="88"/>
      <c r="B2079" s="88"/>
      <c r="C2079" s="88"/>
      <c r="D2079" s="88"/>
      <c r="E2079" s="88"/>
      <c r="F2079" s="88"/>
      <c r="G2079" s="88"/>
      <c r="H2079" s="88"/>
      <c r="I2079" s="88"/>
      <c r="J2079" s="88"/>
      <c r="K2079" s="88"/>
    </row>
    <row r="2080" ht="15.75" customHeight="1" spans="1:11">
      <c r="A2080" s="88"/>
      <c r="B2080" s="88"/>
      <c r="C2080" s="88"/>
      <c r="D2080" s="88"/>
      <c r="E2080" s="88"/>
      <c r="F2080" s="88"/>
      <c r="G2080" s="88"/>
      <c r="H2080" s="88"/>
      <c r="I2080" s="88"/>
      <c r="J2080" s="88"/>
      <c r="K2080" s="88"/>
    </row>
    <row r="2081" ht="15.75" customHeight="1" spans="1:11">
      <c r="A2081" s="88"/>
      <c r="B2081" s="88"/>
      <c r="C2081" s="88"/>
      <c r="D2081" s="88"/>
      <c r="E2081" s="88"/>
      <c r="F2081" s="88"/>
      <c r="G2081" s="88"/>
      <c r="H2081" s="88"/>
      <c r="I2081" s="88"/>
      <c r="J2081" s="88"/>
      <c r="K2081" s="88"/>
    </row>
    <row r="2082" ht="15.75" customHeight="1" spans="1:11">
      <c r="A2082" s="88"/>
      <c r="B2082" s="88"/>
      <c r="C2082" s="88"/>
      <c r="D2082" s="88"/>
      <c r="E2082" s="88"/>
      <c r="F2082" s="88"/>
      <c r="G2082" s="88"/>
      <c r="H2082" s="88"/>
      <c r="I2082" s="88"/>
      <c r="J2082" s="88"/>
      <c r="K2082" s="88"/>
    </row>
    <row r="2083" ht="15.75" customHeight="1" spans="1:11">
      <c r="A2083" s="88"/>
      <c r="B2083" s="88"/>
      <c r="C2083" s="88"/>
      <c r="D2083" s="88"/>
      <c r="E2083" s="88"/>
      <c r="F2083" s="88"/>
      <c r="G2083" s="88"/>
      <c r="H2083" s="88"/>
      <c r="I2083" s="88"/>
      <c r="J2083" s="88"/>
      <c r="K2083" s="88"/>
    </row>
    <row r="2084" ht="15.75" customHeight="1" spans="1:11">
      <c r="A2084" s="88"/>
      <c r="B2084" s="88"/>
      <c r="C2084" s="88"/>
      <c r="D2084" s="88"/>
      <c r="E2084" s="88"/>
      <c r="F2084" s="88"/>
      <c r="G2084" s="88"/>
      <c r="H2084" s="88"/>
      <c r="I2084" s="88"/>
      <c r="J2084" s="88"/>
      <c r="K2084" s="88"/>
    </row>
    <row r="2085" ht="15.75" customHeight="1" spans="1:11">
      <c r="A2085" s="88"/>
      <c r="B2085" s="88"/>
      <c r="C2085" s="88"/>
      <c r="D2085" s="88"/>
      <c r="E2085" s="88"/>
      <c r="F2085" s="88"/>
      <c r="G2085" s="88"/>
      <c r="H2085" s="88"/>
      <c r="I2085" s="88"/>
      <c r="J2085" s="88"/>
      <c r="K2085" s="88"/>
    </row>
    <row r="2086" ht="15.75" customHeight="1" spans="1:11">
      <c r="A2086" s="88"/>
      <c r="B2086" s="88"/>
      <c r="C2086" s="88"/>
      <c r="D2086" s="88"/>
      <c r="E2086" s="88"/>
      <c r="F2086" s="88"/>
      <c r="G2086" s="88"/>
      <c r="H2086" s="88"/>
      <c r="I2086" s="88"/>
      <c r="J2086" s="88"/>
      <c r="K2086" s="88"/>
    </row>
    <row r="2087" ht="15.75" customHeight="1" spans="1:11">
      <c r="A2087" s="88"/>
      <c r="B2087" s="88"/>
      <c r="C2087" s="88"/>
      <c r="D2087" s="88"/>
      <c r="E2087" s="88"/>
      <c r="F2087" s="88"/>
      <c r="G2087" s="88"/>
      <c r="H2087" s="88"/>
      <c r="I2087" s="88"/>
      <c r="J2087" s="88"/>
      <c r="K2087" s="88"/>
    </row>
    <row r="2088" ht="15.75" customHeight="1" spans="1:11">
      <c r="A2088" s="88"/>
      <c r="B2088" s="88"/>
      <c r="C2088" s="88"/>
      <c r="D2088" s="88"/>
      <c r="E2088" s="88"/>
      <c r="F2088" s="88"/>
      <c r="G2088" s="88"/>
      <c r="H2088" s="88"/>
      <c r="I2088" s="88"/>
      <c r="J2088" s="88"/>
      <c r="K2088" s="88"/>
    </row>
    <row r="2089" ht="15.75" customHeight="1" spans="1:11">
      <c r="A2089" s="88"/>
      <c r="B2089" s="88"/>
      <c r="C2089" s="88"/>
      <c r="D2089" s="88"/>
      <c r="E2089" s="88"/>
      <c r="F2089" s="88"/>
      <c r="G2089" s="88"/>
      <c r="H2089" s="88"/>
      <c r="I2089" s="88"/>
      <c r="J2089" s="88"/>
      <c r="K2089" s="88"/>
    </row>
    <row r="2090" ht="15.75" customHeight="1" spans="1:11">
      <c r="A2090" s="88"/>
      <c r="B2090" s="88"/>
      <c r="C2090" s="88"/>
      <c r="D2090" s="88"/>
      <c r="E2090" s="88"/>
      <c r="F2090" s="88"/>
      <c r="G2090" s="88"/>
      <c r="H2090" s="88"/>
      <c r="I2090" s="88"/>
      <c r="J2090" s="88"/>
      <c r="K2090" s="88"/>
    </row>
    <row r="2091" ht="15.75" customHeight="1" spans="1:11">
      <c r="A2091" s="88"/>
      <c r="B2091" s="88"/>
      <c r="C2091" s="88"/>
      <c r="D2091" s="88"/>
      <c r="E2091" s="88"/>
      <c r="F2091" s="88"/>
      <c r="G2091" s="88"/>
      <c r="H2091" s="88"/>
      <c r="I2091" s="88"/>
      <c r="J2091" s="88"/>
      <c r="K2091" s="88"/>
    </row>
    <row r="2092" ht="15.75" customHeight="1" spans="1:11">
      <c r="A2092" s="88"/>
      <c r="B2092" s="88"/>
      <c r="C2092" s="88"/>
      <c r="D2092" s="88"/>
      <c r="E2092" s="88"/>
      <c r="F2092" s="88"/>
      <c r="G2092" s="88"/>
      <c r="H2092" s="88"/>
      <c r="I2092" s="88"/>
      <c r="J2092" s="88"/>
      <c r="K2092" s="88"/>
    </row>
    <row r="2093" ht="15.75" customHeight="1" spans="1:11">
      <c r="A2093" s="88"/>
      <c r="B2093" s="88"/>
      <c r="C2093" s="88"/>
      <c r="D2093" s="88"/>
      <c r="E2093" s="88"/>
      <c r="F2093" s="88"/>
      <c r="G2093" s="88"/>
      <c r="H2093" s="88"/>
      <c r="I2093" s="88"/>
      <c r="J2093" s="88"/>
      <c r="K2093" s="88"/>
    </row>
    <row r="2094" ht="15.75" customHeight="1" spans="1:11">
      <c r="A2094" s="88"/>
      <c r="B2094" s="88"/>
      <c r="C2094" s="88"/>
      <c r="D2094" s="88"/>
      <c r="E2094" s="88"/>
      <c r="F2094" s="88"/>
      <c r="G2094" s="88"/>
      <c r="H2094" s="88"/>
      <c r="I2094" s="88"/>
      <c r="J2094" s="88"/>
      <c r="K2094" s="88"/>
    </row>
    <row r="2095" ht="15.75" customHeight="1" spans="1:11">
      <c r="A2095" s="88"/>
      <c r="B2095" s="88"/>
      <c r="C2095" s="88"/>
      <c r="D2095" s="88"/>
      <c r="E2095" s="88"/>
      <c r="F2095" s="88"/>
      <c r="G2095" s="88"/>
      <c r="H2095" s="88"/>
      <c r="I2095" s="88"/>
      <c r="J2095" s="88"/>
      <c r="K2095" s="88"/>
    </row>
    <row r="2096" ht="15.75" customHeight="1" spans="1:11">
      <c r="A2096" s="88"/>
      <c r="B2096" s="88"/>
      <c r="C2096" s="88"/>
      <c r="D2096" s="88"/>
      <c r="E2096" s="88"/>
      <c r="F2096" s="88"/>
      <c r="G2096" s="88"/>
      <c r="H2096" s="88"/>
      <c r="I2096" s="88"/>
      <c r="J2096" s="88"/>
      <c r="K2096" s="88"/>
    </row>
    <row r="2097" ht="15.75" customHeight="1" spans="1:11">
      <c r="A2097" s="88"/>
      <c r="B2097" s="88"/>
      <c r="C2097" s="88"/>
      <c r="D2097" s="88"/>
      <c r="E2097" s="88"/>
      <c r="F2097" s="88"/>
      <c r="G2097" s="88"/>
      <c r="H2097" s="88"/>
      <c r="I2097" s="88"/>
      <c r="J2097" s="88"/>
      <c r="K2097" s="88"/>
    </row>
    <row r="2098" ht="15.75" customHeight="1" spans="1:11">
      <c r="A2098" s="88"/>
      <c r="B2098" s="88"/>
      <c r="C2098" s="88"/>
      <c r="D2098" s="88"/>
      <c r="E2098" s="88"/>
      <c r="F2098" s="88"/>
      <c r="G2098" s="88"/>
      <c r="H2098" s="88"/>
      <c r="I2098" s="88"/>
      <c r="J2098" s="88"/>
      <c r="K2098" s="88"/>
    </row>
    <row r="2099" ht="15.75" customHeight="1" spans="1:11">
      <c r="A2099" s="88"/>
      <c r="B2099" s="88"/>
      <c r="C2099" s="88"/>
      <c r="D2099" s="88"/>
      <c r="E2099" s="88"/>
      <c r="F2099" s="88"/>
      <c r="G2099" s="88"/>
      <c r="H2099" s="88"/>
      <c r="I2099" s="88"/>
      <c r="J2099" s="88"/>
      <c r="K2099" s="88"/>
    </row>
    <row r="2100" ht="15.75" customHeight="1" spans="1:11">
      <c r="A2100" s="88"/>
      <c r="B2100" s="88"/>
      <c r="C2100" s="88"/>
      <c r="D2100" s="88"/>
      <c r="E2100" s="88"/>
      <c r="F2100" s="88"/>
      <c r="G2100" s="88"/>
      <c r="H2100" s="88"/>
      <c r="I2100" s="88"/>
      <c r="J2100" s="88"/>
      <c r="K2100" s="88"/>
    </row>
    <row r="2101" ht="15.75" customHeight="1" spans="1:11">
      <c r="A2101" s="88"/>
      <c r="B2101" s="88"/>
      <c r="C2101" s="88"/>
      <c r="D2101" s="88"/>
      <c r="E2101" s="88"/>
      <c r="F2101" s="88"/>
      <c r="G2101" s="88"/>
      <c r="H2101" s="88"/>
      <c r="I2101" s="88"/>
      <c r="J2101" s="88"/>
      <c r="K2101" s="88"/>
    </row>
    <row r="2102" ht="15.75" customHeight="1" spans="1:11">
      <c r="A2102" s="88"/>
      <c r="B2102" s="88"/>
      <c r="C2102" s="88"/>
      <c r="D2102" s="88"/>
      <c r="E2102" s="88"/>
      <c r="F2102" s="88"/>
      <c r="G2102" s="88"/>
      <c r="H2102" s="88"/>
      <c r="I2102" s="88"/>
      <c r="J2102" s="88"/>
      <c r="K2102" s="88"/>
    </row>
    <row r="2103" ht="15.75" customHeight="1" spans="1:11">
      <c r="A2103" s="88"/>
      <c r="B2103" s="88"/>
      <c r="C2103" s="88"/>
      <c r="D2103" s="88"/>
      <c r="E2103" s="88"/>
      <c r="F2103" s="88"/>
      <c r="G2103" s="88"/>
      <c r="H2103" s="88"/>
      <c r="I2103" s="88"/>
      <c r="J2103" s="88"/>
      <c r="K2103" s="88"/>
    </row>
    <row r="2104" ht="15.75" customHeight="1" spans="1:11">
      <c r="A2104" s="88"/>
      <c r="B2104" s="88"/>
      <c r="C2104" s="88"/>
      <c r="D2104" s="88"/>
      <c r="E2104" s="88"/>
      <c r="F2104" s="88"/>
      <c r="G2104" s="88"/>
      <c r="H2104" s="88"/>
      <c r="I2104" s="88"/>
      <c r="J2104" s="88"/>
      <c r="K2104" s="88"/>
    </row>
    <row r="2105" ht="15.75" customHeight="1" spans="1:11">
      <c r="A2105" s="88"/>
      <c r="B2105" s="88"/>
      <c r="C2105" s="88"/>
      <c r="D2105" s="88"/>
      <c r="E2105" s="88"/>
      <c r="F2105" s="88"/>
      <c r="G2105" s="88"/>
      <c r="H2105" s="88"/>
      <c r="I2105" s="88"/>
      <c r="J2105" s="88"/>
      <c r="K2105" s="88"/>
    </row>
    <row r="2106" ht="15.75" customHeight="1" spans="1:11">
      <c r="A2106" s="88"/>
      <c r="B2106" s="88"/>
      <c r="C2106" s="88"/>
      <c r="D2106" s="88"/>
      <c r="E2106" s="88"/>
      <c r="F2106" s="88"/>
      <c r="G2106" s="88"/>
      <c r="H2106" s="88"/>
      <c r="I2106" s="88"/>
      <c r="J2106" s="88"/>
      <c r="K2106" s="88"/>
    </row>
    <row r="2107" ht="15.75" customHeight="1" spans="1:11">
      <c r="A2107" s="88"/>
      <c r="B2107" s="88"/>
      <c r="C2107" s="88"/>
      <c r="D2107" s="88"/>
      <c r="E2107" s="88"/>
      <c r="F2107" s="88"/>
      <c r="G2107" s="88"/>
      <c r="H2107" s="88"/>
      <c r="I2107" s="88"/>
      <c r="J2107" s="88"/>
      <c r="K2107" s="88"/>
    </row>
    <row r="2108" ht="15.75" customHeight="1" spans="1:11">
      <c r="A2108" s="88"/>
      <c r="B2108" s="88"/>
      <c r="C2108" s="88"/>
      <c r="D2108" s="88"/>
      <c r="E2108" s="88"/>
      <c r="F2108" s="88"/>
      <c r="G2108" s="88"/>
      <c r="H2108" s="88"/>
      <c r="I2108" s="88"/>
      <c r="J2108" s="88"/>
      <c r="K2108" s="88"/>
    </row>
    <row r="2109" ht="15.75" customHeight="1" spans="1:11">
      <c r="A2109" s="88"/>
      <c r="B2109" s="88"/>
      <c r="C2109" s="88"/>
      <c r="D2109" s="88"/>
      <c r="E2109" s="88"/>
      <c r="F2109" s="88"/>
      <c r="G2109" s="88"/>
      <c r="H2109" s="88"/>
      <c r="I2109" s="88"/>
      <c r="J2109" s="88"/>
      <c r="K2109" s="88"/>
    </row>
    <row r="2110" ht="15.75" customHeight="1" spans="1:11">
      <c r="A2110" s="88"/>
      <c r="B2110" s="88"/>
      <c r="C2110" s="88"/>
      <c r="D2110" s="88"/>
      <c r="E2110" s="88"/>
      <c r="F2110" s="88"/>
      <c r="G2110" s="88"/>
      <c r="H2110" s="88"/>
      <c r="I2110" s="88"/>
      <c r="J2110" s="88"/>
      <c r="K2110" s="88"/>
    </row>
    <row r="2111" ht="15.75" customHeight="1" spans="1:11">
      <c r="A2111" s="88"/>
      <c r="B2111" s="88"/>
      <c r="C2111" s="88"/>
      <c r="D2111" s="88"/>
      <c r="E2111" s="88"/>
      <c r="F2111" s="88"/>
      <c r="G2111" s="88"/>
      <c r="H2111" s="88"/>
      <c r="I2111" s="88"/>
      <c r="J2111" s="88"/>
      <c r="K2111" s="88"/>
    </row>
    <row r="2112" ht="15.75" customHeight="1" spans="1:11">
      <c r="A2112" s="88"/>
      <c r="B2112" s="88"/>
      <c r="C2112" s="88"/>
      <c r="D2112" s="88"/>
      <c r="E2112" s="88"/>
      <c r="F2112" s="88"/>
      <c r="G2112" s="88"/>
      <c r="H2112" s="88"/>
      <c r="I2112" s="88"/>
      <c r="J2112" s="88"/>
      <c r="K2112" s="88"/>
    </row>
    <row r="2113" ht="15.75" customHeight="1" spans="1:11">
      <c r="A2113" s="88"/>
      <c r="B2113" s="88"/>
      <c r="C2113" s="88"/>
      <c r="D2113" s="88"/>
      <c r="E2113" s="88"/>
      <c r="F2113" s="88"/>
      <c r="G2113" s="88"/>
      <c r="H2113" s="88"/>
      <c r="I2113" s="88"/>
      <c r="J2113" s="88"/>
      <c r="K2113" s="88"/>
    </row>
    <row r="2114" ht="15.75" customHeight="1" spans="1:11">
      <c r="A2114" s="88"/>
      <c r="B2114" s="88"/>
      <c r="C2114" s="88"/>
      <c r="D2114" s="88"/>
      <c r="E2114" s="88"/>
      <c r="F2114" s="88"/>
      <c r="G2114" s="88"/>
      <c r="H2114" s="88"/>
      <c r="I2114" s="88"/>
      <c r="J2114" s="88"/>
      <c r="K2114" s="88"/>
    </row>
    <row r="2115" ht="15.75" customHeight="1" spans="1:11">
      <c r="A2115" s="88"/>
      <c r="B2115" s="88"/>
      <c r="C2115" s="88"/>
      <c r="D2115" s="88"/>
      <c r="E2115" s="88"/>
      <c r="F2115" s="88"/>
      <c r="G2115" s="88"/>
      <c r="H2115" s="88"/>
      <c r="I2115" s="88"/>
      <c r="J2115" s="88"/>
      <c r="K2115" s="88"/>
    </row>
    <row r="2116" ht="15.75" customHeight="1" spans="1:11">
      <c r="A2116" s="88"/>
      <c r="B2116" s="88"/>
      <c r="C2116" s="88"/>
      <c r="D2116" s="88"/>
      <c r="E2116" s="88"/>
      <c r="F2116" s="88"/>
      <c r="G2116" s="88"/>
      <c r="H2116" s="88"/>
      <c r="I2116" s="88"/>
      <c r="J2116" s="88"/>
      <c r="K2116" s="88"/>
    </row>
    <row r="2117" ht="15.75" customHeight="1" spans="1:11">
      <c r="A2117" s="88"/>
      <c r="B2117" s="88"/>
      <c r="C2117" s="88"/>
      <c r="D2117" s="88"/>
      <c r="E2117" s="88"/>
      <c r="F2117" s="88"/>
      <c r="G2117" s="88"/>
      <c r="H2117" s="88"/>
      <c r="I2117" s="88"/>
      <c r="J2117" s="88"/>
      <c r="K2117" s="88"/>
    </row>
    <row r="2118" ht="15.75" customHeight="1" spans="1:11">
      <c r="A2118" s="88"/>
      <c r="B2118" s="88"/>
      <c r="C2118" s="88"/>
      <c r="D2118" s="88"/>
      <c r="E2118" s="88"/>
      <c r="F2118" s="88"/>
      <c r="G2118" s="88"/>
      <c r="H2118" s="88"/>
      <c r="I2118" s="88"/>
      <c r="J2118" s="88"/>
      <c r="K2118" s="88"/>
    </row>
    <row r="2119" ht="15.75" customHeight="1" spans="1:11">
      <c r="A2119" s="88"/>
      <c r="B2119" s="88"/>
      <c r="C2119" s="88"/>
      <c r="D2119" s="88"/>
      <c r="E2119" s="88"/>
      <c r="F2119" s="88"/>
      <c r="G2119" s="88"/>
      <c r="H2119" s="88"/>
      <c r="I2119" s="88"/>
      <c r="J2119" s="88"/>
      <c r="K2119" s="88"/>
    </row>
    <row r="2120" ht="15.75" customHeight="1" spans="1:11">
      <c r="A2120" s="88"/>
      <c r="B2120" s="88"/>
      <c r="C2120" s="88"/>
      <c r="D2120" s="88"/>
      <c r="E2120" s="88"/>
      <c r="F2120" s="88"/>
      <c r="G2120" s="88"/>
      <c r="H2120" s="88"/>
      <c r="I2120" s="88"/>
      <c r="J2120" s="88"/>
      <c r="K2120" s="88"/>
    </row>
    <row r="2121" ht="15.75" customHeight="1" spans="1:11">
      <c r="A2121" s="88"/>
      <c r="B2121" s="88"/>
      <c r="C2121" s="88"/>
      <c r="D2121" s="88"/>
      <c r="E2121" s="88"/>
      <c r="F2121" s="88"/>
      <c r="G2121" s="88"/>
      <c r="H2121" s="88"/>
      <c r="I2121" s="88"/>
      <c r="J2121" s="88"/>
      <c r="K2121" s="88"/>
    </row>
    <row r="2122" ht="15.75" customHeight="1" spans="1:11">
      <c r="A2122" s="88"/>
      <c r="B2122" s="88"/>
      <c r="C2122" s="88"/>
      <c r="D2122" s="88"/>
      <c r="E2122" s="88"/>
      <c r="F2122" s="88"/>
      <c r="G2122" s="88"/>
      <c r="H2122" s="88"/>
      <c r="I2122" s="88"/>
      <c r="J2122" s="88"/>
      <c r="K2122" s="88"/>
    </row>
    <row r="2123" ht="15.75" customHeight="1" spans="1:11">
      <c r="A2123" s="88"/>
      <c r="B2123" s="88"/>
      <c r="C2123" s="88"/>
      <c r="D2123" s="88"/>
      <c r="E2123" s="88"/>
      <c r="F2123" s="88"/>
      <c r="G2123" s="88"/>
      <c r="H2123" s="88"/>
      <c r="I2123" s="88"/>
      <c r="J2123" s="88"/>
      <c r="K2123" s="88"/>
    </row>
    <row r="2124" ht="15.75" customHeight="1" spans="1:11">
      <c r="A2124" s="88"/>
      <c r="B2124" s="88"/>
      <c r="C2124" s="88"/>
      <c r="D2124" s="88"/>
      <c r="E2124" s="88"/>
      <c r="F2124" s="88"/>
      <c r="G2124" s="88"/>
      <c r="H2124" s="88"/>
      <c r="I2124" s="88"/>
      <c r="J2124" s="88"/>
      <c r="K2124" s="88"/>
    </row>
    <row r="2125" ht="15.75" customHeight="1" spans="1:11">
      <c r="A2125" s="88"/>
      <c r="B2125" s="88"/>
      <c r="C2125" s="88"/>
      <c r="D2125" s="88"/>
      <c r="E2125" s="88"/>
      <c r="F2125" s="88"/>
      <c r="G2125" s="88"/>
      <c r="H2125" s="88"/>
      <c r="I2125" s="88"/>
      <c r="J2125" s="88"/>
      <c r="K2125" s="88"/>
    </row>
    <row r="2126" ht="15.75" customHeight="1" spans="1:11">
      <c r="A2126" s="88"/>
      <c r="B2126" s="88"/>
      <c r="C2126" s="88"/>
      <c r="D2126" s="88"/>
      <c r="E2126" s="88"/>
      <c r="F2126" s="88"/>
      <c r="G2126" s="88"/>
      <c r="H2126" s="88"/>
      <c r="I2126" s="88"/>
      <c r="J2126" s="88"/>
      <c r="K2126" s="88"/>
    </row>
    <row r="2127" ht="15.75" customHeight="1" spans="1:11">
      <c r="A2127" s="88"/>
      <c r="B2127" s="88"/>
      <c r="C2127" s="88"/>
      <c r="D2127" s="88"/>
      <c r="E2127" s="88"/>
      <c r="F2127" s="88"/>
      <c r="G2127" s="88"/>
      <c r="H2127" s="88"/>
      <c r="I2127" s="88"/>
      <c r="J2127" s="88"/>
      <c r="K2127" s="88"/>
    </row>
    <row r="2128" ht="15.75" customHeight="1" spans="1:11">
      <c r="A2128" s="88"/>
      <c r="B2128" s="88"/>
      <c r="C2128" s="88"/>
      <c r="D2128" s="88"/>
      <c r="E2128" s="88"/>
      <c r="F2128" s="88"/>
      <c r="G2128" s="88"/>
      <c r="H2128" s="88"/>
      <c r="I2128" s="88"/>
      <c r="J2128" s="88"/>
      <c r="K2128" s="88"/>
    </row>
    <row r="2129" ht="15.75" customHeight="1" spans="1:11">
      <c r="A2129" s="88"/>
      <c r="B2129" s="88"/>
      <c r="C2129" s="88"/>
      <c r="D2129" s="88"/>
      <c r="E2129" s="88"/>
      <c r="F2129" s="88"/>
      <c r="G2129" s="88"/>
      <c r="H2129" s="88"/>
      <c r="I2129" s="88"/>
      <c r="J2129" s="88"/>
      <c r="K2129" s="88"/>
    </row>
    <row r="2130" ht="15.75" customHeight="1" spans="1:11">
      <c r="A2130" s="88"/>
      <c r="B2130" s="88"/>
      <c r="C2130" s="88"/>
      <c r="D2130" s="88"/>
      <c r="E2130" s="88"/>
      <c r="F2130" s="88"/>
      <c r="G2130" s="88"/>
      <c r="H2130" s="88"/>
      <c r="I2130" s="88"/>
      <c r="J2130" s="88"/>
      <c r="K2130" s="88"/>
    </row>
    <row r="2131" ht="15.75" customHeight="1" spans="1:11">
      <c r="A2131" s="88"/>
      <c r="B2131" s="88"/>
      <c r="C2131" s="88"/>
      <c r="D2131" s="88"/>
      <c r="E2131" s="88"/>
      <c r="F2131" s="88"/>
      <c r="G2131" s="88"/>
      <c r="H2131" s="88"/>
      <c r="I2131" s="88"/>
      <c r="J2131" s="88"/>
      <c r="K2131" s="88"/>
    </row>
    <row r="2132" ht="15.75" customHeight="1" spans="1:11">
      <c r="A2132" s="88"/>
      <c r="B2132" s="88"/>
      <c r="C2132" s="88"/>
      <c r="D2132" s="88"/>
      <c r="E2132" s="88"/>
      <c r="F2132" s="88"/>
      <c r="G2132" s="88"/>
      <c r="H2132" s="88"/>
      <c r="I2132" s="88"/>
      <c r="J2132" s="88"/>
      <c r="K2132" s="88"/>
    </row>
    <row r="2133" ht="15.75" customHeight="1" spans="1:11">
      <c r="A2133" s="88"/>
      <c r="B2133" s="88"/>
      <c r="C2133" s="88"/>
      <c r="D2133" s="88"/>
      <c r="E2133" s="88"/>
      <c r="F2133" s="88"/>
      <c r="G2133" s="88"/>
      <c r="H2133" s="88"/>
      <c r="I2133" s="88"/>
      <c r="J2133" s="88"/>
      <c r="K2133" s="88"/>
    </row>
    <row r="2134" ht="15.75" customHeight="1" spans="1:11">
      <c r="A2134" s="88"/>
      <c r="B2134" s="88"/>
      <c r="C2134" s="88"/>
      <c r="D2134" s="88"/>
      <c r="E2134" s="88"/>
      <c r="F2134" s="88"/>
      <c r="G2134" s="88"/>
      <c r="H2134" s="88"/>
      <c r="I2134" s="88"/>
      <c r="J2134" s="88"/>
      <c r="K2134" s="88"/>
    </row>
    <row r="2135" ht="15.75" customHeight="1" spans="1:11">
      <c r="A2135" s="88"/>
      <c r="B2135" s="88"/>
      <c r="C2135" s="88"/>
      <c r="D2135" s="88"/>
      <c r="E2135" s="88"/>
      <c r="F2135" s="88"/>
      <c r="G2135" s="88"/>
      <c r="H2135" s="88"/>
      <c r="I2135" s="88"/>
      <c r="J2135" s="88"/>
      <c r="K2135" s="88"/>
    </row>
    <row r="2136" ht="15.75" customHeight="1" spans="1:11">
      <c r="A2136" s="88"/>
      <c r="B2136" s="88"/>
      <c r="C2136" s="88"/>
      <c r="D2136" s="88"/>
      <c r="E2136" s="88"/>
      <c r="F2136" s="88"/>
      <c r="G2136" s="88"/>
      <c r="H2136" s="88"/>
      <c r="I2136" s="88"/>
      <c r="J2136" s="88"/>
      <c r="K2136" s="88"/>
    </row>
    <row r="2137" ht="15.75" customHeight="1" spans="1:11">
      <c r="A2137" s="88"/>
      <c r="B2137" s="88"/>
      <c r="C2137" s="88"/>
      <c r="D2137" s="88"/>
      <c r="E2137" s="88"/>
      <c r="F2137" s="88"/>
      <c r="G2137" s="88"/>
      <c r="H2137" s="88"/>
      <c r="I2137" s="88"/>
      <c r="J2137" s="88"/>
      <c r="K2137" s="88"/>
    </row>
    <row r="2138" ht="15.75" customHeight="1" spans="1:11">
      <c r="A2138" s="88"/>
      <c r="B2138" s="88"/>
      <c r="C2138" s="88"/>
      <c r="D2138" s="88"/>
      <c r="E2138" s="88"/>
      <c r="F2138" s="88"/>
      <c r="G2138" s="88"/>
      <c r="H2138" s="88"/>
      <c r="I2138" s="88"/>
      <c r="J2138" s="88"/>
      <c r="K2138" s="88"/>
    </row>
    <row r="2139" ht="15.75" customHeight="1" spans="1:11">
      <c r="A2139" s="88"/>
      <c r="B2139" s="88"/>
      <c r="C2139" s="88"/>
      <c r="D2139" s="88"/>
      <c r="E2139" s="88"/>
      <c r="F2139" s="88"/>
      <c r="G2139" s="88"/>
      <c r="H2139" s="88"/>
      <c r="I2139" s="88"/>
      <c r="J2139" s="88"/>
      <c r="K2139" s="88"/>
    </row>
    <row r="2140" ht="15.75" customHeight="1" spans="1:11">
      <c r="A2140" s="88"/>
      <c r="B2140" s="88"/>
      <c r="C2140" s="88"/>
      <c r="D2140" s="88"/>
      <c r="E2140" s="88"/>
      <c r="F2140" s="88"/>
      <c r="G2140" s="88"/>
      <c r="H2140" s="88"/>
      <c r="I2140" s="88"/>
      <c r="J2140" s="88"/>
      <c r="K2140" s="88"/>
    </row>
    <row r="2141" ht="15.75" customHeight="1" spans="1:11">
      <c r="A2141" s="88"/>
      <c r="B2141" s="88"/>
      <c r="C2141" s="88"/>
      <c r="D2141" s="88"/>
      <c r="E2141" s="88"/>
      <c r="F2141" s="88"/>
      <c r="G2141" s="88"/>
      <c r="H2141" s="88"/>
      <c r="I2141" s="88"/>
      <c r="J2141" s="88"/>
      <c r="K2141" s="88"/>
    </row>
    <row r="2142" ht="15.75" customHeight="1" spans="1:11">
      <c r="A2142" s="88"/>
      <c r="B2142" s="88"/>
      <c r="C2142" s="88"/>
      <c r="D2142" s="88"/>
      <c r="E2142" s="88"/>
      <c r="F2142" s="88"/>
      <c r="G2142" s="88"/>
      <c r="H2142" s="88"/>
      <c r="I2142" s="88"/>
      <c r="J2142" s="88"/>
      <c r="K2142" s="88"/>
    </row>
    <row r="2143" ht="15.75" customHeight="1" spans="1:11">
      <c r="A2143" s="88"/>
      <c r="B2143" s="88"/>
      <c r="C2143" s="88"/>
      <c r="D2143" s="88"/>
      <c r="E2143" s="88"/>
      <c r="F2143" s="88"/>
      <c r="G2143" s="88"/>
      <c r="H2143" s="88"/>
      <c r="I2143" s="88"/>
      <c r="J2143" s="88"/>
      <c r="K2143" s="88"/>
    </row>
    <row r="2144" ht="15.75" customHeight="1" spans="1:11">
      <c r="A2144" s="88"/>
      <c r="B2144" s="88"/>
      <c r="C2144" s="88"/>
      <c r="D2144" s="88"/>
      <c r="E2144" s="88"/>
      <c r="F2144" s="88"/>
      <c r="G2144" s="88"/>
      <c r="H2144" s="88"/>
      <c r="I2144" s="88"/>
      <c r="J2144" s="88"/>
      <c r="K2144" s="88"/>
    </row>
    <row r="2145" ht="15.75" customHeight="1" spans="1:11">
      <c r="A2145" s="88"/>
      <c r="B2145" s="88"/>
      <c r="C2145" s="88"/>
      <c r="D2145" s="88"/>
      <c r="E2145" s="88"/>
      <c r="F2145" s="88"/>
      <c r="G2145" s="88"/>
      <c r="H2145" s="88"/>
      <c r="I2145" s="88"/>
      <c r="J2145" s="88"/>
      <c r="K2145" s="88"/>
    </row>
    <row r="2146" ht="15.75" customHeight="1" spans="1:11">
      <c r="A2146" s="88"/>
      <c r="B2146" s="88"/>
      <c r="C2146" s="88"/>
      <c r="D2146" s="88"/>
      <c r="E2146" s="88"/>
      <c r="F2146" s="88"/>
      <c r="G2146" s="88"/>
      <c r="H2146" s="88"/>
      <c r="I2146" s="88"/>
      <c r="J2146" s="88"/>
      <c r="K2146" s="88"/>
    </row>
    <row r="2147" ht="15.75" customHeight="1" spans="1:11">
      <c r="A2147" s="88"/>
      <c r="B2147" s="88"/>
      <c r="C2147" s="88"/>
      <c r="D2147" s="88"/>
      <c r="E2147" s="88"/>
      <c r="F2147" s="88"/>
      <c r="G2147" s="88"/>
      <c r="H2147" s="88"/>
      <c r="I2147" s="88"/>
      <c r="J2147" s="88"/>
      <c r="K2147" s="88"/>
    </row>
    <row r="2148" ht="15.75" customHeight="1" spans="1:11">
      <c r="A2148" s="88"/>
      <c r="B2148" s="88"/>
      <c r="C2148" s="88"/>
      <c r="D2148" s="88"/>
      <c r="E2148" s="88"/>
      <c r="F2148" s="88"/>
      <c r="G2148" s="88"/>
      <c r="H2148" s="88"/>
      <c r="I2148" s="88"/>
      <c r="J2148" s="88"/>
      <c r="K2148" s="88"/>
    </row>
    <row r="2149" ht="15.75" customHeight="1" spans="1:11">
      <c r="A2149" s="88"/>
      <c r="B2149" s="88"/>
      <c r="C2149" s="88"/>
      <c r="D2149" s="88"/>
      <c r="E2149" s="88"/>
      <c r="F2149" s="88"/>
      <c r="G2149" s="88"/>
      <c r="H2149" s="88"/>
      <c r="I2149" s="88"/>
      <c r="J2149" s="88"/>
      <c r="K2149" s="88"/>
    </row>
    <row r="2150" ht="15.75" customHeight="1" spans="1:11">
      <c r="A2150" s="88"/>
      <c r="B2150" s="88"/>
      <c r="C2150" s="88"/>
      <c r="D2150" s="88"/>
      <c r="E2150" s="88"/>
      <c r="F2150" s="88"/>
      <c r="G2150" s="88"/>
      <c r="H2150" s="88"/>
      <c r="I2150" s="88"/>
      <c r="J2150" s="88"/>
      <c r="K2150" s="88"/>
    </row>
    <row r="2151" ht="15.75" customHeight="1" spans="1:11">
      <c r="A2151" s="88"/>
      <c r="B2151" s="88"/>
      <c r="C2151" s="88"/>
      <c r="D2151" s="88"/>
      <c r="E2151" s="88"/>
      <c r="F2151" s="88"/>
      <c r="G2151" s="88"/>
      <c r="H2151" s="88"/>
      <c r="I2151" s="88"/>
      <c r="J2151" s="88"/>
      <c r="K2151" s="88"/>
    </row>
    <row r="2152" ht="15.75" customHeight="1" spans="1:11">
      <c r="A2152" s="88"/>
      <c r="B2152" s="88"/>
      <c r="C2152" s="88"/>
      <c r="D2152" s="88"/>
      <c r="E2152" s="88"/>
      <c r="F2152" s="88"/>
      <c r="G2152" s="88"/>
      <c r="H2152" s="88"/>
      <c r="I2152" s="88"/>
      <c r="J2152" s="88"/>
      <c r="K2152" s="88"/>
    </row>
    <row r="2153" ht="15.75" customHeight="1" spans="1:11">
      <c r="A2153" s="88"/>
      <c r="B2153" s="88"/>
      <c r="C2153" s="88"/>
      <c r="D2153" s="88"/>
      <c r="E2153" s="88"/>
      <c r="F2153" s="88"/>
      <c r="G2153" s="88"/>
      <c r="H2153" s="88"/>
      <c r="I2153" s="88"/>
      <c r="J2153" s="88"/>
      <c r="K2153" s="88"/>
    </row>
    <row r="2154" ht="15.75" customHeight="1" spans="1:11">
      <c r="A2154" s="88"/>
      <c r="B2154" s="88"/>
      <c r="C2154" s="88"/>
      <c r="D2154" s="88"/>
      <c r="E2154" s="88"/>
      <c r="F2154" s="88"/>
      <c r="G2154" s="88"/>
      <c r="H2154" s="88"/>
      <c r="I2154" s="88"/>
      <c r="J2154" s="88"/>
      <c r="K2154" s="88"/>
    </row>
    <row r="2155" ht="15.75" customHeight="1" spans="1:11">
      <c r="A2155" s="88"/>
      <c r="B2155" s="88"/>
      <c r="C2155" s="88"/>
      <c r="D2155" s="88"/>
      <c r="E2155" s="88"/>
      <c r="F2155" s="88"/>
      <c r="G2155" s="88"/>
      <c r="H2155" s="88"/>
      <c r="I2155" s="88"/>
      <c r="J2155" s="88"/>
      <c r="K2155" s="88"/>
    </row>
    <row r="2156" ht="15.75" customHeight="1" spans="1:11">
      <c r="A2156" s="88"/>
      <c r="B2156" s="88"/>
      <c r="C2156" s="88"/>
      <c r="D2156" s="88"/>
      <c r="E2156" s="88"/>
      <c r="F2156" s="88"/>
      <c r="G2156" s="88"/>
      <c r="H2156" s="88"/>
      <c r="I2156" s="88"/>
      <c r="J2156" s="88"/>
      <c r="K2156" s="88"/>
    </row>
    <row r="2157" ht="15.75" customHeight="1" spans="1:11">
      <c r="A2157" s="88"/>
      <c r="B2157" s="88"/>
      <c r="C2157" s="88"/>
      <c r="D2157" s="88"/>
      <c r="E2157" s="88"/>
      <c r="F2157" s="88"/>
      <c r="G2157" s="88"/>
      <c r="H2157" s="88"/>
      <c r="I2157" s="88"/>
      <c r="J2157" s="88"/>
      <c r="K2157" s="88"/>
    </row>
    <row r="2158" ht="15.75" customHeight="1" spans="1:11">
      <c r="A2158" s="88"/>
      <c r="B2158" s="88"/>
      <c r="C2158" s="88"/>
      <c r="D2158" s="88"/>
      <c r="E2158" s="88"/>
      <c r="F2158" s="88"/>
      <c r="G2158" s="88"/>
      <c r="H2158" s="88"/>
      <c r="I2158" s="88"/>
      <c r="J2158" s="88"/>
      <c r="K2158" s="88"/>
    </row>
    <row r="2159" ht="15.75" customHeight="1" spans="1:11">
      <c r="A2159" s="88"/>
      <c r="B2159" s="88"/>
      <c r="C2159" s="88"/>
      <c r="D2159" s="88"/>
      <c r="E2159" s="88"/>
      <c r="F2159" s="88"/>
      <c r="G2159" s="88"/>
      <c r="H2159" s="88"/>
      <c r="I2159" s="88"/>
      <c r="J2159" s="88"/>
      <c r="K2159" s="88"/>
    </row>
    <row r="2160" ht="15.75" customHeight="1" spans="1:11">
      <c r="A2160" s="88"/>
      <c r="B2160" s="88"/>
      <c r="C2160" s="88"/>
      <c r="D2160" s="88"/>
      <c r="E2160" s="88"/>
      <c r="F2160" s="88"/>
      <c r="G2160" s="88"/>
      <c r="H2160" s="88"/>
      <c r="I2160" s="88"/>
      <c r="J2160" s="88"/>
      <c r="K2160" s="88"/>
    </row>
    <row r="2161" ht="15.75" customHeight="1" spans="1:11">
      <c r="A2161" s="88"/>
      <c r="B2161" s="88"/>
      <c r="C2161" s="88"/>
      <c r="D2161" s="88"/>
      <c r="E2161" s="88"/>
      <c r="F2161" s="88"/>
      <c r="G2161" s="88"/>
      <c r="H2161" s="88"/>
      <c r="I2161" s="88"/>
      <c r="J2161" s="88"/>
      <c r="K2161" s="88"/>
    </row>
    <row r="2162" ht="15.75" customHeight="1" spans="1:11">
      <c r="A2162" s="88"/>
      <c r="B2162" s="88"/>
      <c r="C2162" s="88"/>
      <c r="D2162" s="88"/>
      <c r="E2162" s="88"/>
      <c r="F2162" s="88"/>
      <c r="G2162" s="88"/>
      <c r="H2162" s="88"/>
      <c r="I2162" s="88"/>
      <c r="J2162" s="88"/>
      <c r="K2162" s="88"/>
    </row>
    <row r="2163" ht="15.75" customHeight="1" spans="1:11">
      <c r="A2163" s="88"/>
      <c r="B2163" s="88"/>
      <c r="C2163" s="88"/>
      <c r="D2163" s="88"/>
      <c r="E2163" s="88"/>
      <c r="F2163" s="88"/>
      <c r="G2163" s="88"/>
      <c r="H2163" s="88"/>
      <c r="I2163" s="88"/>
      <c r="J2163" s="88"/>
      <c r="K2163" s="88"/>
    </row>
    <row r="2164" ht="15.75" customHeight="1" spans="1:11">
      <c r="A2164" s="88"/>
      <c r="B2164" s="88"/>
      <c r="C2164" s="88"/>
      <c r="D2164" s="88"/>
      <c r="E2164" s="88"/>
      <c r="F2164" s="88"/>
      <c r="G2164" s="88"/>
      <c r="H2164" s="88"/>
      <c r="I2164" s="88"/>
      <c r="J2164" s="88"/>
      <c r="K2164" s="88"/>
    </row>
    <row r="2165" ht="15.75" customHeight="1" spans="1:11">
      <c r="A2165" s="88"/>
      <c r="B2165" s="88"/>
      <c r="C2165" s="88"/>
      <c r="D2165" s="88"/>
      <c r="E2165" s="88"/>
      <c r="F2165" s="88"/>
      <c r="G2165" s="88"/>
      <c r="H2165" s="88"/>
      <c r="I2165" s="88"/>
      <c r="J2165" s="88"/>
      <c r="K2165" s="88"/>
    </row>
    <row r="2166" ht="15.75" customHeight="1" spans="1:11">
      <c r="A2166" s="88"/>
      <c r="B2166" s="88"/>
      <c r="C2166" s="88"/>
      <c r="D2166" s="88"/>
      <c r="E2166" s="88"/>
      <c r="F2166" s="88"/>
      <c r="G2166" s="88"/>
      <c r="H2166" s="88"/>
      <c r="I2166" s="88"/>
      <c r="J2166" s="88"/>
      <c r="K2166" s="88"/>
    </row>
    <row r="2167" ht="15.75" customHeight="1" spans="1:11">
      <c r="A2167" s="88"/>
      <c r="B2167" s="88"/>
      <c r="C2167" s="88"/>
      <c r="D2167" s="88"/>
      <c r="E2167" s="88"/>
      <c r="F2167" s="88"/>
      <c r="G2167" s="88"/>
      <c r="H2167" s="88"/>
      <c r="I2167" s="88"/>
      <c r="J2167" s="88"/>
      <c r="K2167" s="88"/>
    </row>
    <row r="2168" ht="15.75" customHeight="1" spans="1:11">
      <c r="A2168" s="88"/>
      <c r="B2168" s="88"/>
      <c r="C2168" s="88"/>
      <c r="D2168" s="88"/>
      <c r="E2168" s="88"/>
      <c r="F2168" s="88"/>
      <c r="G2168" s="88"/>
      <c r="H2168" s="88"/>
      <c r="I2168" s="88"/>
      <c r="J2168" s="88"/>
      <c r="K2168" s="88"/>
    </row>
    <row r="2169" ht="15.75" customHeight="1" spans="1:11">
      <c r="A2169" s="88"/>
      <c r="B2169" s="88"/>
      <c r="C2169" s="88"/>
      <c r="D2169" s="88"/>
      <c r="E2169" s="88"/>
      <c r="F2169" s="88"/>
      <c r="G2169" s="88"/>
      <c r="H2169" s="88"/>
      <c r="I2169" s="88"/>
      <c r="J2169" s="88"/>
      <c r="K2169" s="88"/>
    </row>
    <row r="2170" ht="15.75" customHeight="1" spans="1:11">
      <c r="A2170" s="88"/>
      <c r="B2170" s="88"/>
      <c r="C2170" s="88"/>
      <c r="D2170" s="88"/>
      <c r="E2170" s="88"/>
      <c r="F2170" s="88"/>
      <c r="G2170" s="88"/>
      <c r="H2170" s="88"/>
      <c r="I2170" s="88"/>
      <c r="J2170" s="88"/>
      <c r="K2170" s="88"/>
    </row>
    <row r="2171" ht="15.75" customHeight="1" spans="1:11">
      <c r="A2171" s="88"/>
      <c r="B2171" s="88"/>
      <c r="C2171" s="88"/>
      <c r="D2171" s="88"/>
      <c r="E2171" s="88"/>
      <c r="F2171" s="88"/>
      <c r="G2171" s="88"/>
      <c r="H2171" s="88"/>
      <c r="I2171" s="88"/>
      <c r="J2171" s="88"/>
      <c r="K2171" s="88"/>
    </row>
    <row r="2172" ht="15.75" customHeight="1" spans="1:11">
      <c r="A2172" s="88"/>
      <c r="B2172" s="88"/>
      <c r="C2172" s="88"/>
      <c r="D2172" s="88"/>
      <c r="E2172" s="88"/>
      <c r="F2172" s="88"/>
      <c r="G2172" s="88"/>
      <c r="H2172" s="88"/>
      <c r="I2172" s="88"/>
      <c r="J2172" s="88"/>
      <c r="K2172" s="88"/>
    </row>
    <row r="2173" ht="15.75" customHeight="1" spans="1:11">
      <c r="A2173" s="88"/>
      <c r="B2173" s="88"/>
      <c r="C2173" s="88"/>
      <c r="D2173" s="88"/>
      <c r="E2173" s="88"/>
      <c r="F2173" s="88"/>
      <c r="G2173" s="88"/>
      <c r="H2173" s="88"/>
      <c r="I2173" s="88"/>
      <c r="J2173" s="88"/>
      <c r="K2173" s="88"/>
    </row>
    <row r="2174" ht="15.75" customHeight="1" spans="1:11">
      <c r="A2174" s="88"/>
      <c r="B2174" s="88"/>
      <c r="C2174" s="88"/>
      <c r="D2174" s="88"/>
      <c r="E2174" s="88"/>
      <c r="F2174" s="88"/>
      <c r="G2174" s="88"/>
      <c r="H2174" s="88"/>
      <c r="I2174" s="88"/>
      <c r="J2174" s="88"/>
      <c r="K2174" s="88"/>
    </row>
    <row r="2175" ht="15.75" customHeight="1" spans="1:11">
      <c r="A2175" s="88"/>
      <c r="B2175" s="88"/>
      <c r="C2175" s="88"/>
      <c r="D2175" s="88"/>
      <c r="E2175" s="88"/>
      <c r="F2175" s="88"/>
      <c r="G2175" s="88"/>
      <c r="H2175" s="88"/>
      <c r="I2175" s="88"/>
      <c r="J2175" s="88"/>
      <c r="K2175" s="88"/>
    </row>
    <row r="2176" ht="15.75" customHeight="1" spans="1:11">
      <c r="A2176" s="88"/>
      <c r="B2176" s="88"/>
      <c r="C2176" s="88"/>
      <c r="D2176" s="88"/>
      <c r="E2176" s="88"/>
      <c r="F2176" s="88"/>
      <c r="G2176" s="88"/>
      <c r="H2176" s="88"/>
      <c r="I2176" s="88"/>
      <c r="J2176" s="88"/>
      <c r="K2176" s="88"/>
    </row>
    <row r="2177" ht="15.75" customHeight="1" spans="1:11">
      <c r="A2177" s="88"/>
      <c r="B2177" s="88"/>
      <c r="C2177" s="88"/>
      <c r="D2177" s="88"/>
      <c r="E2177" s="88"/>
      <c r="F2177" s="88"/>
      <c r="G2177" s="88"/>
      <c r="H2177" s="88"/>
      <c r="I2177" s="88"/>
      <c r="J2177" s="88"/>
      <c r="K2177" s="88"/>
    </row>
    <row r="2178" ht="15.75" customHeight="1" spans="1:11">
      <c r="A2178" s="88"/>
      <c r="B2178" s="88"/>
      <c r="C2178" s="88"/>
      <c r="D2178" s="88"/>
      <c r="E2178" s="88"/>
      <c r="F2178" s="88"/>
      <c r="G2178" s="88"/>
      <c r="H2178" s="88"/>
      <c r="I2178" s="88"/>
      <c r="J2178" s="88"/>
      <c r="K2178" s="88"/>
    </row>
    <row r="2179" ht="15.75" customHeight="1" spans="1:11">
      <c r="A2179" s="88"/>
      <c r="B2179" s="88"/>
      <c r="C2179" s="88"/>
      <c r="D2179" s="88"/>
      <c r="E2179" s="88"/>
      <c r="F2179" s="88"/>
      <c r="G2179" s="88"/>
      <c r="H2179" s="88"/>
      <c r="I2179" s="88"/>
      <c r="J2179" s="88"/>
      <c r="K2179" s="88"/>
    </row>
    <row r="2180" ht="15.75" customHeight="1" spans="1:11">
      <c r="A2180" s="88"/>
      <c r="B2180" s="88"/>
      <c r="C2180" s="88"/>
      <c r="D2180" s="88"/>
      <c r="E2180" s="88"/>
      <c r="F2180" s="88"/>
      <c r="G2180" s="88"/>
      <c r="H2180" s="88"/>
      <c r="I2180" s="88"/>
      <c r="J2180" s="88"/>
      <c r="K2180" s="88"/>
    </row>
    <row r="2181" ht="15.75" customHeight="1" spans="1:11">
      <c r="A2181" s="88"/>
      <c r="B2181" s="88"/>
      <c r="C2181" s="88"/>
      <c r="D2181" s="88"/>
      <c r="E2181" s="88"/>
      <c r="F2181" s="88"/>
      <c r="G2181" s="88"/>
      <c r="H2181" s="88"/>
      <c r="I2181" s="88"/>
      <c r="J2181" s="88"/>
      <c r="K2181" s="88"/>
    </row>
    <row r="2182" ht="15.75" customHeight="1" spans="1:11">
      <c r="A2182" s="88"/>
      <c r="B2182" s="88"/>
      <c r="C2182" s="88"/>
      <c r="D2182" s="88"/>
      <c r="E2182" s="88"/>
      <c r="F2182" s="88"/>
      <c r="G2182" s="88"/>
      <c r="H2182" s="88"/>
      <c r="I2182" s="88"/>
      <c r="J2182" s="88"/>
      <c r="K2182" s="88"/>
    </row>
    <row r="2183" ht="15.75" customHeight="1" spans="1:11">
      <c r="A2183" s="88"/>
      <c r="B2183" s="88"/>
      <c r="C2183" s="88"/>
      <c r="D2183" s="88"/>
      <c r="E2183" s="88"/>
      <c r="F2183" s="88"/>
      <c r="G2183" s="88"/>
      <c r="H2183" s="88"/>
      <c r="I2183" s="88"/>
      <c r="J2183" s="88"/>
      <c r="K2183" s="88"/>
    </row>
    <row r="2184" ht="15.75" customHeight="1" spans="1:11">
      <c r="A2184" s="88"/>
      <c r="B2184" s="88"/>
      <c r="C2184" s="88"/>
      <c r="D2184" s="88"/>
      <c r="E2184" s="88"/>
      <c r="F2184" s="88"/>
      <c r="G2184" s="88"/>
      <c r="H2184" s="88"/>
      <c r="I2184" s="88"/>
      <c r="J2184" s="88"/>
      <c r="K2184" s="88"/>
    </row>
    <row r="2185" ht="15.75" customHeight="1" spans="1:11">
      <c r="A2185" s="88"/>
      <c r="B2185" s="88"/>
      <c r="C2185" s="88"/>
      <c r="D2185" s="88"/>
      <c r="E2185" s="88"/>
      <c r="F2185" s="88"/>
      <c r="G2185" s="88"/>
      <c r="H2185" s="88"/>
      <c r="I2185" s="88"/>
      <c r="J2185" s="88"/>
      <c r="K2185" s="88"/>
    </row>
    <row r="2186" ht="15.75" customHeight="1" spans="1:11">
      <c r="A2186" s="88"/>
      <c r="B2186" s="88"/>
      <c r="C2186" s="88"/>
      <c r="D2186" s="88"/>
      <c r="E2186" s="88"/>
      <c r="F2186" s="88"/>
      <c r="G2186" s="88"/>
      <c r="H2186" s="88"/>
      <c r="I2186" s="88"/>
      <c r="J2186" s="88"/>
      <c r="K2186" s="88"/>
    </row>
    <row r="2187" ht="15.75" customHeight="1" spans="1:11">
      <c r="A2187" s="88"/>
      <c r="B2187" s="88"/>
      <c r="C2187" s="88"/>
      <c r="D2187" s="88"/>
      <c r="E2187" s="88"/>
      <c r="F2187" s="88"/>
      <c r="G2187" s="88"/>
      <c r="H2187" s="88"/>
      <c r="I2187" s="88"/>
      <c r="J2187" s="88"/>
      <c r="K2187" s="88"/>
    </row>
    <row r="2188" ht="15.75" customHeight="1" spans="1:11">
      <c r="A2188" s="88"/>
      <c r="B2188" s="88"/>
      <c r="C2188" s="88"/>
      <c r="D2188" s="88"/>
      <c r="E2188" s="88"/>
      <c r="F2188" s="88"/>
      <c r="G2188" s="88"/>
      <c r="H2188" s="88"/>
      <c r="I2188" s="88"/>
      <c r="J2188" s="88"/>
      <c r="K2188" s="88"/>
    </row>
    <row r="2189" ht="15.75" customHeight="1" spans="1:11">
      <c r="A2189" s="88"/>
      <c r="B2189" s="88"/>
      <c r="C2189" s="88"/>
      <c r="D2189" s="88"/>
      <c r="E2189" s="88"/>
      <c r="F2189" s="88"/>
      <c r="G2189" s="88"/>
      <c r="H2189" s="88"/>
      <c r="I2189" s="88"/>
      <c r="J2189" s="88"/>
      <c r="K2189" s="88"/>
    </row>
    <row r="2190" ht="15.75" customHeight="1" spans="1:11">
      <c r="A2190" s="88"/>
      <c r="B2190" s="88"/>
      <c r="C2190" s="88"/>
      <c r="D2190" s="88"/>
      <c r="E2190" s="88"/>
      <c r="F2190" s="88"/>
      <c r="G2190" s="88"/>
      <c r="H2190" s="88"/>
      <c r="I2190" s="88"/>
      <c r="J2190" s="88"/>
      <c r="K2190" s="88"/>
    </row>
    <row r="2191" ht="15.75" customHeight="1" spans="1:11">
      <c r="A2191" s="88"/>
      <c r="B2191" s="88"/>
      <c r="C2191" s="88"/>
      <c r="D2191" s="88"/>
      <c r="E2191" s="88"/>
      <c r="F2191" s="88"/>
      <c r="G2191" s="88"/>
      <c r="H2191" s="88"/>
      <c r="I2191" s="88"/>
      <c r="J2191" s="88"/>
      <c r="K2191" s="88"/>
    </row>
    <row r="2192" ht="15.75" customHeight="1" spans="1:11">
      <c r="A2192" s="88"/>
      <c r="B2192" s="88"/>
      <c r="C2192" s="88"/>
      <c r="D2192" s="88"/>
      <c r="E2192" s="88"/>
      <c r="F2192" s="88"/>
      <c r="G2192" s="88"/>
      <c r="H2192" s="88"/>
      <c r="I2192" s="88"/>
      <c r="J2192" s="88"/>
      <c r="K2192" s="88"/>
    </row>
    <row r="2193" ht="15.75" customHeight="1" spans="1:11">
      <c r="A2193" s="88"/>
      <c r="B2193" s="88"/>
      <c r="C2193" s="88"/>
      <c r="D2193" s="88"/>
      <c r="E2193" s="88"/>
      <c r="F2193" s="88"/>
      <c r="G2193" s="88"/>
      <c r="H2193" s="88"/>
      <c r="I2193" s="88"/>
      <c r="J2193" s="88"/>
      <c r="K2193" s="88"/>
    </row>
    <row r="2194" ht="15.75" customHeight="1" spans="1:11">
      <c r="A2194" s="88"/>
      <c r="B2194" s="88"/>
      <c r="C2194" s="88"/>
      <c r="D2194" s="88"/>
      <c r="E2194" s="88"/>
      <c r="F2194" s="88"/>
      <c r="G2194" s="88"/>
      <c r="H2194" s="88"/>
      <c r="I2194" s="88"/>
      <c r="J2194" s="88"/>
      <c r="K2194" s="88"/>
    </row>
    <row r="2195" ht="15.75" customHeight="1" spans="1:11">
      <c r="A2195" s="88"/>
      <c r="B2195" s="88"/>
      <c r="C2195" s="88"/>
      <c r="D2195" s="88"/>
      <c r="E2195" s="88"/>
      <c r="F2195" s="88"/>
      <c r="G2195" s="88"/>
      <c r="H2195" s="88"/>
      <c r="I2195" s="88"/>
      <c r="J2195" s="88"/>
      <c r="K2195" s="88"/>
    </row>
    <row r="2196" ht="15.75" customHeight="1" spans="1:11">
      <c r="A2196" s="88"/>
      <c r="B2196" s="88"/>
      <c r="C2196" s="88"/>
      <c r="D2196" s="88"/>
      <c r="E2196" s="88"/>
      <c r="F2196" s="88"/>
      <c r="G2196" s="88"/>
      <c r="H2196" s="88"/>
      <c r="I2196" s="88"/>
      <c r="J2196" s="88"/>
      <c r="K2196" s="88"/>
    </row>
    <row r="2197" ht="15.75" customHeight="1" spans="1:11">
      <c r="A2197" s="88"/>
      <c r="B2197" s="88"/>
      <c r="C2197" s="88"/>
      <c r="D2197" s="88"/>
      <c r="E2197" s="88"/>
      <c r="F2197" s="88"/>
      <c r="G2197" s="88"/>
      <c r="H2197" s="88"/>
      <c r="I2197" s="88"/>
      <c r="J2197" s="88"/>
      <c r="K2197" s="88"/>
    </row>
    <row r="2198" ht="15.75" customHeight="1" spans="1:11">
      <c r="A2198" s="88"/>
      <c r="B2198" s="88"/>
      <c r="C2198" s="88"/>
      <c r="D2198" s="88"/>
      <c r="E2198" s="88"/>
      <c r="F2198" s="88"/>
      <c r="G2198" s="88"/>
      <c r="H2198" s="88"/>
      <c r="I2198" s="88"/>
      <c r="J2198" s="88"/>
      <c r="K2198" s="88"/>
    </row>
    <row r="2199" ht="15.75" customHeight="1" spans="1:11">
      <c r="A2199" s="88"/>
      <c r="B2199" s="88"/>
      <c r="C2199" s="88"/>
      <c r="D2199" s="88"/>
      <c r="E2199" s="88"/>
      <c r="F2199" s="88"/>
      <c r="G2199" s="88"/>
      <c r="H2199" s="88"/>
      <c r="I2199" s="88"/>
      <c r="J2199" s="88"/>
      <c r="K2199" s="88"/>
    </row>
    <row r="2200" ht="15.75" customHeight="1" spans="1:11">
      <c r="A2200" s="88"/>
      <c r="B2200" s="88"/>
      <c r="C2200" s="88"/>
      <c r="D2200" s="88"/>
      <c r="E2200" s="88"/>
      <c r="F2200" s="88"/>
      <c r="G2200" s="88"/>
      <c r="H2200" s="88"/>
      <c r="I2200" s="88"/>
      <c r="J2200" s="88"/>
      <c r="K2200" s="88"/>
    </row>
    <row r="2201" ht="15.75" customHeight="1" spans="1:11">
      <c r="A2201" s="88"/>
      <c r="B2201" s="88"/>
      <c r="C2201" s="88"/>
      <c r="D2201" s="88"/>
      <c r="E2201" s="88"/>
      <c r="F2201" s="88"/>
      <c r="G2201" s="88"/>
      <c r="H2201" s="88"/>
      <c r="I2201" s="88"/>
      <c r="J2201" s="88"/>
      <c r="K2201" s="88"/>
    </row>
    <row r="2202" ht="15.75" customHeight="1" spans="1:11">
      <c r="A2202" s="88"/>
      <c r="B2202" s="88"/>
      <c r="C2202" s="88"/>
      <c r="D2202" s="88"/>
      <c r="E2202" s="88"/>
      <c r="F2202" s="88"/>
      <c r="G2202" s="88"/>
      <c r="H2202" s="88"/>
      <c r="I2202" s="88"/>
      <c r="J2202" s="88"/>
      <c r="K2202" s="88"/>
    </row>
    <row r="2203" ht="15.75" customHeight="1" spans="1:11">
      <c r="A2203" s="88"/>
      <c r="B2203" s="88"/>
      <c r="C2203" s="88"/>
      <c r="D2203" s="88"/>
      <c r="E2203" s="88"/>
      <c r="F2203" s="88"/>
      <c r="G2203" s="88"/>
      <c r="H2203" s="88"/>
      <c r="I2203" s="88"/>
      <c r="J2203" s="88"/>
      <c r="K2203" s="88"/>
    </row>
    <row r="2204" ht="15.75" customHeight="1" spans="1:11">
      <c r="A2204" s="88"/>
      <c r="B2204" s="88"/>
      <c r="C2204" s="88"/>
      <c r="D2204" s="88"/>
      <c r="E2204" s="88"/>
      <c r="F2204" s="88"/>
      <c r="G2204" s="88"/>
      <c r="H2204" s="88"/>
      <c r="I2204" s="88"/>
      <c r="J2204" s="88"/>
      <c r="K2204" s="88"/>
    </row>
    <row r="2205" ht="15.75" customHeight="1" spans="1:11">
      <c r="A2205" s="88"/>
      <c r="B2205" s="88"/>
      <c r="C2205" s="88"/>
      <c r="D2205" s="88"/>
      <c r="E2205" s="88"/>
      <c r="F2205" s="88"/>
      <c r="G2205" s="88"/>
      <c r="H2205" s="88"/>
      <c r="I2205" s="88"/>
      <c r="J2205" s="88"/>
      <c r="K2205" s="88"/>
    </row>
    <row r="2206" ht="15.75" customHeight="1" spans="1:11">
      <c r="A2206" s="88"/>
      <c r="B2206" s="88"/>
      <c r="C2206" s="88"/>
      <c r="D2206" s="88"/>
      <c r="E2206" s="88"/>
      <c r="F2206" s="88"/>
      <c r="G2206" s="88"/>
      <c r="H2206" s="88"/>
      <c r="I2206" s="88"/>
      <c r="J2206" s="88"/>
      <c r="K2206" s="88"/>
    </row>
    <row r="2207" ht="15.75" customHeight="1" spans="1:11">
      <c r="A2207" s="88"/>
      <c r="B2207" s="88"/>
      <c r="C2207" s="88"/>
      <c r="D2207" s="88"/>
      <c r="E2207" s="88"/>
      <c r="F2207" s="88"/>
      <c r="G2207" s="88"/>
      <c r="H2207" s="88"/>
      <c r="I2207" s="88"/>
      <c r="J2207" s="88"/>
      <c r="K2207" s="88"/>
    </row>
    <row r="2208" ht="15.75" customHeight="1" spans="1:11">
      <c r="A2208" s="88"/>
      <c r="B2208" s="88"/>
      <c r="C2208" s="88"/>
      <c r="D2208" s="88"/>
      <c r="E2208" s="88"/>
      <c r="F2208" s="88"/>
      <c r="G2208" s="88"/>
      <c r="H2208" s="88"/>
      <c r="I2208" s="88"/>
      <c r="J2208" s="88"/>
      <c r="K2208" s="88"/>
    </row>
    <row r="2209" ht="15.75" customHeight="1" spans="1:11">
      <c r="A2209" s="88"/>
      <c r="B2209" s="88"/>
      <c r="C2209" s="88"/>
      <c r="D2209" s="88"/>
      <c r="E2209" s="88"/>
      <c r="F2209" s="88"/>
      <c r="G2209" s="88"/>
      <c r="H2209" s="88"/>
      <c r="I2209" s="88"/>
      <c r="J2209" s="88"/>
      <c r="K2209" s="88"/>
    </row>
    <row r="2210" ht="15.75" customHeight="1" spans="1:11">
      <c r="A2210" s="88"/>
      <c r="B2210" s="88"/>
      <c r="C2210" s="88"/>
      <c r="D2210" s="88"/>
      <c r="E2210" s="88"/>
      <c r="F2210" s="88"/>
      <c r="G2210" s="88"/>
      <c r="H2210" s="88"/>
      <c r="I2210" s="88"/>
      <c r="J2210" s="88"/>
      <c r="K2210" s="88"/>
    </row>
    <row r="2211" ht="15.75" customHeight="1" spans="1:11">
      <c r="A2211" s="88"/>
      <c r="B2211" s="88"/>
      <c r="C2211" s="88"/>
      <c r="D2211" s="88"/>
      <c r="E2211" s="88"/>
      <c r="F2211" s="88"/>
      <c r="G2211" s="88"/>
      <c r="H2211" s="88"/>
      <c r="I2211" s="88"/>
      <c r="J2211" s="88"/>
      <c r="K2211" s="88"/>
    </row>
    <row r="2212" ht="15.75" customHeight="1" spans="1:11">
      <c r="A2212" s="88"/>
      <c r="B2212" s="88"/>
      <c r="C2212" s="88"/>
      <c r="D2212" s="88"/>
      <c r="E2212" s="88"/>
      <c r="F2212" s="88"/>
      <c r="G2212" s="88"/>
      <c r="H2212" s="88"/>
      <c r="I2212" s="88"/>
      <c r="J2212" s="88"/>
      <c r="K2212" s="88"/>
    </row>
    <row r="2213" ht="15.75" customHeight="1" spans="1:11">
      <c r="A2213" s="88"/>
      <c r="B2213" s="88"/>
      <c r="C2213" s="88"/>
      <c r="D2213" s="88"/>
      <c r="E2213" s="88"/>
      <c r="F2213" s="88"/>
      <c r="G2213" s="88"/>
      <c r="H2213" s="88"/>
      <c r="I2213" s="88"/>
      <c r="J2213" s="88"/>
      <c r="K2213" s="88"/>
    </row>
    <row r="2214" ht="15.75" customHeight="1" spans="1:11">
      <c r="A2214" s="88"/>
      <c r="B2214" s="88"/>
      <c r="C2214" s="88"/>
      <c r="D2214" s="88"/>
      <c r="E2214" s="88"/>
      <c r="F2214" s="88"/>
      <c r="G2214" s="88"/>
      <c r="H2214" s="88"/>
      <c r="I2214" s="88"/>
      <c r="J2214" s="88"/>
      <c r="K2214" s="88"/>
    </row>
    <row r="2215" ht="15.75" customHeight="1" spans="1:11">
      <c r="A2215" s="88"/>
      <c r="B2215" s="88"/>
      <c r="C2215" s="88"/>
      <c r="D2215" s="88"/>
      <c r="E2215" s="88"/>
      <c r="F2215" s="88"/>
      <c r="G2215" s="88"/>
      <c r="H2215" s="88"/>
      <c r="I2215" s="88"/>
      <c r="J2215" s="88"/>
      <c r="K2215" s="88"/>
    </row>
    <row r="2216" ht="15.75" customHeight="1" spans="1:11">
      <c r="A2216" s="88"/>
      <c r="B2216" s="88"/>
      <c r="C2216" s="88"/>
      <c r="D2216" s="88"/>
      <c r="E2216" s="88"/>
      <c r="F2216" s="88"/>
      <c r="G2216" s="88"/>
      <c r="H2216" s="88"/>
      <c r="I2216" s="88"/>
      <c r="J2216" s="88"/>
      <c r="K2216" s="88"/>
    </row>
    <row r="2217" ht="15.75" customHeight="1" spans="1:11">
      <c r="A2217" s="88"/>
      <c r="B2217" s="88"/>
      <c r="C2217" s="88"/>
      <c r="D2217" s="88"/>
      <c r="E2217" s="88"/>
      <c r="F2217" s="88"/>
      <c r="G2217" s="88"/>
      <c r="H2217" s="88"/>
      <c r="I2217" s="88"/>
      <c r="J2217" s="88"/>
      <c r="K2217" s="88"/>
    </row>
    <row r="2218" ht="15.75" customHeight="1" spans="1:11">
      <c r="A2218" s="88"/>
      <c r="B2218" s="88"/>
      <c r="C2218" s="88"/>
      <c r="D2218" s="88"/>
      <c r="E2218" s="88"/>
      <c r="F2218" s="88"/>
      <c r="G2218" s="88"/>
      <c r="H2218" s="88"/>
      <c r="I2218" s="88"/>
      <c r="J2218" s="88"/>
      <c r="K2218" s="88"/>
    </row>
    <row r="2219" ht="15.75" customHeight="1" spans="1:11">
      <c r="A2219" s="88"/>
      <c r="B2219" s="88"/>
      <c r="C2219" s="88"/>
      <c r="D2219" s="88"/>
      <c r="E2219" s="88"/>
      <c r="F2219" s="88"/>
      <c r="G2219" s="88"/>
      <c r="H2219" s="88"/>
      <c r="I2219" s="88"/>
      <c r="J2219" s="88"/>
      <c r="K2219" s="88"/>
    </row>
    <row r="2220" ht="15.75" customHeight="1" spans="1:11">
      <c r="A2220" s="88"/>
      <c r="B2220" s="88"/>
      <c r="C2220" s="88"/>
      <c r="D2220" s="88"/>
      <c r="E2220" s="88"/>
      <c r="F2220" s="88"/>
      <c r="G2220" s="88"/>
      <c r="H2220" s="88"/>
      <c r="I2220" s="88"/>
      <c r="J2220" s="88"/>
      <c r="K2220" s="88"/>
    </row>
    <row r="2221" ht="15.75" customHeight="1" spans="1:11">
      <c r="A2221" s="88"/>
      <c r="B2221" s="88"/>
      <c r="C2221" s="88"/>
      <c r="D2221" s="88"/>
      <c r="E2221" s="88"/>
      <c r="F2221" s="88"/>
      <c r="G2221" s="88"/>
      <c r="H2221" s="88"/>
      <c r="I2221" s="88"/>
      <c r="J2221" s="88"/>
      <c r="K2221" s="88"/>
    </row>
    <row r="2222" ht="15.75" customHeight="1" spans="1:11">
      <c r="A2222" s="88"/>
      <c r="B2222" s="88"/>
      <c r="C2222" s="88"/>
      <c r="D2222" s="88"/>
      <c r="E2222" s="88"/>
      <c r="F2222" s="88"/>
      <c r="G2222" s="88"/>
      <c r="H2222" s="88"/>
      <c r="I2222" s="88"/>
      <c r="J2222" s="88"/>
      <c r="K2222" s="88"/>
    </row>
    <row r="2223" ht="15.75" customHeight="1" spans="1:11">
      <c r="A2223" s="88"/>
      <c r="B2223" s="88"/>
      <c r="C2223" s="88"/>
      <c r="D2223" s="88"/>
      <c r="E2223" s="88"/>
      <c r="F2223" s="88"/>
      <c r="G2223" s="88"/>
      <c r="H2223" s="88"/>
      <c r="I2223" s="88"/>
      <c r="J2223" s="88"/>
      <c r="K2223" s="88"/>
    </row>
    <row r="2224" ht="15.75" customHeight="1" spans="1:11">
      <c r="A2224" s="88"/>
      <c r="B2224" s="88"/>
      <c r="C2224" s="88"/>
      <c r="D2224" s="88"/>
      <c r="E2224" s="88"/>
      <c r="F2224" s="88"/>
      <c r="G2224" s="88"/>
      <c r="H2224" s="88"/>
      <c r="I2224" s="88"/>
      <c r="J2224" s="88"/>
      <c r="K2224" s="88"/>
    </row>
    <row r="2225" ht="15.75" customHeight="1" spans="1:11">
      <c r="A2225" s="88"/>
      <c r="B2225" s="88"/>
      <c r="C2225" s="88"/>
      <c r="D2225" s="88"/>
      <c r="E2225" s="88"/>
      <c r="F2225" s="88"/>
      <c r="G2225" s="88"/>
      <c r="H2225" s="88"/>
      <c r="I2225" s="88"/>
      <c r="J2225" s="88"/>
      <c r="K2225" s="88"/>
    </row>
    <row r="2226" ht="15.75" customHeight="1" spans="1:11">
      <c r="A2226" s="88"/>
      <c r="B2226" s="88"/>
      <c r="C2226" s="88"/>
      <c r="D2226" s="88"/>
      <c r="E2226" s="88"/>
      <c r="F2226" s="88"/>
      <c r="G2226" s="88"/>
      <c r="H2226" s="88"/>
      <c r="I2226" s="88"/>
      <c r="J2226" s="88"/>
      <c r="K2226" s="88"/>
    </row>
    <row r="2227" ht="15.75" customHeight="1" spans="1:11">
      <c r="A2227" s="88"/>
      <c r="B2227" s="88"/>
      <c r="C2227" s="88"/>
      <c r="D2227" s="88"/>
      <c r="E2227" s="88"/>
      <c r="F2227" s="88"/>
      <c r="G2227" s="88"/>
      <c r="H2227" s="88"/>
      <c r="I2227" s="88"/>
      <c r="J2227" s="88"/>
      <c r="K2227" s="88"/>
    </row>
    <row r="2228" ht="15.75" customHeight="1" spans="1:11">
      <c r="A2228" s="88"/>
      <c r="B2228" s="88"/>
      <c r="C2228" s="88"/>
      <c r="D2228" s="88"/>
      <c r="E2228" s="88"/>
      <c r="F2228" s="88"/>
      <c r="G2228" s="88"/>
      <c r="H2228" s="88"/>
      <c r="I2228" s="88"/>
      <c r="J2228" s="88"/>
      <c r="K2228" s="88"/>
    </row>
    <row r="2229" ht="15.75" customHeight="1" spans="1:11">
      <c r="A2229" s="88"/>
      <c r="B2229" s="88"/>
      <c r="C2229" s="88"/>
      <c r="D2229" s="88"/>
      <c r="E2229" s="88"/>
      <c r="F2229" s="88"/>
      <c r="G2229" s="88"/>
      <c r="H2229" s="88"/>
      <c r="I2229" s="88"/>
      <c r="J2229" s="88"/>
      <c r="K2229" s="88"/>
    </row>
    <row r="2230" ht="15.75" customHeight="1" spans="1:11">
      <c r="A2230" s="88"/>
      <c r="B2230" s="88"/>
      <c r="C2230" s="88"/>
      <c r="D2230" s="88"/>
      <c r="E2230" s="88"/>
      <c r="F2230" s="88"/>
      <c r="G2230" s="88"/>
      <c r="H2230" s="88"/>
      <c r="I2230" s="88"/>
      <c r="J2230" s="88"/>
      <c r="K2230" s="88"/>
    </row>
    <row r="2231" ht="15.75" customHeight="1" spans="1:11">
      <c r="A2231" s="88"/>
      <c r="B2231" s="88"/>
      <c r="C2231" s="88"/>
      <c r="D2231" s="88"/>
      <c r="E2231" s="88"/>
      <c r="F2231" s="88"/>
      <c r="G2231" s="88"/>
      <c r="H2231" s="88"/>
      <c r="I2231" s="88"/>
      <c r="J2231" s="88"/>
      <c r="K2231" s="88"/>
    </row>
    <row r="2232" ht="15.75" customHeight="1" spans="1:11">
      <c r="A2232" s="88"/>
      <c r="B2232" s="88"/>
      <c r="C2232" s="88"/>
      <c r="D2232" s="88"/>
      <c r="E2232" s="88"/>
      <c r="F2232" s="88"/>
      <c r="G2232" s="88"/>
      <c r="H2232" s="88"/>
      <c r="I2232" s="88"/>
      <c r="J2232" s="88"/>
      <c r="K2232" s="88"/>
    </row>
    <row r="2233" ht="15.75" customHeight="1" spans="1:11">
      <c r="A2233" s="88"/>
      <c r="B2233" s="88"/>
      <c r="C2233" s="88"/>
      <c r="D2233" s="88"/>
      <c r="E2233" s="88"/>
      <c r="F2233" s="88"/>
      <c r="G2233" s="88"/>
      <c r="H2233" s="88"/>
      <c r="I2233" s="88"/>
      <c r="J2233" s="88"/>
      <c r="K2233" s="88"/>
    </row>
    <row r="2234" ht="15.75" customHeight="1" spans="1:11">
      <c r="A2234" s="88"/>
      <c r="B2234" s="88"/>
      <c r="C2234" s="88"/>
      <c r="D2234" s="88"/>
      <c r="E2234" s="88"/>
      <c r="F2234" s="88"/>
      <c r="G2234" s="88"/>
      <c r="H2234" s="88"/>
      <c r="I2234" s="88"/>
      <c r="J2234" s="88"/>
      <c r="K2234" s="88"/>
    </row>
    <row r="2235" ht="15.75" customHeight="1" spans="1:11">
      <c r="A2235" s="88"/>
      <c r="B2235" s="88"/>
      <c r="C2235" s="88"/>
      <c r="D2235" s="88"/>
      <c r="E2235" s="88"/>
      <c r="F2235" s="88"/>
      <c r="G2235" s="88"/>
      <c r="H2235" s="88"/>
      <c r="I2235" s="88"/>
      <c r="J2235" s="88"/>
      <c r="K2235" s="88"/>
    </row>
    <row r="2236" ht="15.75" customHeight="1" spans="1:11">
      <c r="A2236" s="88"/>
      <c r="B2236" s="88"/>
      <c r="C2236" s="88"/>
      <c r="D2236" s="88"/>
      <c r="E2236" s="88"/>
      <c r="F2236" s="88"/>
      <c r="G2236" s="88"/>
      <c r="H2236" s="88"/>
      <c r="I2236" s="88"/>
      <c r="J2236" s="88"/>
      <c r="K2236" s="88"/>
    </row>
    <row r="2237" ht="15.75" customHeight="1" spans="1:11">
      <c r="A2237" s="88"/>
      <c r="B2237" s="88"/>
      <c r="C2237" s="88"/>
      <c r="D2237" s="88"/>
      <c r="E2237" s="88"/>
      <c r="F2237" s="88"/>
      <c r="G2237" s="88"/>
      <c r="H2237" s="88"/>
      <c r="I2237" s="88"/>
      <c r="J2237" s="88"/>
      <c r="K2237" s="88"/>
    </row>
    <row r="2238" ht="15.75" customHeight="1" spans="1:11">
      <c r="A2238" s="88"/>
      <c r="B2238" s="88"/>
      <c r="C2238" s="88"/>
      <c r="D2238" s="88"/>
      <c r="E2238" s="88"/>
      <c r="F2238" s="88"/>
      <c r="G2238" s="88"/>
      <c r="H2238" s="88"/>
      <c r="I2238" s="88"/>
      <c r="J2238" s="88"/>
      <c r="K2238" s="88"/>
    </row>
    <row r="2239" ht="15.75" customHeight="1" spans="1:11">
      <c r="A2239" s="88"/>
      <c r="B2239" s="88"/>
      <c r="C2239" s="88"/>
      <c r="D2239" s="88"/>
      <c r="E2239" s="88"/>
      <c r="F2239" s="88"/>
      <c r="G2239" s="88"/>
      <c r="H2239" s="88"/>
      <c r="I2239" s="88"/>
      <c r="J2239" s="88"/>
      <c r="K2239" s="88"/>
    </row>
    <row r="2240" ht="15.75" customHeight="1" spans="1:11">
      <c r="A2240" s="88"/>
      <c r="B2240" s="88"/>
      <c r="C2240" s="88"/>
      <c r="D2240" s="88"/>
      <c r="E2240" s="88"/>
      <c r="F2240" s="88"/>
      <c r="G2240" s="88"/>
      <c r="H2240" s="88"/>
      <c r="I2240" s="88"/>
      <c r="J2240" s="88"/>
      <c r="K2240" s="88"/>
    </row>
    <row r="2241" ht="15.75" customHeight="1" spans="1:11">
      <c r="A2241" s="88"/>
      <c r="B2241" s="88"/>
      <c r="C2241" s="88"/>
      <c r="D2241" s="88"/>
      <c r="E2241" s="88"/>
      <c r="F2241" s="88"/>
      <c r="G2241" s="88"/>
      <c r="H2241" s="88"/>
      <c r="I2241" s="88"/>
      <c r="J2241" s="88"/>
      <c r="K2241" s="88"/>
    </row>
    <row r="2242" ht="15.75" customHeight="1" spans="1:11">
      <c r="A2242" s="88"/>
      <c r="B2242" s="88"/>
      <c r="C2242" s="88"/>
      <c r="D2242" s="88"/>
      <c r="E2242" s="88"/>
      <c r="F2242" s="88"/>
      <c r="G2242" s="88"/>
      <c r="H2242" s="88"/>
      <c r="I2242" s="88"/>
      <c r="J2242" s="88"/>
      <c r="K2242" s="88"/>
    </row>
    <row r="2243" ht="15.75" customHeight="1" spans="1:11">
      <c r="A2243" s="88"/>
      <c r="B2243" s="88"/>
      <c r="C2243" s="88"/>
      <c r="D2243" s="88"/>
      <c r="E2243" s="88"/>
      <c r="F2243" s="88"/>
      <c r="G2243" s="88"/>
      <c r="H2243" s="88"/>
      <c r="I2243" s="88"/>
      <c r="J2243" s="88"/>
      <c r="K2243" s="88"/>
    </row>
    <row r="2244" ht="15.75" customHeight="1" spans="1:11">
      <c r="A2244" s="88"/>
      <c r="B2244" s="88"/>
      <c r="C2244" s="88"/>
      <c r="D2244" s="88"/>
      <c r="E2244" s="88"/>
      <c r="F2244" s="88"/>
      <c r="G2244" s="88"/>
      <c r="H2244" s="88"/>
      <c r="I2244" s="88"/>
      <c r="J2244" s="88"/>
      <c r="K2244" s="88"/>
    </row>
    <row r="2245" ht="15.75" customHeight="1" spans="1:11">
      <c r="A2245" s="88"/>
      <c r="B2245" s="88"/>
      <c r="C2245" s="88"/>
      <c r="D2245" s="88"/>
      <c r="E2245" s="88"/>
      <c r="F2245" s="88"/>
      <c r="G2245" s="88"/>
      <c r="H2245" s="88"/>
      <c r="I2245" s="88"/>
      <c r="J2245" s="88"/>
      <c r="K2245" s="88"/>
    </row>
    <row r="2246" ht="15.75" customHeight="1" spans="1:11">
      <c r="A2246" s="88"/>
      <c r="B2246" s="88"/>
      <c r="C2246" s="88"/>
      <c r="D2246" s="88"/>
      <c r="E2246" s="88"/>
      <c r="F2246" s="88"/>
      <c r="G2246" s="88"/>
      <c r="H2246" s="88"/>
      <c r="I2246" s="88"/>
      <c r="J2246" s="88"/>
      <c r="K2246" s="88"/>
    </row>
    <row r="2247" ht="15.75" customHeight="1" spans="1:11">
      <c r="A2247" s="88"/>
      <c r="B2247" s="88"/>
      <c r="C2247" s="88"/>
      <c r="D2247" s="88"/>
      <c r="E2247" s="88"/>
      <c r="F2247" s="88"/>
      <c r="G2247" s="88"/>
      <c r="H2247" s="88"/>
      <c r="I2247" s="88"/>
      <c r="J2247" s="88"/>
      <c r="K2247" s="88"/>
    </row>
    <row r="2248" ht="15.75" customHeight="1" spans="1:11">
      <c r="A2248" s="88"/>
      <c r="B2248" s="88"/>
      <c r="C2248" s="88"/>
      <c r="D2248" s="88"/>
      <c r="E2248" s="88"/>
      <c r="F2248" s="88"/>
      <c r="G2248" s="88"/>
      <c r="H2248" s="88"/>
      <c r="I2248" s="88"/>
      <c r="J2248" s="88"/>
      <c r="K2248" s="88"/>
    </row>
    <row r="2249" ht="15.75" customHeight="1" spans="1:11">
      <c r="A2249" s="88"/>
      <c r="B2249" s="88"/>
      <c r="C2249" s="88"/>
      <c r="D2249" s="88"/>
      <c r="E2249" s="88"/>
      <c r="F2249" s="88"/>
      <c r="G2249" s="88"/>
      <c r="H2249" s="88"/>
      <c r="I2249" s="88"/>
      <c r="J2249" s="88"/>
      <c r="K2249" s="88"/>
    </row>
    <row r="2250" ht="15.75" customHeight="1" spans="1:11">
      <c r="A2250" s="88"/>
      <c r="B2250" s="88"/>
      <c r="C2250" s="88"/>
      <c r="D2250" s="88"/>
      <c r="E2250" s="88"/>
      <c r="F2250" s="88"/>
      <c r="G2250" s="88"/>
      <c r="H2250" s="88"/>
      <c r="I2250" s="88"/>
      <c r="J2250" s="88"/>
      <c r="K2250" s="88"/>
    </row>
    <row r="2251" ht="15.75" customHeight="1" spans="1:11">
      <c r="A2251" s="88"/>
      <c r="B2251" s="88"/>
      <c r="C2251" s="88"/>
      <c r="D2251" s="88"/>
      <c r="E2251" s="88"/>
      <c r="F2251" s="88"/>
      <c r="G2251" s="88"/>
      <c r="H2251" s="88"/>
      <c r="I2251" s="88"/>
      <c r="J2251" s="88"/>
      <c r="K2251" s="88"/>
    </row>
    <row r="2252" ht="15.75" customHeight="1" spans="1:11">
      <c r="A2252" s="88"/>
      <c r="B2252" s="88"/>
      <c r="C2252" s="88"/>
      <c r="D2252" s="88"/>
      <c r="E2252" s="88"/>
      <c r="F2252" s="88"/>
      <c r="G2252" s="88"/>
      <c r="H2252" s="88"/>
      <c r="I2252" s="88"/>
      <c r="J2252" s="88"/>
      <c r="K2252" s="88"/>
    </row>
    <row r="2253" ht="15.75" customHeight="1" spans="1:11">
      <c r="A2253" s="88"/>
      <c r="B2253" s="88"/>
      <c r="C2253" s="88"/>
      <c r="D2253" s="88"/>
      <c r="E2253" s="88"/>
      <c r="F2253" s="88"/>
      <c r="G2253" s="88"/>
      <c r="H2253" s="88"/>
      <c r="I2253" s="88"/>
      <c r="J2253" s="88"/>
      <c r="K2253" s="88"/>
    </row>
    <row r="2254" ht="15.75" customHeight="1" spans="1:11">
      <c r="A2254" s="88"/>
      <c r="B2254" s="88"/>
      <c r="C2254" s="88"/>
      <c r="D2254" s="88"/>
      <c r="E2254" s="88"/>
      <c r="F2254" s="88"/>
      <c r="G2254" s="88"/>
      <c r="H2254" s="88"/>
      <c r="I2254" s="88"/>
      <c r="J2254" s="88"/>
      <c r="K2254" s="88"/>
    </row>
    <row r="2255" ht="15.75" customHeight="1" spans="1:11">
      <c r="A2255" s="88"/>
      <c r="B2255" s="88"/>
      <c r="C2255" s="88"/>
      <c r="D2255" s="88"/>
      <c r="E2255" s="88"/>
      <c r="F2255" s="88"/>
      <c r="G2255" s="88"/>
      <c r="H2255" s="88"/>
      <c r="I2255" s="88"/>
      <c r="J2255" s="88"/>
      <c r="K2255" s="88"/>
    </row>
    <row r="2256" ht="15.75" customHeight="1" spans="1:11">
      <c r="A2256" s="88"/>
      <c r="B2256" s="88"/>
      <c r="C2256" s="88"/>
      <c r="D2256" s="88"/>
      <c r="E2256" s="88"/>
      <c r="F2256" s="88"/>
      <c r="G2256" s="88"/>
      <c r="H2256" s="88"/>
      <c r="I2256" s="88"/>
      <c r="J2256" s="88"/>
      <c r="K2256" s="88"/>
    </row>
    <row r="2257" ht="15.75" customHeight="1" spans="1:11">
      <c r="A2257" s="88"/>
      <c r="B2257" s="88"/>
      <c r="C2257" s="88"/>
      <c r="D2257" s="88"/>
      <c r="E2257" s="88"/>
      <c r="F2257" s="88"/>
      <c r="G2257" s="88"/>
      <c r="H2257" s="88"/>
      <c r="I2257" s="88"/>
      <c r="J2257" s="88"/>
      <c r="K2257" s="88"/>
    </row>
    <row r="2258" ht="15.75" customHeight="1" spans="1:11">
      <c r="A2258" s="88"/>
      <c r="B2258" s="88"/>
      <c r="C2258" s="88"/>
      <c r="D2258" s="88"/>
      <c r="E2258" s="88"/>
      <c r="F2258" s="88"/>
      <c r="G2258" s="88"/>
      <c r="H2258" s="88"/>
      <c r="I2258" s="88"/>
      <c r="J2258" s="88"/>
      <c r="K2258" s="88"/>
    </row>
    <row r="2259" ht="15.75" customHeight="1" spans="1:11">
      <c r="A2259" s="88"/>
      <c r="B2259" s="88"/>
      <c r="C2259" s="88"/>
      <c r="D2259" s="88"/>
      <c r="E2259" s="88"/>
      <c r="F2259" s="88"/>
      <c r="G2259" s="88"/>
      <c r="H2259" s="88"/>
      <c r="I2259" s="88"/>
      <c r="J2259" s="88"/>
      <c r="K2259" s="88"/>
    </row>
    <row r="2260" ht="15.75" customHeight="1" spans="1:11">
      <c r="A2260" s="88"/>
      <c r="B2260" s="88"/>
      <c r="C2260" s="88"/>
      <c r="D2260" s="88"/>
      <c r="E2260" s="88"/>
      <c r="F2260" s="88"/>
      <c r="G2260" s="88"/>
      <c r="H2260" s="88"/>
      <c r="I2260" s="88"/>
      <c r="J2260" s="88"/>
      <c r="K2260" s="88"/>
    </row>
    <row r="2261" ht="15.75" customHeight="1" spans="1:11">
      <c r="A2261" s="88"/>
      <c r="B2261" s="88"/>
      <c r="C2261" s="88"/>
      <c r="D2261" s="88"/>
      <c r="E2261" s="88"/>
      <c r="F2261" s="88"/>
      <c r="G2261" s="88"/>
      <c r="H2261" s="88"/>
      <c r="I2261" s="88"/>
      <c r="J2261" s="88"/>
      <c r="K2261" s="88"/>
    </row>
    <row r="2262" ht="15.75" customHeight="1" spans="1:11">
      <c r="A2262" s="88"/>
      <c r="B2262" s="88"/>
      <c r="C2262" s="88"/>
      <c r="D2262" s="88"/>
      <c r="E2262" s="88"/>
      <c r="F2262" s="88"/>
      <c r="G2262" s="88"/>
      <c r="H2262" s="88"/>
      <c r="I2262" s="88"/>
      <c r="J2262" s="88"/>
      <c r="K2262" s="88"/>
    </row>
    <row r="2263" ht="15.75" customHeight="1" spans="1:11">
      <c r="A2263" s="88"/>
      <c r="B2263" s="88"/>
      <c r="C2263" s="88"/>
      <c r="D2263" s="88"/>
      <c r="E2263" s="88"/>
      <c r="F2263" s="88"/>
      <c r="G2263" s="88"/>
      <c r="H2263" s="88"/>
      <c r="I2263" s="88"/>
      <c r="J2263" s="88"/>
      <c r="K2263" s="88"/>
    </row>
    <row r="2264" ht="15.75" customHeight="1" spans="1:11">
      <c r="A2264" s="88"/>
      <c r="B2264" s="88"/>
      <c r="C2264" s="88"/>
      <c r="D2264" s="88"/>
      <c r="E2264" s="88"/>
      <c r="F2264" s="88"/>
      <c r="G2264" s="88"/>
      <c r="H2264" s="88"/>
      <c r="I2264" s="88"/>
      <c r="J2264" s="88"/>
      <c r="K2264" s="88"/>
    </row>
    <row r="2265" ht="15.75" customHeight="1" spans="1:11">
      <c r="A2265" s="88"/>
      <c r="B2265" s="88"/>
      <c r="C2265" s="88"/>
      <c r="D2265" s="88"/>
      <c r="E2265" s="88"/>
      <c r="F2265" s="88"/>
      <c r="G2265" s="88"/>
      <c r="H2265" s="88"/>
      <c r="I2265" s="88"/>
      <c r="J2265" s="88"/>
      <c r="K2265" s="88"/>
    </row>
    <row r="2266" ht="15.75" customHeight="1" spans="1:11">
      <c r="A2266" s="88"/>
      <c r="B2266" s="88"/>
      <c r="C2266" s="88"/>
      <c r="D2266" s="88"/>
      <c r="E2266" s="88"/>
      <c r="F2266" s="88"/>
      <c r="G2266" s="88"/>
      <c r="H2266" s="88"/>
      <c r="I2266" s="88"/>
      <c r="J2266" s="88"/>
      <c r="K2266" s="88"/>
    </row>
    <row r="2267" ht="15.75" customHeight="1" spans="1:11">
      <c r="A2267" s="88"/>
      <c r="B2267" s="88"/>
      <c r="C2267" s="88"/>
      <c r="D2267" s="88"/>
      <c r="E2267" s="88"/>
      <c r="F2267" s="88"/>
      <c r="G2267" s="88"/>
      <c r="H2267" s="88"/>
      <c r="I2267" s="88"/>
      <c r="J2267" s="88"/>
      <c r="K2267" s="88"/>
    </row>
    <row r="2268" ht="15.75" customHeight="1" spans="1:11">
      <c r="A2268" s="88"/>
      <c r="B2268" s="88"/>
      <c r="C2268" s="88"/>
      <c r="D2268" s="88"/>
      <c r="E2268" s="88"/>
      <c r="F2268" s="88"/>
      <c r="G2268" s="88"/>
      <c r="H2268" s="88"/>
      <c r="I2268" s="88"/>
      <c r="J2268" s="88"/>
      <c r="K2268" s="88"/>
    </row>
    <row r="2269" ht="15.75" customHeight="1" spans="1:11">
      <c r="A2269" s="88"/>
      <c r="B2269" s="88"/>
      <c r="C2269" s="88"/>
      <c r="D2269" s="88"/>
      <c r="E2269" s="88"/>
      <c r="F2269" s="88"/>
      <c r="G2269" s="88"/>
      <c r="H2269" s="88"/>
      <c r="I2269" s="88"/>
      <c r="J2269" s="88"/>
      <c r="K2269" s="88"/>
    </row>
    <row r="2270" ht="15.75" customHeight="1" spans="1:11">
      <c r="A2270" s="88"/>
      <c r="B2270" s="88"/>
      <c r="C2270" s="88"/>
      <c r="D2270" s="88"/>
      <c r="E2270" s="88"/>
      <c r="F2270" s="88"/>
      <c r="G2270" s="88"/>
      <c r="H2270" s="88"/>
      <c r="I2270" s="88"/>
      <c r="J2270" s="88"/>
      <c r="K2270" s="88"/>
    </row>
    <row r="2271" ht="15.75" customHeight="1" spans="1:11">
      <c r="A2271" s="88"/>
      <c r="B2271" s="88"/>
      <c r="C2271" s="88"/>
      <c r="D2271" s="88"/>
      <c r="E2271" s="88"/>
      <c r="F2271" s="88"/>
      <c r="G2271" s="88"/>
      <c r="H2271" s="88"/>
      <c r="I2271" s="88"/>
      <c r="J2271" s="88"/>
      <c r="K2271" s="88"/>
    </row>
    <row r="2272" ht="15.75" customHeight="1" spans="1:11">
      <c r="A2272" s="88"/>
      <c r="B2272" s="88"/>
      <c r="C2272" s="88"/>
      <c r="D2272" s="88"/>
      <c r="E2272" s="88"/>
      <c r="F2272" s="88"/>
      <c r="G2272" s="88"/>
      <c r="H2272" s="88"/>
      <c r="I2272" s="88"/>
      <c r="J2272" s="88"/>
      <c r="K2272" s="88"/>
    </row>
    <row r="2273" ht="15.75" customHeight="1" spans="1:11">
      <c r="A2273" s="88"/>
      <c r="B2273" s="88"/>
      <c r="C2273" s="88"/>
      <c r="D2273" s="88"/>
      <c r="E2273" s="88"/>
      <c r="F2273" s="88"/>
      <c r="G2273" s="88"/>
      <c r="H2273" s="88"/>
      <c r="I2273" s="88"/>
      <c r="J2273" s="88"/>
      <c r="K2273" s="88"/>
    </row>
    <row r="2274" ht="15.75" customHeight="1" spans="1:11">
      <c r="A2274" s="88"/>
      <c r="B2274" s="88"/>
      <c r="C2274" s="88"/>
      <c r="D2274" s="88"/>
      <c r="E2274" s="88"/>
      <c r="F2274" s="88"/>
      <c r="G2274" s="88"/>
      <c r="H2274" s="88"/>
      <c r="I2274" s="88"/>
      <c r="J2274" s="88"/>
      <c r="K2274" s="88"/>
    </row>
    <row r="2275" ht="15.75" customHeight="1" spans="1:11">
      <c r="A2275" s="88"/>
      <c r="B2275" s="88"/>
      <c r="C2275" s="88"/>
      <c r="D2275" s="88"/>
      <c r="E2275" s="88"/>
      <c r="F2275" s="88"/>
      <c r="G2275" s="88"/>
      <c r="H2275" s="88"/>
      <c r="I2275" s="88"/>
      <c r="J2275" s="88"/>
      <c r="K2275" s="88"/>
    </row>
    <row r="2276" ht="15.75" customHeight="1" spans="1:11">
      <c r="A2276" s="88"/>
      <c r="B2276" s="88"/>
      <c r="C2276" s="88"/>
      <c r="D2276" s="88"/>
      <c r="E2276" s="88"/>
      <c r="F2276" s="88"/>
      <c r="G2276" s="88"/>
      <c r="H2276" s="88"/>
      <c r="I2276" s="88"/>
      <c r="J2276" s="88"/>
      <c r="K2276" s="88"/>
    </row>
    <row r="2277" ht="15.75" customHeight="1" spans="1:11">
      <c r="A2277" s="88"/>
      <c r="B2277" s="88"/>
      <c r="C2277" s="88"/>
      <c r="D2277" s="88"/>
      <c r="E2277" s="88"/>
      <c r="F2277" s="88"/>
      <c r="G2277" s="88"/>
      <c r="H2277" s="88"/>
      <c r="I2277" s="88"/>
      <c r="J2277" s="88"/>
      <c r="K2277" s="88"/>
    </row>
    <row r="2278" ht="15.75" customHeight="1" spans="1:11">
      <c r="A2278" s="88"/>
      <c r="B2278" s="88"/>
      <c r="C2278" s="88"/>
      <c r="D2278" s="88"/>
      <c r="E2278" s="88"/>
      <c r="F2278" s="88"/>
      <c r="G2278" s="88"/>
      <c r="H2278" s="88"/>
      <c r="I2278" s="88"/>
      <c r="J2278" s="88"/>
      <c r="K2278" s="88"/>
    </row>
    <row r="2279" ht="15.75" customHeight="1" spans="1:11">
      <c r="A2279" s="88"/>
      <c r="B2279" s="88"/>
      <c r="C2279" s="88"/>
      <c r="D2279" s="88"/>
      <c r="E2279" s="88"/>
      <c r="F2279" s="88"/>
      <c r="G2279" s="88"/>
      <c r="H2279" s="88"/>
      <c r="I2279" s="88"/>
      <c r="J2279" s="88"/>
      <c r="K2279" s="88"/>
    </row>
    <row r="2280" ht="15.75" customHeight="1" spans="1:11">
      <c r="A2280" s="88"/>
      <c r="B2280" s="88"/>
      <c r="C2280" s="88"/>
      <c r="D2280" s="88"/>
      <c r="E2280" s="88"/>
      <c r="F2280" s="88"/>
      <c r="G2280" s="88"/>
      <c r="H2280" s="88"/>
      <c r="I2280" s="88"/>
      <c r="J2280" s="88"/>
      <c r="K2280" s="88"/>
    </row>
    <row r="2281" ht="15.75" customHeight="1" spans="1:11">
      <c r="A2281" s="88"/>
      <c r="B2281" s="88"/>
      <c r="C2281" s="88"/>
      <c r="D2281" s="88"/>
      <c r="E2281" s="88"/>
      <c r="F2281" s="88"/>
      <c r="G2281" s="88"/>
      <c r="H2281" s="88"/>
      <c r="I2281" s="88"/>
      <c r="J2281" s="88"/>
      <c r="K2281" s="88"/>
    </row>
    <row r="2282" ht="15.75" customHeight="1" spans="1:11">
      <c r="A2282" s="88"/>
      <c r="B2282" s="88"/>
      <c r="C2282" s="88"/>
      <c r="D2282" s="88"/>
      <c r="E2282" s="88"/>
      <c r="F2282" s="88"/>
      <c r="G2282" s="88"/>
      <c r="H2282" s="88"/>
      <c r="I2282" s="88"/>
      <c r="J2282" s="88"/>
      <c r="K2282" s="88"/>
    </row>
    <row r="2283" ht="15.75" customHeight="1" spans="1:11">
      <c r="A2283" s="88"/>
      <c r="B2283" s="88"/>
      <c r="C2283" s="88"/>
      <c r="D2283" s="88"/>
      <c r="E2283" s="88"/>
      <c r="F2283" s="88"/>
      <c r="G2283" s="88"/>
      <c r="H2283" s="88"/>
      <c r="I2283" s="88"/>
      <c r="J2283" s="88"/>
      <c r="K2283" s="88"/>
    </row>
    <row r="2284" ht="15.75" customHeight="1" spans="1:11">
      <c r="A2284" s="88"/>
      <c r="B2284" s="88"/>
      <c r="C2284" s="88"/>
      <c r="D2284" s="88"/>
      <c r="E2284" s="88"/>
      <c r="F2284" s="88"/>
      <c r="G2284" s="88"/>
      <c r="H2284" s="88"/>
      <c r="I2284" s="88"/>
      <c r="J2284" s="88"/>
      <c r="K2284" s="88"/>
    </row>
    <row r="2285" ht="15.75" customHeight="1" spans="1:11">
      <c r="A2285" s="88"/>
      <c r="B2285" s="88"/>
      <c r="C2285" s="88"/>
      <c r="D2285" s="88"/>
      <c r="E2285" s="88"/>
      <c r="F2285" s="88"/>
      <c r="G2285" s="88"/>
      <c r="H2285" s="88"/>
      <c r="I2285" s="88"/>
      <c r="J2285" s="88"/>
      <c r="K2285" s="88"/>
    </row>
    <row r="2286" ht="15.75" customHeight="1" spans="1:11">
      <c r="A2286" s="88"/>
      <c r="B2286" s="88"/>
      <c r="C2286" s="88"/>
      <c r="D2286" s="88"/>
      <c r="E2286" s="88"/>
      <c r="F2286" s="88"/>
      <c r="G2286" s="88"/>
      <c r="H2286" s="88"/>
      <c r="I2286" s="88"/>
      <c r="J2286" s="88"/>
      <c r="K2286" s="88"/>
    </row>
    <row r="2287" ht="15.75" customHeight="1" spans="1:11">
      <c r="A2287" s="88"/>
      <c r="B2287" s="88"/>
      <c r="C2287" s="88"/>
      <c r="D2287" s="88"/>
      <c r="E2287" s="88"/>
      <c r="F2287" s="88"/>
      <c r="G2287" s="88"/>
      <c r="H2287" s="88"/>
      <c r="I2287" s="88"/>
      <c r="J2287" s="88"/>
      <c r="K2287" s="88"/>
    </row>
    <row r="2288" ht="15.75" customHeight="1" spans="1:11">
      <c r="A2288" s="88"/>
      <c r="B2288" s="88"/>
      <c r="C2288" s="88"/>
      <c r="D2288" s="88"/>
      <c r="E2288" s="88"/>
      <c r="F2288" s="88"/>
      <c r="G2288" s="88"/>
      <c r="H2288" s="88"/>
      <c r="I2288" s="88"/>
      <c r="J2288" s="88"/>
      <c r="K2288" s="88"/>
    </row>
    <row r="2289" ht="15.75" customHeight="1" spans="1:11">
      <c r="A2289" s="88"/>
      <c r="B2289" s="88"/>
      <c r="C2289" s="88"/>
      <c r="D2289" s="88"/>
      <c r="E2289" s="88"/>
      <c r="F2289" s="88"/>
      <c r="G2289" s="88"/>
      <c r="H2289" s="88"/>
      <c r="I2289" s="88"/>
      <c r="J2289" s="88"/>
      <c r="K2289" s="88"/>
    </row>
    <row r="2290" ht="15.75" customHeight="1" spans="1:11">
      <c r="A2290" s="88"/>
      <c r="B2290" s="88"/>
      <c r="C2290" s="88"/>
      <c r="D2290" s="88"/>
      <c r="E2290" s="88"/>
      <c r="F2290" s="88"/>
      <c r="G2290" s="88"/>
      <c r="H2290" s="88"/>
      <c r="I2290" s="88"/>
      <c r="J2290" s="88"/>
      <c r="K2290" s="88"/>
    </row>
    <row r="2291" ht="15.75" customHeight="1" spans="1:11">
      <c r="A2291" s="88"/>
      <c r="B2291" s="88"/>
      <c r="C2291" s="88"/>
      <c r="D2291" s="88"/>
      <c r="E2291" s="88"/>
      <c r="F2291" s="88"/>
      <c r="G2291" s="88"/>
      <c r="H2291" s="88"/>
      <c r="I2291" s="88"/>
      <c r="J2291" s="88"/>
      <c r="K2291" s="88"/>
    </row>
    <row r="2292" ht="15.75" customHeight="1" spans="1:11">
      <c r="A2292" s="88"/>
      <c r="B2292" s="88"/>
      <c r="C2292" s="88"/>
      <c r="D2292" s="88"/>
      <c r="E2292" s="88"/>
      <c r="F2292" s="88"/>
      <c r="G2292" s="88"/>
      <c r="H2292" s="88"/>
      <c r="I2292" s="88"/>
      <c r="J2292" s="88"/>
      <c r="K2292" s="88"/>
    </row>
    <row r="2293" ht="15.75" customHeight="1" spans="1:11">
      <c r="A2293" s="88"/>
      <c r="B2293" s="88"/>
      <c r="C2293" s="88"/>
      <c r="D2293" s="88"/>
      <c r="E2293" s="88"/>
      <c r="F2293" s="88"/>
      <c r="G2293" s="88"/>
      <c r="H2293" s="88"/>
      <c r="I2293" s="88"/>
      <c r="J2293" s="88"/>
      <c r="K2293" s="88"/>
    </row>
    <row r="2294" ht="15.75" customHeight="1" spans="1:11">
      <c r="A2294" s="88"/>
      <c r="B2294" s="88"/>
      <c r="C2294" s="88"/>
      <c r="D2294" s="88"/>
      <c r="E2294" s="88"/>
      <c r="F2294" s="88"/>
      <c r="G2294" s="88"/>
      <c r="H2294" s="88"/>
      <c r="I2294" s="88"/>
      <c r="J2294" s="88"/>
      <c r="K2294" s="88"/>
    </row>
    <row r="2295" ht="15.75" customHeight="1" spans="1:11">
      <c r="A2295" s="88"/>
      <c r="B2295" s="88"/>
      <c r="C2295" s="88"/>
      <c r="D2295" s="88"/>
      <c r="E2295" s="88"/>
      <c r="F2295" s="88"/>
      <c r="G2295" s="88"/>
      <c r="H2295" s="88"/>
      <c r="I2295" s="88"/>
      <c r="J2295" s="88"/>
      <c r="K2295" s="88"/>
    </row>
    <row r="2296" ht="15.75" customHeight="1" spans="1:11">
      <c r="A2296" s="88"/>
      <c r="B2296" s="88"/>
      <c r="C2296" s="88"/>
      <c r="D2296" s="88"/>
      <c r="E2296" s="88"/>
      <c r="F2296" s="88"/>
      <c r="G2296" s="88"/>
      <c r="H2296" s="88"/>
      <c r="I2296" s="88"/>
      <c r="J2296" s="88"/>
      <c r="K2296" s="88"/>
    </row>
    <row r="2297" ht="15.75" customHeight="1" spans="1:11">
      <c r="A2297" s="88"/>
      <c r="B2297" s="88"/>
      <c r="C2297" s="88"/>
      <c r="D2297" s="88"/>
      <c r="E2297" s="88"/>
      <c r="F2297" s="88"/>
      <c r="G2297" s="88"/>
      <c r="H2297" s="88"/>
      <c r="I2297" s="88"/>
      <c r="J2297" s="88"/>
      <c r="K2297" s="88"/>
    </row>
    <row r="2298" ht="15.75" customHeight="1" spans="1:11">
      <c r="A2298" s="88"/>
      <c r="B2298" s="88"/>
      <c r="C2298" s="88"/>
      <c r="D2298" s="88"/>
      <c r="E2298" s="88"/>
      <c r="F2298" s="88"/>
      <c r="G2298" s="88"/>
      <c r="H2298" s="88"/>
      <c r="I2298" s="88"/>
      <c r="J2298" s="88"/>
      <c r="K2298" s="88"/>
    </row>
    <row r="2299" ht="15.75" customHeight="1" spans="1:11">
      <c r="A2299" s="88"/>
      <c r="B2299" s="88"/>
      <c r="C2299" s="88"/>
      <c r="D2299" s="88"/>
      <c r="E2299" s="88"/>
      <c r="F2299" s="88"/>
      <c r="G2299" s="88"/>
      <c r="H2299" s="88"/>
      <c r="I2299" s="88"/>
      <c r="J2299" s="88"/>
      <c r="K2299" s="88"/>
    </row>
    <row r="2300" ht="15.75" customHeight="1" spans="1:11">
      <c r="A2300" s="88"/>
      <c r="B2300" s="88"/>
      <c r="C2300" s="88"/>
      <c r="D2300" s="88"/>
      <c r="E2300" s="88"/>
      <c r="F2300" s="88"/>
      <c r="G2300" s="88"/>
      <c r="H2300" s="88"/>
      <c r="I2300" s="88"/>
      <c r="J2300" s="88"/>
      <c r="K2300" s="88"/>
    </row>
    <row r="2301" ht="15.75" customHeight="1" spans="1:11">
      <c r="A2301" s="88"/>
      <c r="B2301" s="88"/>
      <c r="C2301" s="88"/>
      <c r="D2301" s="88"/>
      <c r="E2301" s="88"/>
      <c r="F2301" s="88"/>
      <c r="G2301" s="88"/>
      <c r="H2301" s="88"/>
      <c r="I2301" s="88"/>
      <c r="J2301" s="88"/>
      <c r="K2301" s="88"/>
    </row>
    <row r="2302" ht="15.75" customHeight="1" spans="1:11">
      <c r="A2302" s="88"/>
      <c r="B2302" s="88"/>
      <c r="C2302" s="88"/>
      <c r="D2302" s="88"/>
      <c r="E2302" s="88"/>
      <c r="F2302" s="88"/>
      <c r="G2302" s="88"/>
      <c r="H2302" s="88"/>
      <c r="I2302" s="88"/>
      <c r="J2302" s="88"/>
      <c r="K2302" s="88"/>
    </row>
    <row r="2303" ht="15.75" customHeight="1" spans="1:11">
      <c r="A2303" s="88"/>
      <c r="B2303" s="88"/>
      <c r="C2303" s="88"/>
      <c r="D2303" s="88"/>
      <c r="E2303" s="88"/>
      <c r="F2303" s="88"/>
      <c r="G2303" s="88"/>
      <c r="H2303" s="88"/>
      <c r="I2303" s="88"/>
      <c r="J2303" s="88"/>
      <c r="K2303" s="88"/>
    </row>
    <row r="2304" ht="15.75" customHeight="1" spans="1:11">
      <c r="A2304" s="88"/>
      <c r="B2304" s="88"/>
      <c r="C2304" s="88"/>
      <c r="D2304" s="88"/>
      <c r="E2304" s="88"/>
      <c r="F2304" s="88"/>
      <c r="G2304" s="88"/>
      <c r="H2304" s="88"/>
      <c r="I2304" s="88"/>
      <c r="J2304" s="88"/>
      <c r="K2304" s="88"/>
    </row>
    <row r="2305" ht="15.75" customHeight="1" spans="1:11">
      <c r="A2305" s="88"/>
      <c r="B2305" s="88"/>
      <c r="C2305" s="88"/>
      <c r="D2305" s="88"/>
      <c r="E2305" s="88"/>
      <c r="F2305" s="88"/>
      <c r="G2305" s="88"/>
      <c r="H2305" s="88"/>
      <c r="I2305" s="88"/>
      <c r="J2305" s="88"/>
      <c r="K2305" s="88"/>
    </row>
    <row r="2306" ht="15.75" customHeight="1" spans="1:11">
      <c r="A2306" s="88"/>
      <c r="B2306" s="88"/>
      <c r="C2306" s="88"/>
      <c r="D2306" s="88"/>
      <c r="E2306" s="88"/>
      <c r="F2306" s="88"/>
      <c r="G2306" s="88"/>
      <c r="H2306" s="88"/>
      <c r="I2306" s="88"/>
      <c r="J2306" s="88"/>
      <c r="K2306" s="88"/>
    </row>
    <row r="2307" ht="15.75" customHeight="1" spans="1:11">
      <c r="A2307" s="88"/>
      <c r="B2307" s="88"/>
      <c r="C2307" s="88"/>
      <c r="D2307" s="88"/>
      <c r="E2307" s="88"/>
      <c r="F2307" s="88"/>
      <c r="G2307" s="88"/>
      <c r="H2307" s="88"/>
      <c r="I2307" s="88"/>
      <c r="J2307" s="88"/>
      <c r="K2307" s="88"/>
    </row>
    <row r="2308" ht="15.75" customHeight="1" spans="1:11">
      <c r="A2308" s="88"/>
      <c r="B2308" s="88"/>
      <c r="C2308" s="88"/>
      <c r="D2308" s="88"/>
      <c r="E2308" s="88"/>
      <c r="F2308" s="88"/>
      <c r="G2308" s="88"/>
      <c r="H2308" s="88"/>
      <c r="I2308" s="88"/>
      <c r="J2308" s="88"/>
      <c r="K2308" s="88"/>
    </row>
    <row r="2309" ht="15.75" customHeight="1" spans="1:11">
      <c r="A2309" s="88"/>
      <c r="B2309" s="88"/>
      <c r="C2309" s="88"/>
      <c r="D2309" s="88"/>
      <c r="E2309" s="88"/>
      <c r="F2309" s="88"/>
      <c r="G2309" s="88"/>
      <c r="H2309" s="88"/>
      <c r="I2309" s="88"/>
      <c r="J2309" s="88"/>
      <c r="K2309" s="88"/>
    </row>
    <row r="2310" ht="15.75" customHeight="1" spans="1:11">
      <c r="A2310" s="88"/>
      <c r="B2310" s="88"/>
      <c r="C2310" s="88"/>
      <c r="D2310" s="88"/>
      <c r="E2310" s="88"/>
      <c r="F2310" s="88"/>
      <c r="G2310" s="88"/>
      <c r="H2310" s="88"/>
      <c r="I2310" s="88"/>
      <c r="J2310" s="88"/>
      <c r="K2310" s="88"/>
    </row>
    <row r="2311" ht="15.75" customHeight="1" spans="1:11">
      <c r="A2311" s="88"/>
      <c r="B2311" s="88"/>
      <c r="C2311" s="88"/>
      <c r="D2311" s="88"/>
      <c r="E2311" s="88"/>
      <c r="F2311" s="88"/>
      <c r="G2311" s="88"/>
      <c r="H2311" s="88"/>
      <c r="I2311" s="88"/>
      <c r="J2311" s="88"/>
      <c r="K2311" s="88"/>
    </row>
    <row r="2312" ht="15.75" customHeight="1" spans="1:11">
      <c r="A2312" s="88"/>
      <c r="B2312" s="88"/>
      <c r="C2312" s="88"/>
      <c r="D2312" s="88"/>
      <c r="E2312" s="88"/>
      <c r="F2312" s="88"/>
      <c r="G2312" s="88"/>
      <c r="H2312" s="88"/>
      <c r="I2312" s="88"/>
      <c r="J2312" s="88"/>
      <c r="K2312" s="88"/>
    </row>
    <row r="2313" ht="15.75" customHeight="1" spans="1:11">
      <c r="A2313" s="88"/>
      <c r="B2313" s="88"/>
      <c r="C2313" s="88"/>
      <c r="D2313" s="88"/>
      <c r="E2313" s="88"/>
      <c r="F2313" s="88"/>
      <c r="G2313" s="88"/>
      <c r="H2313" s="88"/>
      <c r="I2313" s="88"/>
      <c r="J2313" s="88"/>
      <c r="K2313" s="88"/>
    </row>
    <row r="2314" ht="15.75" customHeight="1" spans="1:11">
      <c r="A2314" s="88"/>
      <c r="B2314" s="88"/>
      <c r="C2314" s="88"/>
      <c r="D2314" s="88"/>
      <c r="E2314" s="88"/>
      <c r="F2314" s="88"/>
      <c r="G2314" s="88"/>
      <c r="H2314" s="88"/>
      <c r="I2314" s="88"/>
      <c r="J2314" s="88"/>
      <c r="K2314" s="88"/>
    </row>
    <row r="2315" ht="15.75" customHeight="1" spans="1:11">
      <c r="A2315" s="88"/>
      <c r="B2315" s="88"/>
      <c r="C2315" s="88"/>
      <c r="D2315" s="88"/>
      <c r="E2315" s="88"/>
      <c r="F2315" s="88"/>
      <c r="G2315" s="88"/>
      <c r="H2315" s="88"/>
      <c r="I2315" s="88"/>
      <c r="J2315" s="88"/>
      <c r="K2315" s="88"/>
    </row>
    <row r="2316" ht="15.75" customHeight="1" spans="1:11">
      <c r="A2316" s="88"/>
      <c r="B2316" s="88"/>
      <c r="C2316" s="88"/>
      <c r="D2316" s="88"/>
      <c r="E2316" s="88"/>
      <c r="F2316" s="88"/>
      <c r="G2316" s="88"/>
      <c r="H2316" s="88"/>
      <c r="I2316" s="88"/>
      <c r="J2316" s="88"/>
      <c r="K2316" s="88"/>
    </row>
    <row r="2317" ht="15.75" customHeight="1" spans="1:11">
      <c r="A2317" s="88"/>
      <c r="B2317" s="88"/>
      <c r="C2317" s="88"/>
      <c r="D2317" s="88"/>
      <c r="E2317" s="88"/>
      <c r="F2317" s="88"/>
      <c r="G2317" s="88"/>
      <c r="H2317" s="88"/>
      <c r="I2317" s="88"/>
      <c r="J2317" s="88"/>
      <c r="K2317" s="88"/>
    </row>
    <row r="2318" ht="15.75" customHeight="1" spans="1:11">
      <c r="A2318" s="88"/>
      <c r="B2318" s="88"/>
      <c r="C2318" s="88"/>
      <c r="D2318" s="88"/>
      <c r="E2318" s="88"/>
      <c r="F2318" s="88"/>
      <c r="G2318" s="88"/>
      <c r="H2318" s="88"/>
      <c r="I2318" s="88"/>
      <c r="J2318" s="88"/>
      <c r="K2318" s="88"/>
    </row>
    <row r="2319" ht="15.75" customHeight="1" spans="1:11">
      <c r="A2319" s="88"/>
      <c r="B2319" s="88"/>
      <c r="C2319" s="88"/>
      <c r="D2319" s="88"/>
      <c r="E2319" s="88"/>
      <c r="F2319" s="88"/>
      <c r="G2319" s="88"/>
      <c r="H2319" s="88"/>
      <c r="I2319" s="88"/>
      <c r="J2319" s="88"/>
      <c r="K2319" s="88"/>
    </row>
    <row r="2320" ht="15.75" customHeight="1" spans="1:11">
      <c r="A2320" s="88"/>
      <c r="B2320" s="88"/>
      <c r="C2320" s="88"/>
      <c r="D2320" s="88"/>
      <c r="E2320" s="88"/>
      <c r="F2320" s="88"/>
      <c r="G2320" s="88"/>
      <c r="H2320" s="88"/>
      <c r="I2320" s="88"/>
      <c r="J2320" s="88"/>
      <c r="K2320" s="88"/>
    </row>
    <row r="2321" ht="15.75" customHeight="1" spans="1:11">
      <c r="A2321" s="88"/>
      <c r="B2321" s="88"/>
      <c r="C2321" s="88"/>
      <c r="D2321" s="88"/>
      <c r="E2321" s="88"/>
      <c r="F2321" s="88"/>
      <c r="G2321" s="88"/>
      <c r="H2321" s="88"/>
      <c r="I2321" s="88"/>
      <c r="J2321" s="88"/>
      <c r="K2321" s="88"/>
    </row>
    <row r="2322" ht="15.75" customHeight="1" spans="1:11">
      <c r="A2322" s="88"/>
      <c r="B2322" s="88"/>
      <c r="C2322" s="88"/>
      <c r="D2322" s="88"/>
      <c r="E2322" s="88"/>
      <c r="F2322" s="88"/>
      <c r="G2322" s="88"/>
      <c r="H2322" s="88"/>
      <c r="I2322" s="88"/>
      <c r="J2322" s="88"/>
      <c r="K2322" s="88"/>
    </row>
    <row r="2323" ht="15.75" customHeight="1" spans="1:11">
      <c r="A2323" s="88"/>
      <c r="B2323" s="88"/>
      <c r="C2323" s="88"/>
      <c r="D2323" s="88"/>
      <c r="E2323" s="88"/>
      <c r="F2323" s="88"/>
      <c r="G2323" s="88"/>
      <c r="H2323" s="88"/>
      <c r="I2323" s="88"/>
      <c r="J2323" s="88"/>
      <c r="K2323" s="88"/>
    </row>
    <row r="2324" ht="15.75" customHeight="1" spans="1:11">
      <c r="A2324" s="88"/>
      <c r="B2324" s="88"/>
      <c r="C2324" s="88"/>
      <c r="D2324" s="88"/>
      <c r="E2324" s="88"/>
      <c r="F2324" s="88"/>
      <c r="G2324" s="88"/>
      <c r="H2324" s="88"/>
      <c r="I2324" s="88"/>
      <c r="J2324" s="88"/>
      <c r="K2324" s="88"/>
    </row>
    <row r="2325" ht="15.75" customHeight="1" spans="1:11">
      <c r="A2325" s="88"/>
      <c r="B2325" s="88"/>
      <c r="C2325" s="88"/>
      <c r="D2325" s="88"/>
      <c r="E2325" s="88"/>
      <c r="F2325" s="88"/>
      <c r="G2325" s="88"/>
      <c r="H2325" s="88"/>
      <c r="I2325" s="88"/>
      <c r="J2325" s="88"/>
      <c r="K2325" s="88"/>
    </row>
    <row r="2326" ht="15.75" customHeight="1" spans="1:11">
      <c r="A2326" s="88"/>
      <c r="B2326" s="88"/>
      <c r="C2326" s="88"/>
      <c r="D2326" s="88"/>
      <c r="E2326" s="88"/>
      <c r="F2326" s="88"/>
      <c r="G2326" s="88"/>
      <c r="H2326" s="88"/>
      <c r="I2326" s="88"/>
      <c r="J2326" s="88"/>
      <c r="K2326" s="88"/>
    </row>
    <row r="2327" ht="15.75" customHeight="1" spans="1:11">
      <c r="A2327" s="88"/>
      <c r="B2327" s="88"/>
      <c r="C2327" s="88"/>
      <c r="D2327" s="88"/>
      <c r="E2327" s="88"/>
      <c r="F2327" s="88"/>
      <c r="G2327" s="88"/>
      <c r="H2327" s="88"/>
      <c r="I2327" s="88"/>
      <c r="J2327" s="88"/>
      <c r="K2327" s="88"/>
    </row>
    <row r="2328" ht="15.75" customHeight="1" spans="1:11">
      <c r="A2328" s="88"/>
      <c r="B2328" s="88"/>
      <c r="C2328" s="88"/>
      <c r="D2328" s="88"/>
      <c r="E2328" s="88"/>
      <c r="F2328" s="88"/>
      <c r="G2328" s="88"/>
      <c r="H2328" s="88"/>
      <c r="I2328" s="88"/>
      <c r="J2328" s="88"/>
      <c r="K2328" s="88"/>
    </row>
    <row r="2329" ht="15.75" customHeight="1" spans="1:11">
      <c r="A2329" s="88"/>
      <c r="B2329" s="88"/>
      <c r="C2329" s="88"/>
      <c r="D2329" s="88"/>
      <c r="E2329" s="88"/>
      <c r="F2329" s="88"/>
      <c r="G2329" s="88"/>
      <c r="H2329" s="88"/>
      <c r="I2329" s="88"/>
      <c r="J2329" s="88"/>
      <c r="K2329" s="88"/>
    </row>
    <row r="2330" ht="15.75" customHeight="1" spans="1:11">
      <c r="A2330" s="88"/>
      <c r="B2330" s="88"/>
      <c r="C2330" s="88"/>
      <c r="D2330" s="88"/>
      <c r="E2330" s="88"/>
      <c r="F2330" s="88"/>
      <c r="G2330" s="88"/>
      <c r="H2330" s="88"/>
      <c r="I2330" s="88"/>
      <c r="J2330" s="88"/>
      <c r="K2330" s="88"/>
    </row>
    <row r="2331" ht="15.75" customHeight="1" spans="1:11">
      <c r="A2331" s="88"/>
      <c r="B2331" s="88"/>
      <c r="C2331" s="88"/>
      <c r="D2331" s="88"/>
      <c r="E2331" s="88"/>
      <c r="F2331" s="88"/>
      <c r="G2331" s="88"/>
      <c r="H2331" s="88"/>
      <c r="I2331" s="88"/>
      <c r="J2331" s="88"/>
      <c r="K2331" s="88"/>
    </row>
    <row r="2332" ht="15.75" customHeight="1" spans="1:11">
      <c r="A2332" s="88"/>
      <c r="B2332" s="88"/>
      <c r="C2332" s="88"/>
      <c r="D2332" s="88"/>
      <c r="E2332" s="88"/>
      <c r="F2332" s="88"/>
      <c r="G2332" s="88"/>
      <c r="H2332" s="88"/>
      <c r="I2332" s="88"/>
      <c r="J2332" s="88"/>
      <c r="K2332" s="88"/>
    </row>
    <row r="2333" ht="15.75" customHeight="1" spans="1:11">
      <c r="A2333" s="88"/>
      <c r="B2333" s="88"/>
      <c r="C2333" s="88"/>
      <c r="D2333" s="88"/>
      <c r="E2333" s="88"/>
      <c r="F2333" s="88"/>
      <c r="G2333" s="88"/>
      <c r="H2333" s="88"/>
      <c r="I2333" s="88"/>
      <c r="J2333" s="88"/>
      <c r="K2333" s="88"/>
    </row>
    <row r="2334" ht="15.75" customHeight="1" spans="1:11">
      <c r="A2334" s="88"/>
      <c r="B2334" s="88"/>
      <c r="C2334" s="88"/>
      <c r="D2334" s="88"/>
      <c r="E2334" s="88"/>
      <c r="F2334" s="88"/>
      <c r="G2334" s="88"/>
      <c r="H2334" s="88"/>
      <c r="I2334" s="88"/>
      <c r="J2334" s="88"/>
      <c r="K2334" s="88"/>
    </row>
    <row r="2335" ht="15.75" customHeight="1" spans="1:11">
      <c r="A2335" s="88"/>
      <c r="B2335" s="88"/>
      <c r="C2335" s="88"/>
      <c r="D2335" s="88"/>
      <c r="E2335" s="88"/>
      <c r="F2335" s="88"/>
      <c r="G2335" s="88"/>
      <c r="H2335" s="88"/>
      <c r="I2335" s="88"/>
      <c r="J2335" s="88"/>
      <c r="K2335" s="88"/>
    </row>
    <row r="2336" ht="15.75" customHeight="1" spans="1:11">
      <c r="A2336" s="88"/>
      <c r="B2336" s="88"/>
      <c r="C2336" s="88"/>
      <c r="D2336" s="88"/>
      <c r="E2336" s="88"/>
      <c r="F2336" s="88"/>
      <c r="G2336" s="88"/>
      <c r="H2336" s="88"/>
      <c r="I2336" s="88"/>
      <c r="J2336" s="88"/>
      <c r="K2336" s="88"/>
    </row>
    <row r="2337" ht="15.75" customHeight="1" spans="1:11">
      <c r="A2337" s="88"/>
      <c r="B2337" s="88"/>
      <c r="C2337" s="88"/>
      <c r="D2337" s="88"/>
      <c r="E2337" s="88"/>
      <c r="F2337" s="88"/>
      <c r="G2337" s="88"/>
      <c r="H2337" s="88"/>
      <c r="I2337" s="88"/>
      <c r="J2337" s="88"/>
      <c r="K2337" s="88"/>
    </row>
    <row r="2338" ht="15.75" customHeight="1" spans="1:11">
      <c r="A2338" s="88"/>
      <c r="B2338" s="88"/>
      <c r="C2338" s="88"/>
      <c r="D2338" s="88"/>
      <c r="E2338" s="88"/>
      <c r="F2338" s="88"/>
      <c r="G2338" s="88"/>
      <c r="H2338" s="88"/>
      <c r="I2338" s="88"/>
      <c r="J2338" s="88"/>
      <c r="K2338" s="88"/>
    </row>
    <row r="2339" ht="15.75" customHeight="1" spans="1:11">
      <c r="A2339" s="88"/>
      <c r="B2339" s="88"/>
      <c r="C2339" s="88"/>
      <c r="D2339" s="88"/>
      <c r="E2339" s="88"/>
      <c r="F2339" s="88"/>
      <c r="G2339" s="88"/>
      <c r="H2339" s="88"/>
      <c r="I2339" s="88"/>
      <c r="J2339" s="88"/>
      <c r="K2339" s="88"/>
    </row>
    <row r="2340" ht="15.75" customHeight="1" spans="1:11">
      <c r="A2340" s="88"/>
      <c r="B2340" s="88"/>
      <c r="C2340" s="88"/>
      <c r="D2340" s="88"/>
      <c r="E2340" s="88"/>
      <c r="F2340" s="88"/>
      <c r="G2340" s="88"/>
      <c r="H2340" s="88"/>
      <c r="I2340" s="88"/>
      <c r="J2340" s="88"/>
      <c r="K2340" s="88"/>
    </row>
    <row r="2341" ht="15.75" customHeight="1" spans="1:11">
      <c r="A2341" s="88"/>
      <c r="B2341" s="88"/>
      <c r="C2341" s="88"/>
      <c r="D2341" s="88"/>
      <c r="E2341" s="88"/>
      <c r="F2341" s="88"/>
      <c r="G2341" s="88"/>
      <c r="H2341" s="88"/>
      <c r="I2341" s="88"/>
      <c r="J2341" s="88"/>
      <c r="K2341" s="88"/>
    </row>
    <row r="2342" ht="15.75" customHeight="1" spans="1:11">
      <c r="A2342" s="88"/>
      <c r="B2342" s="88"/>
      <c r="C2342" s="88"/>
      <c r="D2342" s="88"/>
      <c r="E2342" s="88"/>
      <c r="F2342" s="88"/>
      <c r="G2342" s="88"/>
      <c r="H2342" s="88"/>
      <c r="I2342" s="88"/>
      <c r="J2342" s="88"/>
      <c r="K2342" s="88"/>
    </row>
    <row r="2343" ht="15.75" customHeight="1" spans="1:11">
      <c r="A2343" s="88"/>
      <c r="B2343" s="88"/>
      <c r="C2343" s="88"/>
      <c r="D2343" s="88"/>
      <c r="E2343" s="88"/>
      <c r="F2343" s="88"/>
      <c r="G2343" s="88"/>
      <c r="H2343" s="88"/>
      <c r="I2343" s="88"/>
      <c r="J2343" s="88"/>
      <c r="K2343" s="88"/>
    </row>
    <row r="2344" ht="15.75" customHeight="1" spans="1:11">
      <c r="A2344" s="88"/>
      <c r="B2344" s="88"/>
      <c r="C2344" s="88"/>
      <c r="D2344" s="88"/>
      <c r="E2344" s="88"/>
      <c r="F2344" s="88"/>
      <c r="G2344" s="88"/>
      <c r="H2344" s="88"/>
      <c r="I2344" s="88"/>
      <c r="J2344" s="88"/>
      <c r="K2344" s="88"/>
    </row>
    <row r="2345" ht="15.75" customHeight="1" spans="1:11">
      <c r="A2345" s="88"/>
      <c r="B2345" s="88"/>
      <c r="C2345" s="88"/>
      <c r="D2345" s="88"/>
      <c r="E2345" s="88"/>
      <c r="F2345" s="88"/>
      <c r="G2345" s="88"/>
      <c r="H2345" s="88"/>
      <c r="I2345" s="88"/>
      <c r="J2345" s="88"/>
      <c r="K2345" s="88"/>
    </row>
    <row r="2346" ht="15.75" customHeight="1" spans="1:11">
      <c r="A2346" s="88"/>
      <c r="B2346" s="88"/>
      <c r="C2346" s="88"/>
      <c r="D2346" s="88"/>
      <c r="E2346" s="88"/>
      <c r="F2346" s="88"/>
      <c r="G2346" s="88"/>
      <c r="H2346" s="88"/>
      <c r="I2346" s="88"/>
      <c r="J2346" s="88"/>
      <c r="K2346" s="88"/>
    </row>
    <row r="2347" ht="15.75" customHeight="1" spans="1:11">
      <c r="A2347" s="88"/>
      <c r="B2347" s="88"/>
      <c r="C2347" s="88"/>
      <c r="D2347" s="88"/>
      <c r="E2347" s="88"/>
      <c r="F2347" s="88"/>
      <c r="G2347" s="88"/>
      <c r="H2347" s="88"/>
      <c r="I2347" s="88"/>
      <c r="J2347" s="88"/>
      <c r="K2347" s="88"/>
    </row>
    <row r="2348" ht="15.75" customHeight="1" spans="1:11">
      <c r="A2348" s="88"/>
      <c r="B2348" s="88"/>
      <c r="C2348" s="88"/>
      <c r="D2348" s="88"/>
      <c r="E2348" s="88"/>
      <c r="F2348" s="88"/>
      <c r="G2348" s="88"/>
      <c r="H2348" s="88"/>
      <c r="I2348" s="88"/>
      <c r="J2348" s="88"/>
      <c r="K2348" s="88"/>
    </row>
    <row r="2349" ht="15.75" customHeight="1" spans="1:11">
      <c r="A2349" s="88"/>
      <c r="B2349" s="88"/>
      <c r="C2349" s="88"/>
      <c r="D2349" s="88"/>
      <c r="E2349" s="88"/>
      <c r="F2349" s="88"/>
      <c r="G2349" s="88"/>
      <c r="H2349" s="88"/>
      <c r="I2349" s="88"/>
      <c r="J2349" s="88"/>
      <c r="K2349" s="88"/>
    </row>
    <row r="2350" ht="15.75" customHeight="1" spans="1:11">
      <c r="A2350" s="88"/>
      <c r="B2350" s="88"/>
      <c r="C2350" s="88"/>
      <c r="D2350" s="88"/>
      <c r="E2350" s="88"/>
      <c r="F2350" s="88"/>
      <c r="G2350" s="88"/>
      <c r="H2350" s="88"/>
      <c r="I2350" s="88"/>
      <c r="J2350" s="88"/>
      <c r="K2350" s="88"/>
    </row>
    <row r="2351" ht="15.75" customHeight="1" spans="1:11">
      <c r="A2351" s="88"/>
      <c r="B2351" s="88"/>
      <c r="C2351" s="88"/>
      <c r="D2351" s="88"/>
      <c r="E2351" s="88"/>
      <c r="F2351" s="88"/>
      <c r="G2351" s="88"/>
      <c r="H2351" s="88"/>
      <c r="I2351" s="88"/>
      <c r="J2351" s="88"/>
      <c r="K2351" s="88"/>
    </row>
    <row r="2352" ht="15.75" customHeight="1" spans="1:11">
      <c r="A2352" s="88"/>
      <c r="B2352" s="88"/>
      <c r="C2352" s="88"/>
      <c r="D2352" s="88"/>
      <c r="E2352" s="88"/>
      <c r="F2352" s="88"/>
      <c r="G2352" s="88"/>
      <c r="H2352" s="88"/>
      <c r="I2352" s="88"/>
      <c r="J2352" s="88"/>
      <c r="K2352" s="88"/>
    </row>
    <row r="2353" ht="15.75" customHeight="1" spans="1:11">
      <c r="A2353" s="88"/>
      <c r="B2353" s="88"/>
      <c r="C2353" s="88"/>
      <c r="D2353" s="88"/>
      <c r="E2353" s="88"/>
      <c r="F2353" s="88"/>
      <c r="G2353" s="88"/>
      <c r="H2353" s="88"/>
      <c r="I2353" s="88"/>
      <c r="J2353" s="88"/>
      <c r="K2353" s="88"/>
    </row>
    <row r="2354" ht="15.75" customHeight="1" spans="1:11">
      <c r="A2354" s="88"/>
      <c r="B2354" s="88"/>
      <c r="C2354" s="88"/>
      <c r="D2354" s="88"/>
      <c r="E2354" s="88"/>
      <c r="F2354" s="88"/>
      <c r="G2354" s="88"/>
      <c r="H2354" s="88"/>
      <c r="I2354" s="88"/>
      <c r="J2354" s="88"/>
      <c r="K2354" s="88"/>
    </row>
    <row r="2355" ht="15.75" customHeight="1" spans="1:11">
      <c r="A2355" s="88"/>
      <c r="B2355" s="88"/>
      <c r="C2355" s="88"/>
      <c r="D2355" s="88"/>
      <c r="E2355" s="88"/>
      <c r="F2355" s="88"/>
      <c r="G2355" s="88"/>
      <c r="H2355" s="88"/>
      <c r="I2355" s="88"/>
      <c r="J2355" s="88"/>
      <c r="K2355" s="88"/>
    </row>
    <row r="2356" ht="15.75" customHeight="1" spans="1:11">
      <c r="A2356" s="88"/>
      <c r="B2356" s="88"/>
      <c r="C2356" s="88"/>
      <c r="D2356" s="88"/>
      <c r="E2356" s="88"/>
      <c r="F2356" s="88"/>
      <c r="G2356" s="88"/>
      <c r="H2356" s="88"/>
      <c r="I2356" s="88"/>
      <c r="J2356" s="88"/>
      <c r="K2356" s="88"/>
    </row>
    <row r="2357" ht="15.75" customHeight="1" spans="1:11">
      <c r="A2357" s="88"/>
      <c r="B2357" s="88"/>
      <c r="C2357" s="88"/>
      <c r="D2357" s="88"/>
      <c r="E2357" s="88"/>
      <c r="F2357" s="88"/>
      <c r="G2357" s="88"/>
      <c r="H2357" s="88"/>
      <c r="I2357" s="88"/>
      <c r="J2357" s="88"/>
      <c r="K2357" s="88"/>
    </row>
    <row r="2358" ht="15.75" customHeight="1" spans="1:11">
      <c r="A2358" s="88"/>
      <c r="B2358" s="88"/>
      <c r="C2358" s="88"/>
      <c r="D2358" s="88"/>
      <c r="E2358" s="88"/>
      <c r="F2358" s="88"/>
      <c r="G2358" s="88"/>
      <c r="H2358" s="88"/>
      <c r="I2358" s="88"/>
      <c r="J2358" s="88"/>
      <c r="K2358" s="88"/>
    </row>
    <row r="2359" ht="15.75" customHeight="1" spans="1:11">
      <c r="A2359" s="88"/>
      <c r="B2359" s="88"/>
      <c r="C2359" s="88"/>
      <c r="D2359" s="88"/>
      <c r="E2359" s="88"/>
      <c r="F2359" s="88"/>
      <c r="G2359" s="88"/>
      <c r="H2359" s="88"/>
      <c r="I2359" s="88"/>
      <c r="J2359" s="88"/>
      <c r="K2359" s="88"/>
    </row>
    <row r="2360" ht="15.75" customHeight="1" spans="1:11">
      <c r="A2360" s="88"/>
      <c r="B2360" s="88"/>
      <c r="C2360" s="88"/>
      <c r="D2360" s="88"/>
      <c r="E2360" s="88"/>
      <c r="F2360" s="88"/>
      <c r="G2360" s="88"/>
      <c r="H2360" s="88"/>
      <c r="I2360" s="88"/>
      <c r="J2360" s="88"/>
      <c r="K2360" s="88"/>
    </row>
    <row r="2361" ht="15.75" customHeight="1" spans="1:11">
      <c r="A2361" s="88"/>
      <c r="B2361" s="88"/>
      <c r="C2361" s="88"/>
      <c r="D2361" s="88"/>
      <c r="E2361" s="88"/>
      <c r="F2361" s="88"/>
      <c r="G2361" s="88"/>
      <c r="H2361" s="88"/>
      <c r="I2361" s="88"/>
      <c r="J2361" s="88"/>
      <c r="K2361" s="88"/>
    </row>
    <row r="2362" ht="15.75" customHeight="1" spans="1:11">
      <c r="A2362" s="88"/>
      <c r="B2362" s="88"/>
      <c r="C2362" s="88"/>
      <c r="D2362" s="88"/>
      <c r="E2362" s="88"/>
      <c r="F2362" s="88"/>
      <c r="G2362" s="88"/>
      <c r="H2362" s="88"/>
      <c r="I2362" s="88"/>
      <c r="J2362" s="88"/>
      <c r="K2362" s="88"/>
    </row>
    <row r="2363" ht="15.75" customHeight="1" spans="1:11">
      <c r="A2363" s="88"/>
      <c r="B2363" s="88"/>
      <c r="C2363" s="88"/>
      <c r="D2363" s="88"/>
      <c r="E2363" s="88"/>
      <c r="F2363" s="88"/>
      <c r="G2363" s="88"/>
      <c r="H2363" s="88"/>
      <c r="I2363" s="88"/>
      <c r="J2363" s="88"/>
      <c r="K2363" s="88"/>
    </row>
    <row r="2364" ht="15.75" customHeight="1" spans="1:11">
      <c r="A2364" s="88"/>
      <c r="B2364" s="88"/>
      <c r="C2364" s="88"/>
      <c r="D2364" s="88"/>
      <c r="E2364" s="88"/>
      <c r="F2364" s="88"/>
      <c r="G2364" s="88"/>
      <c r="H2364" s="88"/>
      <c r="I2364" s="88"/>
      <c r="J2364" s="88"/>
      <c r="K2364" s="88"/>
    </row>
    <row r="2365" ht="15.75" customHeight="1" spans="1:11">
      <c r="A2365" s="88"/>
      <c r="B2365" s="88"/>
      <c r="C2365" s="88"/>
      <c r="D2365" s="88"/>
      <c r="E2365" s="88"/>
      <c r="F2365" s="88"/>
      <c r="G2365" s="88"/>
      <c r="H2365" s="88"/>
      <c r="I2365" s="88"/>
      <c r="J2365" s="88"/>
      <c r="K2365" s="88"/>
    </row>
    <row r="2366" ht="15.75" customHeight="1" spans="1:11">
      <c r="A2366" s="88"/>
      <c r="B2366" s="88"/>
      <c r="C2366" s="88"/>
      <c r="D2366" s="88"/>
      <c r="E2366" s="88"/>
      <c r="F2366" s="88"/>
      <c r="G2366" s="88"/>
      <c r="H2366" s="88"/>
      <c r="I2366" s="88"/>
      <c r="J2366" s="88"/>
      <c r="K2366" s="88"/>
    </row>
    <row r="2367" ht="15.75" customHeight="1" spans="1:11">
      <c r="A2367" s="88"/>
      <c r="B2367" s="88"/>
      <c r="C2367" s="88"/>
      <c r="D2367" s="88"/>
      <c r="E2367" s="88"/>
      <c r="F2367" s="88"/>
      <c r="G2367" s="88"/>
      <c r="H2367" s="88"/>
      <c r="I2367" s="88"/>
      <c r="J2367" s="88"/>
      <c r="K2367" s="88"/>
    </row>
    <row r="2368" ht="15.75" customHeight="1" spans="1:11">
      <c r="A2368" s="88"/>
      <c r="B2368" s="88"/>
      <c r="C2368" s="88"/>
      <c r="D2368" s="88"/>
      <c r="E2368" s="88"/>
      <c r="F2368" s="88"/>
      <c r="G2368" s="88"/>
      <c r="H2368" s="88"/>
      <c r="I2368" s="88"/>
      <c r="J2368" s="88"/>
      <c r="K2368" s="88"/>
    </row>
    <row r="2369" ht="15.75" customHeight="1" spans="1:11">
      <c r="A2369" s="88"/>
      <c r="B2369" s="88"/>
      <c r="C2369" s="88"/>
      <c r="D2369" s="88"/>
      <c r="E2369" s="88"/>
      <c r="F2369" s="88"/>
      <c r="G2369" s="88"/>
      <c r="H2369" s="88"/>
      <c r="I2369" s="88"/>
      <c r="J2369" s="88"/>
      <c r="K2369" s="88"/>
    </row>
    <row r="2370" ht="15.75" customHeight="1" spans="1:11">
      <c r="A2370" s="88"/>
      <c r="B2370" s="88"/>
      <c r="C2370" s="88"/>
      <c r="D2370" s="88"/>
      <c r="E2370" s="88"/>
      <c r="F2370" s="88"/>
      <c r="G2370" s="88"/>
      <c r="H2370" s="88"/>
      <c r="I2370" s="88"/>
      <c r="J2370" s="88"/>
      <c r="K2370" s="88"/>
    </row>
    <row r="2371" ht="15.75" customHeight="1" spans="1:11">
      <c r="A2371" s="88"/>
      <c r="B2371" s="88"/>
      <c r="C2371" s="88"/>
      <c r="D2371" s="88"/>
      <c r="E2371" s="88"/>
      <c r="F2371" s="88"/>
      <c r="G2371" s="88"/>
      <c r="H2371" s="88"/>
      <c r="I2371" s="88"/>
      <c r="J2371" s="88"/>
      <c r="K2371" s="88"/>
    </row>
    <row r="2372" ht="15.75" customHeight="1" spans="1:11">
      <c r="A2372" s="88"/>
      <c r="B2372" s="88"/>
      <c r="C2372" s="88"/>
      <c r="D2372" s="88"/>
      <c r="E2372" s="88"/>
      <c r="F2372" s="88"/>
      <c r="G2372" s="88"/>
      <c r="H2372" s="88"/>
      <c r="I2372" s="88"/>
      <c r="J2372" s="88"/>
      <c r="K2372" s="88"/>
    </row>
    <row r="2373" ht="15.75" customHeight="1" spans="1:11">
      <c r="A2373" s="88"/>
      <c r="B2373" s="88"/>
      <c r="C2373" s="88"/>
      <c r="D2373" s="88"/>
      <c r="E2373" s="88"/>
      <c r="F2373" s="88"/>
      <c r="G2373" s="88"/>
      <c r="H2373" s="88"/>
      <c r="I2373" s="88"/>
      <c r="J2373" s="88"/>
      <c r="K2373" s="88"/>
    </row>
    <row r="2374" ht="15.75" customHeight="1" spans="1:11">
      <c r="A2374" s="88"/>
      <c r="B2374" s="88"/>
      <c r="C2374" s="88"/>
      <c r="D2374" s="88"/>
      <c r="E2374" s="88"/>
      <c r="F2374" s="88"/>
      <c r="G2374" s="88"/>
      <c r="H2374" s="88"/>
      <c r="I2374" s="88"/>
      <c r="J2374" s="88"/>
      <c r="K2374" s="88"/>
    </row>
    <row r="2375" ht="15.75" customHeight="1" spans="1:11">
      <c r="A2375" s="88"/>
      <c r="B2375" s="88"/>
      <c r="C2375" s="88"/>
      <c r="D2375" s="88"/>
      <c r="E2375" s="88"/>
      <c r="F2375" s="88"/>
      <c r="G2375" s="88"/>
      <c r="H2375" s="88"/>
      <c r="I2375" s="88"/>
      <c r="J2375" s="88"/>
      <c r="K2375" s="88"/>
    </row>
    <row r="2376" ht="15.75" customHeight="1" spans="1:11">
      <c r="A2376" s="88"/>
      <c r="B2376" s="88"/>
      <c r="C2376" s="88"/>
      <c r="D2376" s="88"/>
      <c r="E2376" s="88"/>
      <c r="F2376" s="88"/>
      <c r="G2376" s="88"/>
      <c r="H2376" s="88"/>
      <c r="I2376" s="88"/>
      <c r="J2376" s="88"/>
      <c r="K2376" s="88"/>
    </row>
    <row r="2377" ht="15.75" customHeight="1" spans="1:11">
      <c r="A2377" s="88"/>
      <c r="B2377" s="88"/>
      <c r="C2377" s="88"/>
      <c r="D2377" s="88"/>
      <c r="E2377" s="88"/>
      <c r="F2377" s="88"/>
      <c r="G2377" s="88"/>
      <c r="H2377" s="88"/>
      <c r="I2377" s="88"/>
      <c r="J2377" s="88"/>
      <c r="K2377" s="88"/>
    </row>
    <row r="2378" ht="15.75" customHeight="1" spans="1:11">
      <c r="A2378" s="88"/>
      <c r="B2378" s="88"/>
      <c r="C2378" s="88"/>
      <c r="D2378" s="88"/>
      <c r="E2378" s="88"/>
      <c r="F2378" s="88"/>
      <c r="G2378" s="88"/>
      <c r="H2378" s="88"/>
      <c r="I2378" s="88"/>
      <c r="J2378" s="88"/>
      <c r="K2378" s="88"/>
    </row>
    <row r="2379" ht="15.75" customHeight="1" spans="1:11">
      <c r="A2379" s="88"/>
      <c r="B2379" s="88"/>
      <c r="C2379" s="88"/>
      <c r="D2379" s="88"/>
      <c r="E2379" s="88"/>
      <c r="F2379" s="88"/>
      <c r="G2379" s="88"/>
      <c r="H2379" s="88"/>
      <c r="I2379" s="88"/>
      <c r="J2379" s="88"/>
      <c r="K2379" s="88"/>
    </row>
    <row r="2380" ht="15.75" customHeight="1" spans="1:11">
      <c r="A2380" s="88"/>
      <c r="B2380" s="88"/>
      <c r="C2380" s="88"/>
      <c r="D2380" s="88"/>
      <c r="E2380" s="88"/>
      <c r="F2380" s="88"/>
      <c r="G2380" s="88"/>
      <c r="H2380" s="88"/>
      <c r="I2380" s="88"/>
      <c r="J2380" s="88"/>
      <c r="K2380" s="88"/>
    </row>
    <row r="2381" ht="15.75" customHeight="1" spans="1:11">
      <c r="A2381" s="88"/>
      <c r="B2381" s="88"/>
      <c r="C2381" s="88"/>
      <c r="D2381" s="88"/>
      <c r="E2381" s="88"/>
      <c r="F2381" s="88"/>
      <c r="G2381" s="88"/>
      <c r="H2381" s="88"/>
      <c r="I2381" s="88"/>
      <c r="J2381" s="88"/>
      <c r="K2381" s="88"/>
    </row>
    <row r="2382" ht="15.75" customHeight="1" spans="1:11">
      <c r="A2382" s="88"/>
      <c r="B2382" s="88"/>
      <c r="C2382" s="88"/>
      <c r="D2382" s="88"/>
      <c r="E2382" s="88"/>
      <c r="F2382" s="88"/>
      <c r="G2382" s="88"/>
      <c r="H2382" s="88"/>
      <c r="I2382" s="88"/>
      <c r="J2382" s="88"/>
      <c r="K2382" s="88"/>
    </row>
    <row r="2383" ht="15.75" customHeight="1" spans="1:11">
      <c r="A2383" s="88"/>
      <c r="B2383" s="88"/>
      <c r="C2383" s="88"/>
      <c r="D2383" s="88"/>
      <c r="E2383" s="88"/>
      <c r="F2383" s="88"/>
      <c r="G2383" s="88"/>
      <c r="H2383" s="88"/>
      <c r="I2383" s="88"/>
      <c r="J2383" s="88"/>
      <c r="K2383" s="88"/>
    </row>
    <row r="2384" ht="15.75" customHeight="1" spans="1:11">
      <c r="A2384" s="88"/>
      <c r="B2384" s="88"/>
      <c r="C2384" s="88"/>
      <c r="D2384" s="88"/>
      <c r="E2384" s="88"/>
      <c r="F2384" s="88"/>
      <c r="G2384" s="88"/>
      <c r="H2384" s="88"/>
      <c r="I2384" s="88"/>
      <c r="J2384" s="88"/>
      <c r="K2384" s="88"/>
    </row>
    <row r="2385" ht="15.75" customHeight="1" spans="1:11">
      <c r="A2385" s="88"/>
      <c r="B2385" s="88"/>
      <c r="C2385" s="88"/>
      <c r="D2385" s="88"/>
      <c r="E2385" s="88"/>
      <c r="F2385" s="88"/>
      <c r="G2385" s="88"/>
      <c r="H2385" s="88"/>
      <c r="I2385" s="88"/>
      <c r="J2385" s="88"/>
      <c r="K2385" s="88"/>
    </row>
    <row r="2386" ht="15.75" customHeight="1" spans="1:11">
      <c r="A2386" s="88"/>
      <c r="B2386" s="88"/>
      <c r="C2386" s="88"/>
      <c r="D2386" s="88"/>
      <c r="E2386" s="88"/>
      <c r="F2386" s="88"/>
      <c r="G2386" s="88"/>
      <c r="H2386" s="88"/>
      <c r="I2386" s="88"/>
      <c r="J2386" s="88"/>
      <c r="K2386" s="88"/>
    </row>
    <row r="2387" ht="15.75" customHeight="1" spans="1:11">
      <c r="A2387" s="88"/>
      <c r="B2387" s="88"/>
      <c r="C2387" s="88"/>
      <c r="D2387" s="88"/>
      <c r="E2387" s="88"/>
      <c r="F2387" s="88"/>
      <c r="G2387" s="88"/>
      <c r="H2387" s="88"/>
      <c r="I2387" s="88"/>
      <c r="J2387" s="88"/>
      <c r="K2387" s="88"/>
    </row>
    <row r="2388" ht="15.75" customHeight="1" spans="1:11">
      <c r="A2388" s="88"/>
      <c r="B2388" s="88"/>
      <c r="C2388" s="88"/>
      <c r="D2388" s="88"/>
      <c r="E2388" s="88"/>
      <c r="F2388" s="88"/>
      <c r="G2388" s="88"/>
      <c r="H2388" s="88"/>
      <c r="I2388" s="88"/>
      <c r="J2388" s="88"/>
      <c r="K2388" s="88"/>
    </row>
    <row r="2389" ht="15.75" customHeight="1" spans="1:11">
      <c r="A2389" s="88"/>
      <c r="B2389" s="88"/>
      <c r="C2389" s="88"/>
      <c r="D2389" s="88"/>
      <c r="E2389" s="88"/>
      <c r="F2389" s="88"/>
      <c r="G2389" s="88"/>
      <c r="H2389" s="88"/>
      <c r="I2389" s="88"/>
      <c r="J2389" s="88"/>
      <c r="K2389" s="88"/>
    </row>
    <row r="2390" ht="15.75" customHeight="1" spans="1:11">
      <c r="A2390" s="88"/>
      <c r="B2390" s="88"/>
      <c r="C2390" s="88"/>
      <c r="D2390" s="88"/>
      <c r="E2390" s="88"/>
      <c r="F2390" s="88"/>
      <c r="G2390" s="88"/>
      <c r="H2390" s="88"/>
      <c r="I2390" s="88"/>
      <c r="J2390" s="88"/>
      <c r="K2390" s="88"/>
    </row>
    <row r="2391" ht="15.75" customHeight="1" spans="1:11">
      <c r="A2391" s="88"/>
      <c r="B2391" s="88"/>
      <c r="C2391" s="88"/>
      <c r="D2391" s="88"/>
      <c r="E2391" s="88"/>
      <c r="F2391" s="88"/>
      <c r="G2391" s="88"/>
      <c r="H2391" s="88"/>
      <c r="I2391" s="88"/>
      <c r="J2391" s="88"/>
      <c r="K2391" s="88"/>
    </row>
    <row r="2392" ht="15.75" customHeight="1" spans="1:11">
      <c r="A2392" s="88"/>
      <c r="B2392" s="88"/>
      <c r="C2392" s="88"/>
      <c r="D2392" s="88"/>
      <c r="E2392" s="88"/>
      <c r="F2392" s="88"/>
      <c r="G2392" s="88"/>
      <c r="H2392" s="88"/>
      <c r="I2392" s="88"/>
      <c r="J2392" s="88"/>
      <c r="K2392" s="88"/>
    </row>
    <row r="2393" ht="15.75" customHeight="1" spans="1:11">
      <c r="A2393" s="88"/>
      <c r="B2393" s="88"/>
      <c r="C2393" s="88"/>
      <c r="D2393" s="88"/>
      <c r="E2393" s="88"/>
      <c r="F2393" s="88"/>
      <c r="G2393" s="88"/>
      <c r="H2393" s="88"/>
      <c r="I2393" s="88"/>
      <c r="J2393" s="88"/>
      <c r="K2393" s="88"/>
    </row>
    <row r="2394" ht="15.75" customHeight="1" spans="1:11">
      <c r="A2394" s="88"/>
      <c r="B2394" s="88"/>
      <c r="C2394" s="88"/>
      <c r="D2394" s="88"/>
      <c r="E2394" s="88"/>
      <c r="F2394" s="88"/>
      <c r="G2394" s="88"/>
      <c r="H2394" s="88"/>
      <c r="I2394" s="88"/>
      <c r="J2394" s="88"/>
      <c r="K2394" s="88"/>
    </row>
    <row r="2395" ht="15.75" customHeight="1" spans="1:11">
      <c r="A2395" s="88"/>
      <c r="B2395" s="88"/>
      <c r="C2395" s="88"/>
      <c r="D2395" s="88"/>
      <c r="E2395" s="88"/>
      <c r="F2395" s="88"/>
      <c r="G2395" s="88"/>
      <c r="H2395" s="88"/>
      <c r="I2395" s="88"/>
      <c r="J2395" s="88"/>
      <c r="K2395" s="88"/>
    </row>
    <row r="2396" ht="15.75" customHeight="1" spans="1:11">
      <c r="A2396" s="88"/>
      <c r="B2396" s="88"/>
      <c r="C2396" s="88"/>
      <c r="D2396" s="88"/>
      <c r="E2396" s="88"/>
      <c r="F2396" s="88"/>
      <c r="G2396" s="88"/>
      <c r="H2396" s="88"/>
      <c r="I2396" s="88"/>
      <c r="J2396" s="88"/>
      <c r="K2396" s="88"/>
    </row>
    <row r="2397" ht="15.75" customHeight="1" spans="1:11">
      <c r="A2397" s="88"/>
      <c r="B2397" s="88"/>
      <c r="C2397" s="88"/>
      <c r="D2397" s="88"/>
      <c r="E2397" s="88"/>
      <c r="F2397" s="88"/>
      <c r="G2397" s="88"/>
      <c r="H2397" s="88"/>
      <c r="I2397" s="88"/>
      <c r="J2397" s="88"/>
      <c r="K2397" s="88"/>
    </row>
    <row r="2398" ht="15.75" customHeight="1" spans="1:11">
      <c r="A2398" s="88"/>
      <c r="B2398" s="88"/>
      <c r="C2398" s="88"/>
      <c r="D2398" s="88"/>
      <c r="E2398" s="88"/>
      <c r="F2398" s="88"/>
      <c r="G2398" s="88"/>
      <c r="H2398" s="88"/>
      <c r="I2398" s="88"/>
      <c r="J2398" s="88"/>
      <c r="K2398" s="88"/>
    </row>
    <row r="2399" ht="15.75" customHeight="1" spans="1:11">
      <c r="A2399" s="88"/>
      <c r="B2399" s="88"/>
      <c r="C2399" s="88"/>
      <c r="D2399" s="88"/>
      <c r="E2399" s="88"/>
      <c r="F2399" s="88"/>
      <c r="G2399" s="88"/>
      <c r="H2399" s="88"/>
      <c r="I2399" s="88"/>
      <c r="J2399" s="88"/>
      <c r="K2399" s="88"/>
    </row>
    <row r="2400" ht="15.75" customHeight="1" spans="1:11">
      <c r="A2400" s="88"/>
      <c r="B2400" s="88"/>
      <c r="C2400" s="88"/>
      <c r="D2400" s="88"/>
      <c r="E2400" s="88"/>
      <c r="F2400" s="88"/>
      <c r="G2400" s="88"/>
      <c r="H2400" s="88"/>
      <c r="I2400" s="88"/>
      <c r="J2400" s="88"/>
      <c r="K2400" s="88"/>
    </row>
    <row r="2401" ht="15.75" customHeight="1" spans="1:11">
      <c r="A2401" s="88"/>
      <c r="B2401" s="88"/>
      <c r="C2401" s="88"/>
      <c r="D2401" s="88"/>
      <c r="E2401" s="88"/>
      <c r="F2401" s="88"/>
      <c r="G2401" s="88"/>
      <c r="H2401" s="88"/>
      <c r="I2401" s="88"/>
      <c r="J2401" s="88"/>
      <c r="K2401" s="88"/>
    </row>
    <row r="2402" ht="15.75" customHeight="1" spans="1:11">
      <c r="A2402" s="88"/>
      <c r="B2402" s="88"/>
      <c r="C2402" s="88"/>
      <c r="D2402" s="88"/>
      <c r="E2402" s="88"/>
      <c r="F2402" s="88"/>
      <c r="G2402" s="88"/>
      <c r="H2402" s="88"/>
      <c r="I2402" s="88"/>
      <c r="J2402" s="88"/>
      <c r="K2402" s="88"/>
    </row>
    <row r="2403" ht="15.75" customHeight="1" spans="1:11">
      <c r="A2403" s="88"/>
      <c r="B2403" s="88"/>
      <c r="C2403" s="88"/>
      <c r="D2403" s="88"/>
      <c r="E2403" s="88"/>
      <c r="F2403" s="88"/>
      <c r="G2403" s="88"/>
      <c r="H2403" s="88"/>
      <c r="I2403" s="88"/>
      <c r="J2403" s="88"/>
      <c r="K2403" s="88"/>
    </row>
    <row r="2404" ht="15.75" customHeight="1" spans="1:11">
      <c r="A2404" s="88"/>
      <c r="B2404" s="88"/>
      <c r="C2404" s="88"/>
      <c r="D2404" s="88"/>
      <c r="E2404" s="88"/>
      <c r="F2404" s="88"/>
      <c r="G2404" s="88"/>
      <c r="H2404" s="88"/>
      <c r="I2404" s="88"/>
      <c r="J2404" s="88"/>
      <c r="K2404" s="88"/>
    </row>
    <row r="2405" ht="15.75" customHeight="1" spans="1:11">
      <c r="A2405" s="88"/>
      <c r="B2405" s="88"/>
      <c r="C2405" s="88"/>
      <c r="D2405" s="88"/>
      <c r="E2405" s="88"/>
      <c r="F2405" s="88"/>
      <c r="G2405" s="88"/>
      <c r="H2405" s="88"/>
      <c r="I2405" s="88"/>
      <c r="J2405" s="88"/>
      <c r="K2405" s="88"/>
    </row>
    <row r="2406" ht="15.75" customHeight="1" spans="1:11">
      <c r="A2406" s="88"/>
      <c r="B2406" s="88"/>
      <c r="C2406" s="88"/>
      <c r="D2406" s="88"/>
      <c r="E2406" s="88"/>
      <c r="F2406" s="88"/>
      <c r="G2406" s="88"/>
      <c r="H2406" s="88"/>
      <c r="I2406" s="88"/>
      <c r="J2406" s="88"/>
      <c r="K2406" s="88"/>
    </row>
    <row r="2407" ht="15.75" customHeight="1" spans="1:11">
      <c r="A2407" s="88"/>
      <c r="B2407" s="88"/>
      <c r="C2407" s="88"/>
      <c r="D2407" s="88"/>
      <c r="E2407" s="88"/>
      <c r="F2407" s="88"/>
      <c r="G2407" s="88"/>
      <c r="H2407" s="88"/>
      <c r="I2407" s="88"/>
      <c r="J2407" s="88"/>
      <c r="K2407" s="88"/>
    </row>
    <row r="2408" ht="15.75" customHeight="1" spans="1:11">
      <c r="A2408" s="88"/>
      <c r="B2408" s="88"/>
      <c r="C2408" s="88"/>
      <c r="D2408" s="88"/>
      <c r="E2408" s="88"/>
      <c r="F2408" s="88"/>
      <c r="G2408" s="88"/>
      <c r="H2408" s="88"/>
      <c r="I2408" s="88"/>
      <c r="J2408" s="88"/>
      <c r="K2408" s="88"/>
    </row>
    <row r="2409" ht="15.75" customHeight="1" spans="1:11">
      <c r="A2409" s="88"/>
      <c r="B2409" s="88"/>
      <c r="C2409" s="88"/>
      <c r="D2409" s="88"/>
      <c r="E2409" s="88"/>
      <c r="F2409" s="88"/>
      <c r="G2409" s="88"/>
      <c r="H2409" s="88"/>
      <c r="I2409" s="88"/>
      <c r="J2409" s="88"/>
      <c r="K2409" s="88"/>
    </row>
    <row r="2410" ht="15.75" customHeight="1" spans="1:11">
      <c r="A2410" s="88"/>
      <c r="B2410" s="88"/>
      <c r="C2410" s="88"/>
      <c r="D2410" s="88"/>
      <c r="E2410" s="88"/>
      <c r="F2410" s="88"/>
      <c r="G2410" s="88"/>
      <c r="H2410" s="88"/>
      <c r="I2410" s="88"/>
      <c r="J2410" s="88"/>
      <c r="K2410" s="88"/>
    </row>
    <row r="2411" ht="15.75" customHeight="1" spans="1:11">
      <c r="A2411" s="88"/>
      <c r="B2411" s="88"/>
      <c r="C2411" s="88"/>
      <c r="D2411" s="88"/>
      <c r="E2411" s="88"/>
      <c r="F2411" s="88"/>
      <c r="G2411" s="88"/>
      <c r="H2411" s="88"/>
      <c r="I2411" s="88"/>
      <c r="J2411" s="88"/>
      <c r="K2411" s="88"/>
    </row>
    <row r="2412" ht="15.75" customHeight="1" spans="1:11">
      <c r="A2412" s="88"/>
      <c r="B2412" s="88"/>
      <c r="C2412" s="88"/>
      <c r="D2412" s="88"/>
      <c r="E2412" s="88"/>
      <c r="F2412" s="88"/>
      <c r="G2412" s="88"/>
      <c r="H2412" s="88"/>
      <c r="I2412" s="88"/>
      <c r="J2412" s="88"/>
      <c r="K2412" s="88"/>
    </row>
    <row r="2413" ht="15.75" customHeight="1" spans="1:11">
      <c r="A2413" s="88"/>
      <c r="B2413" s="88"/>
      <c r="C2413" s="88"/>
      <c r="D2413" s="88"/>
      <c r="E2413" s="88"/>
      <c r="F2413" s="88"/>
      <c r="G2413" s="88"/>
      <c r="H2413" s="88"/>
      <c r="I2413" s="88"/>
      <c r="J2413" s="88"/>
      <c r="K2413" s="88"/>
    </row>
    <row r="2414" ht="15.75" customHeight="1" spans="1:11">
      <c r="A2414" s="88"/>
      <c r="B2414" s="88"/>
      <c r="C2414" s="88"/>
      <c r="D2414" s="88"/>
      <c r="E2414" s="88"/>
      <c r="F2414" s="88"/>
      <c r="G2414" s="88"/>
      <c r="H2414" s="88"/>
      <c r="I2414" s="88"/>
      <c r="J2414" s="88"/>
      <c r="K2414" s="88"/>
    </row>
    <row r="2415" ht="15.75" customHeight="1" spans="1:11">
      <c r="A2415" s="88"/>
      <c r="B2415" s="88"/>
      <c r="C2415" s="88"/>
      <c r="D2415" s="88"/>
      <c r="E2415" s="88"/>
      <c r="F2415" s="88"/>
      <c r="G2415" s="88"/>
      <c r="H2415" s="88"/>
      <c r="I2415" s="88"/>
      <c r="J2415" s="88"/>
      <c r="K2415" s="88"/>
    </row>
    <row r="2416" ht="15.75" customHeight="1" spans="1:11">
      <c r="A2416" s="88"/>
      <c r="B2416" s="88"/>
      <c r="C2416" s="88"/>
      <c r="D2416" s="88"/>
      <c r="E2416" s="88"/>
      <c r="F2416" s="88"/>
      <c r="G2416" s="88"/>
      <c r="H2416" s="88"/>
      <c r="I2416" s="88"/>
      <c r="J2416" s="88"/>
      <c r="K2416" s="88"/>
    </row>
    <row r="2417" ht="15.75" customHeight="1" spans="1:11">
      <c r="A2417" s="88"/>
      <c r="B2417" s="88"/>
      <c r="C2417" s="88"/>
      <c r="D2417" s="88"/>
      <c r="E2417" s="88"/>
      <c r="F2417" s="88"/>
      <c r="G2417" s="88"/>
      <c r="H2417" s="88"/>
      <c r="I2417" s="88"/>
      <c r="J2417" s="88"/>
      <c r="K2417" s="88"/>
    </row>
    <row r="2418" ht="15.75" customHeight="1" spans="1:11">
      <c r="A2418" s="88"/>
      <c r="B2418" s="88"/>
      <c r="C2418" s="88"/>
      <c r="D2418" s="88"/>
      <c r="E2418" s="88"/>
      <c r="F2418" s="88"/>
      <c r="G2418" s="88"/>
      <c r="H2418" s="88"/>
      <c r="I2418" s="88"/>
      <c r="J2418" s="88"/>
      <c r="K2418" s="88"/>
    </row>
    <row r="2419" ht="15.75" customHeight="1" spans="1:11">
      <c r="A2419" s="88"/>
      <c r="B2419" s="88"/>
      <c r="C2419" s="88"/>
      <c r="D2419" s="88"/>
      <c r="E2419" s="88"/>
      <c r="F2419" s="88"/>
      <c r="G2419" s="88"/>
      <c r="H2419" s="88"/>
      <c r="I2419" s="88"/>
      <c r="J2419" s="88"/>
      <c r="K2419" s="88"/>
    </row>
    <row r="2420" ht="15.75" customHeight="1" spans="1:11">
      <c r="A2420" s="88"/>
      <c r="B2420" s="88"/>
      <c r="C2420" s="88"/>
      <c r="D2420" s="88"/>
      <c r="E2420" s="88"/>
      <c r="F2420" s="88"/>
      <c r="G2420" s="88"/>
      <c r="H2420" s="88"/>
      <c r="I2420" s="88"/>
      <c r="J2420" s="88"/>
      <c r="K2420" s="88"/>
    </row>
    <row r="2421" ht="15.75" customHeight="1" spans="1:11">
      <c r="A2421" s="88"/>
      <c r="B2421" s="88"/>
      <c r="C2421" s="88"/>
      <c r="D2421" s="88"/>
      <c r="E2421" s="88"/>
      <c r="F2421" s="88"/>
      <c r="G2421" s="88"/>
      <c r="H2421" s="88"/>
      <c r="I2421" s="88"/>
      <c r="J2421" s="88"/>
      <c r="K2421" s="88"/>
    </row>
    <row r="2422" ht="15.75" customHeight="1" spans="1:11">
      <c r="A2422" s="88"/>
      <c r="B2422" s="88"/>
      <c r="C2422" s="88"/>
      <c r="D2422" s="88"/>
      <c r="E2422" s="88"/>
      <c r="F2422" s="88"/>
      <c r="G2422" s="88"/>
      <c r="H2422" s="88"/>
      <c r="I2422" s="88"/>
      <c r="J2422" s="88"/>
      <c r="K2422" s="88"/>
    </row>
    <row r="2423" ht="15.75" customHeight="1" spans="1:11">
      <c r="A2423" s="88"/>
      <c r="B2423" s="88"/>
      <c r="C2423" s="88"/>
      <c r="D2423" s="88"/>
      <c r="E2423" s="88"/>
      <c r="F2423" s="88"/>
      <c r="G2423" s="88"/>
      <c r="H2423" s="88"/>
      <c r="I2423" s="88"/>
      <c r="J2423" s="88"/>
      <c r="K2423" s="88"/>
    </row>
    <row r="2424" ht="15.75" customHeight="1" spans="1:11">
      <c r="A2424" s="88"/>
      <c r="B2424" s="88"/>
      <c r="C2424" s="88"/>
      <c r="D2424" s="88"/>
      <c r="E2424" s="88"/>
      <c r="F2424" s="88"/>
      <c r="G2424" s="88"/>
      <c r="H2424" s="88"/>
      <c r="I2424" s="88"/>
      <c r="J2424" s="88"/>
      <c r="K2424" s="88"/>
    </row>
    <row r="2425" ht="15.75" customHeight="1" spans="1:11">
      <c r="A2425" s="88"/>
      <c r="B2425" s="88"/>
      <c r="C2425" s="88"/>
      <c r="D2425" s="88"/>
      <c r="E2425" s="88"/>
      <c r="F2425" s="88"/>
      <c r="G2425" s="88"/>
      <c r="H2425" s="88"/>
      <c r="I2425" s="88"/>
      <c r="J2425" s="88"/>
      <c r="K2425" s="88"/>
    </row>
    <row r="2426" ht="15.75" customHeight="1" spans="1:11">
      <c r="A2426" s="88"/>
      <c r="B2426" s="88"/>
      <c r="C2426" s="88"/>
      <c r="D2426" s="88"/>
      <c r="E2426" s="88"/>
      <c r="F2426" s="88"/>
      <c r="G2426" s="88"/>
      <c r="H2426" s="88"/>
      <c r="I2426" s="88"/>
      <c r="J2426" s="88"/>
      <c r="K2426" s="88"/>
    </row>
    <row r="2427" ht="15.75" customHeight="1" spans="1:11">
      <c r="A2427" s="88"/>
      <c r="B2427" s="88"/>
      <c r="C2427" s="88"/>
      <c r="D2427" s="88"/>
      <c r="E2427" s="88"/>
      <c r="F2427" s="88"/>
      <c r="G2427" s="88"/>
      <c r="H2427" s="88"/>
      <c r="I2427" s="88"/>
      <c r="J2427" s="88"/>
      <c r="K2427" s="88"/>
    </row>
    <row r="2428" ht="15.75" customHeight="1" spans="1:11">
      <c r="A2428" s="88"/>
      <c r="B2428" s="88"/>
      <c r="C2428" s="88"/>
      <c r="D2428" s="88"/>
      <c r="E2428" s="88"/>
      <c r="F2428" s="88"/>
      <c r="G2428" s="88"/>
      <c r="H2428" s="88"/>
      <c r="I2428" s="88"/>
      <c r="J2428" s="88"/>
      <c r="K2428" s="88"/>
    </row>
    <row r="2429" ht="15.75" customHeight="1" spans="1:11">
      <c r="A2429" s="88"/>
      <c r="B2429" s="88"/>
      <c r="C2429" s="88"/>
      <c r="D2429" s="88"/>
      <c r="E2429" s="88"/>
      <c r="F2429" s="88"/>
      <c r="G2429" s="88"/>
      <c r="H2429" s="88"/>
      <c r="I2429" s="88"/>
      <c r="J2429" s="88"/>
      <c r="K2429" s="88"/>
    </row>
    <row r="2430" ht="15.75" customHeight="1" spans="1:11">
      <c r="A2430" s="88"/>
      <c r="B2430" s="88"/>
      <c r="C2430" s="88"/>
      <c r="D2430" s="88"/>
      <c r="E2430" s="88"/>
      <c r="F2430" s="88"/>
      <c r="G2430" s="88"/>
      <c r="H2430" s="88"/>
      <c r="I2430" s="88"/>
      <c r="J2430" s="88"/>
      <c r="K2430" s="88"/>
    </row>
    <row r="2431" ht="15.75" customHeight="1" spans="1:11">
      <c r="A2431" s="88"/>
      <c r="B2431" s="88"/>
      <c r="C2431" s="88"/>
      <c r="D2431" s="88"/>
      <c r="E2431" s="88"/>
      <c r="F2431" s="88"/>
      <c r="G2431" s="88"/>
      <c r="H2431" s="88"/>
      <c r="I2431" s="88"/>
      <c r="J2431" s="88"/>
      <c r="K2431" s="88"/>
    </row>
    <row r="2432" ht="15.75" customHeight="1" spans="1:11">
      <c r="A2432" s="88"/>
      <c r="B2432" s="88"/>
      <c r="C2432" s="88"/>
      <c r="D2432" s="88"/>
      <c r="E2432" s="88"/>
      <c r="F2432" s="88"/>
      <c r="G2432" s="88"/>
      <c r="H2432" s="88"/>
      <c r="I2432" s="88"/>
      <c r="J2432" s="88"/>
      <c r="K2432" s="88"/>
    </row>
    <row r="2433" ht="15.75" customHeight="1" spans="1:11">
      <c r="A2433" s="88"/>
      <c r="B2433" s="88"/>
      <c r="C2433" s="88"/>
      <c r="D2433" s="88"/>
      <c r="E2433" s="88"/>
      <c r="F2433" s="88"/>
      <c r="G2433" s="88"/>
      <c r="H2433" s="88"/>
      <c r="I2433" s="88"/>
      <c r="J2433" s="88"/>
      <c r="K2433" s="88"/>
    </row>
    <row r="2434" ht="15.75" customHeight="1" spans="1:11">
      <c r="A2434" s="88"/>
      <c r="B2434" s="88"/>
      <c r="C2434" s="88"/>
      <c r="D2434" s="88"/>
      <c r="E2434" s="88"/>
      <c r="F2434" s="88"/>
      <c r="G2434" s="88"/>
      <c r="H2434" s="88"/>
      <c r="I2434" s="88"/>
      <c r="J2434" s="88"/>
      <c r="K2434" s="88"/>
    </row>
    <row r="2435" ht="15.75" customHeight="1" spans="1:11">
      <c r="A2435" s="88"/>
      <c r="B2435" s="88"/>
      <c r="C2435" s="88"/>
      <c r="D2435" s="88"/>
      <c r="E2435" s="88"/>
      <c r="F2435" s="88"/>
      <c r="G2435" s="88"/>
      <c r="H2435" s="88"/>
      <c r="I2435" s="88"/>
      <c r="J2435" s="88"/>
      <c r="K2435" s="88"/>
    </row>
    <row r="2436" ht="15.75" customHeight="1" spans="1:11">
      <c r="A2436" s="88"/>
      <c r="B2436" s="88"/>
      <c r="C2436" s="88"/>
      <c r="D2436" s="88"/>
      <c r="E2436" s="88"/>
      <c r="F2436" s="88"/>
      <c r="G2436" s="88"/>
      <c r="H2436" s="88"/>
      <c r="I2436" s="88"/>
      <c r="J2436" s="88"/>
      <c r="K2436" s="88"/>
    </row>
    <row r="2437" ht="15.75" customHeight="1" spans="1:11">
      <c r="A2437" s="88"/>
      <c r="B2437" s="88"/>
      <c r="C2437" s="88"/>
      <c r="D2437" s="88"/>
      <c r="E2437" s="88"/>
      <c r="F2437" s="88"/>
      <c r="G2437" s="88"/>
      <c r="H2437" s="88"/>
      <c r="I2437" s="88"/>
      <c r="J2437" s="88"/>
      <c r="K2437" s="88"/>
    </row>
    <row r="2438" ht="15.75" customHeight="1" spans="1:11">
      <c r="A2438" s="88"/>
      <c r="B2438" s="88"/>
      <c r="C2438" s="88"/>
      <c r="D2438" s="88"/>
      <c r="E2438" s="88"/>
      <c r="F2438" s="88"/>
      <c r="G2438" s="88"/>
      <c r="H2438" s="88"/>
      <c r="I2438" s="88"/>
      <c r="J2438" s="88"/>
      <c r="K2438" s="88"/>
    </row>
    <row r="2439" ht="15.75" customHeight="1" spans="1:11">
      <c r="A2439" s="88"/>
      <c r="B2439" s="88"/>
      <c r="C2439" s="88"/>
      <c r="D2439" s="88"/>
      <c r="E2439" s="88"/>
      <c r="F2439" s="88"/>
      <c r="G2439" s="88"/>
      <c r="H2439" s="88"/>
      <c r="I2439" s="88"/>
      <c r="J2439" s="88"/>
      <c r="K2439" s="88"/>
    </row>
    <row r="2440" ht="15.75" customHeight="1" spans="1:11">
      <c r="A2440" s="88"/>
      <c r="B2440" s="88"/>
      <c r="C2440" s="88"/>
      <c r="D2440" s="88"/>
      <c r="E2440" s="88"/>
      <c r="F2440" s="88"/>
      <c r="G2440" s="88"/>
      <c r="H2440" s="88"/>
      <c r="I2440" s="88"/>
      <c r="J2440" s="88"/>
      <c r="K2440" s="88"/>
    </row>
    <row r="2441" ht="15.75" customHeight="1" spans="1:11">
      <c r="A2441" s="88"/>
      <c r="B2441" s="88"/>
      <c r="C2441" s="88"/>
      <c r="D2441" s="88"/>
      <c r="E2441" s="88"/>
      <c r="F2441" s="88"/>
      <c r="G2441" s="88"/>
      <c r="H2441" s="88"/>
      <c r="I2441" s="88"/>
      <c r="J2441" s="88"/>
      <c r="K2441" s="88"/>
    </row>
    <row r="2442" ht="15.75" customHeight="1" spans="1:11">
      <c r="A2442" s="88"/>
      <c r="B2442" s="88"/>
      <c r="C2442" s="88"/>
      <c r="D2442" s="88"/>
      <c r="E2442" s="88"/>
      <c r="F2442" s="88"/>
      <c r="G2442" s="88"/>
      <c r="H2442" s="88"/>
      <c r="I2442" s="88"/>
      <c r="J2442" s="88"/>
      <c r="K2442" s="88"/>
    </row>
    <row r="2443" ht="15.75" customHeight="1" spans="1:11">
      <c r="A2443" s="88"/>
      <c r="B2443" s="88"/>
      <c r="C2443" s="88"/>
      <c r="D2443" s="88"/>
      <c r="E2443" s="88"/>
      <c r="F2443" s="88"/>
      <c r="G2443" s="88"/>
      <c r="H2443" s="88"/>
      <c r="I2443" s="88"/>
      <c r="J2443" s="88"/>
      <c r="K2443" s="88"/>
    </row>
    <row r="2444" ht="15.75" customHeight="1" spans="1:11">
      <c r="A2444" s="88"/>
      <c r="B2444" s="88"/>
      <c r="C2444" s="88"/>
      <c r="D2444" s="88"/>
      <c r="E2444" s="88"/>
      <c r="F2444" s="88"/>
      <c r="G2444" s="88"/>
      <c r="H2444" s="88"/>
      <c r="I2444" s="88"/>
      <c r="J2444" s="88"/>
      <c r="K2444" s="88"/>
    </row>
    <row r="2445" ht="15.75" customHeight="1" spans="1:11">
      <c r="A2445" s="88"/>
      <c r="B2445" s="88"/>
      <c r="C2445" s="88"/>
      <c r="D2445" s="88"/>
      <c r="E2445" s="88"/>
      <c r="F2445" s="88"/>
      <c r="G2445" s="88"/>
      <c r="H2445" s="88"/>
      <c r="I2445" s="88"/>
      <c r="J2445" s="88"/>
      <c r="K2445" s="88"/>
    </row>
    <row r="2446" ht="15.75" customHeight="1" spans="1:11">
      <c r="A2446" s="88"/>
      <c r="B2446" s="88"/>
      <c r="C2446" s="88"/>
      <c r="D2446" s="88"/>
      <c r="E2446" s="88"/>
      <c r="F2446" s="88"/>
      <c r="G2446" s="88"/>
      <c r="H2446" s="88"/>
      <c r="I2446" s="88"/>
      <c r="J2446" s="88"/>
      <c r="K2446" s="88"/>
    </row>
    <row r="2447" ht="15.75" customHeight="1" spans="1:11">
      <c r="A2447" s="88"/>
      <c r="B2447" s="88"/>
      <c r="C2447" s="88"/>
      <c r="D2447" s="88"/>
      <c r="E2447" s="88"/>
      <c r="F2447" s="88"/>
      <c r="G2447" s="88"/>
      <c r="H2447" s="88"/>
      <c r="I2447" s="88"/>
      <c r="J2447" s="88"/>
      <c r="K2447" s="88"/>
    </row>
    <row r="2448" ht="15.75" customHeight="1" spans="1:11">
      <c r="A2448" s="88"/>
      <c r="B2448" s="88"/>
      <c r="C2448" s="88"/>
      <c r="D2448" s="88"/>
      <c r="E2448" s="88"/>
      <c r="F2448" s="88"/>
      <c r="G2448" s="88"/>
      <c r="H2448" s="88"/>
      <c r="I2448" s="88"/>
      <c r="J2448" s="88"/>
      <c r="K2448" s="88"/>
    </row>
    <row r="2449" ht="15.75" customHeight="1" spans="1:11">
      <c r="A2449" s="88"/>
      <c r="B2449" s="88"/>
      <c r="C2449" s="88"/>
      <c r="D2449" s="88"/>
      <c r="E2449" s="88"/>
      <c r="F2449" s="88"/>
      <c r="G2449" s="88"/>
      <c r="H2449" s="88"/>
      <c r="I2449" s="88"/>
      <c r="J2449" s="88"/>
      <c r="K2449" s="88"/>
    </row>
    <row r="2450" ht="15.75" customHeight="1" spans="1:11">
      <c r="A2450" s="88"/>
      <c r="B2450" s="88"/>
      <c r="C2450" s="88"/>
      <c r="D2450" s="88"/>
      <c r="E2450" s="88"/>
      <c r="F2450" s="88"/>
      <c r="G2450" s="88"/>
      <c r="H2450" s="88"/>
      <c r="I2450" s="88"/>
      <c r="J2450" s="88"/>
      <c r="K2450" s="88"/>
    </row>
    <row r="2451" ht="15.75" customHeight="1" spans="1:11">
      <c r="A2451" s="88"/>
      <c r="B2451" s="88"/>
      <c r="C2451" s="88"/>
      <c r="D2451" s="88"/>
      <c r="E2451" s="88"/>
      <c r="F2451" s="88"/>
      <c r="G2451" s="88"/>
      <c r="H2451" s="88"/>
      <c r="I2451" s="88"/>
      <c r="J2451" s="88"/>
      <c r="K2451" s="88"/>
    </row>
    <row r="2452" ht="15.75" customHeight="1" spans="1:11">
      <c r="A2452" s="88"/>
      <c r="B2452" s="88"/>
      <c r="C2452" s="88"/>
      <c r="D2452" s="88"/>
      <c r="E2452" s="88"/>
      <c r="F2452" s="88"/>
      <c r="G2452" s="88"/>
      <c r="H2452" s="88"/>
      <c r="I2452" s="88"/>
      <c r="J2452" s="88"/>
      <c r="K2452" s="88"/>
    </row>
    <row r="2453" ht="15.75" customHeight="1" spans="1:11">
      <c r="A2453" s="88"/>
      <c r="B2453" s="88"/>
      <c r="C2453" s="88"/>
      <c r="D2453" s="88"/>
      <c r="E2453" s="88"/>
      <c r="F2453" s="88"/>
      <c r="G2453" s="88"/>
      <c r="H2453" s="88"/>
      <c r="I2453" s="88"/>
      <c r="J2453" s="88"/>
      <c r="K2453" s="88"/>
    </row>
    <row r="2454" ht="15.75" customHeight="1" spans="1:11">
      <c r="A2454" s="88"/>
      <c r="B2454" s="88"/>
      <c r="C2454" s="88"/>
      <c r="D2454" s="88"/>
      <c r="E2454" s="88"/>
      <c r="F2454" s="88"/>
      <c r="G2454" s="88"/>
      <c r="H2454" s="88"/>
      <c r="I2454" s="88"/>
      <c r="J2454" s="88"/>
      <c r="K2454" s="88"/>
    </row>
    <row r="2455" ht="15.75" customHeight="1" spans="1:11">
      <c r="A2455" s="88"/>
      <c r="B2455" s="88"/>
      <c r="C2455" s="88"/>
      <c r="D2455" s="88"/>
      <c r="E2455" s="88"/>
      <c r="F2455" s="88"/>
      <c r="G2455" s="88"/>
      <c r="H2455" s="88"/>
      <c r="I2455" s="88"/>
      <c r="J2455" s="88"/>
      <c r="K2455" s="88"/>
    </row>
    <row r="2456" ht="15.75" customHeight="1" spans="1:11">
      <c r="A2456" s="88"/>
      <c r="B2456" s="88"/>
      <c r="C2456" s="88"/>
      <c r="D2456" s="88"/>
      <c r="E2456" s="88"/>
      <c r="F2456" s="88"/>
      <c r="G2456" s="88"/>
      <c r="H2456" s="88"/>
      <c r="I2456" s="88"/>
      <c r="J2456" s="88"/>
      <c r="K2456" s="88"/>
    </row>
    <row r="2457" ht="15.75" customHeight="1" spans="1:11">
      <c r="A2457" s="88"/>
      <c r="B2457" s="88"/>
      <c r="C2457" s="88"/>
      <c r="D2457" s="88"/>
      <c r="E2457" s="88"/>
      <c r="F2457" s="88"/>
      <c r="G2457" s="88"/>
      <c r="H2457" s="88"/>
      <c r="I2457" s="88"/>
      <c r="J2457" s="88"/>
      <c r="K2457" s="88"/>
    </row>
    <row r="2458" ht="15.75" customHeight="1" spans="1:11">
      <c r="A2458" s="88"/>
      <c r="B2458" s="88"/>
      <c r="C2458" s="88"/>
      <c r="D2458" s="88"/>
      <c r="E2458" s="88"/>
      <c r="F2458" s="88"/>
      <c r="G2458" s="88"/>
      <c r="H2458" s="88"/>
      <c r="I2458" s="88"/>
      <c r="J2458" s="88"/>
      <c r="K2458" s="88"/>
    </row>
    <row r="2459" ht="15.75" customHeight="1" spans="1:11">
      <c r="A2459" s="88"/>
      <c r="B2459" s="88"/>
      <c r="C2459" s="88"/>
      <c r="D2459" s="88"/>
      <c r="E2459" s="88"/>
      <c r="F2459" s="88"/>
      <c r="G2459" s="88"/>
      <c r="H2459" s="88"/>
      <c r="I2459" s="88"/>
      <c r="J2459" s="88"/>
      <c r="K2459" s="88"/>
    </row>
    <row r="2460" ht="15.75" customHeight="1" spans="1:11">
      <c r="A2460" s="88"/>
      <c r="B2460" s="88"/>
      <c r="C2460" s="88"/>
      <c r="D2460" s="88"/>
      <c r="E2460" s="88"/>
      <c r="F2460" s="88"/>
      <c r="G2460" s="88"/>
      <c r="H2460" s="88"/>
      <c r="I2460" s="88"/>
      <c r="J2460" s="88"/>
      <c r="K2460" s="88"/>
    </row>
    <row r="2461" ht="15.75" customHeight="1" spans="1:11">
      <c r="A2461" s="88"/>
      <c r="B2461" s="88"/>
      <c r="C2461" s="88"/>
      <c r="D2461" s="88"/>
      <c r="E2461" s="88"/>
      <c r="F2461" s="88"/>
      <c r="G2461" s="88"/>
      <c r="H2461" s="88"/>
      <c r="I2461" s="88"/>
      <c r="J2461" s="88"/>
      <c r="K2461" s="88"/>
    </row>
    <row r="2462" ht="15.75" customHeight="1" spans="1:11">
      <c r="A2462" s="88"/>
      <c r="B2462" s="88"/>
      <c r="C2462" s="88"/>
      <c r="D2462" s="88"/>
      <c r="E2462" s="88"/>
      <c r="F2462" s="88"/>
      <c r="G2462" s="88"/>
      <c r="H2462" s="88"/>
      <c r="I2462" s="88"/>
      <c r="J2462" s="88"/>
      <c r="K2462" s="88"/>
    </row>
    <row r="2463" ht="15.75" customHeight="1" spans="1:11">
      <c r="A2463" s="88"/>
      <c r="B2463" s="88"/>
      <c r="C2463" s="88"/>
      <c r="D2463" s="88"/>
      <c r="E2463" s="88"/>
      <c r="F2463" s="88"/>
      <c r="G2463" s="88"/>
      <c r="H2463" s="88"/>
      <c r="I2463" s="88"/>
      <c r="J2463" s="88"/>
      <c r="K2463" s="88"/>
    </row>
    <row r="2464" ht="15.75" customHeight="1" spans="1:11">
      <c r="A2464" s="88"/>
      <c r="B2464" s="88"/>
      <c r="C2464" s="88"/>
      <c r="D2464" s="88"/>
      <c r="E2464" s="88"/>
      <c r="F2464" s="88"/>
      <c r="G2464" s="88"/>
      <c r="H2464" s="88"/>
      <c r="I2464" s="88"/>
      <c r="J2464" s="88"/>
      <c r="K2464" s="88"/>
    </row>
    <row r="2465" ht="15.75" customHeight="1" spans="1:11">
      <c r="A2465" s="88"/>
      <c r="B2465" s="88"/>
      <c r="C2465" s="88"/>
      <c r="D2465" s="88"/>
      <c r="E2465" s="88"/>
      <c r="F2465" s="88"/>
      <c r="G2465" s="88"/>
      <c r="H2465" s="88"/>
      <c r="I2465" s="88"/>
      <c r="J2465" s="88"/>
      <c r="K2465" s="88"/>
    </row>
    <row r="2466" ht="15.75" customHeight="1" spans="1:11">
      <c r="A2466" s="88"/>
      <c r="B2466" s="88"/>
      <c r="C2466" s="88"/>
      <c r="D2466" s="88"/>
      <c r="E2466" s="88"/>
      <c r="F2466" s="88"/>
      <c r="G2466" s="88"/>
      <c r="H2466" s="88"/>
      <c r="I2466" s="88"/>
      <c r="J2466" s="88"/>
      <c r="K2466" s="88"/>
    </row>
    <row r="2467" ht="15.75" customHeight="1" spans="1:11">
      <c r="A2467" s="88"/>
      <c r="B2467" s="88"/>
      <c r="C2467" s="88"/>
      <c r="D2467" s="88"/>
      <c r="E2467" s="88"/>
      <c r="F2467" s="88"/>
      <c r="G2467" s="88"/>
      <c r="H2467" s="88"/>
      <c r="I2467" s="88"/>
      <c r="J2467" s="88"/>
      <c r="K2467" s="88"/>
    </row>
    <row r="2468" ht="15.75" customHeight="1" spans="1:11">
      <c r="A2468" s="88"/>
      <c r="B2468" s="88"/>
      <c r="C2468" s="88"/>
      <c r="D2468" s="88"/>
      <c r="E2468" s="88"/>
      <c r="F2468" s="88"/>
      <c r="G2468" s="88"/>
      <c r="H2468" s="88"/>
      <c r="I2468" s="88"/>
      <c r="J2468" s="88"/>
      <c r="K2468" s="88"/>
    </row>
    <row r="2469" ht="15.75" customHeight="1" spans="1:11">
      <c r="A2469" s="88"/>
      <c r="B2469" s="88"/>
      <c r="C2469" s="88"/>
      <c r="D2469" s="88"/>
      <c r="E2469" s="88"/>
      <c r="F2469" s="88"/>
      <c r="G2469" s="88"/>
      <c r="H2469" s="88"/>
      <c r="I2469" s="88"/>
      <c r="J2469" s="88"/>
      <c r="K2469" s="88"/>
    </row>
    <row r="2470" ht="15.75" customHeight="1" spans="1:11">
      <c r="A2470" s="88"/>
      <c r="B2470" s="88"/>
      <c r="C2470" s="88"/>
      <c r="D2470" s="88"/>
      <c r="E2470" s="88"/>
      <c r="F2470" s="88"/>
      <c r="G2470" s="88"/>
      <c r="H2470" s="88"/>
      <c r="I2470" s="88"/>
      <c r="J2470" s="88"/>
      <c r="K2470" s="88"/>
    </row>
    <row r="2471" ht="15.75" customHeight="1" spans="1:11">
      <c r="A2471" s="88"/>
      <c r="B2471" s="88"/>
      <c r="C2471" s="88"/>
      <c r="D2471" s="88"/>
      <c r="E2471" s="88"/>
      <c r="F2471" s="88"/>
      <c r="G2471" s="88"/>
      <c r="H2471" s="88"/>
      <c r="I2471" s="88"/>
      <c r="J2471" s="88"/>
      <c r="K2471" s="88"/>
    </row>
    <row r="2472" ht="15.75" customHeight="1" spans="1:11">
      <c r="A2472" s="88"/>
      <c r="B2472" s="88"/>
      <c r="C2472" s="88"/>
      <c r="D2472" s="88"/>
      <c r="E2472" s="88"/>
      <c r="F2472" s="88"/>
      <c r="G2472" s="88"/>
      <c r="H2472" s="88"/>
      <c r="I2472" s="88"/>
      <c r="J2472" s="88"/>
      <c r="K2472" s="88"/>
    </row>
    <row r="2473" ht="15.75" customHeight="1" spans="1:11">
      <c r="A2473" s="88"/>
      <c r="B2473" s="88"/>
      <c r="C2473" s="88"/>
      <c r="D2473" s="88"/>
      <c r="E2473" s="88"/>
      <c r="F2473" s="88"/>
      <c r="G2473" s="88"/>
      <c r="H2473" s="88"/>
      <c r="I2473" s="88"/>
      <c r="J2473" s="88"/>
      <c r="K2473" s="88"/>
    </row>
    <row r="2474" ht="15.75" customHeight="1" spans="1:11">
      <c r="A2474" s="88"/>
      <c r="B2474" s="88"/>
      <c r="C2474" s="88"/>
      <c r="D2474" s="88"/>
      <c r="E2474" s="88"/>
      <c r="F2474" s="88"/>
      <c r="G2474" s="88"/>
      <c r="H2474" s="88"/>
      <c r="I2474" s="88"/>
      <c r="J2474" s="88"/>
      <c r="K2474" s="88"/>
    </row>
    <row r="2475" ht="15.75" customHeight="1" spans="1:11">
      <c r="A2475" s="88"/>
      <c r="B2475" s="88"/>
      <c r="C2475" s="88"/>
      <c r="D2475" s="88"/>
      <c r="E2475" s="88"/>
      <c r="F2475" s="88"/>
      <c r="G2475" s="88"/>
      <c r="H2475" s="88"/>
      <c r="I2475" s="88"/>
      <c r="J2475" s="88"/>
      <c r="K2475" s="88"/>
    </row>
    <row r="2476" ht="15.75" customHeight="1" spans="1:11">
      <c r="A2476" s="88"/>
      <c r="B2476" s="88"/>
      <c r="C2476" s="88"/>
      <c r="D2476" s="88"/>
      <c r="E2476" s="88"/>
      <c r="F2476" s="88"/>
      <c r="G2476" s="88"/>
      <c r="H2476" s="88"/>
      <c r="I2476" s="88"/>
      <c r="J2476" s="88"/>
      <c r="K2476" s="88"/>
    </row>
    <row r="2477" ht="15.75" customHeight="1" spans="1:11">
      <c r="A2477" s="88"/>
      <c r="B2477" s="88"/>
      <c r="C2477" s="88"/>
      <c r="D2477" s="88"/>
      <c r="E2477" s="88"/>
      <c r="F2477" s="88"/>
      <c r="G2477" s="88"/>
      <c r="H2477" s="88"/>
      <c r="I2477" s="88"/>
      <c r="J2477" s="88"/>
      <c r="K2477" s="88"/>
    </row>
    <row r="2478" ht="15.75" customHeight="1" spans="1:11">
      <c r="A2478" s="88"/>
      <c r="B2478" s="88"/>
      <c r="C2478" s="88"/>
      <c r="D2478" s="88"/>
      <c r="E2478" s="88"/>
      <c r="F2478" s="88"/>
      <c r="G2478" s="88"/>
      <c r="H2478" s="88"/>
      <c r="I2478" s="88"/>
      <c r="J2478" s="88"/>
      <c r="K2478" s="88"/>
    </row>
    <row r="2479" ht="15.75" customHeight="1" spans="1:11">
      <c r="A2479" s="88"/>
      <c r="B2479" s="88"/>
      <c r="C2479" s="88"/>
      <c r="D2479" s="88"/>
      <c r="E2479" s="88"/>
      <c r="F2479" s="88"/>
      <c r="G2479" s="88"/>
      <c r="H2479" s="88"/>
      <c r="I2479" s="88"/>
      <c r="J2479" s="88"/>
      <c r="K2479" s="88"/>
    </row>
    <row r="2480" ht="15.75" customHeight="1" spans="1:11">
      <c r="A2480" s="88"/>
      <c r="B2480" s="88"/>
      <c r="C2480" s="88"/>
      <c r="D2480" s="88"/>
      <c r="E2480" s="88"/>
      <c r="F2480" s="88"/>
      <c r="G2480" s="88"/>
      <c r="H2480" s="88"/>
      <c r="I2480" s="88"/>
      <c r="J2480" s="88"/>
      <c r="K2480" s="88"/>
    </row>
    <row r="2481" ht="15.75" customHeight="1" spans="1:11">
      <c r="A2481" s="88"/>
      <c r="B2481" s="88"/>
      <c r="C2481" s="88"/>
      <c r="D2481" s="88"/>
      <c r="E2481" s="88"/>
      <c r="F2481" s="88"/>
      <c r="G2481" s="88"/>
      <c r="H2481" s="88"/>
      <c r="I2481" s="88"/>
      <c r="J2481" s="88"/>
      <c r="K2481" s="88"/>
    </row>
    <row r="2482" ht="15.75" customHeight="1" spans="1:11">
      <c r="A2482" s="88"/>
      <c r="B2482" s="88"/>
      <c r="C2482" s="88"/>
      <c r="D2482" s="88"/>
      <c r="E2482" s="88"/>
      <c r="F2482" s="88"/>
      <c r="G2482" s="88"/>
      <c r="H2482" s="88"/>
      <c r="I2482" s="88"/>
      <c r="J2482" s="88"/>
      <c r="K2482" s="88"/>
    </row>
    <row r="2483" ht="15.75" customHeight="1" spans="1:11">
      <c r="A2483" s="88"/>
      <c r="B2483" s="88"/>
      <c r="C2483" s="88"/>
      <c r="D2483" s="88"/>
      <c r="E2483" s="88"/>
      <c r="F2483" s="88"/>
      <c r="G2483" s="88"/>
      <c r="H2483" s="88"/>
      <c r="I2483" s="88"/>
      <c r="J2483" s="88"/>
      <c r="K2483" s="88"/>
    </row>
    <row r="2484" ht="15.75" customHeight="1" spans="1:11">
      <c r="A2484" s="88"/>
      <c r="B2484" s="88"/>
      <c r="C2484" s="88"/>
      <c r="D2484" s="88"/>
      <c r="E2484" s="88"/>
      <c r="F2484" s="88"/>
      <c r="G2484" s="88"/>
      <c r="H2484" s="88"/>
      <c r="I2484" s="88"/>
      <c r="J2484" s="88"/>
      <c r="K2484" s="88"/>
    </row>
    <row r="2485" ht="15.75" customHeight="1" spans="1:11">
      <c r="A2485" s="88"/>
      <c r="B2485" s="88"/>
      <c r="C2485" s="88"/>
      <c r="D2485" s="88"/>
      <c r="E2485" s="88"/>
      <c r="F2485" s="88"/>
      <c r="G2485" s="88"/>
      <c r="H2485" s="88"/>
      <c r="I2485" s="88"/>
      <c r="J2485" s="88"/>
      <c r="K2485" s="88"/>
    </row>
    <row r="2486" ht="15.75" customHeight="1" spans="1:11">
      <c r="A2486" s="88"/>
      <c r="B2486" s="88"/>
      <c r="C2486" s="88"/>
      <c r="D2486" s="88"/>
      <c r="E2486" s="88"/>
      <c r="F2486" s="88"/>
      <c r="G2486" s="88"/>
      <c r="H2486" s="88"/>
      <c r="I2486" s="88"/>
      <c r="J2486" s="88"/>
      <c r="K2486" s="88"/>
    </row>
    <row r="2487" ht="15.75" customHeight="1" spans="1:11">
      <c r="A2487" s="88"/>
      <c r="B2487" s="88"/>
      <c r="C2487" s="88"/>
      <c r="D2487" s="88"/>
      <c r="E2487" s="88"/>
      <c r="F2487" s="88"/>
      <c r="G2487" s="88"/>
      <c r="H2487" s="88"/>
      <c r="I2487" s="88"/>
      <c r="J2487" s="88"/>
      <c r="K2487" s="88"/>
    </row>
    <row r="2488" ht="15.75" customHeight="1" spans="1:11">
      <c r="A2488" s="88"/>
      <c r="B2488" s="88"/>
      <c r="C2488" s="88"/>
      <c r="D2488" s="88"/>
      <c r="E2488" s="88"/>
      <c r="F2488" s="88"/>
      <c r="G2488" s="88"/>
      <c r="H2488" s="88"/>
      <c r="I2488" s="88"/>
      <c r="J2488" s="88"/>
      <c r="K2488" s="88"/>
    </row>
    <row r="2489" ht="15.75" customHeight="1" spans="1:11">
      <c r="A2489" s="88"/>
      <c r="B2489" s="88"/>
      <c r="C2489" s="88"/>
      <c r="D2489" s="88"/>
      <c r="E2489" s="88"/>
      <c r="F2489" s="88"/>
      <c r="G2489" s="88"/>
      <c r="H2489" s="88"/>
      <c r="I2489" s="88"/>
      <c r="J2489" s="88"/>
      <c r="K2489" s="88"/>
    </row>
    <row r="2490" ht="15.75" customHeight="1" spans="1:11">
      <c r="A2490" s="88"/>
      <c r="B2490" s="88"/>
      <c r="C2490" s="88"/>
      <c r="D2490" s="88"/>
      <c r="E2490" s="88"/>
      <c r="F2490" s="88"/>
      <c r="G2490" s="88"/>
      <c r="H2490" s="88"/>
      <c r="I2490" s="88"/>
      <c r="J2490" s="88"/>
      <c r="K2490" s="88"/>
    </row>
    <row r="2491" ht="15.75" customHeight="1" spans="1:11">
      <c r="A2491" s="88"/>
      <c r="B2491" s="88"/>
      <c r="C2491" s="88"/>
      <c r="D2491" s="88"/>
      <c r="E2491" s="88"/>
      <c r="F2491" s="88"/>
      <c r="G2491" s="88"/>
      <c r="H2491" s="88"/>
      <c r="I2491" s="88"/>
      <c r="J2491" s="88"/>
      <c r="K2491" s="88"/>
    </row>
    <row r="2492" ht="15.75" customHeight="1" spans="1:11">
      <c r="A2492" s="88"/>
      <c r="B2492" s="88"/>
      <c r="C2492" s="88"/>
      <c r="D2492" s="88"/>
      <c r="E2492" s="88"/>
      <c r="F2492" s="88"/>
      <c r="G2492" s="88"/>
      <c r="H2492" s="88"/>
      <c r="I2492" s="88"/>
      <c r="J2492" s="88"/>
      <c r="K2492" s="88"/>
    </row>
    <row r="2493" ht="15.75" customHeight="1" spans="1:11">
      <c r="A2493" s="88"/>
      <c r="B2493" s="88"/>
      <c r="C2493" s="88"/>
      <c r="D2493" s="88"/>
      <c r="E2493" s="88"/>
      <c r="F2493" s="88"/>
      <c r="G2493" s="88"/>
      <c r="H2493" s="88"/>
      <c r="I2493" s="88"/>
      <c r="J2493" s="88"/>
      <c r="K2493" s="88"/>
    </row>
    <row r="2494" ht="15.75" customHeight="1" spans="1:11">
      <c r="A2494" s="88"/>
      <c r="B2494" s="88"/>
      <c r="C2494" s="88"/>
      <c r="D2494" s="88"/>
      <c r="E2494" s="88"/>
      <c r="F2494" s="88"/>
      <c r="G2494" s="88"/>
      <c r="H2494" s="88"/>
      <c r="I2494" s="88"/>
      <c r="J2494" s="88"/>
      <c r="K2494" s="88"/>
    </row>
    <row r="2495" ht="15.75" customHeight="1" spans="1:11">
      <c r="A2495" s="88"/>
      <c r="B2495" s="88"/>
      <c r="C2495" s="88"/>
      <c r="D2495" s="88"/>
      <c r="E2495" s="88"/>
      <c r="F2495" s="88"/>
      <c r="G2495" s="88"/>
      <c r="H2495" s="88"/>
      <c r="I2495" s="88"/>
      <c r="J2495" s="88"/>
      <c r="K2495" s="88"/>
    </row>
    <row r="2496" ht="15.75" customHeight="1" spans="1:11">
      <c r="A2496" s="88"/>
      <c r="B2496" s="88"/>
      <c r="C2496" s="88"/>
      <c r="D2496" s="88"/>
      <c r="E2496" s="88"/>
      <c r="F2496" s="88"/>
      <c r="G2496" s="88"/>
      <c r="H2496" s="88"/>
      <c r="I2496" s="88"/>
      <c r="J2496" s="88"/>
      <c r="K2496" s="88"/>
    </row>
    <row r="2497" ht="15.75" customHeight="1" spans="1:11">
      <c r="A2497" s="88"/>
      <c r="B2497" s="88"/>
      <c r="C2497" s="88"/>
      <c r="D2497" s="88"/>
      <c r="E2497" s="88"/>
      <c r="F2497" s="88"/>
      <c r="G2497" s="88"/>
      <c r="H2497" s="88"/>
      <c r="I2497" s="88"/>
      <c r="J2497" s="88"/>
      <c r="K2497" s="88"/>
    </row>
    <row r="2498" ht="15.75" customHeight="1" spans="1:11">
      <c r="A2498" s="88"/>
      <c r="B2498" s="88"/>
      <c r="C2498" s="88"/>
      <c r="D2498" s="88"/>
      <c r="E2498" s="88"/>
      <c r="F2498" s="88"/>
      <c r="G2498" s="88"/>
      <c r="H2498" s="88"/>
      <c r="I2498" s="88"/>
      <c r="J2498" s="88"/>
      <c r="K2498" s="88"/>
    </row>
    <row r="2499" ht="15.75" customHeight="1" spans="1:11">
      <c r="A2499" s="88"/>
      <c r="B2499" s="88"/>
      <c r="C2499" s="88"/>
      <c r="D2499" s="88"/>
      <c r="E2499" s="88"/>
      <c r="F2499" s="88"/>
      <c r="G2499" s="88"/>
      <c r="H2499" s="88"/>
      <c r="I2499" s="88"/>
      <c r="J2499" s="88"/>
      <c r="K2499" s="88"/>
    </row>
    <row r="2500" ht="15.75" customHeight="1" spans="1:11">
      <c r="A2500" s="88"/>
      <c r="B2500" s="88"/>
      <c r="C2500" s="88"/>
      <c r="D2500" s="88"/>
      <c r="E2500" s="88"/>
      <c r="F2500" s="88"/>
      <c r="G2500" s="88"/>
      <c r="H2500" s="88"/>
      <c r="I2500" s="88"/>
      <c r="J2500" s="88"/>
      <c r="K2500" s="88"/>
    </row>
    <row r="2501" ht="15.75" customHeight="1" spans="1:11">
      <c r="A2501" s="88"/>
      <c r="B2501" s="88"/>
      <c r="C2501" s="88"/>
      <c r="D2501" s="88"/>
      <c r="E2501" s="88"/>
      <c r="F2501" s="88"/>
      <c r="G2501" s="88"/>
      <c r="H2501" s="88"/>
      <c r="I2501" s="88"/>
      <c r="J2501" s="88"/>
      <c r="K2501" s="88"/>
    </row>
    <row r="2502" ht="15.75" customHeight="1" spans="1:11">
      <c r="A2502" s="88"/>
      <c r="B2502" s="88"/>
      <c r="C2502" s="88"/>
      <c r="D2502" s="88"/>
      <c r="E2502" s="88"/>
      <c r="F2502" s="88"/>
      <c r="G2502" s="88"/>
      <c r="H2502" s="88"/>
      <c r="I2502" s="88"/>
      <c r="J2502" s="88"/>
      <c r="K2502" s="88"/>
    </row>
    <row r="2503" ht="15.75" customHeight="1" spans="1:11">
      <c r="A2503" s="88"/>
      <c r="B2503" s="88"/>
      <c r="C2503" s="88"/>
      <c r="D2503" s="88"/>
      <c r="E2503" s="88"/>
      <c r="F2503" s="88"/>
      <c r="G2503" s="88"/>
      <c r="H2503" s="88"/>
      <c r="I2503" s="88"/>
      <c r="J2503" s="88"/>
      <c r="K2503" s="88"/>
    </row>
    <row r="2504" ht="15.75" customHeight="1" spans="1:11">
      <c r="A2504" s="88"/>
      <c r="B2504" s="88"/>
      <c r="C2504" s="88"/>
      <c r="D2504" s="88"/>
      <c r="E2504" s="88"/>
      <c r="F2504" s="88"/>
      <c r="G2504" s="88"/>
      <c r="H2504" s="88"/>
      <c r="I2504" s="88"/>
      <c r="J2504" s="88"/>
      <c r="K2504" s="88"/>
    </row>
    <row r="2505" ht="15.75" customHeight="1" spans="1:11">
      <c r="A2505" s="88"/>
      <c r="B2505" s="88"/>
      <c r="C2505" s="88"/>
      <c r="D2505" s="88"/>
      <c r="E2505" s="88"/>
      <c r="F2505" s="88"/>
      <c r="G2505" s="88"/>
      <c r="H2505" s="88"/>
      <c r="I2505" s="88"/>
      <c r="J2505" s="88"/>
      <c r="K2505" s="88"/>
    </row>
    <row r="2506" ht="15.75" customHeight="1" spans="1:11">
      <c r="A2506" s="88"/>
      <c r="B2506" s="88"/>
      <c r="C2506" s="88"/>
      <c r="D2506" s="88"/>
      <c r="E2506" s="88"/>
      <c r="F2506" s="88"/>
      <c r="G2506" s="88"/>
      <c r="H2506" s="88"/>
      <c r="I2506" s="88"/>
      <c r="J2506" s="88"/>
      <c r="K2506" s="88"/>
    </row>
    <row r="2507" ht="15.75" customHeight="1" spans="1:11">
      <c r="A2507" s="88"/>
      <c r="B2507" s="88"/>
      <c r="C2507" s="88"/>
      <c r="D2507" s="88"/>
      <c r="E2507" s="88"/>
      <c r="F2507" s="88"/>
      <c r="G2507" s="88"/>
      <c r="H2507" s="88"/>
      <c r="I2507" s="88"/>
      <c r="J2507" s="88"/>
      <c r="K2507" s="88"/>
    </row>
    <row r="2508" ht="15.75" customHeight="1" spans="1:11">
      <c r="A2508" s="88"/>
      <c r="B2508" s="88"/>
      <c r="C2508" s="88"/>
      <c r="D2508" s="88"/>
      <c r="E2508" s="88"/>
      <c r="F2508" s="88"/>
      <c r="G2508" s="88"/>
      <c r="H2508" s="88"/>
      <c r="I2508" s="88"/>
      <c r="J2508" s="88"/>
      <c r="K2508" s="88"/>
    </row>
    <row r="2509" ht="15.75" customHeight="1" spans="1:11">
      <c r="A2509" s="88"/>
      <c r="B2509" s="88"/>
      <c r="C2509" s="88"/>
      <c r="D2509" s="88"/>
      <c r="E2509" s="88"/>
      <c r="F2509" s="88"/>
      <c r="G2509" s="88"/>
      <c r="H2509" s="88"/>
      <c r="I2509" s="88"/>
      <c r="J2509" s="88"/>
      <c r="K2509" s="88"/>
    </row>
    <row r="2510" ht="15.75" customHeight="1" spans="1:11">
      <c r="A2510" s="88"/>
      <c r="B2510" s="88"/>
      <c r="C2510" s="88"/>
      <c r="D2510" s="88"/>
      <c r="E2510" s="88"/>
      <c r="F2510" s="88"/>
      <c r="G2510" s="88"/>
      <c r="H2510" s="88"/>
      <c r="I2510" s="88"/>
      <c r="J2510" s="88"/>
      <c r="K2510" s="88"/>
    </row>
    <row r="2511" ht="15.75" customHeight="1" spans="1:11">
      <c r="A2511" s="88"/>
      <c r="B2511" s="88"/>
      <c r="C2511" s="88"/>
      <c r="D2511" s="88"/>
      <c r="E2511" s="88"/>
      <c r="F2511" s="88"/>
      <c r="G2511" s="88"/>
      <c r="H2511" s="88"/>
      <c r="I2511" s="88"/>
      <c r="J2511" s="88"/>
      <c r="K2511" s="88"/>
    </row>
    <row r="2512" ht="15.75" customHeight="1" spans="1:11">
      <c r="A2512" s="88"/>
      <c r="B2512" s="88"/>
      <c r="C2512" s="88"/>
      <c r="D2512" s="88"/>
      <c r="E2512" s="88"/>
      <c r="F2512" s="88"/>
      <c r="G2512" s="88"/>
      <c r="H2512" s="88"/>
      <c r="I2512" s="88"/>
      <c r="J2512" s="88"/>
      <c r="K2512" s="88"/>
    </row>
    <row r="2513" ht="15.75" customHeight="1" spans="1:11">
      <c r="A2513" s="88"/>
      <c r="B2513" s="88"/>
      <c r="C2513" s="88"/>
      <c r="D2513" s="88"/>
      <c r="E2513" s="88"/>
      <c r="F2513" s="88"/>
      <c r="G2513" s="88"/>
      <c r="H2513" s="88"/>
      <c r="I2513" s="88"/>
      <c r="J2513" s="88"/>
      <c r="K2513" s="88"/>
    </row>
    <row r="2514" ht="15.75" customHeight="1" spans="1:11">
      <c r="A2514" s="88"/>
      <c r="B2514" s="88"/>
      <c r="C2514" s="88"/>
      <c r="D2514" s="88"/>
      <c r="E2514" s="88"/>
      <c r="F2514" s="88"/>
      <c r="G2514" s="88"/>
      <c r="H2514" s="88"/>
      <c r="I2514" s="88"/>
      <c r="J2514" s="88"/>
      <c r="K2514" s="88"/>
    </row>
    <row r="2515" ht="15.75" customHeight="1" spans="1:11">
      <c r="A2515" s="88"/>
      <c r="B2515" s="88"/>
      <c r="C2515" s="88"/>
      <c r="D2515" s="88"/>
      <c r="E2515" s="88"/>
      <c r="F2515" s="88"/>
      <c r="G2515" s="88"/>
      <c r="H2515" s="88"/>
      <c r="I2515" s="88"/>
      <c r="J2515" s="88"/>
      <c r="K2515" s="88"/>
    </row>
    <row r="2516" ht="15.75" customHeight="1" spans="1:11">
      <c r="A2516" s="88"/>
      <c r="B2516" s="88"/>
      <c r="C2516" s="88"/>
      <c r="D2516" s="88"/>
      <c r="E2516" s="88"/>
      <c r="F2516" s="88"/>
      <c r="G2516" s="88"/>
      <c r="H2516" s="88"/>
      <c r="I2516" s="88"/>
      <c r="J2516" s="88"/>
      <c r="K2516" s="88"/>
    </row>
    <row r="2517" ht="15.75" customHeight="1" spans="1:11">
      <c r="A2517" s="88"/>
      <c r="B2517" s="88"/>
      <c r="C2517" s="88"/>
      <c r="D2517" s="88"/>
      <c r="E2517" s="88"/>
      <c r="F2517" s="88"/>
      <c r="G2517" s="88"/>
      <c r="H2517" s="88"/>
      <c r="I2517" s="88"/>
      <c r="J2517" s="88"/>
      <c r="K2517" s="88"/>
    </row>
    <row r="2518" ht="15.75" customHeight="1" spans="1:11">
      <c r="A2518" s="88"/>
      <c r="B2518" s="88"/>
      <c r="C2518" s="88"/>
      <c r="D2518" s="88"/>
      <c r="E2518" s="88"/>
      <c r="F2518" s="88"/>
      <c r="G2518" s="88"/>
      <c r="H2518" s="88"/>
      <c r="I2518" s="88"/>
      <c r="J2518" s="88"/>
      <c r="K2518" s="88"/>
    </row>
    <row r="2519" ht="15.75" customHeight="1" spans="1:11">
      <c r="A2519" s="88"/>
      <c r="B2519" s="88"/>
      <c r="C2519" s="88"/>
      <c r="D2519" s="88"/>
      <c r="E2519" s="88"/>
      <c r="F2519" s="88"/>
      <c r="G2519" s="88"/>
      <c r="H2519" s="88"/>
      <c r="I2519" s="88"/>
      <c r="J2519" s="88"/>
      <c r="K2519" s="88"/>
    </row>
    <row r="2520" ht="15.75" customHeight="1" spans="1:11">
      <c r="A2520" s="88"/>
      <c r="B2520" s="88"/>
      <c r="C2520" s="88"/>
      <c r="D2520" s="88"/>
      <c r="E2520" s="88"/>
      <c r="F2520" s="88"/>
      <c r="G2520" s="88"/>
      <c r="H2520" s="88"/>
      <c r="I2520" s="88"/>
      <c r="J2520" s="88"/>
      <c r="K2520" s="88"/>
    </row>
    <row r="2521" ht="15.75" customHeight="1" spans="1:11">
      <c r="A2521" s="88"/>
      <c r="B2521" s="88"/>
      <c r="C2521" s="88"/>
      <c r="D2521" s="88"/>
      <c r="E2521" s="88"/>
      <c r="F2521" s="88"/>
      <c r="G2521" s="88"/>
      <c r="H2521" s="88"/>
      <c r="I2521" s="88"/>
      <c r="J2521" s="88"/>
      <c r="K2521" s="88"/>
    </row>
    <row r="2522" ht="15.75" customHeight="1" spans="1:11">
      <c r="A2522" s="88"/>
      <c r="B2522" s="88"/>
      <c r="C2522" s="88"/>
      <c r="D2522" s="88"/>
      <c r="E2522" s="88"/>
      <c r="F2522" s="88"/>
      <c r="G2522" s="88"/>
      <c r="H2522" s="88"/>
      <c r="I2522" s="88"/>
      <c r="J2522" s="88"/>
      <c r="K2522" s="88"/>
    </row>
    <row r="2523" ht="15.75" customHeight="1" spans="1:11">
      <c r="A2523" s="88"/>
      <c r="B2523" s="88"/>
      <c r="C2523" s="88"/>
      <c r="D2523" s="88"/>
      <c r="E2523" s="88"/>
      <c r="F2523" s="88"/>
      <c r="G2523" s="88"/>
      <c r="H2523" s="88"/>
      <c r="I2523" s="88"/>
      <c r="J2523" s="88"/>
      <c r="K2523" s="88"/>
    </row>
    <row r="2524" ht="15.75" customHeight="1" spans="1:11">
      <c r="A2524" s="88"/>
      <c r="B2524" s="88"/>
      <c r="C2524" s="88"/>
      <c r="D2524" s="88"/>
      <c r="E2524" s="88"/>
      <c r="F2524" s="88"/>
      <c r="G2524" s="88"/>
      <c r="H2524" s="88"/>
      <c r="I2524" s="88"/>
      <c r="J2524" s="88"/>
      <c r="K2524" s="88"/>
    </row>
    <row r="2525" ht="15.75" customHeight="1" spans="1:11">
      <c r="A2525" s="88"/>
      <c r="B2525" s="88"/>
      <c r="C2525" s="88"/>
      <c r="D2525" s="88"/>
      <c r="E2525" s="88"/>
      <c r="F2525" s="88"/>
      <c r="G2525" s="88"/>
      <c r="H2525" s="88"/>
      <c r="I2525" s="88"/>
      <c r="J2525" s="88"/>
      <c r="K2525" s="88"/>
    </row>
    <row r="2526" ht="15.75" customHeight="1" spans="1:11">
      <c r="A2526" s="88"/>
      <c r="B2526" s="88"/>
      <c r="C2526" s="88"/>
      <c r="D2526" s="88"/>
      <c r="E2526" s="88"/>
      <c r="F2526" s="88"/>
      <c r="G2526" s="88"/>
      <c r="H2526" s="88"/>
      <c r="I2526" s="88"/>
      <c r="J2526" s="88"/>
      <c r="K2526" s="88"/>
    </row>
    <row r="2527" ht="15.75" customHeight="1" spans="1:11">
      <c r="A2527" s="88"/>
      <c r="B2527" s="88"/>
      <c r="C2527" s="88"/>
      <c r="D2527" s="88"/>
      <c r="E2527" s="88"/>
      <c r="F2527" s="88"/>
      <c r="G2527" s="88"/>
      <c r="H2527" s="88"/>
      <c r="I2527" s="88"/>
      <c r="J2527" s="88"/>
      <c r="K2527" s="88"/>
    </row>
    <row r="2528" ht="15.75" customHeight="1" spans="1:11">
      <c r="A2528" s="88"/>
      <c r="B2528" s="88"/>
      <c r="C2528" s="88"/>
      <c r="D2528" s="88"/>
      <c r="E2528" s="88"/>
      <c r="F2528" s="88"/>
      <c r="G2528" s="88"/>
      <c r="H2528" s="88"/>
      <c r="I2528" s="88"/>
      <c r="J2528" s="88"/>
      <c r="K2528" s="88"/>
    </row>
    <row r="2529" ht="15.75" customHeight="1" spans="1:11">
      <c r="A2529" s="88"/>
      <c r="B2529" s="88"/>
      <c r="C2529" s="88"/>
      <c r="D2529" s="88"/>
      <c r="E2529" s="88"/>
      <c r="F2529" s="88"/>
      <c r="G2529" s="88"/>
      <c r="H2529" s="88"/>
      <c r="I2529" s="88"/>
      <c r="J2529" s="88"/>
      <c r="K2529" s="88"/>
    </row>
    <row r="2530" ht="15.75" customHeight="1" spans="1:11">
      <c r="A2530" s="88"/>
      <c r="B2530" s="88"/>
      <c r="C2530" s="88"/>
      <c r="D2530" s="88"/>
      <c r="E2530" s="88"/>
      <c r="F2530" s="88"/>
      <c r="G2530" s="88"/>
      <c r="H2530" s="88"/>
      <c r="I2530" s="88"/>
      <c r="J2530" s="88"/>
      <c r="K2530" s="88"/>
    </row>
    <row r="2531" ht="15.75" customHeight="1" spans="1:11">
      <c r="A2531" s="88"/>
      <c r="B2531" s="88"/>
      <c r="C2531" s="88"/>
      <c r="D2531" s="88"/>
      <c r="E2531" s="88"/>
      <c r="F2531" s="88"/>
      <c r="G2531" s="88"/>
      <c r="H2531" s="88"/>
      <c r="I2531" s="88"/>
      <c r="J2531" s="88"/>
      <c r="K2531" s="88"/>
    </row>
    <row r="2532" ht="15.75" customHeight="1" spans="1:11">
      <c r="A2532" s="88"/>
      <c r="B2532" s="88"/>
      <c r="C2532" s="88"/>
      <c r="D2532" s="88"/>
      <c r="E2532" s="88"/>
      <c r="F2532" s="88"/>
      <c r="G2532" s="88"/>
      <c r="H2532" s="88"/>
      <c r="I2532" s="88"/>
      <c r="J2532" s="88"/>
      <c r="K2532" s="88"/>
    </row>
    <row r="2533" ht="15.75" customHeight="1" spans="1:11">
      <c r="A2533" s="88"/>
      <c r="B2533" s="88"/>
      <c r="C2533" s="88"/>
      <c r="D2533" s="88"/>
      <c r="E2533" s="88"/>
      <c r="F2533" s="88"/>
      <c r="G2533" s="88"/>
      <c r="H2533" s="88"/>
      <c r="I2533" s="88"/>
      <c r="J2533" s="88"/>
      <c r="K2533" s="88"/>
    </row>
    <row r="2534" ht="15.75" customHeight="1" spans="1:11">
      <c r="A2534" s="88"/>
      <c r="B2534" s="88"/>
      <c r="C2534" s="88"/>
      <c r="D2534" s="88"/>
      <c r="E2534" s="88"/>
      <c r="F2534" s="88"/>
      <c r="G2534" s="88"/>
      <c r="H2534" s="88"/>
      <c r="I2534" s="88"/>
      <c r="J2534" s="88"/>
      <c r="K2534" s="88"/>
    </row>
    <row r="2535" ht="15.75" customHeight="1" spans="1:11">
      <c r="A2535" s="88"/>
      <c r="B2535" s="88"/>
      <c r="C2535" s="88"/>
      <c r="D2535" s="88"/>
      <c r="E2535" s="88"/>
      <c r="F2535" s="88"/>
      <c r="G2535" s="88"/>
      <c r="H2535" s="88"/>
      <c r="I2535" s="88"/>
      <c r="J2535" s="88"/>
      <c r="K2535" s="88"/>
    </row>
    <row r="2536" ht="15.75" customHeight="1" spans="1:11">
      <c r="A2536" s="88"/>
      <c r="B2536" s="88"/>
      <c r="C2536" s="88"/>
      <c r="D2536" s="88"/>
      <c r="E2536" s="88"/>
      <c r="F2536" s="88"/>
      <c r="G2536" s="88"/>
      <c r="H2536" s="88"/>
      <c r="I2536" s="88"/>
      <c r="J2536" s="88"/>
      <c r="K2536" s="88"/>
    </row>
    <row r="2537" ht="15.75" customHeight="1" spans="1:11">
      <c r="A2537" s="88"/>
      <c r="B2537" s="88"/>
      <c r="C2537" s="88"/>
      <c r="D2537" s="88"/>
      <c r="E2537" s="88"/>
      <c r="F2537" s="88"/>
      <c r="G2537" s="88"/>
      <c r="H2537" s="88"/>
      <c r="I2537" s="88"/>
      <c r="J2537" s="88"/>
      <c r="K2537" s="88"/>
    </row>
    <row r="2538" ht="15.75" customHeight="1" spans="1:11">
      <c r="A2538" s="88"/>
      <c r="B2538" s="88"/>
      <c r="C2538" s="88"/>
      <c r="D2538" s="88"/>
      <c r="E2538" s="88"/>
      <c r="F2538" s="88"/>
      <c r="G2538" s="88"/>
      <c r="H2538" s="88"/>
      <c r="I2538" s="88"/>
      <c r="J2538" s="88"/>
      <c r="K2538" s="88"/>
    </row>
    <row r="2539" ht="15.75" customHeight="1" spans="1:11">
      <c r="A2539" s="88"/>
      <c r="B2539" s="88"/>
      <c r="C2539" s="88"/>
      <c r="D2539" s="88"/>
      <c r="E2539" s="88"/>
      <c r="F2539" s="88"/>
      <c r="G2539" s="88"/>
      <c r="H2539" s="88"/>
      <c r="I2539" s="88"/>
      <c r="J2539" s="88"/>
      <c r="K2539" s="88"/>
    </row>
    <row r="2540" ht="15.75" customHeight="1" spans="1:11">
      <c r="A2540" s="88"/>
      <c r="B2540" s="88"/>
      <c r="C2540" s="88"/>
      <c r="D2540" s="88"/>
      <c r="E2540" s="88"/>
      <c r="F2540" s="88"/>
      <c r="G2540" s="88"/>
      <c r="H2540" s="88"/>
      <c r="I2540" s="88"/>
      <c r="J2540" s="88"/>
      <c r="K2540" s="88"/>
    </row>
    <row r="2541" ht="15.75" customHeight="1" spans="1:11">
      <c r="A2541" s="88"/>
      <c r="B2541" s="88"/>
      <c r="C2541" s="88"/>
      <c r="D2541" s="88"/>
      <c r="E2541" s="88"/>
      <c r="F2541" s="88"/>
      <c r="G2541" s="88"/>
      <c r="H2541" s="88"/>
      <c r="I2541" s="88"/>
      <c r="J2541" s="88"/>
      <c r="K2541" s="88"/>
    </row>
    <row r="2542" ht="15.75" customHeight="1" spans="1:11">
      <c r="A2542" s="88"/>
      <c r="B2542" s="88"/>
      <c r="C2542" s="88"/>
      <c r="D2542" s="88"/>
      <c r="E2542" s="88"/>
      <c r="F2542" s="88"/>
      <c r="G2542" s="88"/>
      <c r="H2542" s="88"/>
      <c r="I2542" s="88"/>
      <c r="J2542" s="88"/>
      <c r="K2542" s="88"/>
    </row>
    <row r="2543" ht="15.75" customHeight="1" spans="1:11">
      <c r="A2543" s="88"/>
      <c r="B2543" s="88"/>
      <c r="C2543" s="88"/>
      <c r="D2543" s="88"/>
      <c r="E2543" s="88"/>
      <c r="F2543" s="88"/>
      <c r="G2543" s="88"/>
      <c r="H2543" s="88"/>
      <c r="I2543" s="88"/>
      <c r="J2543" s="88"/>
      <c r="K2543" s="88"/>
    </row>
    <row r="2544" ht="15.75" customHeight="1" spans="1:11">
      <c r="A2544" s="88"/>
      <c r="B2544" s="88"/>
      <c r="C2544" s="88"/>
      <c r="D2544" s="88"/>
      <c r="E2544" s="88"/>
      <c r="F2544" s="88"/>
      <c r="G2544" s="88"/>
      <c r="H2544" s="88"/>
      <c r="I2544" s="88"/>
      <c r="J2544" s="88"/>
      <c r="K2544" s="88"/>
    </row>
    <row r="2545" ht="15.75" customHeight="1" spans="1:11">
      <c r="A2545" s="88"/>
      <c r="B2545" s="88"/>
      <c r="C2545" s="88"/>
      <c r="D2545" s="88"/>
      <c r="E2545" s="88"/>
      <c r="F2545" s="88"/>
      <c r="G2545" s="88"/>
      <c r="H2545" s="88"/>
      <c r="I2545" s="88"/>
      <c r="J2545" s="88"/>
      <c r="K2545" s="88"/>
    </row>
    <row r="2546" ht="15.75" customHeight="1" spans="1:11">
      <c r="A2546" s="88"/>
      <c r="B2546" s="88"/>
      <c r="C2546" s="88"/>
      <c r="D2546" s="88"/>
      <c r="E2546" s="88"/>
      <c r="F2546" s="88"/>
      <c r="G2546" s="88"/>
      <c r="H2546" s="88"/>
      <c r="I2546" s="88"/>
      <c r="J2546" s="88"/>
      <c r="K2546" s="88"/>
    </row>
    <row r="2547" ht="15.75" customHeight="1" spans="1:11">
      <c r="A2547" s="88"/>
      <c r="B2547" s="88"/>
      <c r="C2547" s="88"/>
      <c r="D2547" s="88"/>
      <c r="E2547" s="88"/>
      <c r="F2547" s="88"/>
      <c r="G2547" s="88"/>
      <c r="H2547" s="88"/>
      <c r="I2547" s="88"/>
      <c r="J2547" s="88"/>
      <c r="K2547" s="88"/>
    </row>
    <row r="2548" ht="15.75" customHeight="1" spans="1:11">
      <c r="A2548" s="88"/>
      <c r="B2548" s="88"/>
      <c r="C2548" s="88"/>
      <c r="D2548" s="88"/>
      <c r="E2548" s="88"/>
      <c r="F2548" s="88"/>
      <c r="G2548" s="88"/>
      <c r="H2548" s="88"/>
      <c r="I2548" s="88"/>
      <c r="J2548" s="88"/>
      <c r="K2548" s="88"/>
    </row>
    <row r="2549" ht="15.75" customHeight="1" spans="1:11">
      <c r="A2549" s="88"/>
      <c r="B2549" s="88"/>
      <c r="C2549" s="88"/>
      <c r="D2549" s="88"/>
      <c r="E2549" s="88"/>
      <c r="F2549" s="88"/>
      <c r="G2549" s="88"/>
      <c r="H2549" s="88"/>
      <c r="I2549" s="88"/>
      <c r="J2549" s="88"/>
      <c r="K2549" s="88"/>
    </row>
    <row r="2550" ht="15.75" customHeight="1" spans="1:11">
      <c r="A2550" s="88"/>
      <c r="B2550" s="88"/>
      <c r="C2550" s="88"/>
      <c r="D2550" s="88"/>
      <c r="E2550" s="88"/>
      <c r="F2550" s="88"/>
      <c r="G2550" s="88"/>
      <c r="H2550" s="88"/>
      <c r="I2550" s="88"/>
      <c r="J2550" s="88"/>
      <c r="K2550" s="88"/>
    </row>
    <row r="2551" ht="15.75" customHeight="1" spans="1:11">
      <c r="A2551" s="88"/>
      <c r="B2551" s="88"/>
      <c r="C2551" s="88"/>
      <c r="D2551" s="88"/>
      <c r="E2551" s="88"/>
      <c r="F2551" s="88"/>
      <c r="G2551" s="88"/>
      <c r="H2551" s="88"/>
      <c r="I2551" s="88"/>
      <c r="J2551" s="88"/>
      <c r="K2551" s="88"/>
    </row>
    <row r="2552" ht="15.75" customHeight="1" spans="1:11">
      <c r="A2552" s="88"/>
      <c r="B2552" s="88"/>
      <c r="C2552" s="88"/>
      <c r="D2552" s="88"/>
      <c r="E2552" s="88"/>
      <c r="F2552" s="88"/>
      <c r="G2552" s="88"/>
      <c r="H2552" s="88"/>
      <c r="I2552" s="88"/>
      <c r="J2552" s="88"/>
      <c r="K2552" s="88"/>
    </row>
    <row r="2553" ht="15.75" customHeight="1" spans="1:11">
      <c r="A2553" s="88"/>
      <c r="B2553" s="88"/>
      <c r="C2553" s="88"/>
      <c r="D2553" s="88"/>
      <c r="E2553" s="88"/>
      <c r="F2553" s="88"/>
      <c r="G2553" s="88"/>
      <c r="H2553" s="88"/>
      <c r="I2553" s="88"/>
      <c r="J2553" s="88"/>
      <c r="K2553" s="88"/>
    </row>
    <row r="2554" ht="15.75" customHeight="1" spans="1:11">
      <c r="A2554" s="88"/>
      <c r="B2554" s="88"/>
      <c r="C2554" s="88"/>
      <c r="D2554" s="88"/>
      <c r="E2554" s="88"/>
      <c r="F2554" s="88"/>
      <c r="G2554" s="88"/>
      <c r="H2554" s="88"/>
      <c r="I2554" s="88"/>
      <c r="J2554" s="88"/>
      <c r="K2554" s="88"/>
    </row>
    <row r="2555" ht="15.75" customHeight="1" spans="1:11">
      <c r="A2555" s="88"/>
      <c r="B2555" s="88"/>
      <c r="C2555" s="88"/>
      <c r="D2555" s="88"/>
      <c r="E2555" s="88"/>
      <c r="F2555" s="88"/>
      <c r="G2555" s="88"/>
      <c r="H2555" s="88"/>
      <c r="I2555" s="88"/>
      <c r="J2555" s="88"/>
      <c r="K2555" s="88"/>
    </row>
    <row r="2556" ht="15.75" customHeight="1" spans="1:11">
      <c r="A2556" s="88"/>
      <c r="B2556" s="88"/>
      <c r="C2556" s="88"/>
      <c r="D2556" s="88"/>
      <c r="E2556" s="88"/>
      <c r="F2556" s="88"/>
      <c r="G2556" s="88"/>
      <c r="H2556" s="88"/>
      <c r="I2556" s="88"/>
      <c r="J2556" s="88"/>
      <c r="K2556" s="88"/>
    </row>
    <row r="2557" ht="15.75" customHeight="1" spans="1:11">
      <c r="A2557" s="88"/>
      <c r="B2557" s="88"/>
      <c r="C2557" s="88"/>
      <c r="D2557" s="88"/>
      <c r="E2557" s="88"/>
      <c r="F2557" s="88"/>
      <c r="G2557" s="88"/>
      <c r="H2557" s="88"/>
      <c r="I2557" s="88"/>
      <c r="J2557" s="88"/>
      <c r="K2557" s="88"/>
    </row>
    <row r="2558" ht="15.75" customHeight="1" spans="1:11">
      <c r="A2558" s="88"/>
      <c r="B2558" s="88"/>
      <c r="C2558" s="88"/>
      <c r="D2558" s="88"/>
      <c r="E2558" s="88"/>
      <c r="F2558" s="88"/>
      <c r="G2558" s="88"/>
      <c r="H2558" s="88"/>
      <c r="I2558" s="88"/>
      <c r="J2558" s="88"/>
      <c r="K2558" s="88"/>
    </row>
    <row r="2559" ht="15.75" customHeight="1" spans="1:11">
      <c r="A2559" s="88"/>
      <c r="B2559" s="88"/>
      <c r="C2559" s="88"/>
      <c r="D2559" s="88"/>
      <c r="E2559" s="88"/>
      <c r="F2559" s="88"/>
      <c r="G2559" s="88"/>
      <c r="H2559" s="88"/>
      <c r="I2559" s="88"/>
      <c r="J2559" s="88"/>
      <c r="K2559" s="88"/>
    </row>
    <row r="2560" ht="15.75" customHeight="1" spans="1:11">
      <c r="A2560" s="88"/>
      <c r="B2560" s="88"/>
      <c r="C2560" s="88"/>
      <c r="D2560" s="88"/>
      <c r="E2560" s="88"/>
      <c r="F2560" s="88"/>
      <c r="G2560" s="88"/>
      <c r="H2560" s="88"/>
      <c r="I2560" s="88"/>
      <c r="J2560" s="88"/>
      <c r="K2560" s="88"/>
    </row>
    <row r="2561" ht="15.75" customHeight="1" spans="1:11">
      <c r="A2561" s="88"/>
      <c r="B2561" s="88"/>
      <c r="C2561" s="88"/>
      <c r="D2561" s="88"/>
      <c r="E2561" s="88"/>
      <c r="F2561" s="88"/>
      <c r="G2561" s="88"/>
      <c r="H2561" s="88"/>
      <c r="I2561" s="88"/>
      <c r="J2561" s="88"/>
      <c r="K2561" s="88"/>
    </row>
    <row r="2562" ht="15.75" customHeight="1" spans="1:11">
      <c r="A2562" s="88"/>
      <c r="B2562" s="88"/>
      <c r="C2562" s="88"/>
      <c r="D2562" s="88"/>
      <c r="E2562" s="88"/>
      <c r="F2562" s="88"/>
      <c r="G2562" s="88"/>
      <c r="H2562" s="88"/>
      <c r="I2562" s="88"/>
      <c r="J2562" s="88"/>
      <c r="K2562" s="88"/>
    </row>
    <row r="2563" ht="15.75" customHeight="1" spans="1:11">
      <c r="A2563" s="88"/>
      <c r="B2563" s="88"/>
      <c r="C2563" s="88"/>
      <c r="D2563" s="88"/>
      <c r="E2563" s="88"/>
      <c r="F2563" s="88"/>
      <c r="G2563" s="88"/>
      <c r="H2563" s="88"/>
      <c r="I2563" s="88"/>
      <c r="J2563" s="88"/>
      <c r="K2563" s="88"/>
    </row>
    <row r="2564" ht="15.75" customHeight="1" spans="1:11">
      <c r="A2564" s="88"/>
      <c r="B2564" s="88"/>
      <c r="C2564" s="88"/>
      <c r="D2564" s="88"/>
      <c r="E2564" s="88"/>
      <c r="F2564" s="88"/>
      <c r="G2564" s="88"/>
      <c r="H2564" s="88"/>
      <c r="I2564" s="88"/>
      <c r="J2564" s="88"/>
      <c r="K2564" s="88"/>
    </row>
    <row r="2565" ht="15.75" customHeight="1" spans="1:11">
      <c r="A2565" s="88"/>
      <c r="B2565" s="88"/>
      <c r="C2565" s="88"/>
      <c r="D2565" s="88"/>
      <c r="E2565" s="88"/>
      <c r="F2565" s="88"/>
      <c r="G2565" s="88"/>
      <c r="H2565" s="88"/>
      <c r="I2565" s="88"/>
      <c r="J2565" s="88"/>
      <c r="K2565" s="88"/>
    </row>
    <row r="2566" ht="15.75" customHeight="1" spans="1:11">
      <c r="A2566" s="88"/>
      <c r="B2566" s="88"/>
      <c r="C2566" s="88"/>
      <c r="D2566" s="88"/>
      <c r="E2566" s="88"/>
      <c r="F2566" s="88"/>
      <c r="G2566" s="88"/>
      <c r="H2566" s="88"/>
      <c r="I2566" s="88"/>
      <c r="J2566" s="88"/>
      <c r="K2566" s="88"/>
    </row>
    <row r="2567" ht="15.75" customHeight="1" spans="1:11">
      <c r="A2567" s="88"/>
      <c r="B2567" s="88"/>
      <c r="C2567" s="88"/>
      <c r="D2567" s="88"/>
      <c r="E2567" s="88"/>
      <c r="F2567" s="88"/>
      <c r="G2567" s="88"/>
      <c r="H2567" s="88"/>
      <c r="I2567" s="88"/>
      <c r="J2567" s="88"/>
      <c r="K2567" s="88"/>
    </row>
    <row r="2568" ht="15.75" customHeight="1" spans="1:11">
      <c r="A2568" s="88"/>
      <c r="B2568" s="88"/>
      <c r="C2568" s="88"/>
      <c r="D2568" s="88"/>
      <c r="E2568" s="88"/>
      <c r="F2568" s="88"/>
      <c r="G2568" s="88"/>
      <c r="H2568" s="88"/>
      <c r="I2568" s="88"/>
      <c r="J2568" s="88"/>
      <c r="K2568" s="88"/>
    </row>
    <row r="2569" ht="15.75" customHeight="1" spans="1:11">
      <c r="A2569" s="88"/>
      <c r="B2569" s="88"/>
      <c r="C2569" s="88"/>
      <c r="D2569" s="88"/>
      <c r="E2569" s="88"/>
      <c r="F2569" s="88"/>
      <c r="G2569" s="88"/>
      <c r="H2569" s="88"/>
      <c r="I2569" s="88"/>
      <c r="J2569" s="88"/>
      <c r="K2569" s="88"/>
    </row>
    <row r="2570" ht="15.75" customHeight="1" spans="1:11">
      <c r="A2570" s="88"/>
      <c r="B2570" s="88"/>
      <c r="C2570" s="88"/>
      <c r="D2570" s="88"/>
      <c r="E2570" s="88"/>
      <c r="F2570" s="88"/>
      <c r="G2570" s="88"/>
      <c r="H2570" s="88"/>
      <c r="I2570" s="88"/>
      <c r="J2570" s="88"/>
      <c r="K2570" s="88"/>
    </row>
    <row r="2571" ht="15.75" customHeight="1" spans="1:11">
      <c r="A2571" s="88"/>
      <c r="B2571" s="88"/>
      <c r="C2571" s="88"/>
      <c r="D2571" s="88"/>
      <c r="E2571" s="88"/>
      <c r="F2571" s="88"/>
      <c r="G2571" s="88"/>
      <c r="H2571" s="88"/>
      <c r="I2571" s="88"/>
      <c r="J2571" s="88"/>
      <c r="K2571" s="88"/>
    </row>
    <row r="2572" ht="15.75" customHeight="1" spans="1:11">
      <c r="A2572" s="88"/>
      <c r="B2572" s="88"/>
      <c r="C2572" s="88"/>
      <c r="D2572" s="88"/>
      <c r="E2572" s="88"/>
      <c r="F2572" s="88"/>
      <c r="G2572" s="88"/>
      <c r="H2572" s="88"/>
      <c r="I2572" s="88"/>
      <c r="J2572" s="88"/>
      <c r="K2572" s="88"/>
    </row>
    <row r="2573" ht="15.75" customHeight="1" spans="1:11">
      <c r="A2573" s="88"/>
      <c r="B2573" s="88"/>
      <c r="C2573" s="88"/>
      <c r="D2573" s="88"/>
      <c r="E2573" s="88"/>
      <c r="F2573" s="88"/>
      <c r="G2573" s="88"/>
      <c r="H2573" s="88"/>
      <c r="I2573" s="88"/>
      <c r="J2573" s="88"/>
      <c r="K2573" s="88"/>
    </row>
    <row r="2574" ht="15.75" customHeight="1" spans="1:11">
      <c r="A2574" s="88"/>
      <c r="B2574" s="88"/>
      <c r="C2574" s="88"/>
      <c r="D2574" s="88"/>
      <c r="E2574" s="88"/>
      <c r="F2574" s="88"/>
      <c r="G2574" s="88"/>
      <c r="H2574" s="88"/>
      <c r="I2574" s="88"/>
      <c r="J2574" s="88"/>
      <c r="K2574" s="88"/>
    </row>
    <row r="2575" ht="15.75" customHeight="1" spans="1:11">
      <c r="A2575" s="88"/>
      <c r="B2575" s="88"/>
      <c r="C2575" s="88"/>
      <c r="D2575" s="88"/>
      <c r="E2575" s="88"/>
      <c r="F2575" s="88"/>
      <c r="G2575" s="88"/>
      <c r="H2575" s="88"/>
      <c r="I2575" s="88"/>
      <c r="J2575" s="88"/>
      <c r="K2575" s="88"/>
    </row>
    <row r="2576" ht="15.75" customHeight="1" spans="1:11">
      <c r="A2576" s="88"/>
      <c r="B2576" s="88"/>
      <c r="C2576" s="88"/>
      <c r="D2576" s="88"/>
      <c r="E2576" s="88"/>
      <c r="F2576" s="88"/>
      <c r="G2576" s="88"/>
      <c r="H2576" s="88"/>
      <c r="I2576" s="88"/>
      <c r="J2576" s="88"/>
      <c r="K2576" s="88"/>
    </row>
    <row r="2577" ht="15.75" customHeight="1" spans="1:11">
      <c r="A2577" s="88"/>
      <c r="B2577" s="88"/>
      <c r="C2577" s="88"/>
      <c r="D2577" s="88"/>
      <c r="E2577" s="88"/>
      <c r="F2577" s="88"/>
      <c r="G2577" s="88"/>
      <c r="H2577" s="88"/>
      <c r="I2577" s="88"/>
      <c r="J2577" s="88"/>
      <c r="K2577" s="88"/>
    </row>
    <row r="2578" ht="15.75" customHeight="1" spans="1:11">
      <c r="A2578" s="88"/>
      <c r="B2578" s="88"/>
      <c r="C2578" s="88"/>
      <c r="D2578" s="88"/>
      <c r="E2578" s="88"/>
      <c r="F2578" s="88"/>
      <c r="G2578" s="88"/>
      <c r="H2578" s="88"/>
      <c r="I2578" s="88"/>
      <c r="J2578" s="88"/>
      <c r="K2578" s="88"/>
    </row>
    <row r="2579" ht="15.75" customHeight="1" spans="1:11">
      <c r="A2579" s="88"/>
      <c r="B2579" s="88"/>
      <c r="C2579" s="88"/>
      <c r="D2579" s="88"/>
      <c r="E2579" s="88"/>
      <c r="F2579" s="88"/>
      <c r="G2579" s="88"/>
      <c r="H2579" s="88"/>
      <c r="I2579" s="88"/>
      <c r="J2579" s="88"/>
      <c r="K2579" s="88"/>
    </row>
    <row r="2580" ht="15.75" customHeight="1" spans="1:11">
      <c r="A2580" s="88"/>
      <c r="B2580" s="88"/>
      <c r="C2580" s="88"/>
      <c r="D2580" s="88"/>
      <c r="E2580" s="88"/>
      <c r="F2580" s="88"/>
      <c r="G2580" s="88"/>
      <c r="H2580" s="88"/>
      <c r="I2580" s="88"/>
      <c r="J2580" s="88"/>
      <c r="K2580" s="88"/>
    </row>
    <row r="2581" ht="15.75" customHeight="1" spans="1:11">
      <c r="A2581" s="88"/>
      <c r="B2581" s="88"/>
      <c r="C2581" s="88"/>
      <c r="D2581" s="88"/>
      <c r="E2581" s="88"/>
      <c r="F2581" s="88"/>
      <c r="G2581" s="88"/>
      <c r="H2581" s="88"/>
      <c r="I2581" s="88"/>
      <c r="J2581" s="88"/>
      <c r="K2581" s="88"/>
    </row>
    <row r="2582" ht="15.75" customHeight="1" spans="1:11">
      <c r="A2582" s="88"/>
      <c r="B2582" s="88"/>
      <c r="C2582" s="88"/>
      <c r="D2582" s="88"/>
      <c r="E2582" s="88"/>
      <c r="F2582" s="88"/>
      <c r="G2582" s="88"/>
      <c r="H2582" s="88"/>
      <c r="I2582" s="88"/>
      <c r="J2582" s="88"/>
      <c r="K2582" s="88"/>
    </row>
    <row r="2583" ht="15.75" customHeight="1" spans="1:11">
      <c r="A2583" s="88"/>
      <c r="B2583" s="88"/>
      <c r="C2583" s="88"/>
      <c r="D2583" s="88"/>
      <c r="E2583" s="88"/>
      <c r="F2583" s="88"/>
      <c r="G2583" s="88"/>
      <c r="H2583" s="88"/>
      <c r="I2583" s="88"/>
      <c r="J2583" s="88"/>
      <c r="K2583" s="88"/>
    </row>
    <row r="2584" ht="15.75" customHeight="1" spans="1:11">
      <c r="A2584" s="88"/>
      <c r="B2584" s="88"/>
      <c r="C2584" s="88"/>
      <c r="D2584" s="88"/>
      <c r="E2584" s="88"/>
      <c r="F2584" s="88"/>
      <c r="G2584" s="88"/>
      <c r="H2584" s="88"/>
      <c r="I2584" s="88"/>
      <c r="J2584" s="88"/>
      <c r="K2584" s="88"/>
    </row>
    <row r="2585" ht="15.75" customHeight="1" spans="1:11">
      <c r="A2585" s="88"/>
      <c r="B2585" s="88"/>
      <c r="C2585" s="88"/>
      <c r="D2585" s="88"/>
      <c r="E2585" s="88"/>
      <c r="F2585" s="88"/>
      <c r="G2585" s="88"/>
      <c r="H2585" s="88"/>
      <c r="I2585" s="88"/>
      <c r="J2585" s="88"/>
      <c r="K2585" s="88"/>
    </row>
    <row r="2586" ht="15.75" customHeight="1" spans="1:11">
      <c r="A2586" s="88"/>
      <c r="B2586" s="88"/>
      <c r="C2586" s="88"/>
      <c r="D2586" s="88"/>
      <c r="E2586" s="88"/>
      <c r="F2586" s="88"/>
      <c r="G2586" s="88"/>
      <c r="H2586" s="88"/>
      <c r="I2586" s="88"/>
      <c r="J2586" s="88"/>
      <c r="K2586" s="88"/>
    </row>
    <row r="2587" ht="15.75" customHeight="1" spans="1:11">
      <c r="A2587" s="88"/>
      <c r="B2587" s="88"/>
      <c r="C2587" s="88"/>
      <c r="D2587" s="88"/>
      <c r="E2587" s="88"/>
      <c r="F2587" s="88"/>
      <c r="G2587" s="88"/>
      <c r="H2587" s="88"/>
      <c r="I2587" s="88"/>
      <c r="J2587" s="88"/>
      <c r="K2587" s="88"/>
    </row>
    <row r="2588" ht="15.75" customHeight="1" spans="1:11">
      <c r="A2588" s="88"/>
      <c r="B2588" s="88"/>
      <c r="C2588" s="88"/>
      <c r="D2588" s="88"/>
      <c r="E2588" s="88"/>
      <c r="F2588" s="88"/>
      <c r="G2588" s="88"/>
      <c r="H2588" s="88"/>
      <c r="I2588" s="88"/>
      <c r="J2588" s="88"/>
      <c r="K2588" s="88"/>
    </row>
    <row r="2589" ht="15.75" customHeight="1" spans="1:11">
      <c r="A2589" s="91"/>
      <c r="D2589" s="92"/>
      <c r="F2589" s="93"/>
      <c r="G2589" s="94"/>
      <c r="H2589" s="94"/>
      <c r="I2589" s="94"/>
      <c r="J2589" s="94"/>
      <c r="K2589" s="94"/>
    </row>
    <row r="2590" ht="15.75" customHeight="1" spans="1:11">
      <c r="A2590" s="91"/>
      <c r="D2590" s="92"/>
      <c r="F2590" s="93"/>
      <c r="G2590" s="94"/>
      <c r="H2590" s="94"/>
      <c r="I2590" s="94"/>
      <c r="J2590" s="94"/>
      <c r="K2590" s="94"/>
    </row>
  </sheetData>
  <autoFilter xmlns:etc="http://www.wps.cn/officeDocument/2017/etCustomData" ref="A1:K2590" etc:filterBottomFollowUsedRange="0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S103"/>
  <sheetViews>
    <sheetView showGridLines="0" zoomScale="70" zoomScaleNormal="70" topLeftCell="L1" workbookViewId="0">
      <selection activeCell="S15" sqref="S15"/>
    </sheetView>
  </sheetViews>
  <sheetFormatPr defaultColWidth="9" defaultRowHeight="15.75"/>
  <cols>
    <col min="1" max="1" width="6" style="6" customWidth="1"/>
    <col min="2" max="2" width="16.7142857142857" style="6" customWidth="1"/>
    <col min="3" max="3" width="13.5714285714286" style="6" customWidth="1"/>
    <col min="4" max="4" width="2.14285714285714" style="7" customWidth="1"/>
    <col min="5" max="5" width="6" style="6" customWidth="1"/>
    <col min="6" max="6" width="15.8571428571429" style="6" customWidth="1"/>
    <col min="7" max="7" width="15" style="6" customWidth="1"/>
    <col min="8" max="8" width="2.14285714285714" style="7" customWidth="1"/>
    <col min="9" max="9" width="6" style="6" customWidth="1"/>
    <col min="10" max="10" width="15.8571428571429" style="6" customWidth="1"/>
    <col min="11" max="11" width="16.8571428571429" style="6" customWidth="1"/>
    <col min="12" max="12" width="2.14285714285714" style="7" customWidth="1"/>
    <col min="13" max="13" width="6" style="6" customWidth="1"/>
    <col min="14" max="14" width="15.8571428571429" style="6" customWidth="1"/>
    <col min="15" max="15" width="16.8571428571429" style="6" customWidth="1"/>
    <col min="16" max="16" width="2.14285714285714" style="7" customWidth="1"/>
    <col min="17" max="17" width="6" style="6" customWidth="1"/>
    <col min="18" max="18" width="15.8571428571429" style="6" customWidth="1"/>
    <col min="19" max="19" width="15.2857142857143" style="6" customWidth="1"/>
    <col min="20" max="20" width="2.14285714285714" style="7" customWidth="1"/>
    <col min="21" max="21" width="6" style="6" customWidth="1"/>
    <col min="22" max="22" width="15.8571428571429" style="6" customWidth="1"/>
    <col min="23" max="23" width="15.2857142857143" style="6" customWidth="1"/>
    <col min="24" max="24" width="3.05714285714286" style="8" customWidth="1"/>
    <col min="25" max="25" width="3.05714285714286" style="9" customWidth="1"/>
    <col min="26" max="26" width="3.05714285714286" customWidth="1"/>
    <col min="27" max="27" width="6.43809523809524" style="10" customWidth="1"/>
    <col min="28" max="28" width="19" style="10" customWidth="1"/>
    <col min="29" max="29" width="10.2190476190476" style="11" customWidth="1"/>
    <col min="30" max="30" width="10" style="11" customWidth="1"/>
    <col min="31" max="31" width="13.3333333333333" style="11" customWidth="1"/>
    <col min="32" max="32" width="11.1047619047619" style="11" hidden="1" customWidth="1"/>
    <col min="33" max="33" width="11.552380952381" style="11" hidden="1" customWidth="1"/>
    <col min="34" max="34" width="6.88571428571429" style="12" customWidth="1"/>
    <col min="35" max="35" width="12.4380952380952" style="11" customWidth="1"/>
    <col min="36" max="36" width="4.43809523809524" style="10" customWidth="1"/>
    <col min="37" max="37" width="6.43809523809524" style="10" customWidth="1"/>
    <col min="38" max="38" width="19" style="10" customWidth="1"/>
    <col min="39" max="39" width="10.2190476190476" style="11" customWidth="1"/>
    <col min="40" max="40" width="10" style="11" customWidth="1"/>
    <col min="41" max="41" width="13.3333333333333" style="11" customWidth="1"/>
    <col min="42" max="42" width="11.1047619047619" style="11" hidden="1" customWidth="1"/>
    <col min="43" max="43" width="11.552380952381" style="11" hidden="1" customWidth="1"/>
    <col min="44" max="44" width="6.88571428571429" style="12" customWidth="1"/>
    <col min="45" max="45" width="12.4380952380952" style="11" customWidth="1"/>
  </cols>
  <sheetData>
    <row r="1" s="5" customFormat="1" spans="1:45">
      <c r="A1" s="13" t="s">
        <v>163</v>
      </c>
      <c r="B1" s="13"/>
      <c r="C1" s="13"/>
      <c r="D1" s="14"/>
      <c r="E1" s="13"/>
      <c r="F1" s="13"/>
      <c r="G1" s="13"/>
      <c r="H1" s="14"/>
      <c r="I1" s="13"/>
      <c r="J1" s="13"/>
      <c r="K1" s="13"/>
      <c r="L1" s="14"/>
      <c r="M1" s="13"/>
      <c r="N1" s="13"/>
      <c r="O1" s="13"/>
      <c r="P1" s="14"/>
      <c r="Q1" s="13"/>
      <c r="R1" s="13"/>
      <c r="S1" s="13"/>
      <c r="T1" s="14"/>
      <c r="U1" s="13"/>
      <c r="V1" s="13"/>
      <c r="W1" s="13"/>
      <c r="X1" s="15"/>
      <c r="Y1" s="16"/>
      <c r="AA1" s="17" t="s">
        <v>164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ht="21" spans="1:4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AA2" s="18" t="s">
        <v>165</v>
      </c>
      <c r="AB2" s="19"/>
      <c r="AC2" s="20"/>
      <c r="AD2" s="20"/>
      <c r="AE2" s="20"/>
      <c r="AF2" s="20"/>
      <c r="AG2" s="20"/>
      <c r="AH2" s="21"/>
      <c r="AI2" s="20"/>
      <c r="AJ2" s="19"/>
      <c r="AK2" s="18" t="s">
        <v>166</v>
      </c>
      <c r="AL2" s="19"/>
      <c r="AM2" s="20"/>
      <c r="AN2" s="20"/>
      <c r="AO2" s="20"/>
      <c r="AP2" s="20"/>
      <c r="AQ2" s="20"/>
      <c r="AR2" s="21"/>
      <c r="AS2" s="20"/>
    </row>
    <row r="3" ht="18.75" spans="1:45">
      <c r="A3" s="22" t="s">
        <v>167</v>
      </c>
      <c r="B3" s="22"/>
      <c r="C3" s="22"/>
      <c r="D3" s="23"/>
      <c r="E3" s="22" t="s">
        <v>168</v>
      </c>
      <c r="F3" s="22"/>
      <c r="G3" s="22"/>
      <c r="H3" s="23"/>
      <c r="I3" s="22" t="s">
        <v>169</v>
      </c>
      <c r="J3" s="22"/>
      <c r="K3" s="22"/>
      <c r="L3" s="23"/>
      <c r="M3" s="22" t="s">
        <v>170</v>
      </c>
      <c r="N3" s="22"/>
      <c r="O3" s="22"/>
      <c r="P3" s="23"/>
      <c r="Q3" s="22" t="s">
        <v>171</v>
      </c>
      <c r="R3" s="22"/>
      <c r="S3" s="22"/>
      <c r="T3" s="23"/>
      <c r="U3" s="22" t="s">
        <v>165</v>
      </c>
      <c r="V3" s="22"/>
      <c r="W3" s="22"/>
      <c r="X3" s="24"/>
      <c r="Y3" s="25"/>
      <c r="AB3" s="26" t="s">
        <v>172</v>
      </c>
      <c r="AL3" s="26" t="s">
        <v>172</v>
      </c>
    </row>
    <row r="4" ht="47.25" spans="1:45">
      <c r="A4" s="27" t="s">
        <v>0</v>
      </c>
      <c r="B4" s="27" t="s">
        <v>3</v>
      </c>
      <c r="C4" s="28" t="s">
        <v>173</v>
      </c>
      <c r="D4" s="29"/>
      <c r="E4" s="27" t="s">
        <v>0</v>
      </c>
      <c r="F4" s="27" t="s">
        <v>3</v>
      </c>
      <c r="G4" s="28" t="s">
        <v>173</v>
      </c>
      <c r="H4" s="29"/>
      <c r="I4" s="27" t="s">
        <v>0</v>
      </c>
      <c r="J4" s="27" t="s">
        <v>3</v>
      </c>
      <c r="K4" s="28" t="s">
        <v>173</v>
      </c>
      <c r="L4" s="29"/>
      <c r="M4" s="27" t="s">
        <v>0</v>
      </c>
      <c r="N4" s="27" t="s">
        <v>3</v>
      </c>
      <c r="O4" s="28" t="s">
        <v>173</v>
      </c>
      <c r="P4" s="29"/>
      <c r="Q4" s="27" t="s">
        <v>0</v>
      </c>
      <c r="R4" s="27" t="s">
        <v>3</v>
      </c>
      <c r="S4" s="28" t="s">
        <v>173</v>
      </c>
      <c r="T4" s="29"/>
      <c r="U4" s="27" t="s">
        <v>0</v>
      </c>
      <c r="V4" s="27" t="s">
        <v>3</v>
      </c>
      <c r="W4" s="28" t="s">
        <v>173</v>
      </c>
      <c r="AA4" s="30" t="s">
        <v>0</v>
      </c>
      <c r="AB4" s="30" t="s">
        <v>3</v>
      </c>
      <c r="AC4" s="31" t="s">
        <v>174</v>
      </c>
      <c r="AD4" s="31" t="s">
        <v>175</v>
      </c>
      <c r="AE4" s="31" t="s">
        <v>176</v>
      </c>
      <c r="AF4" s="31" t="s">
        <v>86</v>
      </c>
      <c r="AG4" s="31" t="s">
        <v>177</v>
      </c>
      <c r="AH4" s="32" t="s">
        <v>178</v>
      </c>
      <c r="AI4" s="31" t="s">
        <v>74</v>
      </c>
      <c r="AK4" s="30" t="s">
        <v>0</v>
      </c>
      <c r="AL4" s="30" t="s">
        <v>3</v>
      </c>
      <c r="AM4" s="31" t="s">
        <v>174</v>
      </c>
      <c r="AN4" s="31" t="s">
        <v>175</v>
      </c>
      <c r="AO4" s="31" t="s">
        <v>176</v>
      </c>
      <c r="AP4" s="31" t="s">
        <v>86</v>
      </c>
      <c r="AQ4" s="31" t="s">
        <v>177</v>
      </c>
      <c r="AR4" s="32" t="s">
        <v>178</v>
      </c>
      <c r="AS4" s="31" t="s">
        <v>74</v>
      </c>
    </row>
    <row r="5" spans="1:45">
      <c r="A5" s="33">
        <v>1</v>
      </c>
      <c r="B5" s="34" t="s">
        <v>179</v>
      </c>
      <c r="C5" s="35">
        <v>91965552</v>
      </c>
      <c r="D5" s="36"/>
      <c r="E5" s="33">
        <v>1</v>
      </c>
      <c r="F5" s="36" t="s">
        <v>180</v>
      </c>
      <c r="G5" s="37">
        <v>364774765</v>
      </c>
      <c r="H5" s="36"/>
      <c r="I5" s="33">
        <v>1</v>
      </c>
      <c r="J5" s="36" t="s">
        <v>180</v>
      </c>
      <c r="K5" s="37">
        <v>1097141905</v>
      </c>
      <c r="L5" s="36"/>
      <c r="M5" s="33">
        <v>1</v>
      </c>
      <c r="N5" s="36" t="s">
        <v>180</v>
      </c>
      <c r="O5" s="37">
        <v>609161759</v>
      </c>
      <c r="P5" s="36"/>
      <c r="Q5" s="33">
        <v>1</v>
      </c>
      <c r="R5" s="36" t="s">
        <v>180</v>
      </c>
      <c r="S5" s="37">
        <v>410597261</v>
      </c>
      <c r="T5" s="36"/>
      <c r="U5" s="33">
        <v>1</v>
      </c>
      <c r="V5" s="36" t="s">
        <v>180</v>
      </c>
      <c r="W5" s="37">
        <v>347366660</v>
      </c>
      <c r="X5" s="38"/>
      <c r="Y5" s="39"/>
      <c r="AA5" s="40">
        <v>1</v>
      </c>
      <c r="AB5" s="41" t="s">
        <v>181</v>
      </c>
      <c r="AC5" s="42">
        <v>18983</v>
      </c>
      <c r="AD5" s="42">
        <v>778054.9</v>
      </c>
      <c r="AE5" s="42">
        <v>563712106</v>
      </c>
      <c r="AF5" s="42">
        <v>2243598</v>
      </c>
      <c r="AG5" s="42">
        <v>895444</v>
      </c>
      <c r="AH5" s="43">
        <v>0.891764437696305</v>
      </c>
      <c r="AI5" s="42">
        <v>53088000</v>
      </c>
      <c r="AK5" s="40">
        <v>1</v>
      </c>
      <c r="AL5" s="41" t="s">
        <v>181</v>
      </c>
      <c r="AM5" s="42">
        <v>20042</v>
      </c>
      <c r="AN5" s="42">
        <v>802068.850000029</v>
      </c>
      <c r="AO5" s="42">
        <v>481622513</v>
      </c>
      <c r="AP5" s="42">
        <v>2131771</v>
      </c>
      <c r="AQ5" s="42">
        <v>694691</v>
      </c>
      <c r="AR5" s="43">
        <v>0.945328912014076</v>
      </c>
      <c r="AS5" s="42">
        <v>53089000</v>
      </c>
    </row>
    <row r="6" spans="1:45">
      <c r="A6" s="33">
        <v>2</v>
      </c>
      <c r="B6" s="34" t="s">
        <v>182</v>
      </c>
      <c r="C6" s="35">
        <v>82187815</v>
      </c>
      <c r="D6" s="36"/>
      <c r="E6" s="33">
        <v>2</v>
      </c>
      <c r="F6" s="36" t="s">
        <v>182</v>
      </c>
      <c r="G6" s="37">
        <v>65052781</v>
      </c>
      <c r="H6" s="36"/>
      <c r="I6" s="44">
        <v>2</v>
      </c>
      <c r="J6" s="45" t="s">
        <v>51</v>
      </c>
      <c r="K6" s="46">
        <v>157186708</v>
      </c>
      <c r="L6" s="36"/>
      <c r="M6" s="44">
        <v>2</v>
      </c>
      <c r="N6" s="45" t="s">
        <v>51</v>
      </c>
      <c r="O6" s="46">
        <v>110429397</v>
      </c>
      <c r="P6" s="36"/>
      <c r="Q6" s="47">
        <v>2</v>
      </c>
      <c r="R6" s="36" t="s">
        <v>183</v>
      </c>
      <c r="S6" s="37">
        <v>52559228</v>
      </c>
      <c r="T6" s="36"/>
      <c r="U6" s="47">
        <v>2</v>
      </c>
      <c r="V6" s="36" t="s">
        <v>183</v>
      </c>
      <c r="W6" s="37">
        <v>73472549</v>
      </c>
      <c r="X6" s="48"/>
      <c r="Y6" s="49"/>
      <c r="AA6" s="40">
        <v>2</v>
      </c>
      <c r="AB6" s="50" t="s">
        <v>184</v>
      </c>
      <c r="AC6" s="42">
        <v>634</v>
      </c>
      <c r="AD6" s="42">
        <v>4683.88333333333</v>
      </c>
      <c r="AE6" s="42">
        <v>193246637</v>
      </c>
      <c r="AF6" s="42">
        <v>1899900</v>
      </c>
      <c r="AG6" s="42">
        <v>208344</v>
      </c>
      <c r="AH6" s="43">
        <v>1.09096025303664</v>
      </c>
      <c r="AI6" s="42">
        <v>1410000</v>
      </c>
      <c r="AK6" s="40">
        <v>2</v>
      </c>
      <c r="AL6" s="41" t="s">
        <v>182</v>
      </c>
      <c r="AM6" s="42">
        <v>14849</v>
      </c>
      <c r="AN6" s="42">
        <v>173708.116666667</v>
      </c>
      <c r="AO6" s="42">
        <v>142859855</v>
      </c>
      <c r="AP6" s="42">
        <v>724578</v>
      </c>
      <c r="AQ6" s="42">
        <v>461855</v>
      </c>
      <c r="AR6" s="43">
        <v>0.826738633671883</v>
      </c>
      <c r="AS6" s="42">
        <v>28809300</v>
      </c>
    </row>
    <row r="7" spans="1:45">
      <c r="A7" s="44">
        <v>3</v>
      </c>
      <c r="B7" s="51" t="s">
        <v>51</v>
      </c>
      <c r="C7" s="52">
        <v>69827290</v>
      </c>
      <c r="D7" s="36"/>
      <c r="E7" s="33">
        <v>3</v>
      </c>
      <c r="F7" s="36" t="s">
        <v>179</v>
      </c>
      <c r="G7" s="37">
        <v>64274620</v>
      </c>
      <c r="H7" s="36"/>
      <c r="I7" s="33">
        <v>3</v>
      </c>
      <c r="J7" s="36" t="s">
        <v>185</v>
      </c>
      <c r="K7" s="37">
        <v>144560436</v>
      </c>
      <c r="L7" s="36"/>
      <c r="M7" s="33">
        <v>3</v>
      </c>
      <c r="N7" s="36" t="s">
        <v>185</v>
      </c>
      <c r="O7" s="37">
        <v>83652460</v>
      </c>
      <c r="P7" s="36"/>
      <c r="Q7" s="33">
        <v>3</v>
      </c>
      <c r="R7" s="36" t="s">
        <v>179</v>
      </c>
      <c r="S7" s="37">
        <v>44937566</v>
      </c>
      <c r="T7" s="36"/>
      <c r="U7" s="33">
        <v>3</v>
      </c>
      <c r="V7" s="53" t="s">
        <v>51</v>
      </c>
      <c r="W7" s="54">
        <v>66019519</v>
      </c>
      <c r="X7" s="48"/>
      <c r="Y7" s="49"/>
      <c r="AA7" s="40">
        <v>3</v>
      </c>
      <c r="AB7" s="10" t="s">
        <v>183</v>
      </c>
      <c r="AC7" s="42">
        <v>15020</v>
      </c>
      <c r="AD7" s="42">
        <v>185745.9</v>
      </c>
      <c r="AE7" s="42">
        <v>152225561</v>
      </c>
      <c r="AF7" s="42">
        <v>819403</v>
      </c>
      <c r="AG7" s="42">
        <v>730421</v>
      </c>
      <c r="AH7" s="43">
        <v>1.06738973611673</v>
      </c>
      <c r="AI7" s="42">
        <v>28797100</v>
      </c>
      <c r="AK7" s="40">
        <v>3</v>
      </c>
      <c r="AL7" s="41" t="s">
        <v>184</v>
      </c>
      <c r="AM7" s="42">
        <v>328</v>
      </c>
      <c r="AN7" s="42">
        <v>4246.48333333334</v>
      </c>
      <c r="AO7" s="42">
        <v>141981732</v>
      </c>
      <c r="AP7" s="42">
        <v>1413483</v>
      </c>
      <c r="AQ7" s="42">
        <v>215185</v>
      </c>
      <c r="AR7" s="43">
        <v>1.28139327088138</v>
      </c>
      <c r="AS7" s="42">
        <v>1410000</v>
      </c>
    </row>
    <row r="8" spans="1:45">
      <c r="A8" s="33">
        <v>4</v>
      </c>
      <c r="B8" s="55" t="s">
        <v>185</v>
      </c>
      <c r="C8" s="56">
        <v>68095308</v>
      </c>
      <c r="D8" s="36"/>
      <c r="E8" s="44">
        <v>4</v>
      </c>
      <c r="F8" s="45" t="s">
        <v>51</v>
      </c>
      <c r="G8" s="46">
        <v>59580851</v>
      </c>
      <c r="H8" s="36"/>
      <c r="I8" s="33">
        <v>4</v>
      </c>
      <c r="J8" s="36" t="s">
        <v>182</v>
      </c>
      <c r="K8" s="37">
        <v>106002681</v>
      </c>
      <c r="L8" s="36"/>
      <c r="M8" s="33">
        <v>4</v>
      </c>
      <c r="N8" s="36" t="s">
        <v>179</v>
      </c>
      <c r="O8" s="37">
        <v>66434104</v>
      </c>
      <c r="P8" s="36"/>
      <c r="Q8" s="33">
        <v>4</v>
      </c>
      <c r="R8" s="55" t="s">
        <v>186</v>
      </c>
      <c r="S8" s="37">
        <v>44690230</v>
      </c>
      <c r="T8" s="36"/>
      <c r="U8" s="33">
        <v>4</v>
      </c>
      <c r="V8" s="55" t="s">
        <v>179</v>
      </c>
      <c r="W8" s="37">
        <v>55238496</v>
      </c>
      <c r="X8" s="48"/>
      <c r="Y8" s="49"/>
      <c r="AA8" s="57">
        <v>4</v>
      </c>
      <c r="AB8" s="58" t="s">
        <v>46</v>
      </c>
      <c r="AC8" s="59">
        <v>6596</v>
      </c>
      <c r="AD8" s="59">
        <v>148860.516666667</v>
      </c>
      <c r="AE8" s="59">
        <v>91009356</v>
      </c>
      <c r="AF8" s="59">
        <v>706662</v>
      </c>
      <c r="AG8" s="59">
        <v>393565</v>
      </c>
      <c r="AH8" s="60">
        <v>1.07964072250232</v>
      </c>
      <c r="AI8" s="59">
        <v>16058700</v>
      </c>
      <c r="AK8" s="57">
        <v>4</v>
      </c>
      <c r="AL8" s="58" t="s">
        <v>46</v>
      </c>
      <c r="AM8" s="59">
        <v>10185</v>
      </c>
      <c r="AN8" s="59">
        <v>228639.616666668</v>
      </c>
      <c r="AO8" s="59">
        <v>87810444</v>
      </c>
      <c r="AP8" s="59">
        <v>620992</v>
      </c>
      <c r="AQ8" s="59">
        <v>313588</v>
      </c>
      <c r="AR8" s="60">
        <v>0.950886080611348</v>
      </c>
      <c r="AS8" s="59">
        <v>16400800</v>
      </c>
    </row>
    <row r="9" spans="1:45">
      <c r="A9" s="33">
        <v>5</v>
      </c>
      <c r="B9" s="34" t="s">
        <v>187</v>
      </c>
      <c r="C9" s="35">
        <v>30470685</v>
      </c>
      <c r="D9" s="36"/>
      <c r="E9" s="33">
        <v>5</v>
      </c>
      <c r="F9" s="55" t="s">
        <v>185</v>
      </c>
      <c r="G9" s="37">
        <v>48019497</v>
      </c>
      <c r="H9" s="36"/>
      <c r="I9" s="33">
        <v>5</v>
      </c>
      <c r="J9" s="55" t="s">
        <v>179</v>
      </c>
      <c r="K9" s="37">
        <v>101785190</v>
      </c>
      <c r="L9" s="36"/>
      <c r="M9" s="33">
        <v>5</v>
      </c>
      <c r="N9" s="55" t="s">
        <v>182</v>
      </c>
      <c r="O9" s="37">
        <v>63364838</v>
      </c>
      <c r="P9" s="36"/>
      <c r="Q9" s="33">
        <v>5</v>
      </c>
      <c r="R9" s="61" t="s">
        <v>51</v>
      </c>
      <c r="S9" s="46">
        <v>39793002</v>
      </c>
      <c r="T9" s="36"/>
      <c r="U9" s="33">
        <v>5</v>
      </c>
      <c r="V9" s="62" t="s">
        <v>186</v>
      </c>
      <c r="W9" s="37">
        <v>49965214</v>
      </c>
      <c r="X9" s="48"/>
      <c r="Y9" s="49"/>
      <c r="AA9" s="40">
        <v>5</v>
      </c>
      <c r="AB9" s="10" t="s">
        <v>188</v>
      </c>
      <c r="AC9" s="42">
        <v>5511</v>
      </c>
      <c r="AD9" s="42">
        <v>40268.3166666667</v>
      </c>
      <c r="AE9" s="42">
        <v>61965921</v>
      </c>
      <c r="AF9" s="42">
        <v>377281</v>
      </c>
      <c r="AG9" s="42">
        <v>283142</v>
      </c>
      <c r="AH9" s="43">
        <v>0.96640894562642</v>
      </c>
      <c r="AI9" s="42">
        <v>20179000</v>
      </c>
      <c r="AK9" s="40">
        <v>5</v>
      </c>
      <c r="AL9" s="41" t="s">
        <v>188</v>
      </c>
      <c r="AM9" s="42">
        <v>5133</v>
      </c>
      <c r="AN9" s="42">
        <v>42606.0333333334</v>
      </c>
      <c r="AO9" s="42">
        <v>65173301</v>
      </c>
      <c r="AP9" s="42">
        <v>559484</v>
      </c>
      <c r="AQ9" s="42">
        <v>263953</v>
      </c>
      <c r="AR9" s="43">
        <v>1.12988554400622</v>
      </c>
      <c r="AS9" s="42">
        <v>20591000</v>
      </c>
    </row>
    <row r="10" spans="1:45">
      <c r="A10" s="33">
        <v>6</v>
      </c>
      <c r="B10" s="34" t="s">
        <v>189</v>
      </c>
      <c r="C10" s="35">
        <v>20685038</v>
      </c>
      <c r="D10" s="36"/>
      <c r="E10" s="44">
        <v>6</v>
      </c>
      <c r="F10" s="45" t="s">
        <v>58</v>
      </c>
      <c r="G10" s="46">
        <v>21264048</v>
      </c>
      <c r="H10" s="36"/>
      <c r="I10" s="44">
        <v>6</v>
      </c>
      <c r="J10" s="45" t="s">
        <v>58</v>
      </c>
      <c r="K10" s="46">
        <v>67963191</v>
      </c>
      <c r="L10" s="36"/>
      <c r="M10" s="44">
        <v>6</v>
      </c>
      <c r="N10" s="45" t="s">
        <v>58</v>
      </c>
      <c r="O10" s="46">
        <v>53258306</v>
      </c>
      <c r="P10" s="36"/>
      <c r="Q10" s="33">
        <v>6</v>
      </c>
      <c r="R10" s="63" t="s">
        <v>59</v>
      </c>
      <c r="S10" s="46">
        <v>37450446</v>
      </c>
      <c r="T10" s="36"/>
      <c r="U10" s="33">
        <v>6</v>
      </c>
      <c r="V10" s="63" t="s">
        <v>59</v>
      </c>
      <c r="W10" s="46">
        <v>39895753</v>
      </c>
      <c r="X10" s="48"/>
      <c r="Y10" s="49"/>
      <c r="AA10" s="40">
        <v>6</v>
      </c>
      <c r="AB10" s="41" t="s">
        <v>185</v>
      </c>
      <c r="AC10" s="42">
        <v>8262</v>
      </c>
      <c r="AD10" s="42">
        <v>54416.6833333334</v>
      </c>
      <c r="AE10" s="42">
        <v>51900758</v>
      </c>
      <c r="AF10" s="42">
        <v>340650</v>
      </c>
      <c r="AG10" s="42">
        <v>164566</v>
      </c>
      <c r="AH10" s="43">
        <v>1.06647509983131</v>
      </c>
      <c r="AI10" s="42">
        <v>11759729</v>
      </c>
      <c r="AK10" s="40">
        <v>6</v>
      </c>
      <c r="AL10" s="41" t="s">
        <v>185</v>
      </c>
      <c r="AM10" s="42">
        <v>8348</v>
      </c>
      <c r="AN10" s="42">
        <v>56609.116666667</v>
      </c>
      <c r="AO10" s="42">
        <v>55932763</v>
      </c>
      <c r="AP10" s="42">
        <v>387604</v>
      </c>
      <c r="AQ10" s="42">
        <v>182230</v>
      </c>
      <c r="AR10" s="43">
        <v>0.907008057183133</v>
      </c>
      <c r="AS10" s="42">
        <v>11776629</v>
      </c>
    </row>
    <row r="11" spans="1:45">
      <c r="A11" s="44">
        <v>7</v>
      </c>
      <c r="B11" s="51" t="s">
        <v>58</v>
      </c>
      <c r="C11" s="52">
        <v>19458491</v>
      </c>
      <c r="D11" s="36"/>
      <c r="E11" s="33">
        <v>7</v>
      </c>
      <c r="F11" s="55" t="s">
        <v>187</v>
      </c>
      <c r="G11" s="37">
        <v>19483452</v>
      </c>
      <c r="H11" s="36"/>
      <c r="I11" s="33">
        <v>7</v>
      </c>
      <c r="J11" s="55" t="s">
        <v>187</v>
      </c>
      <c r="K11" s="37">
        <v>29864100</v>
      </c>
      <c r="L11" s="36"/>
      <c r="M11" s="33">
        <v>7</v>
      </c>
      <c r="N11" s="55" t="s">
        <v>187</v>
      </c>
      <c r="O11" s="37">
        <v>28764345</v>
      </c>
      <c r="P11" s="36"/>
      <c r="Q11" s="33">
        <v>7</v>
      </c>
      <c r="R11" s="55" t="s">
        <v>187</v>
      </c>
      <c r="S11" s="37">
        <v>26717355</v>
      </c>
      <c r="T11" s="36"/>
      <c r="U11" s="33">
        <v>7</v>
      </c>
      <c r="V11" s="55" t="s">
        <v>187</v>
      </c>
      <c r="W11" s="37">
        <v>26819471</v>
      </c>
      <c r="X11" s="48"/>
      <c r="Y11" s="49"/>
      <c r="AA11" s="57">
        <v>7</v>
      </c>
      <c r="AB11" s="64" t="s">
        <v>59</v>
      </c>
      <c r="AC11" s="59">
        <v>3955</v>
      </c>
      <c r="AD11" s="59">
        <v>71835.2499999999</v>
      </c>
      <c r="AE11" s="59">
        <v>42878936</v>
      </c>
      <c r="AF11" s="59">
        <v>323634</v>
      </c>
      <c r="AG11" s="59">
        <v>205040</v>
      </c>
      <c r="AH11" s="60">
        <v>1.32304230960638</v>
      </c>
      <c r="AI11" s="59">
        <v>3530000</v>
      </c>
      <c r="AK11" s="57">
        <v>7</v>
      </c>
      <c r="AL11" s="58" t="s">
        <v>58</v>
      </c>
      <c r="AM11" s="59">
        <v>4393</v>
      </c>
      <c r="AN11" s="59">
        <v>76129.1333333334</v>
      </c>
      <c r="AO11" s="59">
        <v>38966883</v>
      </c>
      <c r="AP11" s="59">
        <v>261894</v>
      </c>
      <c r="AQ11" s="59">
        <v>184229</v>
      </c>
      <c r="AR11" s="60">
        <v>1.04346958507698</v>
      </c>
      <c r="AS11" s="59">
        <v>3530000</v>
      </c>
    </row>
    <row r="12" spans="1:45">
      <c r="A12" s="33">
        <v>8</v>
      </c>
      <c r="B12" s="34" t="s">
        <v>180</v>
      </c>
      <c r="C12" s="35">
        <v>19227403</v>
      </c>
      <c r="D12" s="36"/>
      <c r="E12" s="33">
        <v>8</v>
      </c>
      <c r="F12" s="55" t="s">
        <v>189</v>
      </c>
      <c r="G12" s="37">
        <v>16306810</v>
      </c>
      <c r="H12" s="36"/>
      <c r="I12" s="33">
        <v>8</v>
      </c>
      <c r="J12" s="55" t="s">
        <v>189</v>
      </c>
      <c r="K12" s="37">
        <v>24646479</v>
      </c>
      <c r="L12" s="36"/>
      <c r="M12" s="33">
        <v>8</v>
      </c>
      <c r="N12" s="55" t="s">
        <v>190</v>
      </c>
      <c r="O12" s="37">
        <v>24839730</v>
      </c>
      <c r="P12" s="36"/>
      <c r="Q12" s="33">
        <v>8</v>
      </c>
      <c r="R12" s="55" t="s">
        <v>189</v>
      </c>
      <c r="S12" s="37">
        <v>17949970</v>
      </c>
      <c r="T12" s="36"/>
      <c r="U12" s="33">
        <v>8</v>
      </c>
      <c r="V12" s="55" t="s">
        <v>191</v>
      </c>
      <c r="W12" s="37">
        <v>24772244</v>
      </c>
      <c r="X12" s="48"/>
      <c r="Y12" s="49"/>
      <c r="AA12" s="40">
        <v>8</v>
      </c>
      <c r="AB12" s="41" t="s">
        <v>187</v>
      </c>
      <c r="AC12" s="42">
        <v>1695</v>
      </c>
      <c r="AD12" s="42">
        <v>11952.8333333333</v>
      </c>
      <c r="AE12" s="42">
        <v>27420203</v>
      </c>
      <c r="AF12" s="42">
        <v>153327</v>
      </c>
      <c r="AG12" s="42">
        <v>102498</v>
      </c>
      <c r="AH12" s="43">
        <v>0.932979963715075</v>
      </c>
      <c r="AI12" s="42">
        <v>2790000</v>
      </c>
      <c r="AK12" s="40">
        <v>8</v>
      </c>
      <c r="AL12" s="50" t="s">
        <v>191</v>
      </c>
      <c r="AM12" s="42">
        <v>2799</v>
      </c>
      <c r="AN12" s="42">
        <v>34844.5166666667</v>
      </c>
      <c r="AO12" s="42">
        <v>30596520</v>
      </c>
      <c r="AP12" s="42">
        <v>294459</v>
      </c>
      <c r="AQ12" s="42">
        <v>137845</v>
      </c>
      <c r="AR12" s="43">
        <v>1.24445453640874</v>
      </c>
      <c r="AS12" s="42">
        <v>1080000</v>
      </c>
    </row>
    <row r="13" spans="1:45">
      <c r="A13" s="33">
        <v>9</v>
      </c>
      <c r="B13" s="34" t="s">
        <v>190</v>
      </c>
      <c r="C13" s="35">
        <v>14127619</v>
      </c>
      <c r="D13" s="36"/>
      <c r="E13" s="33">
        <v>9</v>
      </c>
      <c r="F13" s="55" t="s">
        <v>190</v>
      </c>
      <c r="G13" s="37">
        <v>14591731</v>
      </c>
      <c r="H13" s="36"/>
      <c r="I13" s="33">
        <v>9</v>
      </c>
      <c r="J13" s="55" t="s">
        <v>192</v>
      </c>
      <c r="K13" s="37">
        <v>17010595</v>
      </c>
      <c r="L13" s="36"/>
      <c r="M13" s="33">
        <v>9</v>
      </c>
      <c r="N13" s="55" t="s">
        <v>189</v>
      </c>
      <c r="O13" s="37">
        <v>21114783</v>
      </c>
      <c r="P13" s="36"/>
      <c r="Q13" s="33">
        <v>9</v>
      </c>
      <c r="R13" s="55" t="s">
        <v>191</v>
      </c>
      <c r="S13" s="37">
        <v>17908855</v>
      </c>
      <c r="T13" s="36"/>
      <c r="U13" s="33">
        <v>9</v>
      </c>
      <c r="V13" s="65" t="s">
        <v>189</v>
      </c>
      <c r="W13" s="37">
        <v>20277014</v>
      </c>
      <c r="X13" s="48"/>
      <c r="Y13" s="49"/>
      <c r="AA13" s="40">
        <v>9</v>
      </c>
      <c r="AB13" s="41" t="s">
        <v>191</v>
      </c>
      <c r="AC13" s="42">
        <v>2851</v>
      </c>
      <c r="AD13" s="42">
        <v>31830.8</v>
      </c>
      <c r="AE13" s="42">
        <v>25393392</v>
      </c>
      <c r="AF13" s="42">
        <v>211569</v>
      </c>
      <c r="AG13" s="42">
        <v>132191</v>
      </c>
      <c r="AH13" s="43">
        <v>1.35373801184182</v>
      </c>
      <c r="AI13" s="42">
        <v>1070000</v>
      </c>
      <c r="AK13" s="40">
        <v>9</v>
      </c>
      <c r="AL13" s="50" t="s">
        <v>187</v>
      </c>
      <c r="AM13" s="42">
        <v>1675</v>
      </c>
      <c r="AN13" s="42">
        <v>11338.0166666667</v>
      </c>
      <c r="AO13" s="42">
        <v>21251139</v>
      </c>
      <c r="AP13" s="42">
        <v>123894</v>
      </c>
      <c r="AQ13" s="42">
        <v>72608</v>
      </c>
      <c r="AR13" s="43">
        <v>1.10705495218572</v>
      </c>
      <c r="AS13" s="42">
        <v>2790000</v>
      </c>
    </row>
    <row r="14" spans="1:45">
      <c r="A14" s="44">
        <v>10</v>
      </c>
      <c r="B14" s="51" t="s">
        <v>53</v>
      </c>
      <c r="C14" s="52">
        <v>9933851</v>
      </c>
      <c r="D14" s="36"/>
      <c r="E14" s="44">
        <v>10</v>
      </c>
      <c r="F14" s="66" t="s">
        <v>53</v>
      </c>
      <c r="G14" s="46">
        <v>12891469</v>
      </c>
      <c r="H14" s="36"/>
      <c r="I14" s="33">
        <v>10</v>
      </c>
      <c r="J14" s="55" t="s">
        <v>190</v>
      </c>
      <c r="K14" s="37">
        <v>14186213</v>
      </c>
      <c r="L14" s="36"/>
      <c r="M14" s="44">
        <v>10</v>
      </c>
      <c r="N14" s="66" t="s">
        <v>53</v>
      </c>
      <c r="O14" s="46">
        <v>16100177</v>
      </c>
      <c r="P14" s="36"/>
      <c r="Q14" s="33">
        <v>10</v>
      </c>
      <c r="R14" s="63" t="s">
        <v>53</v>
      </c>
      <c r="S14" s="46">
        <v>14943940</v>
      </c>
      <c r="T14" s="36"/>
      <c r="U14" s="33">
        <v>10</v>
      </c>
      <c r="V14" s="65" t="s">
        <v>193</v>
      </c>
      <c r="W14" s="37">
        <v>12852943</v>
      </c>
      <c r="X14" s="48"/>
      <c r="Y14" s="49"/>
      <c r="AA14" s="40">
        <v>10</v>
      </c>
      <c r="AB14" s="41" t="s">
        <v>189</v>
      </c>
      <c r="AC14" s="42">
        <v>1992</v>
      </c>
      <c r="AD14" s="42">
        <v>16834.7333333333</v>
      </c>
      <c r="AE14" s="42">
        <v>22472781</v>
      </c>
      <c r="AF14" s="42">
        <v>160394</v>
      </c>
      <c r="AG14" s="42">
        <v>90713</v>
      </c>
      <c r="AH14" s="43">
        <v>1.11738284638648</v>
      </c>
      <c r="AI14" s="42">
        <v>12000000</v>
      </c>
      <c r="AK14" s="40">
        <v>10</v>
      </c>
      <c r="AL14" s="41" t="s">
        <v>189</v>
      </c>
      <c r="AM14" s="42">
        <v>2042</v>
      </c>
      <c r="AN14" s="42">
        <v>14311.8166666667</v>
      </c>
      <c r="AO14" s="42">
        <v>19841517</v>
      </c>
      <c r="AP14" s="42">
        <v>137073</v>
      </c>
      <c r="AQ14" s="42">
        <v>63016</v>
      </c>
      <c r="AR14" s="43">
        <v>1.08891966922912</v>
      </c>
      <c r="AS14" s="42">
        <v>12000000</v>
      </c>
    </row>
    <row r="15" spans="1:45">
      <c r="A15" s="33">
        <v>11</v>
      </c>
      <c r="B15" s="34" t="s">
        <v>192</v>
      </c>
      <c r="C15" s="35">
        <v>9635819</v>
      </c>
      <c r="D15" s="36"/>
      <c r="E15" s="33">
        <v>11</v>
      </c>
      <c r="F15" s="55" t="s">
        <v>194</v>
      </c>
      <c r="G15" s="37">
        <v>8951046</v>
      </c>
      <c r="H15" s="36"/>
      <c r="I15" s="44">
        <v>11</v>
      </c>
      <c r="J15" s="66" t="s">
        <v>28</v>
      </c>
      <c r="K15" s="46">
        <v>13974231</v>
      </c>
      <c r="L15" s="36"/>
      <c r="M15" s="33">
        <v>11</v>
      </c>
      <c r="N15" s="55" t="s">
        <v>192</v>
      </c>
      <c r="O15" s="37">
        <v>10181773</v>
      </c>
      <c r="P15" s="36"/>
      <c r="Q15" s="33">
        <v>11</v>
      </c>
      <c r="R15" s="55" t="s">
        <v>194</v>
      </c>
      <c r="S15" s="37">
        <v>12123970</v>
      </c>
      <c r="T15" s="36"/>
      <c r="U15" s="33">
        <v>11</v>
      </c>
      <c r="V15" s="67" t="s">
        <v>53</v>
      </c>
      <c r="W15" s="54">
        <v>12149332</v>
      </c>
      <c r="X15" s="48"/>
      <c r="Y15" s="49"/>
      <c r="AA15" s="57">
        <v>11</v>
      </c>
      <c r="AB15" s="58" t="s">
        <v>53</v>
      </c>
      <c r="AC15" s="59">
        <v>1608</v>
      </c>
      <c r="AD15" s="59">
        <v>37491.1833333333</v>
      </c>
      <c r="AE15" s="59">
        <v>17649987</v>
      </c>
      <c r="AF15" s="59">
        <v>141441</v>
      </c>
      <c r="AG15" s="59">
        <v>77525</v>
      </c>
      <c r="AH15" s="60">
        <v>1.1253013354194</v>
      </c>
      <c r="AI15" s="59">
        <v>4266000</v>
      </c>
      <c r="AK15" s="57">
        <v>11</v>
      </c>
      <c r="AL15" s="64" t="s">
        <v>53</v>
      </c>
      <c r="AM15" s="59">
        <v>1800</v>
      </c>
      <c r="AN15" s="59">
        <v>34911.1833333334</v>
      </c>
      <c r="AO15" s="59">
        <v>18045846</v>
      </c>
      <c r="AP15" s="59">
        <v>163778</v>
      </c>
      <c r="AQ15" s="59">
        <v>78845</v>
      </c>
      <c r="AR15" s="60">
        <v>1.41223080414396</v>
      </c>
      <c r="AS15" s="59">
        <v>4266000</v>
      </c>
    </row>
    <row r="16" spans="1:45">
      <c r="A16" s="33">
        <v>12</v>
      </c>
      <c r="B16" s="34" t="s">
        <v>195</v>
      </c>
      <c r="C16" s="35">
        <v>7865375</v>
      </c>
      <c r="D16" s="36"/>
      <c r="E16" s="33">
        <v>12</v>
      </c>
      <c r="F16" s="55" t="s">
        <v>192</v>
      </c>
      <c r="G16" s="37">
        <v>8768175</v>
      </c>
      <c r="H16" s="36"/>
      <c r="I16" s="44">
        <v>12</v>
      </c>
      <c r="J16" s="66" t="s">
        <v>53</v>
      </c>
      <c r="K16" s="46">
        <v>11457854</v>
      </c>
      <c r="L16" s="36"/>
      <c r="M16" s="44">
        <v>12</v>
      </c>
      <c r="N16" s="66" t="s">
        <v>28</v>
      </c>
      <c r="O16" s="46">
        <v>9954836</v>
      </c>
      <c r="P16" s="36"/>
      <c r="Q16" s="33">
        <v>12</v>
      </c>
      <c r="R16" s="66" t="s">
        <v>28</v>
      </c>
      <c r="S16" s="46">
        <v>10453615</v>
      </c>
      <c r="T16" s="36"/>
      <c r="U16" s="33">
        <v>12</v>
      </c>
      <c r="V16" s="68" t="s">
        <v>194</v>
      </c>
      <c r="W16" s="37">
        <v>11516412</v>
      </c>
      <c r="X16" s="48"/>
      <c r="Y16" s="49"/>
      <c r="AA16" s="40">
        <v>12</v>
      </c>
      <c r="AB16" s="50" t="s">
        <v>193</v>
      </c>
      <c r="AC16" s="42">
        <v>1974</v>
      </c>
      <c r="AD16" s="42">
        <v>25930.3666666667</v>
      </c>
      <c r="AE16" s="42">
        <v>14400401</v>
      </c>
      <c r="AF16" s="42">
        <v>96630</v>
      </c>
      <c r="AG16" s="42">
        <v>42463</v>
      </c>
      <c r="AH16" s="43">
        <v>0.965896713570685</v>
      </c>
      <c r="AI16" s="42">
        <v>3470000</v>
      </c>
      <c r="AK16" s="40">
        <v>12</v>
      </c>
      <c r="AL16" s="50" t="s">
        <v>193</v>
      </c>
      <c r="AM16" s="42">
        <v>2172</v>
      </c>
      <c r="AN16" s="42">
        <v>27778.3499999999</v>
      </c>
      <c r="AO16" s="42">
        <v>15710439</v>
      </c>
      <c r="AP16" s="42">
        <v>102062</v>
      </c>
      <c r="AQ16" s="42">
        <v>43454</v>
      </c>
      <c r="AR16" s="43">
        <v>1.00292164248669</v>
      </c>
      <c r="AS16" s="42">
        <v>3470000</v>
      </c>
    </row>
    <row r="17" spans="1:45">
      <c r="A17" s="33">
        <v>13</v>
      </c>
      <c r="B17" s="34" t="s">
        <v>194</v>
      </c>
      <c r="C17" s="35">
        <v>7713968</v>
      </c>
      <c r="D17" s="36"/>
      <c r="E17" s="33">
        <v>13</v>
      </c>
      <c r="F17" s="55" t="s">
        <v>196</v>
      </c>
      <c r="G17" s="37">
        <v>8275221</v>
      </c>
      <c r="H17" s="36"/>
      <c r="I17" s="33">
        <v>13</v>
      </c>
      <c r="J17" s="55" t="s">
        <v>196</v>
      </c>
      <c r="K17" s="37">
        <v>8748355</v>
      </c>
      <c r="L17" s="36"/>
      <c r="M17" s="33">
        <v>13</v>
      </c>
      <c r="N17" s="55" t="s">
        <v>194</v>
      </c>
      <c r="O17" s="37">
        <v>7980774</v>
      </c>
      <c r="P17" s="36"/>
      <c r="Q17" s="33">
        <v>13</v>
      </c>
      <c r="R17" s="55" t="s">
        <v>193</v>
      </c>
      <c r="S17" s="37">
        <v>9431135</v>
      </c>
      <c r="T17" s="36"/>
      <c r="U17" s="33">
        <v>13</v>
      </c>
      <c r="V17" s="65" t="s">
        <v>197</v>
      </c>
      <c r="W17" s="37">
        <v>10837384</v>
      </c>
      <c r="X17" s="48"/>
      <c r="Y17" s="49"/>
      <c r="AA17" s="40">
        <v>13</v>
      </c>
      <c r="AB17" s="10" t="s">
        <v>194</v>
      </c>
      <c r="AC17" s="42">
        <v>469</v>
      </c>
      <c r="AD17" s="42">
        <v>2216.01666666667</v>
      </c>
      <c r="AE17" s="42">
        <v>12377898</v>
      </c>
      <c r="AF17" s="42">
        <v>202323</v>
      </c>
      <c r="AG17" s="42">
        <v>39343</v>
      </c>
      <c r="AH17" s="43">
        <v>1.95239934922715</v>
      </c>
      <c r="AI17" s="42">
        <v>1970000</v>
      </c>
      <c r="AK17" s="40">
        <v>13</v>
      </c>
      <c r="AL17" s="10" t="s">
        <v>194</v>
      </c>
      <c r="AM17" s="42">
        <v>474</v>
      </c>
      <c r="AN17" s="42">
        <v>1978.06666666666</v>
      </c>
      <c r="AO17" s="42">
        <v>13085316</v>
      </c>
      <c r="AP17" s="42">
        <v>220224</v>
      </c>
      <c r="AQ17" s="42">
        <v>37499</v>
      </c>
      <c r="AR17" s="43">
        <v>2.76480864633298</v>
      </c>
      <c r="AS17" s="42">
        <v>1970000</v>
      </c>
    </row>
    <row r="18" spans="1:45">
      <c r="A18" s="33">
        <v>14</v>
      </c>
      <c r="B18" s="34" t="s">
        <v>196</v>
      </c>
      <c r="C18" s="35">
        <v>5860643</v>
      </c>
      <c r="D18" s="36"/>
      <c r="E18" s="33">
        <v>14</v>
      </c>
      <c r="F18" s="55" t="s">
        <v>195</v>
      </c>
      <c r="G18" s="37">
        <v>3850515</v>
      </c>
      <c r="H18" s="36"/>
      <c r="I18" s="33">
        <v>14</v>
      </c>
      <c r="J18" s="55" t="s">
        <v>194</v>
      </c>
      <c r="K18" s="37">
        <v>7399017</v>
      </c>
      <c r="L18" s="36"/>
      <c r="M18" s="33">
        <v>14</v>
      </c>
      <c r="N18" s="55" t="s">
        <v>196</v>
      </c>
      <c r="O18" s="37">
        <v>6312273</v>
      </c>
      <c r="P18" s="36"/>
      <c r="Q18" s="33">
        <v>14</v>
      </c>
      <c r="R18" s="55" t="s">
        <v>197</v>
      </c>
      <c r="S18" s="37">
        <v>8011496</v>
      </c>
      <c r="T18" s="36"/>
      <c r="U18" s="33">
        <v>14</v>
      </c>
      <c r="V18" s="67" t="s">
        <v>29</v>
      </c>
      <c r="W18" s="54">
        <v>7332232</v>
      </c>
      <c r="X18" s="48"/>
      <c r="Y18" s="49"/>
      <c r="AA18" s="40">
        <v>14</v>
      </c>
      <c r="AB18" s="50" t="s">
        <v>197</v>
      </c>
      <c r="AC18" s="42">
        <v>1115</v>
      </c>
      <c r="AD18" s="42">
        <v>2720.78333333333</v>
      </c>
      <c r="AE18" s="42">
        <v>11375035</v>
      </c>
      <c r="AF18" s="42">
        <v>140379</v>
      </c>
      <c r="AG18" s="42">
        <v>13500</v>
      </c>
      <c r="AH18" s="43">
        <v>1.35277825518779</v>
      </c>
      <c r="AI18" s="42">
        <v>2210000</v>
      </c>
      <c r="AK18" s="40">
        <v>14</v>
      </c>
      <c r="AL18" s="10" t="s">
        <v>197</v>
      </c>
      <c r="AM18" s="42">
        <v>1139</v>
      </c>
      <c r="AN18" s="42">
        <v>3890.31666666667</v>
      </c>
      <c r="AO18" s="42">
        <v>8341913</v>
      </c>
      <c r="AP18" s="42">
        <v>96732</v>
      </c>
      <c r="AQ18" s="42">
        <v>9270</v>
      </c>
      <c r="AR18" s="43">
        <v>1.27020173098994</v>
      </c>
      <c r="AS18" s="42">
        <v>2210000</v>
      </c>
    </row>
    <row r="19" spans="1:45">
      <c r="A19" s="44">
        <v>15</v>
      </c>
      <c r="B19" s="51" t="s">
        <v>28</v>
      </c>
      <c r="C19" s="52">
        <v>4298036</v>
      </c>
      <c r="D19" s="36"/>
      <c r="E19" s="44">
        <v>15</v>
      </c>
      <c r="F19" s="66" t="s">
        <v>28</v>
      </c>
      <c r="G19" s="46">
        <v>3481212</v>
      </c>
      <c r="H19" s="36"/>
      <c r="I19" s="33">
        <v>15</v>
      </c>
      <c r="J19" s="55" t="s">
        <v>195</v>
      </c>
      <c r="K19" s="37">
        <v>6580037</v>
      </c>
      <c r="L19" s="36"/>
      <c r="M19" s="33">
        <v>15</v>
      </c>
      <c r="N19" s="55" t="s">
        <v>195</v>
      </c>
      <c r="O19" s="37">
        <v>4290175</v>
      </c>
      <c r="P19" s="36"/>
      <c r="Q19" s="33">
        <v>15</v>
      </c>
      <c r="R19" s="55" t="s">
        <v>195</v>
      </c>
      <c r="S19" s="37">
        <v>3189426</v>
      </c>
      <c r="T19" s="36"/>
      <c r="U19" s="33">
        <v>15</v>
      </c>
      <c r="V19" s="55" t="s">
        <v>195</v>
      </c>
      <c r="W19" s="37">
        <v>2335172</v>
      </c>
      <c r="X19" s="48"/>
      <c r="Y19" s="49"/>
      <c r="AA19" s="57">
        <v>15</v>
      </c>
      <c r="AB19" s="58" t="s">
        <v>29</v>
      </c>
      <c r="AC19" s="59">
        <v>2345</v>
      </c>
      <c r="AD19" s="59">
        <v>27707.0666666667</v>
      </c>
      <c r="AE19" s="59">
        <v>8611666</v>
      </c>
      <c r="AF19" s="59">
        <v>88855</v>
      </c>
      <c r="AG19" s="59">
        <v>37435</v>
      </c>
      <c r="AH19" s="60">
        <v>1.40550945623034</v>
      </c>
      <c r="AI19" s="59">
        <v>1392000</v>
      </c>
      <c r="AK19" s="57">
        <v>15</v>
      </c>
      <c r="AL19" s="58" t="s">
        <v>28</v>
      </c>
      <c r="AM19" s="59">
        <v>2436</v>
      </c>
      <c r="AN19" s="59">
        <v>29242.7333333333</v>
      </c>
      <c r="AO19" s="59">
        <v>8210912</v>
      </c>
      <c r="AP19" s="59">
        <v>80696</v>
      </c>
      <c r="AQ19" s="59">
        <v>34561</v>
      </c>
      <c r="AR19" s="60">
        <v>1.47670591015775</v>
      </c>
      <c r="AS19" s="59">
        <v>1392000</v>
      </c>
    </row>
    <row r="20" spans="1:45">
      <c r="X20" s="48"/>
      <c r="Y20" s="49"/>
      <c r="AA20" s="40">
        <v>16</v>
      </c>
      <c r="AB20" s="50" t="s">
        <v>198</v>
      </c>
      <c r="AC20" s="42">
        <v>1813</v>
      </c>
      <c r="AD20" s="42">
        <v>25513.3666666667</v>
      </c>
      <c r="AE20" s="42">
        <v>4283679</v>
      </c>
      <c r="AF20" s="42">
        <v>35399</v>
      </c>
      <c r="AG20" s="42">
        <v>19270</v>
      </c>
      <c r="AH20" s="43">
        <v>1.27621607501402</v>
      </c>
      <c r="AI20" s="42">
        <v>450000</v>
      </c>
      <c r="AK20" s="40">
        <v>16</v>
      </c>
      <c r="AL20" s="50" t="s">
        <v>199</v>
      </c>
      <c r="AM20" s="42">
        <v>1606</v>
      </c>
      <c r="AN20" s="42">
        <v>7511.03333333334</v>
      </c>
      <c r="AO20" s="42">
        <v>4235204</v>
      </c>
      <c r="AP20" s="42">
        <v>31419</v>
      </c>
      <c r="AQ20" s="42">
        <v>16361</v>
      </c>
      <c r="AR20" s="43">
        <v>1.09241653184737</v>
      </c>
      <c r="AS20" s="42">
        <v>382000</v>
      </c>
    </row>
    <row r="21" spans="1:45">
      <c r="A21" s="7"/>
      <c r="B21" s="7"/>
      <c r="C21" s="7"/>
      <c r="E21" s="7"/>
      <c r="F21" s="7"/>
      <c r="G21" s="7"/>
      <c r="I21" s="7"/>
      <c r="J21" s="7"/>
      <c r="K21" s="7"/>
      <c r="M21" s="7"/>
      <c r="N21" s="7"/>
      <c r="O21" s="7"/>
      <c r="Q21" s="7"/>
      <c r="R21" s="7"/>
      <c r="S21" s="7"/>
      <c r="U21" s="7"/>
      <c r="V21" s="7"/>
      <c r="W21" s="7"/>
      <c r="AA21" s="40">
        <v>17</v>
      </c>
      <c r="AB21" s="10" t="s">
        <v>199</v>
      </c>
      <c r="AC21" s="42">
        <v>1174</v>
      </c>
      <c r="AD21" s="42">
        <v>5658.73333333333</v>
      </c>
      <c r="AE21" s="42">
        <v>3934424</v>
      </c>
      <c r="AF21" s="42">
        <v>30940</v>
      </c>
      <c r="AG21" s="42">
        <v>22770</v>
      </c>
      <c r="AH21" s="43">
        <v>1.3651299402403</v>
      </c>
      <c r="AI21" s="42">
        <v>382000</v>
      </c>
      <c r="AK21" s="40">
        <v>17</v>
      </c>
      <c r="AL21" s="10" t="s">
        <v>198</v>
      </c>
      <c r="AM21" s="42">
        <v>1608</v>
      </c>
      <c r="AN21" s="42">
        <v>22785.15</v>
      </c>
      <c r="AO21" s="42">
        <v>3747506</v>
      </c>
      <c r="AP21" s="42">
        <v>28815</v>
      </c>
      <c r="AQ21" s="42">
        <v>9163</v>
      </c>
      <c r="AR21" s="43">
        <v>1.35319450174616</v>
      </c>
      <c r="AS21" s="42">
        <v>450000</v>
      </c>
    </row>
    <row r="22" spans="1:45">
      <c r="AA22" s="40">
        <v>18</v>
      </c>
      <c r="AB22" s="41" t="s">
        <v>200</v>
      </c>
      <c r="AC22" s="42">
        <v>189</v>
      </c>
      <c r="AD22" s="42">
        <v>1745.13333333333</v>
      </c>
      <c r="AE22" s="42">
        <v>2862305</v>
      </c>
      <c r="AF22" s="42">
        <v>35760</v>
      </c>
      <c r="AG22" s="42">
        <v>10996</v>
      </c>
      <c r="AH22" s="43">
        <v>1.63350865823174</v>
      </c>
      <c r="AI22" s="42">
        <v>639000</v>
      </c>
      <c r="AK22" s="40">
        <v>18</v>
      </c>
      <c r="AL22" s="10" t="s">
        <v>195</v>
      </c>
      <c r="AM22" s="42">
        <v>782</v>
      </c>
      <c r="AN22" s="42">
        <v>5175.78333333334</v>
      </c>
      <c r="AO22" s="42">
        <v>3479697</v>
      </c>
      <c r="AP22" s="42">
        <v>36527</v>
      </c>
      <c r="AQ22" s="42">
        <v>14041</v>
      </c>
      <c r="AR22" s="43">
        <v>1.4701329563733</v>
      </c>
      <c r="AS22" s="42">
        <v>2910000</v>
      </c>
    </row>
    <row r="23" spans="1:45">
      <c r="AA23" s="40">
        <v>19</v>
      </c>
      <c r="AB23" s="10" t="s">
        <v>195</v>
      </c>
      <c r="AC23" s="42">
        <v>658</v>
      </c>
      <c r="AD23" s="42">
        <v>6458.78333333333</v>
      </c>
      <c r="AE23" s="42">
        <v>2379930</v>
      </c>
      <c r="AF23" s="42">
        <v>19608</v>
      </c>
      <c r="AG23" s="42">
        <v>11263</v>
      </c>
      <c r="AH23" s="43">
        <v>1.29713899148294</v>
      </c>
      <c r="AI23" s="42">
        <v>2910000</v>
      </c>
      <c r="AK23" s="40">
        <v>19</v>
      </c>
      <c r="AL23" s="41" t="s">
        <v>200</v>
      </c>
      <c r="AM23" s="42">
        <v>225</v>
      </c>
      <c r="AN23" s="42">
        <v>2252.91666666667</v>
      </c>
      <c r="AO23" s="42">
        <v>1621939</v>
      </c>
      <c r="AP23" s="42">
        <v>15154</v>
      </c>
      <c r="AQ23" s="42">
        <v>5426</v>
      </c>
      <c r="AR23" s="43">
        <v>1.64210030793956</v>
      </c>
      <c r="AS23" s="42">
        <v>639000</v>
      </c>
    </row>
    <row r="24" spans="1:45">
      <c r="AA24" s="40">
        <v>20</v>
      </c>
      <c r="AB24" s="41" t="s">
        <v>201</v>
      </c>
      <c r="AC24" s="42">
        <v>310</v>
      </c>
      <c r="AD24" s="42">
        <v>1364.58333333333</v>
      </c>
      <c r="AE24" s="42">
        <v>2315494</v>
      </c>
      <c r="AF24" s="42">
        <v>18977</v>
      </c>
      <c r="AG24" s="42">
        <v>7387</v>
      </c>
      <c r="AH24" s="43">
        <v>1.13859072837157</v>
      </c>
      <c r="AI24" s="42">
        <v>755000</v>
      </c>
      <c r="AK24" s="40">
        <v>20</v>
      </c>
      <c r="AL24" s="10" t="s">
        <v>201</v>
      </c>
      <c r="AM24" s="42">
        <v>285</v>
      </c>
      <c r="AN24" s="42">
        <v>1026.03333333333</v>
      </c>
      <c r="AO24" s="42">
        <v>1241405</v>
      </c>
      <c r="AP24" s="42">
        <v>10620</v>
      </c>
      <c r="AQ24" s="42">
        <v>3190</v>
      </c>
      <c r="AR24" s="43">
        <v>1.12178999772436</v>
      </c>
      <c r="AS24" s="42">
        <v>755000</v>
      </c>
    </row>
    <row r="25" spans="1:45">
      <c r="AA25" s="40">
        <v>21</v>
      </c>
      <c r="AB25" s="41" t="s">
        <v>202</v>
      </c>
      <c r="AC25" s="42">
        <v>293</v>
      </c>
      <c r="AD25" s="42">
        <v>808.383333333333</v>
      </c>
      <c r="AE25" s="42">
        <v>2041002</v>
      </c>
      <c r="AF25" s="42">
        <v>43380</v>
      </c>
      <c r="AG25" s="42">
        <v>1628</v>
      </c>
      <c r="AH25" s="43">
        <v>2.205191371689</v>
      </c>
      <c r="AI25" s="42">
        <v>123000</v>
      </c>
      <c r="AK25" s="40">
        <v>21</v>
      </c>
      <c r="AL25" s="41" t="s">
        <v>203</v>
      </c>
      <c r="AM25" s="42">
        <v>832</v>
      </c>
      <c r="AN25" s="42">
        <v>3560.4</v>
      </c>
      <c r="AO25" s="42">
        <v>1216243</v>
      </c>
      <c r="AP25" s="42">
        <v>15475</v>
      </c>
      <c r="AQ25" s="42">
        <v>1095</v>
      </c>
      <c r="AR25" s="43">
        <v>1.53067086696509</v>
      </c>
      <c r="AS25" s="42">
        <v>418000</v>
      </c>
    </row>
    <row r="26" spans="1:45">
      <c r="AA26" s="40">
        <v>22</v>
      </c>
      <c r="AB26" s="41" t="s">
        <v>203</v>
      </c>
      <c r="AC26" s="42">
        <v>602</v>
      </c>
      <c r="AD26" s="42">
        <v>3273.11666666667</v>
      </c>
      <c r="AE26" s="42">
        <v>1078049</v>
      </c>
      <c r="AF26" s="42">
        <v>13980</v>
      </c>
      <c r="AG26" s="42">
        <v>863</v>
      </c>
      <c r="AH26" s="43">
        <v>1.37683908616399</v>
      </c>
      <c r="AI26" s="42">
        <v>418000</v>
      </c>
      <c r="AK26" s="40">
        <v>22</v>
      </c>
      <c r="AL26" s="41" t="s">
        <v>202</v>
      </c>
      <c r="AM26" s="42">
        <v>164</v>
      </c>
      <c r="AN26" s="42">
        <v>294.4</v>
      </c>
      <c r="AO26" s="42">
        <v>535679</v>
      </c>
      <c r="AP26" s="42">
        <v>9977</v>
      </c>
      <c r="AQ26" s="42">
        <v>246</v>
      </c>
      <c r="AR26" s="43">
        <v>1.89085875227621</v>
      </c>
      <c r="AS26" s="42">
        <v>123000</v>
      </c>
    </row>
    <row r="28" spans="1:45">
      <c r="AB28" s="19" t="s">
        <v>204</v>
      </c>
      <c r="AC28" s="20">
        <f t="shared" ref="AC28:AG28" si="0">SUM(AC8,AC11,AC15,AC19)</f>
        <v>14504</v>
      </c>
      <c r="AD28" s="20">
        <f t="shared" si="0"/>
        <v>285894.016666667</v>
      </c>
      <c r="AE28" s="20">
        <f t="shared" si="0"/>
        <v>160149945</v>
      </c>
      <c r="AF28" s="20">
        <f t="shared" si="0"/>
        <v>1260592</v>
      </c>
      <c r="AG28" s="20">
        <f t="shared" si="0"/>
        <v>713565</v>
      </c>
      <c r="AH28" s="21">
        <f>AVERAGE(AH8,AH11,AH15,AH19)</f>
        <v>1.23337345593961</v>
      </c>
      <c r="AI28" s="20">
        <f t="shared" ref="AI28:AQ28" si="1">SUM(AI8,AI11,AI15,AI19)</f>
        <v>25246700</v>
      </c>
      <c r="AJ28" s="20"/>
      <c r="AL28" s="19" t="s">
        <v>204</v>
      </c>
      <c r="AM28" s="20">
        <f t="shared" si="1"/>
        <v>18814</v>
      </c>
      <c r="AN28" s="20">
        <f t="shared" si="1"/>
        <v>368922.666666668</v>
      </c>
      <c r="AO28" s="20">
        <f t="shared" si="1"/>
        <v>153034085</v>
      </c>
      <c r="AP28" s="20">
        <f t="shared" si="1"/>
        <v>1127360</v>
      </c>
      <c r="AQ28" s="20">
        <f t="shared" si="1"/>
        <v>611223</v>
      </c>
      <c r="AR28" s="21">
        <f>AVERAGE(AR8,AR11,AR15,AR19)</f>
        <v>1.22082309499751</v>
      </c>
      <c r="AS28" s="20">
        <f>SUM(AS8,AS11,AS15,AS19)</f>
        <v>25588800</v>
      </c>
    </row>
    <row r="30" spans="1:45">
      <c r="AB30" s="19" t="s">
        <v>205</v>
      </c>
      <c r="AL30" s="19" t="s">
        <v>205</v>
      </c>
      <c r="AS30" s="50"/>
    </row>
    <row r="31" ht="47.25" spans="1:45">
      <c r="AA31" s="30" t="s">
        <v>0</v>
      </c>
      <c r="AB31" s="30" t="s">
        <v>3</v>
      </c>
      <c r="AC31" s="31" t="s">
        <v>174</v>
      </c>
      <c r="AD31" s="31" t="s">
        <v>175</v>
      </c>
      <c r="AE31" s="31" t="s">
        <v>176</v>
      </c>
      <c r="AF31" s="31" t="s">
        <v>86</v>
      </c>
      <c r="AG31" s="31" t="s">
        <v>177</v>
      </c>
      <c r="AH31" s="32" t="s">
        <v>178</v>
      </c>
      <c r="AI31" s="50"/>
      <c r="AK31" s="30" t="s">
        <v>0</v>
      </c>
      <c r="AL31" s="30" t="s">
        <v>3</v>
      </c>
      <c r="AM31" s="31" t="s">
        <v>174</v>
      </c>
      <c r="AN31" s="31" t="s">
        <v>175</v>
      </c>
      <c r="AO31" s="31" t="s">
        <v>176</v>
      </c>
      <c r="AP31" s="31" t="s">
        <v>86</v>
      </c>
      <c r="AQ31" s="31" t="s">
        <v>177</v>
      </c>
      <c r="AR31" s="32" t="s">
        <v>178</v>
      </c>
      <c r="AS31" s="50"/>
    </row>
    <row r="32" spans="1:45">
      <c r="AA32" s="40">
        <v>1</v>
      </c>
      <c r="AB32" s="10" t="s">
        <v>183</v>
      </c>
      <c r="AC32" s="69">
        <v>7674</v>
      </c>
      <c r="AD32" s="69">
        <v>104639.433333333</v>
      </c>
      <c r="AE32" s="69">
        <v>104679880</v>
      </c>
      <c r="AF32" s="69">
        <v>551946</v>
      </c>
      <c r="AG32" s="69">
        <v>595236</v>
      </c>
      <c r="AH32" s="70">
        <v>1.13873288971366</v>
      </c>
      <c r="AI32" s="50"/>
      <c r="AK32" s="40">
        <v>1</v>
      </c>
      <c r="AL32" s="10" t="s">
        <v>182</v>
      </c>
      <c r="AM32" s="69">
        <v>7343</v>
      </c>
      <c r="AN32" s="69">
        <v>104120.516666667</v>
      </c>
      <c r="AO32" s="69">
        <v>85251665</v>
      </c>
      <c r="AP32" s="69">
        <v>380539</v>
      </c>
      <c r="AQ32" s="69">
        <v>356706</v>
      </c>
      <c r="AR32" s="70">
        <v>0.877369639792507</v>
      </c>
      <c r="AS32" s="50"/>
    </row>
    <row r="33" spans="27:45">
      <c r="AA33" s="40">
        <v>2</v>
      </c>
      <c r="AB33" s="10" t="s">
        <v>184</v>
      </c>
      <c r="AC33" s="69">
        <v>107</v>
      </c>
      <c r="AD33" s="69">
        <v>1513.43333333333</v>
      </c>
      <c r="AE33" s="69">
        <v>100125622</v>
      </c>
      <c r="AF33" s="69">
        <v>928342</v>
      </c>
      <c r="AG33" s="69">
        <v>158149</v>
      </c>
      <c r="AH33" s="70">
        <v>1.08512784070395</v>
      </c>
      <c r="AI33" s="50"/>
      <c r="AK33" s="40">
        <v>2</v>
      </c>
      <c r="AL33" s="10" t="s">
        <v>184</v>
      </c>
      <c r="AM33" s="69">
        <v>82</v>
      </c>
      <c r="AN33" s="69">
        <v>1942.71666666667</v>
      </c>
      <c r="AO33" s="69">
        <v>68404508</v>
      </c>
      <c r="AP33" s="69">
        <v>595718</v>
      </c>
      <c r="AQ33" s="69">
        <v>137768</v>
      </c>
      <c r="AR33" s="70">
        <v>1.65273417281112</v>
      </c>
      <c r="AS33" s="50"/>
    </row>
    <row r="34" spans="27:45">
      <c r="AA34" s="57">
        <v>3</v>
      </c>
      <c r="AB34" s="64" t="s">
        <v>46</v>
      </c>
      <c r="AC34" s="71">
        <v>5434</v>
      </c>
      <c r="AD34" s="71">
        <v>82268.7666666666</v>
      </c>
      <c r="AE34" s="71">
        <v>56634129</v>
      </c>
      <c r="AF34" s="71">
        <v>380414</v>
      </c>
      <c r="AG34" s="71">
        <v>292844</v>
      </c>
      <c r="AH34" s="72">
        <v>1.17546579021571</v>
      </c>
      <c r="AI34" s="50"/>
      <c r="AK34" s="40">
        <v>3</v>
      </c>
      <c r="AL34" s="10" t="s">
        <v>181</v>
      </c>
      <c r="AM34" s="69">
        <v>5900</v>
      </c>
      <c r="AN34" s="69">
        <v>35099.9333333335</v>
      </c>
      <c r="AO34" s="69">
        <v>53022148</v>
      </c>
      <c r="AP34" s="69">
        <v>363668</v>
      </c>
      <c r="AQ34" s="69">
        <v>253563</v>
      </c>
      <c r="AR34" s="70">
        <v>1.15354527419572</v>
      </c>
      <c r="AS34" s="50"/>
    </row>
    <row r="35" spans="27:45">
      <c r="AA35" s="40">
        <v>4</v>
      </c>
      <c r="AB35" s="41" t="s">
        <v>181</v>
      </c>
      <c r="AC35" s="73">
        <v>5809</v>
      </c>
      <c r="AD35" s="73">
        <v>34882.5833333334</v>
      </c>
      <c r="AE35" s="73">
        <v>55537052</v>
      </c>
      <c r="AF35" s="73">
        <v>370324</v>
      </c>
      <c r="AG35" s="73">
        <v>337635</v>
      </c>
      <c r="AH35" s="74">
        <v>1.31444549587495</v>
      </c>
      <c r="AI35" s="50"/>
      <c r="AK35" s="57">
        <v>4</v>
      </c>
      <c r="AL35" s="58" t="s">
        <v>46</v>
      </c>
      <c r="AM35" s="75">
        <v>8772</v>
      </c>
      <c r="AN35" s="75">
        <v>133321.383333334</v>
      </c>
      <c r="AO35" s="75">
        <v>51296337</v>
      </c>
      <c r="AP35" s="75">
        <v>307141</v>
      </c>
      <c r="AQ35" s="75">
        <v>228117</v>
      </c>
      <c r="AR35" s="76">
        <v>0.948581564767745</v>
      </c>
      <c r="AS35" s="50"/>
    </row>
    <row r="36" spans="27:45">
      <c r="AA36" s="40">
        <v>5</v>
      </c>
      <c r="AB36" s="10" t="s">
        <v>188</v>
      </c>
      <c r="AC36" s="69">
        <v>2532</v>
      </c>
      <c r="AD36" s="69">
        <v>31449.5166666666</v>
      </c>
      <c r="AE36" s="69">
        <v>41589627</v>
      </c>
      <c r="AF36" s="69">
        <v>263593</v>
      </c>
      <c r="AG36" s="69">
        <v>220591</v>
      </c>
      <c r="AH36" s="70">
        <v>1.09254119389066</v>
      </c>
      <c r="AI36" s="50"/>
      <c r="AK36" s="40">
        <v>5</v>
      </c>
      <c r="AL36" s="10" t="s">
        <v>188</v>
      </c>
      <c r="AM36" s="69">
        <v>2584</v>
      </c>
      <c r="AN36" s="69">
        <v>32857.0999999999</v>
      </c>
      <c r="AO36" s="69">
        <v>42668515</v>
      </c>
      <c r="AP36" s="69">
        <v>268162</v>
      </c>
      <c r="AQ36" s="69">
        <v>165216</v>
      </c>
      <c r="AR36" s="70">
        <v>1.12225855062555</v>
      </c>
      <c r="AS36" s="50"/>
    </row>
    <row r="37" spans="27:45">
      <c r="AA37" s="57">
        <v>6</v>
      </c>
      <c r="AB37" s="58" t="s">
        <v>59</v>
      </c>
      <c r="AC37" s="71">
        <v>2890</v>
      </c>
      <c r="AD37" s="71">
        <v>40425.25</v>
      </c>
      <c r="AE37" s="71">
        <v>34989925</v>
      </c>
      <c r="AF37" s="71">
        <v>241673</v>
      </c>
      <c r="AG37" s="71">
        <v>175576</v>
      </c>
      <c r="AH37" s="72">
        <v>0.943651816870783</v>
      </c>
      <c r="AI37" s="50"/>
      <c r="AK37" s="57">
        <v>6</v>
      </c>
      <c r="AL37" s="58" t="s">
        <v>58</v>
      </c>
      <c r="AM37" s="71">
        <v>3150</v>
      </c>
      <c r="AN37" s="71">
        <v>44485.4833333333</v>
      </c>
      <c r="AO37" s="71">
        <v>30936491</v>
      </c>
      <c r="AP37" s="71">
        <v>191255</v>
      </c>
      <c r="AQ37" s="71">
        <v>157878</v>
      </c>
      <c r="AR37" s="72">
        <v>1.06096141973869</v>
      </c>
      <c r="AS37" s="50"/>
    </row>
    <row r="38" spans="27:45">
      <c r="AA38" s="40">
        <v>7</v>
      </c>
      <c r="AB38" s="41" t="s">
        <v>185</v>
      </c>
      <c r="AC38" s="73">
        <v>2837</v>
      </c>
      <c r="AD38" s="73">
        <v>26127.1166666666</v>
      </c>
      <c r="AE38" s="73">
        <v>27275702</v>
      </c>
      <c r="AF38" s="73">
        <v>173400</v>
      </c>
      <c r="AG38" s="73">
        <v>106724</v>
      </c>
      <c r="AH38" s="74">
        <v>0.787132368725976</v>
      </c>
      <c r="AI38" s="50"/>
      <c r="AK38" s="40">
        <v>7</v>
      </c>
      <c r="AL38" s="41" t="s">
        <v>185</v>
      </c>
      <c r="AM38" s="73">
        <v>3106</v>
      </c>
      <c r="AN38" s="73">
        <v>28070.0666666667</v>
      </c>
      <c r="AO38" s="73">
        <v>25396544</v>
      </c>
      <c r="AP38" s="73">
        <v>153907</v>
      </c>
      <c r="AQ38" s="73">
        <v>81167</v>
      </c>
      <c r="AR38" s="74">
        <v>0.995141397058704</v>
      </c>
      <c r="AS38" s="50"/>
    </row>
    <row r="39" spans="27:45">
      <c r="AA39" s="57">
        <v>8</v>
      </c>
      <c r="AB39" s="58" t="s">
        <v>53</v>
      </c>
      <c r="AC39" s="75">
        <v>1158</v>
      </c>
      <c r="AD39" s="75">
        <v>12869.8</v>
      </c>
      <c r="AE39" s="75">
        <v>12324444</v>
      </c>
      <c r="AF39" s="75">
        <v>85091</v>
      </c>
      <c r="AG39" s="75">
        <v>68623</v>
      </c>
      <c r="AH39" s="76">
        <v>1.10331342985365</v>
      </c>
      <c r="AI39" s="50"/>
      <c r="AK39" s="57">
        <v>8</v>
      </c>
      <c r="AL39" s="58" t="s">
        <v>53</v>
      </c>
      <c r="AM39" s="75">
        <v>1393</v>
      </c>
      <c r="AN39" s="75">
        <v>16456.85</v>
      </c>
      <c r="AO39" s="75">
        <v>11654061</v>
      </c>
      <c r="AP39" s="75">
        <v>90718</v>
      </c>
      <c r="AQ39" s="75">
        <v>65365</v>
      </c>
      <c r="AR39" s="76">
        <v>1.42672114385448</v>
      </c>
      <c r="AS39" s="50"/>
    </row>
    <row r="40" spans="27:45">
      <c r="AA40" s="40">
        <v>9</v>
      </c>
      <c r="AB40" s="41" t="s">
        <v>191</v>
      </c>
      <c r="AC40" s="73">
        <v>910</v>
      </c>
      <c r="AD40" s="73">
        <v>11585.0166666667</v>
      </c>
      <c r="AE40" s="73">
        <v>10892771</v>
      </c>
      <c r="AF40" s="73">
        <v>84237</v>
      </c>
      <c r="AG40" s="73">
        <v>81568</v>
      </c>
      <c r="AH40" s="74">
        <v>1.52215629980654</v>
      </c>
      <c r="AI40" s="50"/>
      <c r="AK40" s="40">
        <v>9</v>
      </c>
      <c r="AL40" s="41" t="s">
        <v>191</v>
      </c>
      <c r="AM40" s="73">
        <v>994</v>
      </c>
      <c r="AN40" s="73">
        <v>11732.55</v>
      </c>
      <c r="AO40" s="73">
        <v>10015072</v>
      </c>
      <c r="AP40" s="73">
        <v>71964</v>
      </c>
      <c r="AQ40" s="73">
        <v>64317</v>
      </c>
      <c r="AR40" s="74">
        <v>1.35487544039642</v>
      </c>
      <c r="AS40" s="50"/>
    </row>
    <row r="41" spans="27:45">
      <c r="AA41" s="40">
        <v>10</v>
      </c>
      <c r="AB41" s="41" t="s">
        <v>189</v>
      </c>
      <c r="AC41" s="69">
        <v>762</v>
      </c>
      <c r="AD41" s="69">
        <v>7525.76666666667</v>
      </c>
      <c r="AE41" s="69">
        <v>8630159</v>
      </c>
      <c r="AF41" s="69">
        <v>61570</v>
      </c>
      <c r="AG41" s="69">
        <v>43198</v>
      </c>
      <c r="AH41" s="70">
        <v>1.21397531609788</v>
      </c>
      <c r="AI41" s="50"/>
      <c r="AK41" s="40">
        <v>10</v>
      </c>
      <c r="AL41" s="41" t="s">
        <v>189</v>
      </c>
      <c r="AM41" s="69">
        <v>747</v>
      </c>
      <c r="AN41" s="69">
        <v>7123.8</v>
      </c>
      <c r="AO41" s="69">
        <v>7300132</v>
      </c>
      <c r="AP41" s="69">
        <v>52217</v>
      </c>
      <c r="AQ41" s="69">
        <v>25966</v>
      </c>
      <c r="AR41" s="70">
        <v>1.27017885294785</v>
      </c>
      <c r="AS41" s="50"/>
    </row>
    <row r="42" spans="27:45">
      <c r="AA42" s="57">
        <v>11</v>
      </c>
      <c r="AB42" s="58" t="s">
        <v>29</v>
      </c>
      <c r="AC42" s="75">
        <v>1931</v>
      </c>
      <c r="AD42" s="75">
        <v>21726.55</v>
      </c>
      <c r="AE42" s="75">
        <v>6806471</v>
      </c>
      <c r="AF42" s="75">
        <v>60300</v>
      </c>
      <c r="AG42" s="75">
        <v>32193</v>
      </c>
      <c r="AH42" s="76">
        <v>1.34836032649624</v>
      </c>
      <c r="AI42" s="50"/>
      <c r="AK42" s="57">
        <v>11</v>
      </c>
      <c r="AL42" s="58" t="s">
        <v>28</v>
      </c>
      <c r="AM42" s="75">
        <v>1924</v>
      </c>
      <c r="AN42" s="75">
        <v>20996.4166666666</v>
      </c>
      <c r="AO42" s="75">
        <v>6753922</v>
      </c>
      <c r="AP42" s="75">
        <v>58390</v>
      </c>
      <c r="AQ42" s="75">
        <v>31349</v>
      </c>
      <c r="AR42" s="76">
        <v>1.47127040348104</v>
      </c>
      <c r="AS42" s="50"/>
    </row>
    <row r="43" spans="27:45">
      <c r="AA43" s="40">
        <v>12</v>
      </c>
      <c r="AB43" s="41" t="s">
        <v>187</v>
      </c>
      <c r="AC43" s="73">
        <v>331</v>
      </c>
      <c r="AD43" s="73">
        <v>2587.03333333333</v>
      </c>
      <c r="AE43" s="73">
        <v>5897843</v>
      </c>
      <c r="AF43" s="73">
        <v>39790</v>
      </c>
      <c r="AG43" s="73">
        <v>32779</v>
      </c>
      <c r="AH43" s="74">
        <v>1.23043288876967</v>
      </c>
      <c r="AI43" s="50"/>
      <c r="AK43" s="40">
        <v>12</v>
      </c>
      <c r="AL43" s="41" t="s">
        <v>187</v>
      </c>
      <c r="AM43" s="73">
        <v>294</v>
      </c>
      <c r="AN43" s="73">
        <v>1879.93333333333</v>
      </c>
      <c r="AO43" s="73">
        <v>4005939</v>
      </c>
      <c r="AP43" s="73">
        <v>26882</v>
      </c>
      <c r="AQ43" s="73">
        <v>20089</v>
      </c>
      <c r="AR43" s="74">
        <v>1.41867542537092</v>
      </c>
      <c r="AS43" s="50"/>
    </row>
    <row r="44" spans="27:45">
      <c r="AA44" s="40">
        <v>13</v>
      </c>
      <c r="AB44" s="41" t="s">
        <v>193</v>
      </c>
      <c r="AC44" s="73">
        <v>621</v>
      </c>
      <c r="AD44" s="73">
        <v>6297.9</v>
      </c>
      <c r="AE44" s="73">
        <v>3525576</v>
      </c>
      <c r="AF44" s="73">
        <v>20382</v>
      </c>
      <c r="AG44" s="73">
        <v>20562</v>
      </c>
      <c r="AH44" s="74">
        <v>1.16134214664497</v>
      </c>
      <c r="AI44" s="50"/>
      <c r="AK44" s="40">
        <v>13</v>
      </c>
      <c r="AL44" s="41" t="s">
        <v>193</v>
      </c>
      <c r="AM44" s="73">
        <v>570</v>
      </c>
      <c r="AN44" s="73">
        <v>6041.86666666667</v>
      </c>
      <c r="AO44" s="73">
        <v>3765718</v>
      </c>
      <c r="AP44" s="73">
        <v>20128</v>
      </c>
      <c r="AQ44" s="73">
        <v>14005</v>
      </c>
      <c r="AR44" s="74">
        <v>1.08327169309847</v>
      </c>
      <c r="AS44" s="50"/>
    </row>
    <row r="45" spans="27:45">
      <c r="AA45" s="40">
        <v>14</v>
      </c>
      <c r="AB45" s="41" t="s">
        <v>199</v>
      </c>
      <c r="AC45" s="73">
        <v>336</v>
      </c>
      <c r="AD45" s="73">
        <v>2589.58333333333</v>
      </c>
      <c r="AE45" s="73">
        <v>2033974</v>
      </c>
      <c r="AF45" s="73">
        <v>17092</v>
      </c>
      <c r="AG45" s="73">
        <v>12627</v>
      </c>
      <c r="AH45" s="74">
        <v>1.46112978828638</v>
      </c>
      <c r="AI45" s="50"/>
      <c r="AK45" s="40">
        <v>14</v>
      </c>
      <c r="AL45" s="41" t="s">
        <v>195</v>
      </c>
      <c r="AM45" s="73">
        <v>440</v>
      </c>
      <c r="AN45" s="73">
        <v>3823.73333333334</v>
      </c>
      <c r="AO45" s="73">
        <v>2067241</v>
      </c>
      <c r="AP45" s="73">
        <v>26190</v>
      </c>
      <c r="AQ45" s="73">
        <v>6700</v>
      </c>
      <c r="AR45" s="74">
        <v>1.4379220324806</v>
      </c>
      <c r="AS45" s="50"/>
    </row>
    <row r="46" spans="27:45">
      <c r="AA46" s="40">
        <v>15</v>
      </c>
      <c r="AB46" s="41" t="s">
        <v>200</v>
      </c>
      <c r="AC46" s="73">
        <v>84</v>
      </c>
      <c r="AD46" s="73">
        <v>1526.3</v>
      </c>
      <c r="AE46" s="73">
        <v>1991232</v>
      </c>
      <c r="AF46" s="73">
        <v>22115</v>
      </c>
      <c r="AG46" s="73">
        <v>9622</v>
      </c>
      <c r="AH46" s="74">
        <v>1.59383738308746</v>
      </c>
      <c r="AI46" s="50"/>
      <c r="AK46" s="40">
        <v>15</v>
      </c>
      <c r="AL46" s="41" t="s">
        <v>199</v>
      </c>
      <c r="AM46" s="73">
        <v>499</v>
      </c>
      <c r="AN46" s="73">
        <v>3311.91666666667</v>
      </c>
      <c r="AO46" s="73">
        <v>1747667</v>
      </c>
      <c r="AP46" s="73">
        <v>12740</v>
      </c>
      <c r="AQ46" s="73">
        <v>8359</v>
      </c>
      <c r="AR46" s="74">
        <v>1.35590909033203</v>
      </c>
      <c r="AS46" s="50"/>
    </row>
    <row r="47" spans="27:45">
      <c r="AA47" s="40">
        <v>16</v>
      </c>
      <c r="AB47" s="10" t="s">
        <v>195</v>
      </c>
      <c r="AC47" s="77">
        <v>442</v>
      </c>
      <c r="AD47" s="77">
        <v>4174.86666666667</v>
      </c>
      <c r="AE47" s="77">
        <v>1530193</v>
      </c>
      <c r="AF47" s="77">
        <v>13262</v>
      </c>
      <c r="AG47" s="77">
        <v>6301</v>
      </c>
      <c r="AH47" s="78">
        <v>1.27846618040992</v>
      </c>
      <c r="AI47" s="50"/>
      <c r="AK47" s="40">
        <v>16</v>
      </c>
      <c r="AL47" s="10" t="s">
        <v>200</v>
      </c>
      <c r="AM47" s="77">
        <v>86</v>
      </c>
      <c r="AN47" s="77">
        <v>1775.11666666667</v>
      </c>
      <c r="AO47" s="77">
        <v>810820</v>
      </c>
      <c r="AP47" s="77">
        <v>7461</v>
      </c>
      <c r="AQ47" s="77">
        <v>3748</v>
      </c>
      <c r="AR47" s="78">
        <v>2.44325743286249</v>
      </c>
      <c r="AS47" s="50"/>
    </row>
    <row r="48" spans="27:45">
      <c r="AA48" s="40">
        <v>17</v>
      </c>
      <c r="AB48" s="50" t="s">
        <v>198</v>
      </c>
      <c r="AC48" s="79">
        <v>335</v>
      </c>
      <c r="AD48" s="79">
        <v>2629.45</v>
      </c>
      <c r="AE48" s="79">
        <v>887754</v>
      </c>
      <c r="AF48" s="79">
        <v>7529</v>
      </c>
      <c r="AG48" s="79">
        <v>4428</v>
      </c>
      <c r="AH48" s="80">
        <v>1.34688213176173</v>
      </c>
      <c r="AI48" s="50"/>
      <c r="AK48" s="40">
        <v>17</v>
      </c>
      <c r="AL48" s="50" t="s">
        <v>194</v>
      </c>
      <c r="AM48" s="79">
        <v>42</v>
      </c>
      <c r="AN48" s="79">
        <v>276.766666666667</v>
      </c>
      <c r="AO48" s="79">
        <v>740231</v>
      </c>
      <c r="AP48" s="79">
        <v>8517</v>
      </c>
      <c r="AQ48" s="79">
        <v>3987</v>
      </c>
      <c r="AR48" s="80">
        <v>2.09036656476052</v>
      </c>
      <c r="AS48" s="50"/>
    </row>
    <row r="49" spans="27:45">
      <c r="AA49" s="40">
        <v>18</v>
      </c>
      <c r="AB49" s="50" t="s">
        <v>194</v>
      </c>
      <c r="AC49" s="79">
        <v>41</v>
      </c>
      <c r="AD49" s="79">
        <v>412.783333333333</v>
      </c>
      <c r="AE49" s="79">
        <v>616086</v>
      </c>
      <c r="AF49" s="79">
        <v>7236</v>
      </c>
      <c r="AG49" s="79">
        <v>2822</v>
      </c>
      <c r="AH49" s="80">
        <v>1.63256428485634</v>
      </c>
      <c r="AI49" s="50"/>
      <c r="AK49" s="40">
        <v>18</v>
      </c>
      <c r="AL49" s="50" t="s">
        <v>198</v>
      </c>
      <c r="AM49" s="79">
        <v>347</v>
      </c>
      <c r="AN49" s="79">
        <v>2412.01666666667</v>
      </c>
      <c r="AO49" s="79">
        <v>570168</v>
      </c>
      <c r="AP49" s="79">
        <v>5148</v>
      </c>
      <c r="AQ49" s="79">
        <v>1648</v>
      </c>
      <c r="AR49" s="80">
        <v>1.49285465305878</v>
      </c>
      <c r="AS49" s="50"/>
    </row>
    <row r="50" spans="27:45">
      <c r="AA50" s="40">
        <v>19</v>
      </c>
      <c r="AB50" s="50" t="s">
        <v>197</v>
      </c>
      <c r="AC50" s="79">
        <v>8</v>
      </c>
      <c r="AD50" s="79">
        <v>130.833333333333</v>
      </c>
      <c r="AE50" s="79">
        <v>436346</v>
      </c>
      <c r="AF50" s="79">
        <v>4704</v>
      </c>
      <c r="AG50" s="79">
        <v>1488</v>
      </c>
      <c r="AH50" s="80">
        <v>1.41905735356804</v>
      </c>
      <c r="AI50" s="50"/>
      <c r="AK50" s="40">
        <v>19</v>
      </c>
      <c r="AL50" s="50" t="s">
        <v>201</v>
      </c>
      <c r="AM50" s="79">
        <v>20</v>
      </c>
      <c r="AN50" s="79">
        <v>176.85</v>
      </c>
      <c r="AO50" s="79">
        <v>154707</v>
      </c>
      <c r="AP50" s="79">
        <v>1646</v>
      </c>
      <c r="AQ50" s="79">
        <v>488</v>
      </c>
      <c r="AR50" s="80">
        <v>1.11217391429794</v>
      </c>
      <c r="AS50" s="50"/>
    </row>
    <row r="51" spans="27:45">
      <c r="AA51" s="40">
        <v>20</v>
      </c>
      <c r="AB51" s="50" t="s">
        <v>201</v>
      </c>
      <c r="AC51" s="79">
        <v>19</v>
      </c>
      <c r="AD51" s="79">
        <v>230.35</v>
      </c>
      <c r="AE51" s="79">
        <v>227707</v>
      </c>
      <c r="AF51" s="79">
        <v>809</v>
      </c>
      <c r="AG51" s="79">
        <v>329</v>
      </c>
      <c r="AH51" s="80">
        <v>0.499765048944477</v>
      </c>
      <c r="AI51" s="50"/>
      <c r="AK51" s="40">
        <v>20</v>
      </c>
      <c r="AL51" s="50" t="s">
        <v>197</v>
      </c>
      <c r="AM51" s="79">
        <v>9</v>
      </c>
      <c r="AN51" s="79">
        <v>121.55</v>
      </c>
      <c r="AO51" s="79">
        <v>147704</v>
      </c>
      <c r="AP51" s="79">
        <v>1504</v>
      </c>
      <c r="AQ51" s="79">
        <v>247</v>
      </c>
      <c r="AR51" s="80">
        <v>2.60034204292931</v>
      </c>
      <c r="AS51" s="50"/>
    </row>
    <row r="52" spans="27:45">
      <c r="AA52" s="40">
        <v>21</v>
      </c>
      <c r="AB52" s="50" t="s">
        <v>202</v>
      </c>
      <c r="AC52" s="42">
        <v>34</v>
      </c>
      <c r="AD52" s="42">
        <v>425.8</v>
      </c>
      <c r="AE52" s="42">
        <v>98335</v>
      </c>
      <c r="AF52" s="42">
        <v>1417</v>
      </c>
      <c r="AG52" s="42">
        <v>307</v>
      </c>
      <c r="AH52" s="43">
        <v>1.75319062388773</v>
      </c>
      <c r="AI52" s="50"/>
      <c r="AK52" s="40">
        <v>21</v>
      </c>
      <c r="AL52" s="50" t="s">
        <v>203</v>
      </c>
      <c r="AM52" s="42">
        <v>35</v>
      </c>
      <c r="AN52" s="42">
        <v>453.3</v>
      </c>
      <c r="AO52" s="42">
        <v>131977</v>
      </c>
      <c r="AP52" s="42">
        <v>953</v>
      </c>
      <c r="AQ52" s="42">
        <v>197</v>
      </c>
      <c r="AR52" s="43">
        <v>2.17633265154989</v>
      </c>
      <c r="AS52" s="50"/>
    </row>
    <row r="53" spans="27:45">
      <c r="AA53" s="40">
        <v>22</v>
      </c>
      <c r="AB53" s="50" t="s">
        <v>203</v>
      </c>
      <c r="AC53" s="42">
        <v>25</v>
      </c>
      <c r="AD53" s="42">
        <v>507.116666666667</v>
      </c>
      <c r="AE53" s="42">
        <v>74754</v>
      </c>
      <c r="AF53" s="42">
        <v>705</v>
      </c>
      <c r="AG53" s="42">
        <v>88</v>
      </c>
      <c r="AH53" s="43">
        <v>1.06081279931509</v>
      </c>
      <c r="AI53" s="50"/>
      <c r="AK53" s="40">
        <v>22</v>
      </c>
      <c r="AL53" s="50" t="s">
        <v>202</v>
      </c>
      <c r="AM53" s="42">
        <v>10</v>
      </c>
      <c r="AN53" s="42">
        <v>110.383333333333</v>
      </c>
      <c r="AO53" s="42">
        <v>39055</v>
      </c>
      <c r="AP53" s="42">
        <v>296</v>
      </c>
      <c r="AQ53" s="42">
        <v>59</v>
      </c>
      <c r="AR53" s="43">
        <v>1.24422928925107</v>
      </c>
    </row>
    <row r="54" spans="27:45">
      <c r="AS54" s="50"/>
    </row>
    <row r="55" spans="27:45">
      <c r="AB55" s="19" t="s">
        <v>206</v>
      </c>
      <c r="AI55" s="50"/>
      <c r="AL55" s="19" t="s">
        <v>206</v>
      </c>
      <c r="AS55" s="50"/>
    </row>
    <row r="56" ht="47.25" spans="27:45">
      <c r="AA56" s="30" t="s">
        <v>0</v>
      </c>
      <c r="AB56" s="30" t="s">
        <v>3</v>
      </c>
      <c r="AC56" s="31" t="s">
        <v>174</v>
      </c>
      <c r="AD56" s="31" t="s">
        <v>175</v>
      </c>
      <c r="AE56" s="31" t="s">
        <v>176</v>
      </c>
      <c r="AF56" s="31" t="s">
        <v>86</v>
      </c>
      <c r="AG56" s="31" t="s">
        <v>177</v>
      </c>
      <c r="AH56" s="32" t="s">
        <v>178</v>
      </c>
      <c r="AI56" s="50"/>
      <c r="AK56" s="30" t="s">
        <v>0</v>
      </c>
      <c r="AL56" s="30" t="s">
        <v>3</v>
      </c>
      <c r="AM56" s="31" t="s">
        <v>174</v>
      </c>
      <c r="AN56" s="31" t="s">
        <v>175</v>
      </c>
      <c r="AO56" s="31" t="s">
        <v>176</v>
      </c>
      <c r="AP56" s="31" t="s">
        <v>86</v>
      </c>
      <c r="AQ56" s="31" t="s">
        <v>177</v>
      </c>
      <c r="AR56" s="32" t="s">
        <v>178</v>
      </c>
      <c r="AS56" s="50"/>
    </row>
    <row r="57" spans="27:45">
      <c r="AA57" s="40">
        <v>1</v>
      </c>
      <c r="AB57" s="41" t="s">
        <v>181</v>
      </c>
      <c r="AC57" s="69">
        <v>4676</v>
      </c>
      <c r="AD57" s="69">
        <v>732170.433333333</v>
      </c>
      <c r="AE57" s="69">
        <v>45565806</v>
      </c>
      <c r="AF57" s="69">
        <v>204271</v>
      </c>
      <c r="AG57" s="69">
        <v>124247</v>
      </c>
      <c r="AH57" s="70">
        <v>0.703689878980789</v>
      </c>
      <c r="AI57" s="50"/>
      <c r="AK57" s="40">
        <v>1</v>
      </c>
      <c r="AL57" s="41" t="s">
        <v>181</v>
      </c>
      <c r="AM57" s="69">
        <v>4404</v>
      </c>
      <c r="AN57" s="69">
        <v>754277.516666669</v>
      </c>
      <c r="AO57" s="69">
        <v>36913407</v>
      </c>
      <c r="AP57" s="69">
        <v>167735</v>
      </c>
      <c r="AQ57" s="69">
        <v>68911</v>
      </c>
      <c r="AR57" s="70">
        <v>0.804565918358788</v>
      </c>
      <c r="AS57" s="50"/>
    </row>
    <row r="58" spans="27:45">
      <c r="AA58" s="40">
        <v>2</v>
      </c>
      <c r="AB58" s="10" t="s">
        <v>183</v>
      </c>
      <c r="AC58" s="69">
        <v>879</v>
      </c>
      <c r="AD58" s="69">
        <v>69600.9166666667</v>
      </c>
      <c r="AE58" s="69">
        <v>14708655</v>
      </c>
      <c r="AF58" s="69">
        <v>99410</v>
      </c>
      <c r="AG58" s="69">
        <v>44734</v>
      </c>
      <c r="AH58" s="70">
        <v>0.647174599286753</v>
      </c>
      <c r="AI58" s="50"/>
      <c r="AK58" s="57">
        <v>2</v>
      </c>
      <c r="AL58" s="64" t="s">
        <v>46</v>
      </c>
      <c r="AM58" s="71">
        <v>786</v>
      </c>
      <c r="AN58" s="71">
        <v>94235.5833333335</v>
      </c>
      <c r="AO58" s="71">
        <v>18710942</v>
      </c>
      <c r="AP58" s="71">
        <v>94283</v>
      </c>
      <c r="AQ58" s="71">
        <v>31131</v>
      </c>
      <c r="AR58" s="72">
        <v>0.797115028796598</v>
      </c>
      <c r="AS58" s="50"/>
    </row>
    <row r="59" spans="27:45">
      <c r="AA59" s="57">
        <v>3</v>
      </c>
      <c r="AB59" s="64" t="s">
        <v>46</v>
      </c>
      <c r="AC59" s="71">
        <v>679</v>
      </c>
      <c r="AD59" s="71">
        <v>65674.5666666666</v>
      </c>
      <c r="AE59" s="71">
        <v>14671825</v>
      </c>
      <c r="AF59" s="71">
        <v>94735</v>
      </c>
      <c r="AG59" s="71">
        <v>46972</v>
      </c>
      <c r="AH59" s="72">
        <v>0.719030619807101</v>
      </c>
      <c r="AI59" s="50"/>
      <c r="AK59" s="40">
        <v>3</v>
      </c>
      <c r="AL59" s="10" t="s">
        <v>182</v>
      </c>
      <c r="AM59" s="69">
        <v>776</v>
      </c>
      <c r="AN59" s="69">
        <v>57302.0333333334</v>
      </c>
      <c r="AO59" s="69">
        <v>11360930</v>
      </c>
      <c r="AP59" s="69">
        <v>62612</v>
      </c>
      <c r="AQ59" s="69">
        <v>26601</v>
      </c>
      <c r="AR59" s="70">
        <v>0.88279512039624</v>
      </c>
      <c r="AS59" s="50"/>
    </row>
    <row r="60" spans="27:45">
      <c r="AA60" s="40">
        <v>4</v>
      </c>
      <c r="AB60" s="10" t="s">
        <v>188</v>
      </c>
      <c r="AC60" s="73">
        <v>79</v>
      </c>
      <c r="AD60" s="73">
        <v>4090.2</v>
      </c>
      <c r="AE60" s="73">
        <v>5594267</v>
      </c>
      <c r="AF60" s="73">
        <v>16508</v>
      </c>
      <c r="AG60" s="73">
        <v>9362</v>
      </c>
      <c r="AH60" s="74">
        <v>1.49067234155968</v>
      </c>
      <c r="AI60" s="50"/>
      <c r="AK60" s="40">
        <v>4</v>
      </c>
      <c r="AL60" s="10" t="s">
        <v>194</v>
      </c>
      <c r="AM60" s="73">
        <v>39</v>
      </c>
      <c r="AN60" s="73">
        <v>1153.41666666667</v>
      </c>
      <c r="AO60" s="73">
        <v>6520215</v>
      </c>
      <c r="AP60" s="73">
        <v>77661</v>
      </c>
      <c r="AQ60" s="73">
        <v>15047</v>
      </c>
      <c r="AR60" s="74">
        <v>2.1060149174761</v>
      </c>
      <c r="AS60" s="50"/>
    </row>
    <row r="61" spans="27:45">
      <c r="AA61" s="40">
        <v>5</v>
      </c>
      <c r="AB61" s="10" t="s">
        <v>187</v>
      </c>
      <c r="AC61" s="69">
        <v>137</v>
      </c>
      <c r="AD61" s="69">
        <v>7206.13333333333</v>
      </c>
      <c r="AE61" s="69">
        <v>5214971</v>
      </c>
      <c r="AF61" s="69">
        <v>30349</v>
      </c>
      <c r="AG61" s="69">
        <v>10236</v>
      </c>
      <c r="AH61" s="70">
        <v>0.778240185803526</v>
      </c>
      <c r="AI61" s="50"/>
      <c r="AK61" s="40">
        <v>5</v>
      </c>
      <c r="AL61" s="10" t="s">
        <v>191</v>
      </c>
      <c r="AM61" s="69">
        <v>507</v>
      </c>
      <c r="AN61" s="69">
        <v>20634.5833333333</v>
      </c>
      <c r="AO61" s="69">
        <v>3384335</v>
      </c>
      <c r="AP61" s="69">
        <v>24767</v>
      </c>
      <c r="AQ61" s="69">
        <v>13085</v>
      </c>
      <c r="AR61" s="70">
        <v>1.04609054017276</v>
      </c>
      <c r="AS61" s="50"/>
    </row>
    <row r="62" spans="27:45">
      <c r="AA62" s="40">
        <v>6</v>
      </c>
      <c r="AB62" s="41" t="s">
        <v>194</v>
      </c>
      <c r="AC62" s="69">
        <v>40</v>
      </c>
      <c r="AD62" s="69">
        <v>1279.83333333333</v>
      </c>
      <c r="AE62" s="69">
        <v>4601644</v>
      </c>
      <c r="AF62" s="69">
        <v>54729</v>
      </c>
      <c r="AG62" s="69">
        <v>13922</v>
      </c>
      <c r="AH62" s="70">
        <v>1.49187985858967</v>
      </c>
      <c r="AI62" s="50"/>
      <c r="AK62" s="57">
        <v>6</v>
      </c>
      <c r="AL62" s="58" t="s">
        <v>58</v>
      </c>
      <c r="AM62" s="71">
        <v>495</v>
      </c>
      <c r="AN62" s="71">
        <v>30730.95</v>
      </c>
      <c r="AO62" s="71">
        <v>2943085</v>
      </c>
      <c r="AP62" s="71">
        <v>19613</v>
      </c>
      <c r="AQ62" s="71">
        <v>11413</v>
      </c>
      <c r="AR62" s="72">
        <v>1.11689911696349</v>
      </c>
      <c r="AS62" s="50"/>
    </row>
    <row r="63" spans="27:45">
      <c r="AA63" s="40">
        <v>7</v>
      </c>
      <c r="AB63" s="41" t="s">
        <v>189</v>
      </c>
      <c r="AC63" s="73">
        <v>96</v>
      </c>
      <c r="AD63" s="73">
        <v>7307.61666666667</v>
      </c>
      <c r="AE63" s="73">
        <v>4561921</v>
      </c>
      <c r="AF63" s="73">
        <v>26182</v>
      </c>
      <c r="AG63" s="73">
        <v>20318</v>
      </c>
      <c r="AH63" s="74">
        <v>1.01930743649441</v>
      </c>
      <c r="AI63" s="50"/>
      <c r="AJ63" s="81"/>
      <c r="AK63" s="40">
        <v>7</v>
      </c>
      <c r="AL63" s="41" t="s">
        <v>187</v>
      </c>
      <c r="AM63" s="73">
        <v>128</v>
      </c>
      <c r="AN63" s="73">
        <v>7273</v>
      </c>
      <c r="AO63" s="73">
        <v>2829240</v>
      </c>
      <c r="AP63" s="73">
        <v>20441</v>
      </c>
      <c r="AQ63" s="73">
        <v>5866</v>
      </c>
      <c r="AR63" s="74">
        <v>0.959834288558585</v>
      </c>
      <c r="AS63" s="50"/>
    </row>
    <row r="64" spans="27:45">
      <c r="AA64" s="40">
        <v>8</v>
      </c>
      <c r="AB64" s="41" t="s">
        <v>191</v>
      </c>
      <c r="AC64" s="73">
        <v>437</v>
      </c>
      <c r="AD64" s="73">
        <v>17526.6</v>
      </c>
      <c r="AE64" s="73">
        <v>3690516</v>
      </c>
      <c r="AF64" s="73">
        <v>28121</v>
      </c>
      <c r="AG64" s="73">
        <v>18310</v>
      </c>
      <c r="AH64" s="74">
        <v>1.2581167511535</v>
      </c>
      <c r="AI64" s="50"/>
      <c r="AJ64" s="81"/>
      <c r="AK64" s="57">
        <v>8</v>
      </c>
      <c r="AL64" s="58" t="s">
        <v>53</v>
      </c>
      <c r="AM64" s="75">
        <v>250</v>
      </c>
      <c r="AN64" s="75">
        <v>18292.6166666667</v>
      </c>
      <c r="AO64" s="75">
        <v>2829191</v>
      </c>
      <c r="AP64" s="75">
        <v>34016</v>
      </c>
      <c r="AQ64" s="75">
        <v>7263</v>
      </c>
      <c r="AR64" s="76">
        <v>1.53357855877108</v>
      </c>
      <c r="AS64" s="50"/>
    </row>
    <row r="65" spans="27:45">
      <c r="AA65" s="57">
        <v>9</v>
      </c>
      <c r="AB65" s="58" t="s">
        <v>59</v>
      </c>
      <c r="AC65" s="75">
        <v>466</v>
      </c>
      <c r="AD65" s="75">
        <v>30616</v>
      </c>
      <c r="AE65" s="75">
        <v>2515577</v>
      </c>
      <c r="AF65" s="75">
        <v>18936</v>
      </c>
      <c r="AG65" s="75">
        <v>10054</v>
      </c>
      <c r="AH65" s="76">
        <v>1.48978907980287</v>
      </c>
      <c r="AI65" s="50"/>
      <c r="AJ65" s="81"/>
      <c r="AK65" s="40">
        <v>9</v>
      </c>
      <c r="AL65" s="41" t="s">
        <v>184</v>
      </c>
      <c r="AM65" s="73">
        <v>23</v>
      </c>
      <c r="AN65" s="73">
        <v>2032.33333333333</v>
      </c>
      <c r="AO65" s="73">
        <v>1782797</v>
      </c>
      <c r="AP65" s="73">
        <v>4743</v>
      </c>
      <c r="AQ65" s="73">
        <v>222</v>
      </c>
      <c r="AR65" s="74">
        <v>0.771764768756026</v>
      </c>
      <c r="AS65" s="50"/>
    </row>
    <row r="66" spans="27:45">
      <c r="AA66" s="40">
        <v>10</v>
      </c>
      <c r="AB66" s="41" t="s">
        <v>184</v>
      </c>
      <c r="AC66" s="69">
        <v>30</v>
      </c>
      <c r="AD66" s="69">
        <v>2614.38333333333</v>
      </c>
      <c r="AE66" s="69">
        <v>2417132</v>
      </c>
      <c r="AF66" s="69">
        <v>8364</v>
      </c>
      <c r="AG66" s="69">
        <v>451</v>
      </c>
      <c r="AH66" s="70">
        <v>0.364688399309595</v>
      </c>
      <c r="AI66" s="50"/>
      <c r="AJ66" s="81"/>
      <c r="AK66" s="40">
        <v>10</v>
      </c>
      <c r="AL66" s="41" t="s">
        <v>185</v>
      </c>
      <c r="AM66" s="69">
        <v>186</v>
      </c>
      <c r="AN66" s="69">
        <v>19905.2</v>
      </c>
      <c r="AO66" s="69">
        <v>1619270</v>
      </c>
      <c r="AP66" s="69">
        <v>9532</v>
      </c>
      <c r="AQ66" s="69">
        <v>3535</v>
      </c>
      <c r="AR66" s="70">
        <v>0.8115982894548</v>
      </c>
      <c r="AS66" s="50"/>
    </row>
    <row r="67" spans="27:45">
      <c r="AA67" s="40">
        <v>11</v>
      </c>
      <c r="AB67" s="41" t="s">
        <v>193</v>
      </c>
      <c r="AC67" s="73">
        <v>348</v>
      </c>
      <c r="AD67" s="73">
        <v>17754.2666666667</v>
      </c>
      <c r="AE67" s="73">
        <v>2150364</v>
      </c>
      <c r="AF67" s="73">
        <v>13393</v>
      </c>
      <c r="AG67" s="73">
        <v>4303</v>
      </c>
      <c r="AH67" s="74">
        <v>0.822930443404001</v>
      </c>
      <c r="AI67" s="50"/>
      <c r="AJ67" s="81"/>
      <c r="AK67" s="40">
        <v>11</v>
      </c>
      <c r="AL67" s="41" t="s">
        <v>188</v>
      </c>
      <c r="AM67" s="73">
        <v>66</v>
      </c>
      <c r="AN67" s="73">
        <v>5477.88333333333</v>
      </c>
      <c r="AO67" s="73">
        <v>1375149</v>
      </c>
      <c r="AP67" s="73">
        <v>9306</v>
      </c>
      <c r="AQ67" s="73">
        <v>8110</v>
      </c>
      <c r="AR67" s="74">
        <v>1.2951501045144</v>
      </c>
      <c r="AS67" s="50"/>
    </row>
    <row r="68" spans="27:45">
      <c r="AA68" s="57">
        <v>12</v>
      </c>
      <c r="AB68" s="58" t="s">
        <v>53</v>
      </c>
      <c r="AC68" s="75">
        <v>318</v>
      </c>
      <c r="AD68" s="75">
        <v>24480.3166666666</v>
      </c>
      <c r="AE68" s="75">
        <v>2048791</v>
      </c>
      <c r="AF68" s="75">
        <v>15388</v>
      </c>
      <c r="AG68" s="75">
        <v>5898</v>
      </c>
      <c r="AH68" s="76">
        <v>0.947559601136534</v>
      </c>
      <c r="AI68" s="50"/>
      <c r="AJ68" s="81"/>
      <c r="AK68" s="40">
        <v>12</v>
      </c>
      <c r="AL68" s="41" t="s">
        <v>189</v>
      </c>
      <c r="AM68" s="73">
        <v>87</v>
      </c>
      <c r="AN68" s="73">
        <v>5042.11666666667</v>
      </c>
      <c r="AO68" s="73">
        <v>1345509</v>
      </c>
      <c r="AP68" s="73">
        <v>11336</v>
      </c>
      <c r="AQ68" s="73">
        <v>11379</v>
      </c>
      <c r="AR68" s="74">
        <v>1.34191338655165</v>
      </c>
      <c r="AS68" s="50"/>
    </row>
    <row r="69" spans="27:45">
      <c r="AA69" s="40">
        <v>13</v>
      </c>
      <c r="AB69" s="41" t="s">
        <v>198</v>
      </c>
      <c r="AC69" s="73">
        <v>367</v>
      </c>
      <c r="AD69" s="73">
        <v>20683.6333333333</v>
      </c>
      <c r="AE69" s="73">
        <v>1443114</v>
      </c>
      <c r="AF69" s="73">
        <v>16271</v>
      </c>
      <c r="AG69" s="73">
        <v>9041</v>
      </c>
      <c r="AH69" s="74">
        <v>1.75398478567875</v>
      </c>
      <c r="AI69" s="50"/>
      <c r="AJ69" s="81"/>
      <c r="AK69" s="40">
        <v>13</v>
      </c>
      <c r="AL69" s="41" t="s">
        <v>193</v>
      </c>
      <c r="AM69" s="73">
        <v>347</v>
      </c>
      <c r="AN69" s="73">
        <v>19544.7166666667</v>
      </c>
      <c r="AO69" s="73">
        <v>1284209</v>
      </c>
      <c r="AP69" s="73">
        <v>8978</v>
      </c>
      <c r="AQ69" s="73">
        <v>3108</v>
      </c>
      <c r="AR69" s="74">
        <v>1.04567601443871</v>
      </c>
      <c r="AS69" s="50"/>
    </row>
    <row r="70" spans="27:45">
      <c r="AA70" s="40">
        <v>14</v>
      </c>
      <c r="AB70" s="41" t="s">
        <v>185</v>
      </c>
      <c r="AC70" s="73">
        <v>167</v>
      </c>
      <c r="AD70" s="73">
        <v>18964.6833333333</v>
      </c>
      <c r="AE70" s="73">
        <v>992354</v>
      </c>
      <c r="AF70" s="73">
        <v>7817</v>
      </c>
      <c r="AG70" s="73">
        <v>5469</v>
      </c>
      <c r="AH70" s="74">
        <v>1.33883674575807</v>
      </c>
      <c r="AI70" s="50"/>
      <c r="AJ70" s="81"/>
      <c r="AK70" s="40">
        <v>14</v>
      </c>
      <c r="AL70" s="41" t="s">
        <v>198</v>
      </c>
      <c r="AM70" s="73">
        <v>353</v>
      </c>
      <c r="AN70" s="73">
        <v>18547.5833333333</v>
      </c>
      <c r="AO70" s="73">
        <v>1170673</v>
      </c>
      <c r="AP70" s="73">
        <v>11948</v>
      </c>
      <c r="AQ70" s="73">
        <v>3411</v>
      </c>
      <c r="AR70" s="74">
        <v>1.46168590420158</v>
      </c>
      <c r="AS70" s="50"/>
    </row>
    <row r="71" spans="27:45">
      <c r="AA71" s="57">
        <v>15</v>
      </c>
      <c r="AB71" s="58" t="s">
        <v>29</v>
      </c>
      <c r="AC71" s="75">
        <v>136</v>
      </c>
      <c r="AD71" s="75">
        <v>5567.46666666667</v>
      </c>
      <c r="AE71" s="75">
        <v>395928</v>
      </c>
      <c r="AF71" s="75">
        <v>4610</v>
      </c>
      <c r="AG71" s="75">
        <v>2268</v>
      </c>
      <c r="AH71" s="76">
        <v>1.57314317329773</v>
      </c>
      <c r="AI71" s="50"/>
      <c r="AJ71" s="81"/>
      <c r="AK71" s="57">
        <v>15</v>
      </c>
      <c r="AL71" s="58" t="s">
        <v>28</v>
      </c>
      <c r="AM71" s="75">
        <v>168</v>
      </c>
      <c r="AN71" s="75">
        <v>7726.41666666666</v>
      </c>
      <c r="AO71" s="75">
        <v>451755</v>
      </c>
      <c r="AP71" s="75">
        <v>5622</v>
      </c>
      <c r="AQ71" s="75">
        <v>1357</v>
      </c>
      <c r="AR71" s="76">
        <v>1.46647027187064</v>
      </c>
      <c r="AS71" s="50"/>
    </row>
    <row r="72" spans="27:45">
      <c r="AA72" s="40">
        <v>16</v>
      </c>
      <c r="AB72" s="10" t="s">
        <v>199</v>
      </c>
      <c r="AC72" s="77">
        <v>17</v>
      </c>
      <c r="AD72" s="77">
        <v>1256.76666666667</v>
      </c>
      <c r="AE72" s="77">
        <v>98804</v>
      </c>
      <c r="AF72" s="77">
        <v>1152</v>
      </c>
      <c r="AG72" s="77">
        <v>591</v>
      </c>
      <c r="AH72" s="78">
        <v>1.76409861948909</v>
      </c>
      <c r="AI72" s="50"/>
      <c r="AJ72" s="81"/>
      <c r="AK72" s="40">
        <v>16</v>
      </c>
      <c r="AL72" s="10" t="s">
        <v>197</v>
      </c>
      <c r="AM72" s="77">
        <v>31</v>
      </c>
      <c r="AN72" s="77">
        <v>2671.85</v>
      </c>
      <c r="AO72" s="77">
        <v>231461</v>
      </c>
      <c r="AP72" s="77">
        <v>1691</v>
      </c>
      <c r="AQ72" s="77">
        <v>145</v>
      </c>
      <c r="AR72" s="78">
        <v>0.869497283114644</v>
      </c>
      <c r="AS72" s="50"/>
    </row>
    <row r="73" spans="27:45">
      <c r="AA73" s="40">
        <v>17</v>
      </c>
      <c r="AB73" s="50" t="s">
        <v>203</v>
      </c>
      <c r="AC73" s="79">
        <v>55</v>
      </c>
      <c r="AD73" s="79">
        <v>2238.56666666667</v>
      </c>
      <c r="AE73" s="79">
        <v>78278</v>
      </c>
      <c r="AF73" s="79">
        <v>501</v>
      </c>
      <c r="AG73" s="79">
        <v>7</v>
      </c>
      <c r="AH73" s="80">
        <v>0.648969058994865</v>
      </c>
      <c r="AI73" s="50"/>
      <c r="AJ73" s="81"/>
      <c r="AK73" s="40">
        <v>17</v>
      </c>
      <c r="AL73" s="50" t="s">
        <v>203</v>
      </c>
      <c r="AM73" s="79">
        <v>58</v>
      </c>
      <c r="AN73" s="79">
        <v>2104.96666666667</v>
      </c>
      <c r="AO73" s="79">
        <v>68994</v>
      </c>
      <c r="AP73" s="79">
        <v>440</v>
      </c>
      <c r="AQ73" s="79">
        <v>13</v>
      </c>
      <c r="AR73" s="80">
        <v>2.70962082808248</v>
      </c>
      <c r="AS73" s="50"/>
    </row>
    <row r="74" spans="27:45">
      <c r="AA74" s="40">
        <v>18</v>
      </c>
      <c r="AB74" s="50" t="s">
        <v>197</v>
      </c>
      <c r="AC74" s="79">
        <v>26</v>
      </c>
      <c r="AD74" s="79">
        <v>1523.51666666667</v>
      </c>
      <c r="AE74" s="79">
        <v>39427</v>
      </c>
      <c r="AF74" s="79">
        <v>444</v>
      </c>
      <c r="AG74" s="79">
        <v>39</v>
      </c>
      <c r="AH74" s="80">
        <v>1.22504882440967</v>
      </c>
      <c r="AI74" s="50"/>
      <c r="AJ74" s="81"/>
      <c r="AK74" s="40">
        <v>18</v>
      </c>
      <c r="AL74" s="50" t="s">
        <v>199</v>
      </c>
      <c r="AM74" s="79">
        <v>17</v>
      </c>
      <c r="AN74" s="79">
        <v>1900.25</v>
      </c>
      <c r="AO74" s="79">
        <v>41389</v>
      </c>
      <c r="AP74" s="79">
        <v>356</v>
      </c>
      <c r="AQ74" s="79">
        <v>72</v>
      </c>
      <c r="AR74" s="80">
        <v>1.05873037215772</v>
      </c>
      <c r="AS74" s="50"/>
    </row>
    <row r="75" spans="27:45">
      <c r="AA75" s="40">
        <v>19</v>
      </c>
      <c r="AB75" s="50" t="s">
        <v>195</v>
      </c>
      <c r="AC75" s="79">
        <v>8</v>
      </c>
      <c r="AD75" s="79">
        <v>1940.5</v>
      </c>
      <c r="AE75" s="79">
        <v>20417</v>
      </c>
      <c r="AF75" s="79">
        <v>195</v>
      </c>
      <c r="AG75" s="79">
        <v>47</v>
      </c>
      <c r="AH75" s="80">
        <v>1.18528677082823</v>
      </c>
      <c r="AI75" s="50"/>
      <c r="AJ75" s="81"/>
      <c r="AK75" s="40">
        <v>19</v>
      </c>
      <c r="AL75" s="50" t="s">
        <v>200</v>
      </c>
      <c r="AM75" s="79">
        <v>2</v>
      </c>
      <c r="AN75" s="79">
        <v>277.183333333333</v>
      </c>
      <c r="AO75" s="79">
        <v>15881</v>
      </c>
      <c r="AP75" s="79">
        <v>103</v>
      </c>
      <c r="AQ75" s="79">
        <v>34</v>
      </c>
      <c r="AR75" s="80">
        <v>1.05502347961714</v>
      </c>
      <c r="AS75" s="50"/>
    </row>
    <row r="76" spans="27:45">
      <c r="AA76" s="40">
        <v>20</v>
      </c>
      <c r="AB76" s="50" t="s">
        <v>201</v>
      </c>
      <c r="AC76" s="79">
        <v>4</v>
      </c>
      <c r="AD76" s="79">
        <v>688.833333333333</v>
      </c>
      <c r="AE76" s="79">
        <v>4463</v>
      </c>
      <c r="AF76" s="79">
        <v>292</v>
      </c>
      <c r="AG76" s="79">
        <v>6</v>
      </c>
      <c r="AH76" s="80">
        <v>6.67712301142729</v>
      </c>
      <c r="AI76" s="50"/>
      <c r="AJ76" s="81"/>
      <c r="AK76" s="40">
        <v>20</v>
      </c>
      <c r="AL76" s="50" t="s">
        <v>195</v>
      </c>
      <c r="AM76" s="79">
        <v>4</v>
      </c>
      <c r="AN76" s="79">
        <v>780.85</v>
      </c>
      <c r="AO76" s="79">
        <v>8534</v>
      </c>
      <c r="AP76" s="79">
        <v>79</v>
      </c>
      <c r="AQ76" s="79">
        <v>16</v>
      </c>
      <c r="AR76" s="80">
        <v>1.01705988779115</v>
      </c>
      <c r="AS76" s="50"/>
    </row>
    <row r="77" spans="27:45">
      <c r="AA77" s="40">
        <v>21</v>
      </c>
      <c r="AB77" s="10" t="s">
        <v>200</v>
      </c>
      <c r="AC77" s="11">
        <v>2</v>
      </c>
      <c r="AD77" s="11">
        <v>88.5333333333333</v>
      </c>
      <c r="AE77" s="11">
        <v>1615</v>
      </c>
      <c r="AF77" s="11">
        <v>12</v>
      </c>
      <c r="AG77" s="11">
        <v>4</v>
      </c>
      <c r="AH77" s="12">
        <v>0.990712074303406</v>
      </c>
      <c r="AI77" s="50"/>
      <c r="AJ77" s="81"/>
      <c r="AK77" s="40">
        <v>21</v>
      </c>
      <c r="AL77" s="10" t="s">
        <v>201</v>
      </c>
      <c r="AM77" s="11">
        <v>5</v>
      </c>
      <c r="AN77" s="11">
        <v>440.183333333333</v>
      </c>
      <c r="AO77" s="11">
        <v>2481</v>
      </c>
      <c r="AP77" s="11">
        <v>29</v>
      </c>
      <c r="AQ77" s="11">
        <v>18</v>
      </c>
      <c r="AR77" s="12">
        <v>1.79241262568486</v>
      </c>
    </row>
    <row r="78" spans="27:45">
      <c r="AA78" s="40">
        <v>22</v>
      </c>
      <c r="AB78" s="50" t="s">
        <v>202</v>
      </c>
      <c r="AC78" s="82" t="s">
        <v>44</v>
      </c>
      <c r="AD78" s="82" t="s">
        <v>44</v>
      </c>
      <c r="AE78" s="82" t="s">
        <v>44</v>
      </c>
      <c r="AF78" s="82" t="s">
        <v>44</v>
      </c>
      <c r="AG78" s="82" t="s">
        <v>44</v>
      </c>
      <c r="AH78" s="83" t="s">
        <v>44</v>
      </c>
      <c r="AI78" s="50"/>
      <c r="AJ78" s="81"/>
      <c r="AK78" s="40">
        <v>22</v>
      </c>
      <c r="AL78" s="50" t="s">
        <v>202</v>
      </c>
      <c r="AM78" s="82" t="s">
        <v>44</v>
      </c>
      <c r="AN78" s="82" t="s">
        <v>44</v>
      </c>
      <c r="AO78" s="82" t="s">
        <v>44</v>
      </c>
      <c r="AP78" s="82" t="s">
        <v>44</v>
      </c>
      <c r="AQ78" s="82" t="s">
        <v>44</v>
      </c>
      <c r="AR78" s="83" t="s">
        <v>44</v>
      </c>
      <c r="AS78" s="50"/>
    </row>
    <row r="79" spans="27:45">
      <c r="AS79" s="50"/>
    </row>
    <row r="80" spans="27:45">
      <c r="AB80" s="19" t="s">
        <v>207</v>
      </c>
      <c r="AI80" s="50"/>
      <c r="AL80" s="19" t="s">
        <v>207</v>
      </c>
      <c r="AS80" s="50"/>
    </row>
    <row r="81" ht="47.25" spans="27:45">
      <c r="AA81" s="30" t="s">
        <v>0</v>
      </c>
      <c r="AB81" s="30" t="s">
        <v>3</v>
      </c>
      <c r="AC81" s="31" t="s">
        <v>174</v>
      </c>
      <c r="AD81" s="31" t="s">
        <v>175</v>
      </c>
      <c r="AE81" s="31" t="s">
        <v>176</v>
      </c>
      <c r="AF81" s="31" t="s">
        <v>86</v>
      </c>
      <c r="AG81" s="31" t="s">
        <v>177</v>
      </c>
      <c r="AH81" s="32" t="s">
        <v>178</v>
      </c>
      <c r="AI81" s="50"/>
      <c r="AK81" s="30" t="s">
        <v>0</v>
      </c>
      <c r="AL81" s="30" t="s">
        <v>3</v>
      </c>
      <c r="AM81" s="31" t="s">
        <v>174</v>
      </c>
      <c r="AN81" s="31" t="s">
        <v>175</v>
      </c>
      <c r="AO81" s="31" t="s">
        <v>176</v>
      </c>
      <c r="AP81" s="31" t="s">
        <v>86</v>
      </c>
      <c r="AQ81" s="31" t="s">
        <v>177</v>
      </c>
      <c r="AR81" s="32" t="s">
        <v>178</v>
      </c>
      <c r="AS81" s="50"/>
    </row>
    <row r="82" spans="27:45">
      <c r="AA82" s="40">
        <v>1</v>
      </c>
      <c r="AB82" s="41" t="s">
        <v>181</v>
      </c>
      <c r="AC82" s="69">
        <v>8498</v>
      </c>
      <c r="AD82" s="69">
        <v>11001.8833333333</v>
      </c>
      <c r="AE82" s="69">
        <v>462609248</v>
      </c>
      <c r="AF82" s="69">
        <v>1669003</v>
      </c>
      <c r="AG82" s="69">
        <v>433562</v>
      </c>
      <c r="AH82" s="70">
        <v>0.865377752424834</v>
      </c>
      <c r="AI82" s="50"/>
      <c r="AK82" s="40">
        <v>1</v>
      </c>
      <c r="AL82" s="41" t="s">
        <v>181</v>
      </c>
      <c r="AM82" s="69">
        <v>9738</v>
      </c>
      <c r="AN82" s="69">
        <v>12691.4000000002</v>
      </c>
      <c r="AO82" s="69">
        <v>391686958</v>
      </c>
      <c r="AP82" s="69">
        <v>1600368</v>
      </c>
      <c r="AQ82" s="69">
        <v>372217</v>
      </c>
      <c r="AR82" s="70">
        <v>0.882835965534949</v>
      </c>
      <c r="AS82" s="50"/>
    </row>
    <row r="83" spans="27:45">
      <c r="AA83" s="40">
        <v>2</v>
      </c>
      <c r="AB83" s="10" t="s">
        <v>184</v>
      </c>
      <c r="AC83" s="69">
        <v>497</v>
      </c>
      <c r="AD83" s="69">
        <v>556.066666666667</v>
      </c>
      <c r="AE83" s="69">
        <v>90703883</v>
      </c>
      <c r="AF83" s="69">
        <v>963194</v>
      </c>
      <c r="AG83" s="69">
        <v>49744</v>
      </c>
      <c r="AH83" s="70">
        <v>1.11675263119662</v>
      </c>
      <c r="AI83" s="50"/>
      <c r="AK83" s="40">
        <v>2</v>
      </c>
      <c r="AL83" s="10" t="s">
        <v>184</v>
      </c>
      <c r="AM83" s="69">
        <v>223</v>
      </c>
      <c r="AN83" s="69">
        <v>271.433333333334</v>
      </c>
      <c r="AO83" s="69">
        <v>71794427</v>
      </c>
      <c r="AP83" s="69">
        <v>813022</v>
      </c>
      <c r="AQ83" s="69">
        <v>77195</v>
      </c>
      <c r="AR83" s="70">
        <v>1.19740897308158</v>
      </c>
      <c r="AS83" s="50"/>
    </row>
    <row r="84" spans="27:45">
      <c r="AA84" s="40">
        <v>3</v>
      </c>
      <c r="AB84" s="10" t="s">
        <v>183</v>
      </c>
      <c r="AC84" s="69">
        <v>6467</v>
      </c>
      <c r="AD84" s="69">
        <v>11505.55</v>
      </c>
      <c r="AE84" s="69">
        <v>32837026</v>
      </c>
      <c r="AF84" s="69">
        <v>168047</v>
      </c>
      <c r="AG84" s="69">
        <v>90451</v>
      </c>
      <c r="AH84" s="70">
        <v>1.14416617088937</v>
      </c>
      <c r="AI84" s="50"/>
      <c r="AK84" s="40">
        <v>3</v>
      </c>
      <c r="AL84" s="10" t="s">
        <v>182</v>
      </c>
      <c r="AM84" s="69">
        <v>6730</v>
      </c>
      <c r="AN84" s="69">
        <v>12285.5666666667</v>
      </c>
      <c r="AO84" s="69">
        <v>46247260</v>
      </c>
      <c r="AP84" s="69">
        <v>281427</v>
      </c>
      <c r="AQ84" s="69">
        <v>78548</v>
      </c>
      <c r="AR84" s="70">
        <v>0.765032346652299</v>
      </c>
      <c r="AS84" s="50"/>
    </row>
    <row r="85" spans="27:45">
      <c r="AA85" s="40">
        <v>4</v>
      </c>
      <c r="AB85" s="41" t="s">
        <v>185</v>
      </c>
      <c r="AC85" s="73">
        <v>5258</v>
      </c>
      <c r="AD85" s="73">
        <v>9324.88333333333</v>
      </c>
      <c r="AE85" s="73">
        <v>23632702</v>
      </c>
      <c r="AF85" s="73">
        <v>159433</v>
      </c>
      <c r="AG85" s="73">
        <v>52373</v>
      </c>
      <c r="AH85" s="74">
        <v>0.968932313442171</v>
      </c>
      <c r="AI85" s="50"/>
      <c r="AK85" s="40">
        <v>4</v>
      </c>
      <c r="AL85" s="41" t="s">
        <v>185</v>
      </c>
      <c r="AM85" s="73">
        <v>5056</v>
      </c>
      <c r="AN85" s="73">
        <v>8633.84999999996</v>
      </c>
      <c r="AO85" s="73">
        <v>28916949</v>
      </c>
      <c r="AP85" s="73">
        <v>224165</v>
      </c>
      <c r="AQ85" s="73">
        <v>97528</v>
      </c>
      <c r="AR85" s="74">
        <v>0.856375949418881</v>
      </c>
      <c r="AS85" s="50"/>
    </row>
    <row r="86" spans="27:45">
      <c r="AA86" s="57">
        <v>5</v>
      </c>
      <c r="AB86" s="64" t="s">
        <v>46</v>
      </c>
      <c r="AC86" s="71">
        <v>483</v>
      </c>
      <c r="AD86" s="71">
        <v>917.183333333334</v>
      </c>
      <c r="AE86" s="71">
        <v>19703402</v>
      </c>
      <c r="AF86" s="71">
        <v>231513</v>
      </c>
      <c r="AG86" s="71">
        <v>53749</v>
      </c>
      <c r="AH86" s="72">
        <v>1.44015308379081</v>
      </c>
      <c r="AI86" s="50"/>
      <c r="AK86" s="40">
        <v>5</v>
      </c>
      <c r="AL86" s="10" t="s">
        <v>188</v>
      </c>
      <c r="AM86" s="69">
        <v>2483</v>
      </c>
      <c r="AN86" s="69">
        <v>4271.05</v>
      </c>
      <c r="AO86" s="69">
        <v>21129637</v>
      </c>
      <c r="AP86" s="69">
        <v>282016</v>
      </c>
      <c r="AQ86" s="69">
        <v>90627</v>
      </c>
      <c r="AR86" s="70">
        <v>1.13342992173562</v>
      </c>
      <c r="AS86" s="50"/>
    </row>
    <row r="87" spans="27:45">
      <c r="AA87" s="40">
        <v>6</v>
      </c>
      <c r="AB87" s="41" t="s">
        <v>187</v>
      </c>
      <c r="AC87" s="69">
        <v>1227</v>
      </c>
      <c r="AD87" s="69">
        <v>2159.66666666667</v>
      </c>
      <c r="AE87" s="69">
        <v>16307389</v>
      </c>
      <c r="AF87" s="69">
        <v>83188</v>
      </c>
      <c r="AG87" s="69">
        <v>59483</v>
      </c>
      <c r="AH87" s="70">
        <v>0.874885611669655</v>
      </c>
      <c r="AI87" s="50"/>
      <c r="AK87" s="57">
        <v>6</v>
      </c>
      <c r="AL87" s="58" t="s">
        <v>46</v>
      </c>
      <c r="AM87" s="71">
        <v>627</v>
      </c>
      <c r="AN87" s="71">
        <v>1082.65</v>
      </c>
      <c r="AO87" s="71">
        <v>17803165</v>
      </c>
      <c r="AP87" s="71">
        <v>219568</v>
      </c>
      <c r="AQ87" s="71">
        <v>54340</v>
      </c>
      <c r="AR87" s="72">
        <v>1.17589287440161</v>
      </c>
      <c r="AS87" s="50"/>
    </row>
    <row r="88" spans="27:45">
      <c r="AA88" s="40">
        <v>7</v>
      </c>
      <c r="AB88" s="10" t="s">
        <v>188</v>
      </c>
      <c r="AC88" s="73">
        <v>2900</v>
      </c>
      <c r="AD88" s="73">
        <v>4728.6</v>
      </c>
      <c r="AE88" s="73">
        <v>14782027</v>
      </c>
      <c r="AF88" s="73">
        <v>97180</v>
      </c>
      <c r="AG88" s="73">
        <v>53189</v>
      </c>
      <c r="AH88" s="74">
        <v>0.782097817799086</v>
      </c>
      <c r="AI88" s="50"/>
      <c r="AK88" s="40">
        <v>7</v>
      </c>
      <c r="AL88" s="10" t="s">
        <v>191</v>
      </c>
      <c r="AM88" s="73">
        <v>1298</v>
      </c>
      <c r="AN88" s="73">
        <v>2477.38333333334</v>
      </c>
      <c r="AO88" s="73">
        <v>17197113</v>
      </c>
      <c r="AP88" s="73">
        <v>197728</v>
      </c>
      <c r="AQ88" s="73">
        <v>60443</v>
      </c>
      <c r="AR88" s="74">
        <v>1.2373760830404</v>
      </c>
      <c r="AS88" s="50"/>
    </row>
    <row r="89" spans="27:45">
      <c r="AA89" s="40">
        <v>8</v>
      </c>
      <c r="AB89" s="41" t="s">
        <v>197</v>
      </c>
      <c r="AC89" s="73">
        <v>1081</v>
      </c>
      <c r="AD89" s="73">
        <v>1066.43333333333</v>
      </c>
      <c r="AE89" s="73">
        <v>10899262</v>
      </c>
      <c r="AF89" s="73">
        <v>135231</v>
      </c>
      <c r="AG89" s="73">
        <v>11973</v>
      </c>
      <c r="AH89" s="74">
        <v>1.3505868562477</v>
      </c>
      <c r="AI89" s="50"/>
      <c r="AK89" s="40">
        <v>8</v>
      </c>
      <c r="AL89" s="41" t="s">
        <v>187</v>
      </c>
      <c r="AM89" s="73">
        <v>1253</v>
      </c>
      <c r="AN89" s="73">
        <v>2185.08333333333</v>
      </c>
      <c r="AO89" s="73">
        <v>14415960</v>
      </c>
      <c r="AP89" s="73">
        <v>76571</v>
      </c>
      <c r="AQ89" s="73">
        <v>46653</v>
      </c>
      <c r="AR89" s="74">
        <v>1.0489766008911</v>
      </c>
      <c r="AS89" s="50"/>
    </row>
    <row r="90" spans="27:45">
      <c r="AA90" s="40">
        <v>9</v>
      </c>
      <c r="AB90" s="41" t="s">
        <v>191</v>
      </c>
      <c r="AC90" s="73">
        <v>1504</v>
      </c>
      <c r="AD90" s="73">
        <v>2719.18333333333</v>
      </c>
      <c r="AE90" s="73">
        <v>10810105</v>
      </c>
      <c r="AF90" s="73">
        <v>99211</v>
      </c>
      <c r="AG90" s="73">
        <v>32313</v>
      </c>
      <c r="AH90" s="74">
        <v>1.21667643376267</v>
      </c>
      <c r="AI90" s="50"/>
      <c r="AK90" s="40">
        <v>9</v>
      </c>
      <c r="AL90" s="41" t="s">
        <v>189</v>
      </c>
      <c r="AM90" s="73">
        <v>1208</v>
      </c>
      <c r="AN90" s="73">
        <v>2145.9</v>
      </c>
      <c r="AO90" s="73">
        <v>11195876</v>
      </c>
      <c r="AP90" s="73">
        <v>73520</v>
      </c>
      <c r="AQ90" s="73">
        <v>25671</v>
      </c>
      <c r="AR90" s="74">
        <v>0.958612497337614</v>
      </c>
      <c r="AS90" s="50"/>
    </row>
    <row r="91" spans="27:45">
      <c r="AA91" s="40">
        <v>10</v>
      </c>
      <c r="AB91" s="41" t="s">
        <v>189</v>
      </c>
      <c r="AC91" s="69">
        <v>1134</v>
      </c>
      <c r="AD91" s="69">
        <v>2001.35</v>
      </c>
      <c r="AE91" s="69">
        <v>9280701</v>
      </c>
      <c r="AF91" s="69">
        <v>72642</v>
      </c>
      <c r="AG91" s="69">
        <v>27197</v>
      </c>
      <c r="AH91" s="70">
        <v>1.07577003073367</v>
      </c>
      <c r="AI91" s="50"/>
      <c r="AK91" s="40">
        <v>10</v>
      </c>
      <c r="AL91" s="41" t="s">
        <v>193</v>
      </c>
      <c r="AM91" s="69">
        <v>1255</v>
      </c>
      <c r="AN91" s="69">
        <v>2191.76666666667</v>
      </c>
      <c r="AO91" s="69">
        <v>10660512</v>
      </c>
      <c r="AP91" s="69">
        <v>72956</v>
      </c>
      <c r="AQ91" s="69">
        <v>26341</v>
      </c>
      <c r="AR91" s="70">
        <v>0.954606665661146</v>
      </c>
      <c r="AS91" s="50"/>
    </row>
    <row r="92" spans="27:45">
      <c r="AA92" s="40">
        <v>11</v>
      </c>
      <c r="AB92" s="41" t="s">
        <v>193</v>
      </c>
      <c r="AC92" s="73">
        <v>1005</v>
      </c>
      <c r="AD92" s="73">
        <v>1878.2</v>
      </c>
      <c r="AE92" s="73">
        <v>8724461</v>
      </c>
      <c r="AF92" s="73">
        <v>62855</v>
      </c>
      <c r="AG92" s="73">
        <v>17598</v>
      </c>
      <c r="AH92" s="74">
        <v>0.922154388677994</v>
      </c>
      <c r="AI92" s="50"/>
      <c r="AK92" s="40">
        <v>11</v>
      </c>
      <c r="AL92" s="41" t="s">
        <v>197</v>
      </c>
      <c r="AM92" s="73">
        <v>1099</v>
      </c>
      <c r="AN92" s="73">
        <v>1096.91666666667</v>
      </c>
      <c r="AO92" s="73">
        <v>7962748</v>
      </c>
      <c r="AP92" s="73">
        <v>93537</v>
      </c>
      <c r="AQ92" s="73">
        <v>8878</v>
      </c>
      <c r="AR92" s="74">
        <v>1.27061171741094</v>
      </c>
      <c r="AS92" s="50"/>
    </row>
    <row r="93" spans="27:45">
      <c r="AA93" s="40">
        <v>12</v>
      </c>
      <c r="AB93" s="41" t="s">
        <v>194</v>
      </c>
      <c r="AC93" s="73">
        <v>388</v>
      </c>
      <c r="AD93" s="73">
        <v>523.4</v>
      </c>
      <c r="AE93" s="73">
        <v>7160168</v>
      </c>
      <c r="AF93" s="73">
        <v>140358</v>
      </c>
      <c r="AG93" s="73">
        <v>22599</v>
      </c>
      <c r="AH93" s="74">
        <v>2.27588235359841</v>
      </c>
      <c r="AI93" s="50"/>
      <c r="AK93" s="40">
        <v>12</v>
      </c>
      <c r="AL93" s="41" t="s">
        <v>194</v>
      </c>
      <c r="AM93" s="73">
        <v>393</v>
      </c>
      <c r="AN93" s="73">
        <v>547.883333333333</v>
      </c>
      <c r="AO93" s="73">
        <v>5824870</v>
      </c>
      <c r="AP93" s="73">
        <v>134046</v>
      </c>
      <c r="AQ93" s="73">
        <v>18465</v>
      </c>
      <c r="AR93" s="74">
        <v>2.90226290295247</v>
      </c>
      <c r="AS93" s="50"/>
    </row>
    <row r="94" spans="27:45">
      <c r="AA94" s="57">
        <v>13</v>
      </c>
      <c r="AB94" s="58" t="s">
        <v>59</v>
      </c>
      <c r="AC94" s="75">
        <v>599</v>
      </c>
      <c r="AD94" s="75">
        <v>793.999999999999</v>
      </c>
      <c r="AE94" s="75">
        <v>5373434</v>
      </c>
      <c r="AF94" s="75">
        <v>63025</v>
      </c>
      <c r="AG94" s="75">
        <v>19410</v>
      </c>
      <c r="AH94" s="76">
        <v>1.23941553035104</v>
      </c>
      <c r="AI94" s="50"/>
      <c r="AK94" s="57">
        <v>13</v>
      </c>
      <c r="AL94" s="58" t="s">
        <v>58</v>
      </c>
      <c r="AM94" s="75">
        <v>748</v>
      </c>
      <c r="AN94" s="75">
        <v>912.700000000002</v>
      </c>
      <c r="AO94" s="75">
        <v>5087307</v>
      </c>
      <c r="AP94" s="75">
        <v>51026</v>
      </c>
      <c r="AQ94" s="75">
        <v>14938</v>
      </c>
      <c r="AR94" s="76">
        <v>0.921214374557998</v>
      </c>
      <c r="AS94" s="50"/>
    </row>
    <row r="95" spans="27:45">
      <c r="AA95" s="57">
        <v>14</v>
      </c>
      <c r="AB95" s="58" t="s">
        <v>53</v>
      </c>
      <c r="AC95" s="75">
        <v>132</v>
      </c>
      <c r="AD95" s="75">
        <v>141.066666666667</v>
      </c>
      <c r="AE95" s="75">
        <v>3276752</v>
      </c>
      <c r="AF95" s="75">
        <v>40962</v>
      </c>
      <c r="AG95" s="75">
        <v>3004</v>
      </c>
      <c r="AH95" s="76">
        <v>1.18828289725287</v>
      </c>
      <c r="AI95" s="50"/>
      <c r="AK95" s="57">
        <v>14</v>
      </c>
      <c r="AL95" s="58" t="s">
        <v>53</v>
      </c>
      <c r="AM95" s="75">
        <v>157</v>
      </c>
      <c r="AN95" s="75">
        <v>161.716666666667</v>
      </c>
      <c r="AO95" s="75">
        <v>3562594</v>
      </c>
      <c r="AP95" s="75">
        <v>39044</v>
      </c>
      <c r="AQ95" s="75">
        <v>6217</v>
      </c>
      <c r="AR95" s="76">
        <v>1.09043474125526</v>
      </c>
      <c r="AS95" s="50"/>
    </row>
    <row r="96" spans="27:45">
      <c r="AA96" s="40">
        <v>15</v>
      </c>
      <c r="AB96" s="41" t="s">
        <v>201</v>
      </c>
      <c r="AC96" s="73">
        <v>287</v>
      </c>
      <c r="AD96" s="73">
        <v>445.4</v>
      </c>
      <c r="AE96" s="73">
        <v>2083324</v>
      </c>
      <c r="AF96" s="73">
        <v>17876</v>
      </c>
      <c r="AG96" s="73">
        <v>7052</v>
      </c>
      <c r="AH96" s="74">
        <v>1.19654936054114</v>
      </c>
      <c r="AI96" s="50"/>
      <c r="AK96" s="40">
        <v>15</v>
      </c>
      <c r="AL96" s="41" t="s">
        <v>199</v>
      </c>
      <c r="AM96" s="73">
        <v>1090</v>
      </c>
      <c r="AN96" s="73">
        <v>2298.86666666667</v>
      </c>
      <c r="AO96" s="73">
        <v>2446148</v>
      </c>
      <c r="AP96" s="73">
        <v>18323</v>
      </c>
      <c r="AQ96" s="73">
        <v>7930</v>
      </c>
      <c r="AR96" s="74">
        <v>0.9723155025179</v>
      </c>
      <c r="AS96" s="50"/>
    </row>
    <row r="97" spans="27:45">
      <c r="AA97" s="40">
        <v>16</v>
      </c>
      <c r="AB97" s="10" t="s">
        <v>198</v>
      </c>
      <c r="AC97" s="77">
        <v>1111</v>
      </c>
      <c r="AD97" s="77">
        <v>2200.28333333333</v>
      </c>
      <c r="AE97" s="77">
        <v>1952811</v>
      </c>
      <c r="AF97" s="77">
        <v>11599</v>
      </c>
      <c r="AG97" s="77">
        <v>5801</v>
      </c>
      <c r="AH97" s="78">
        <v>0.891023248025539</v>
      </c>
      <c r="AI97" s="50"/>
      <c r="AK97" s="40">
        <v>16</v>
      </c>
      <c r="AL97" s="10" t="s">
        <v>198</v>
      </c>
      <c r="AM97" s="77">
        <v>908</v>
      </c>
      <c r="AN97" s="77">
        <v>1825.55</v>
      </c>
      <c r="AO97" s="77">
        <v>2006665</v>
      </c>
      <c r="AP97" s="77">
        <v>11719</v>
      </c>
      <c r="AQ97" s="77">
        <v>4104</v>
      </c>
      <c r="AR97" s="78">
        <v>1.25764435023488</v>
      </c>
      <c r="AS97" s="50"/>
    </row>
    <row r="98" spans="27:45">
      <c r="AA98" s="40">
        <v>17</v>
      </c>
      <c r="AB98" s="50" t="s">
        <v>202</v>
      </c>
      <c r="AC98" s="79">
        <v>259</v>
      </c>
      <c r="AD98" s="79">
        <v>382.583333333333</v>
      </c>
      <c r="AE98" s="79">
        <v>1942667</v>
      </c>
      <c r="AF98" s="79">
        <v>41963</v>
      </c>
      <c r="AG98" s="79">
        <v>1321</v>
      </c>
      <c r="AH98" s="80">
        <v>2.22807099724245</v>
      </c>
      <c r="AI98" s="50"/>
      <c r="AK98" s="40">
        <v>17</v>
      </c>
      <c r="AL98" s="50" t="s">
        <v>195</v>
      </c>
      <c r="AM98" s="79">
        <v>338</v>
      </c>
      <c r="AN98" s="79">
        <v>571.2</v>
      </c>
      <c r="AO98" s="79">
        <v>1403922</v>
      </c>
      <c r="AP98" s="79">
        <v>10258</v>
      </c>
      <c r="AQ98" s="79">
        <v>7325</v>
      </c>
      <c r="AR98" s="80">
        <v>1.51742614805115</v>
      </c>
      <c r="AS98" s="50"/>
    </row>
    <row r="99" spans="27:45">
      <c r="AA99" s="40">
        <v>18</v>
      </c>
      <c r="AB99" s="50" t="s">
        <v>199</v>
      </c>
      <c r="AC99" s="79">
        <v>821</v>
      </c>
      <c r="AD99" s="79">
        <v>1812.38333333333</v>
      </c>
      <c r="AE99" s="79">
        <v>1801646</v>
      </c>
      <c r="AF99" s="79">
        <v>12696</v>
      </c>
      <c r="AG99" s="79">
        <v>9552</v>
      </c>
      <c r="AH99" s="80">
        <v>1.23487077927628</v>
      </c>
      <c r="AI99" s="50"/>
      <c r="AK99" s="40">
        <v>18</v>
      </c>
      <c r="AL99" s="50" t="s">
        <v>201</v>
      </c>
      <c r="AM99" s="79">
        <v>260</v>
      </c>
      <c r="AN99" s="79">
        <v>409</v>
      </c>
      <c r="AO99" s="79">
        <v>1084217</v>
      </c>
      <c r="AP99" s="79">
        <v>8945</v>
      </c>
      <c r="AQ99" s="79">
        <v>2684</v>
      </c>
      <c r="AR99" s="80">
        <v>1.10963310745023</v>
      </c>
      <c r="AS99" s="50"/>
    </row>
    <row r="100" spans="27:45">
      <c r="AA100" s="57">
        <v>19</v>
      </c>
      <c r="AB100" s="84" t="s">
        <v>29</v>
      </c>
      <c r="AC100" s="59">
        <v>278</v>
      </c>
      <c r="AD100" s="59">
        <v>413.05</v>
      </c>
      <c r="AE100" s="59">
        <v>1409267</v>
      </c>
      <c r="AF100" s="59">
        <v>23945</v>
      </c>
      <c r="AG100" s="59">
        <v>2974</v>
      </c>
      <c r="AH100" s="60">
        <v>1.52949932698748</v>
      </c>
      <c r="AI100" s="50"/>
      <c r="AK100" s="40">
        <v>19</v>
      </c>
      <c r="AL100" s="50" t="s">
        <v>203</v>
      </c>
      <c r="AM100" s="79">
        <v>739</v>
      </c>
      <c r="AN100" s="79">
        <v>1002.13333333333</v>
      </c>
      <c r="AO100" s="79">
        <v>1015272</v>
      </c>
      <c r="AP100" s="79">
        <v>14082</v>
      </c>
      <c r="AQ100" s="79">
        <v>885</v>
      </c>
      <c r="AR100" s="80">
        <v>1.40756226046268</v>
      </c>
    </row>
    <row r="101" spans="27:45">
      <c r="AA101" s="40">
        <v>20</v>
      </c>
      <c r="AB101" s="50" t="s">
        <v>203</v>
      </c>
      <c r="AC101" s="79">
        <v>522</v>
      </c>
      <c r="AD101" s="79">
        <v>527.433333333333</v>
      </c>
      <c r="AE101" s="79">
        <v>925017</v>
      </c>
      <c r="AF101" s="79">
        <v>12774</v>
      </c>
      <c r="AG101" s="79">
        <v>768</v>
      </c>
      <c r="AH101" s="80">
        <v>1.46397309454853</v>
      </c>
      <c r="AI101" s="50"/>
      <c r="AK101" s="57">
        <v>20</v>
      </c>
      <c r="AL101" s="84" t="s">
        <v>28</v>
      </c>
      <c r="AM101" s="59">
        <v>344</v>
      </c>
      <c r="AN101" s="59">
        <v>519.9</v>
      </c>
      <c r="AO101" s="59">
        <v>1005235</v>
      </c>
      <c r="AP101" s="59">
        <v>16684</v>
      </c>
      <c r="AQ101" s="59">
        <v>1855</v>
      </c>
      <c r="AR101" s="60">
        <v>1.51210562550142</v>
      </c>
    </row>
    <row r="102" spans="27:45">
      <c r="AA102" s="40">
        <v>21</v>
      </c>
      <c r="AB102" s="50" t="s">
        <v>200</v>
      </c>
      <c r="AC102" s="42">
        <v>103</v>
      </c>
      <c r="AD102" s="42">
        <v>130.3</v>
      </c>
      <c r="AE102" s="42">
        <v>869458</v>
      </c>
      <c r="AF102" s="42">
        <v>13633</v>
      </c>
      <c r="AG102" s="42">
        <v>1370</v>
      </c>
      <c r="AH102" s="43">
        <v>1.72555776127197</v>
      </c>
      <c r="AI102" s="50"/>
      <c r="AK102" s="40">
        <v>21</v>
      </c>
      <c r="AL102" s="50" t="s">
        <v>200</v>
      </c>
      <c r="AM102" s="42">
        <v>137</v>
      </c>
      <c r="AN102" s="42">
        <v>200.616666666667</v>
      </c>
      <c r="AO102" s="42">
        <v>795238</v>
      </c>
      <c r="AP102" s="42">
        <v>7590</v>
      </c>
      <c r="AQ102" s="42">
        <v>1644</v>
      </c>
      <c r="AR102" s="43">
        <v>1.14775462117513</v>
      </c>
    </row>
    <row r="103" spans="27:45">
      <c r="AA103" s="40">
        <v>22</v>
      </c>
      <c r="AB103" s="10" t="s">
        <v>195</v>
      </c>
      <c r="AC103" s="11">
        <v>208</v>
      </c>
      <c r="AD103" s="11">
        <v>343.416666666667</v>
      </c>
      <c r="AE103" s="11">
        <v>829320</v>
      </c>
      <c r="AF103" s="11">
        <v>6151</v>
      </c>
      <c r="AG103" s="11">
        <v>4915</v>
      </c>
      <c r="AH103" s="12">
        <v>1.33434621135388</v>
      </c>
      <c r="AK103" s="40">
        <v>22</v>
      </c>
      <c r="AL103" s="10" t="s">
        <v>202</v>
      </c>
      <c r="AM103" s="11">
        <v>154</v>
      </c>
      <c r="AN103" s="11">
        <v>184.016666666667</v>
      </c>
      <c r="AO103" s="11">
        <v>496624</v>
      </c>
      <c r="AP103" s="11">
        <v>9681</v>
      </c>
      <c r="AQ103" s="11">
        <v>187</v>
      </c>
      <c r="AR103" s="12">
        <v>1.93284767844667</v>
      </c>
    </row>
  </sheetData>
  <mergeCells count="8">
    <mergeCell ref="AA1:AS1"/>
    <mergeCell ref="A3:C3"/>
    <mergeCell ref="E3:G3"/>
    <mergeCell ref="I3:K3"/>
    <mergeCell ref="M3:O3"/>
    <mergeCell ref="Q3:S3"/>
    <mergeCell ref="U3:W3"/>
    <mergeCell ref="A1:W2"/>
  </mergeCells>
  <conditionalFormatting sqref="AB35">
    <cfRule type="duplicateValues" dxfId="1" priority="12"/>
  </conditionalFormatting>
  <conditionalFormatting sqref="AL35">
    <cfRule type="duplicateValues" dxfId="1" priority="6"/>
  </conditionalFormatting>
  <conditionalFormatting sqref="AB36">
    <cfRule type="duplicateValues" dxfId="1" priority="9"/>
  </conditionalFormatting>
  <conditionalFormatting sqref="AL36">
    <cfRule type="duplicateValues" dxfId="1" priority="3"/>
  </conditionalFormatting>
  <conditionalFormatting sqref="AB57">
    <cfRule type="duplicateValues" dxfId="1" priority="11"/>
  </conditionalFormatting>
  <conditionalFormatting sqref="AL57">
    <cfRule type="duplicateValues" dxfId="1" priority="5"/>
  </conditionalFormatting>
  <conditionalFormatting sqref="AB60">
    <cfRule type="duplicateValues" dxfId="1" priority="8"/>
  </conditionalFormatting>
  <conditionalFormatting sqref="AL60">
    <cfRule type="duplicateValues" dxfId="1" priority="2"/>
  </conditionalFormatting>
  <conditionalFormatting sqref="AB82">
    <cfRule type="duplicateValues" dxfId="1" priority="10"/>
  </conditionalFormatting>
  <conditionalFormatting sqref="AL82">
    <cfRule type="duplicateValues" dxfId="1" priority="4"/>
  </conditionalFormatting>
  <conditionalFormatting sqref="AB88">
    <cfRule type="duplicateValues" dxfId="1" priority="7"/>
  </conditionalFormatting>
  <conditionalFormatting sqref="AL88">
    <cfRule type="duplicateValues" dxfId="1" priority="1"/>
  </conditionalFormatting>
  <pageMargins left="0.7" right="0.7" top="0.75" bottom="0.75" header="0.3" footer="0.3"/>
  <pageSetup paperSize="1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0"/>
  <sheetViews>
    <sheetView tabSelected="1" workbookViewId="0">
      <pane ySplit="1" topLeftCell="A2" activePane="bottomLeft" state="frozen"/>
      <selection/>
      <selection pane="bottomLeft" activeCell="D19" sqref="D19"/>
    </sheetView>
  </sheetViews>
  <sheetFormatPr defaultColWidth="9" defaultRowHeight="15" outlineLevelCol="4"/>
  <cols>
    <col min="1" max="2" width="9.71428571428571" style="1" customWidth="1"/>
    <col min="3" max="3" width="13.8571428571429" style="1" customWidth="1"/>
    <col min="4" max="4" width="15.1428571428571" style="1" customWidth="1"/>
    <col min="5" max="5" width="13.4285714285714" style="1" customWidth="1"/>
    <col min="6" max="16384" width="9" style="1"/>
  </cols>
  <sheetData>
    <row r="1" spans="1:5">
      <c r="A1" s="2" t="s">
        <v>208</v>
      </c>
      <c r="B1" s="2" t="s">
        <v>209</v>
      </c>
      <c r="C1" s="2" t="s">
        <v>210</v>
      </c>
      <c r="D1" s="2" t="s">
        <v>211</v>
      </c>
      <c r="E1" s="2" t="s">
        <v>212</v>
      </c>
    </row>
    <row r="2" spans="1:5">
      <c r="A2" s="3" t="s">
        <v>31</v>
      </c>
      <c r="B2" s="3">
        <v>2026</v>
      </c>
      <c r="C2" s="3" t="s">
        <v>213</v>
      </c>
      <c r="D2" s="3" t="s">
        <v>46</v>
      </c>
      <c r="E2" s="4">
        <v>0</v>
      </c>
    </row>
    <row r="3" spans="1:5">
      <c r="A3" s="3" t="s">
        <v>31</v>
      </c>
      <c r="B3" s="3">
        <v>2026</v>
      </c>
      <c r="C3" s="3" t="s">
        <v>213</v>
      </c>
      <c r="D3" s="3" t="s">
        <v>214</v>
      </c>
      <c r="E3" s="4">
        <v>4000000</v>
      </c>
    </row>
    <row r="4" spans="1:5">
      <c r="A4" s="3" t="s">
        <v>31</v>
      </c>
      <c r="B4" s="3">
        <v>2026</v>
      </c>
      <c r="C4" s="3" t="s">
        <v>213</v>
      </c>
      <c r="D4" s="3" t="s">
        <v>215</v>
      </c>
      <c r="E4" s="4">
        <v>0</v>
      </c>
    </row>
    <row r="5" spans="1:5">
      <c r="A5" s="3" t="s">
        <v>31</v>
      </c>
      <c r="B5" s="3">
        <v>2026</v>
      </c>
      <c r="C5" s="3" t="s">
        <v>213</v>
      </c>
      <c r="D5" s="3" t="s">
        <v>216</v>
      </c>
      <c r="E5" s="4">
        <v>0</v>
      </c>
    </row>
    <row r="6" spans="1:5">
      <c r="A6" s="3" t="s">
        <v>31</v>
      </c>
      <c r="B6" s="3">
        <v>2026</v>
      </c>
      <c r="C6" s="3" t="s">
        <v>213</v>
      </c>
      <c r="D6" s="3" t="s">
        <v>217</v>
      </c>
      <c r="E6" s="4">
        <v>0</v>
      </c>
    </row>
    <row r="7" spans="1:5">
      <c r="A7" s="3" t="s">
        <v>31</v>
      </c>
      <c r="B7" s="3">
        <v>2026</v>
      </c>
      <c r="C7" s="3" t="s">
        <v>218</v>
      </c>
      <c r="D7" s="3" t="s">
        <v>46</v>
      </c>
      <c r="E7" s="4">
        <v>10316081</v>
      </c>
    </row>
    <row r="8" spans="1:5">
      <c r="A8" s="3" t="s">
        <v>31</v>
      </c>
      <c r="B8" s="3">
        <v>2026</v>
      </c>
      <c r="C8" s="3" t="s">
        <v>218</v>
      </c>
      <c r="D8" s="3" t="s">
        <v>214</v>
      </c>
      <c r="E8" s="4">
        <v>78380000</v>
      </c>
    </row>
    <row r="9" spans="1:5">
      <c r="A9" s="3" t="s">
        <v>31</v>
      </c>
      <c r="B9" s="3">
        <v>2026</v>
      </c>
      <c r="C9" s="3" t="s">
        <v>218</v>
      </c>
      <c r="D9" s="3" t="s">
        <v>215</v>
      </c>
      <c r="E9" s="4">
        <v>62990000</v>
      </c>
    </row>
    <row r="10" spans="1:5">
      <c r="A10" s="3" t="s">
        <v>31</v>
      </c>
      <c r="B10" s="3">
        <v>2026</v>
      </c>
      <c r="C10" s="3" t="s">
        <v>218</v>
      </c>
      <c r="D10" s="3" t="s">
        <v>216</v>
      </c>
      <c r="E10" s="4">
        <v>39804000</v>
      </c>
    </row>
    <row r="11" spans="1:5">
      <c r="A11" s="3" t="s">
        <v>31</v>
      </c>
      <c r="B11" s="3">
        <v>2026</v>
      </c>
      <c r="C11" s="3" t="s">
        <v>218</v>
      </c>
      <c r="D11" s="3" t="s">
        <v>217</v>
      </c>
      <c r="E11" s="4">
        <v>440865489</v>
      </c>
    </row>
    <row r="12" spans="1:5">
      <c r="A12" s="3" t="s">
        <v>31</v>
      </c>
      <c r="B12" s="3">
        <v>2026</v>
      </c>
      <c r="C12" s="3" t="s">
        <v>69</v>
      </c>
      <c r="D12" s="3" t="s">
        <v>214</v>
      </c>
      <c r="E12" s="4">
        <v>0</v>
      </c>
    </row>
    <row r="13" spans="1:5">
      <c r="A13" s="3" t="s">
        <v>31</v>
      </c>
      <c r="B13" s="3">
        <v>2026</v>
      </c>
      <c r="C13" s="3" t="s">
        <v>69</v>
      </c>
      <c r="D13" s="3" t="s">
        <v>215</v>
      </c>
      <c r="E13" s="4">
        <v>0</v>
      </c>
    </row>
    <row r="14" spans="1:5">
      <c r="A14" s="3" t="s">
        <v>31</v>
      </c>
      <c r="B14" s="3">
        <v>2026</v>
      </c>
      <c r="C14" s="3" t="s">
        <v>69</v>
      </c>
      <c r="D14" s="3" t="s">
        <v>216</v>
      </c>
      <c r="E14" s="4">
        <v>0</v>
      </c>
    </row>
    <row r="15" spans="1:5">
      <c r="A15" s="3" t="s">
        <v>31</v>
      </c>
      <c r="B15" s="3">
        <v>2026</v>
      </c>
      <c r="C15" s="3" t="s">
        <v>69</v>
      </c>
      <c r="D15" s="3" t="s">
        <v>217</v>
      </c>
      <c r="E15" s="4">
        <v>0</v>
      </c>
    </row>
    <row r="16" spans="1:5">
      <c r="A16" s="3" t="s">
        <v>31</v>
      </c>
      <c r="B16" s="3">
        <v>2026</v>
      </c>
      <c r="C16" s="3" t="s">
        <v>219</v>
      </c>
      <c r="D16" s="3" t="s">
        <v>46</v>
      </c>
      <c r="E16" s="4">
        <v>47900000</v>
      </c>
    </row>
    <row r="17" spans="1:5">
      <c r="A17" s="3" t="s">
        <v>31</v>
      </c>
      <c r="B17" s="3">
        <v>2026</v>
      </c>
      <c r="C17" s="3" t="s">
        <v>219</v>
      </c>
      <c r="D17" s="3" t="s">
        <v>214</v>
      </c>
      <c r="E17" s="4">
        <v>47370270</v>
      </c>
    </row>
    <row r="18" spans="1:5">
      <c r="A18" s="3" t="s">
        <v>31</v>
      </c>
      <c r="B18" s="3">
        <v>2026</v>
      </c>
      <c r="C18" s="3" t="s">
        <v>219</v>
      </c>
      <c r="D18" s="3" t="s">
        <v>215</v>
      </c>
      <c r="E18" s="4">
        <v>4500000</v>
      </c>
    </row>
    <row r="19" spans="1:5">
      <c r="A19" s="3" t="s">
        <v>31</v>
      </c>
      <c r="B19" s="3">
        <v>2026</v>
      </c>
      <c r="C19" s="3" t="s">
        <v>219</v>
      </c>
      <c r="D19" s="3" t="s">
        <v>216</v>
      </c>
      <c r="E19" s="4">
        <v>25500000</v>
      </c>
    </row>
    <row r="20" spans="1:5">
      <c r="A20" s="3" t="s">
        <v>31</v>
      </c>
      <c r="B20" s="3">
        <v>2026</v>
      </c>
      <c r="C20" s="3" t="s">
        <v>219</v>
      </c>
      <c r="D20" s="3" t="s">
        <v>217</v>
      </c>
      <c r="E20" s="4">
        <v>0</v>
      </c>
    </row>
    <row r="21" spans="1:5">
      <c r="A21" s="3" t="s">
        <v>31</v>
      </c>
      <c r="B21" s="3">
        <v>2026</v>
      </c>
      <c r="C21" s="3" t="s">
        <v>220</v>
      </c>
      <c r="D21" s="3" t="s">
        <v>46</v>
      </c>
      <c r="E21" s="4">
        <v>240912367</v>
      </c>
    </row>
    <row r="22" spans="1:5">
      <c r="A22" s="3" t="s">
        <v>31</v>
      </c>
      <c r="B22" s="3">
        <v>2026</v>
      </c>
      <c r="C22" s="3" t="s">
        <v>220</v>
      </c>
      <c r="D22" s="3" t="s">
        <v>214</v>
      </c>
      <c r="E22" s="4">
        <v>1351351</v>
      </c>
    </row>
    <row r="23" spans="1:5">
      <c r="A23" s="3" t="s">
        <v>31</v>
      </c>
      <c r="B23" s="3">
        <v>2026</v>
      </c>
      <c r="C23" s="3" t="s">
        <v>220</v>
      </c>
      <c r="D23" s="3" t="s">
        <v>215</v>
      </c>
      <c r="E23" s="4">
        <v>0</v>
      </c>
    </row>
    <row r="24" spans="1:5">
      <c r="A24" s="3" t="s">
        <v>31</v>
      </c>
      <c r="B24" s="3">
        <v>2026</v>
      </c>
      <c r="C24" s="3" t="s">
        <v>220</v>
      </c>
      <c r="D24" s="3" t="s">
        <v>216</v>
      </c>
      <c r="E24" s="4">
        <v>0</v>
      </c>
    </row>
    <row r="25" spans="1:5">
      <c r="A25" s="3" t="s">
        <v>31</v>
      </c>
      <c r="B25" s="3">
        <v>2026</v>
      </c>
      <c r="C25" s="3" t="s">
        <v>220</v>
      </c>
      <c r="D25" s="3" t="s">
        <v>217</v>
      </c>
      <c r="E25" s="4">
        <v>338983</v>
      </c>
    </row>
    <row r="26" spans="1:5">
      <c r="A26" s="3" t="s">
        <v>33</v>
      </c>
      <c r="B26" s="3">
        <v>2026</v>
      </c>
      <c r="C26" s="3" t="s">
        <v>213</v>
      </c>
      <c r="D26" s="3" t="s">
        <v>46</v>
      </c>
      <c r="E26" s="4">
        <v>6600000</v>
      </c>
    </row>
    <row r="27" spans="1:5">
      <c r="A27" s="3" t="s">
        <v>33</v>
      </c>
      <c r="B27" s="3">
        <v>2026</v>
      </c>
      <c r="C27" s="3" t="s">
        <v>213</v>
      </c>
      <c r="D27" s="3" t="s">
        <v>214</v>
      </c>
      <c r="E27" s="4">
        <v>8800000</v>
      </c>
    </row>
    <row r="28" spans="1:5">
      <c r="A28" s="3" t="s">
        <v>33</v>
      </c>
      <c r="B28" s="3">
        <v>2026</v>
      </c>
      <c r="C28" s="3" t="s">
        <v>213</v>
      </c>
      <c r="D28" s="3" t="s">
        <v>215</v>
      </c>
      <c r="E28" s="4">
        <v>0</v>
      </c>
    </row>
    <row r="29" spans="1:5">
      <c r="A29" s="3" t="s">
        <v>33</v>
      </c>
      <c r="B29" s="3">
        <v>2026</v>
      </c>
      <c r="C29" s="3" t="s">
        <v>213</v>
      </c>
      <c r="D29" s="3" t="s">
        <v>216</v>
      </c>
      <c r="E29" s="4">
        <v>0</v>
      </c>
    </row>
    <row r="30" spans="1:5">
      <c r="A30" s="3" t="s">
        <v>33</v>
      </c>
      <c r="B30" s="3">
        <v>2026</v>
      </c>
      <c r="C30" s="3" t="s">
        <v>213</v>
      </c>
      <c r="D30" s="3" t="s">
        <v>217</v>
      </c>
      <c r="E30" s="4">
        <v>0</v>
      </c>
    </row>
    <row r="31" spans="1:5">
      <c r="A31" s="3" t="s">
        <v>33</v>
      </c>
      <c r="B31" s="3">
        <v>2026</v>
      </c>
      <c r="C31" s="3" t="s">
        <v>218</v>
      </c>
      <c r="D31" s="3" t="s">
        <v>46</v>
      </c>
      <c r="E31" s="4">
        <v>87383208</v>
      </c>
    </row>
    <row r="32" spans="1:5">
      <c r="A32" s="3" t="s">
        <v>33</v>
      </c>
      <c r="B32" s="3">
        <v>2026</v>
      </c>
      <c r="C32" s="3" t="s">
        <v>218</v>
      </c>
      <c r="D32" s="3" t="s">
        <v>214</v>
      </c>
      <c r="E32" s="4">
        <v>89194487</v>
      </c>
    </row>
    <row r="33" spans="1:5">
      <c r="A33" s="3" t="s">
        <v>33</v>
      </c>
      <c r="B33" s="3">
        <v>2026</v>
      </c>
      <c r="C33" s="3" t="s">
        <v>218</v>
      </c>
      <c r="D33" s="3" t="s">
        <v>215</v>
      </c>
      <c r="E33" s="4">
        <v>133881456</v>
      </c>
    </row>
    <row r="34" spans="1:5">
      <c r="A34" s="3" t="s">
        <v>33</v>
      </c>
      <c r="B34" s="3">
        <v>2026</v>
      </c>
      <c r="C34" s="3" t="s">
        <v>218</v>
      </c>
      <c r="D34" s="3" t="s">
        <v>216</v>
      </c>
      <c r="E34" s="4">
        <v>79280000</v>
      </c>
    </row>
    <row r="35" spans="1:5">
      <c r="A35" s="3" t="s">
        <v>33</v>
      </c>
      <c r="B35" s="3">
        <v>2026</v>
      </c>
      <c r="C35" s="3" t="s">
        <v>218</v>
      </c>
      <c r="D35" s="3" t="s">
        <v>217</v>
      </c>
      <c r="E35" s="4">
        <v>295246374</v>
      </c>
    </row>
    <row r="36" spans="1:5">
      <c r="A36" s="3" t="s">
        <v>33</v>
      </c>
      <c r="B36" s="3">
        <v>2026</v>
      </c>
      <c r="C36" s="3" t="s">
        <v>69</v>
      </c>
      <c r="D36" s="3" t="s">
        <v>214</v>
      </c>
      <c r="E36" s="4">
        <v>0</v>
      </c>
    </row>
    <row r="37" spans="1:5">
      <c r="A37" s="3" t="s">
        <v>33</v>
      </c>
      <c r="B37" s="3">
        <v>2026</v>
      </c>
      <c r="C37" s="3" t="s">
        <v>69</v>
      </c>
      <c r="D37" s="3" t="s">
        <v>215</v>
      </c>
      <c r="E37" s="4">
        <v>0</v>
      </c>
    </row>
    <row r="38" spans="1:5">
      <c r="A38" s="3" t="s">
        <v>33</v>
      </c>
      <c r="B38" s="3">
        <v>2026</v>
      </c>
      <c r="C38" s="3" t="s">
        <v>69</v>
      </c>
      <c r="D38" s="3" t="s">
        <v>216</v>
      </c>
      <c r="E38" s="4">
        <v>0</v>
      </c>
    </row>
    <row r="39" spans="1:5">
      <c r="A39" s="3" t="s">
        <v>33</v>
      </c>
      <c r="B39" s="3">
        <v>2026</v>
      </c>
      <c r="C39" s="3" t="s">
        <v>69</v>
      </c>
      <c r="D39" s="3" t="s">
        <v>217</v>
      </c>
      <c r="E39" s="4">
        <v>0</v>
      </c>
    </row>
    <row r="40" spans="1:5">
      <c r="A40" s="3" t="s">
        <v>33</v>
      </c>
      <c r="B40" s="3">
        <v>2026</v>
      </c>
      <c r="C40" s="3" t="s">
        <v>219</v>
      </c>
      <c r="D40" s="3" t="s">
        <v>46</v>
      </c>
      <c r="E40" s="4">
        <v>208496288</v>
      </c>
    </row>
    <row r="41" spans="1:5">
      <c r="A41" s="3" t="s">
        <v>33</v>
      </c>
      <c r="B41" s="3">
        <v>2026</v>
      </c>
      <c r="C41" s="3" t="s">
        <v>219</v>
      </c>
      <c r="D41" s="3" t="s">
        <v>214</v>
      </c>
      <c r="E41" s="4">
        <v>75700000</v>
      </c>
    </row>
    <row r="42" spans="1:5">
      <c r="A42" s="3" t="s">
        <v>33</v>
      </c>
      <c r="B42" s="3">
        <v>2026</v>
      </c>
      <c r="C42" s="3" t="s">
        <v>219</v>
      </c>
      <c r="D42" s="3" t="s">
        <v>215</v>
      </c>
      <c r="E42" s="4">
        <v>26500000</v>
      </c>
    </row>
    <row r="43" spans="1:5">
      <c r="A43" s="3" t="s">
        <v>33</v>
      </c>
      <c r="B43" s="3">
        <v>2026</v>
      </c>
      <c r="C43" s="3" t="s">
        <v>219</v>
      </c>
      <c r="D43" s="3" t="s">
        <v>216</v>
      </c>
      <c r="E43" s="4">
        <v>23500000</v>
      </c>
    </row>
    <row r="44" spans="1:5">
      <c r="A44" s="3" t="s">
        <v>33</v>
      </c>
      <c r="B44" s="3">
        <v>2026</v>
      </c>
      <c r="C44" s="3" t="s">
        <v>219</v>
      </c>
      <c r="D44" s="3" t="s">
        <v>217</v>
      </c>
      <c r="E44" s="4">
        <v>11428571</v>
      </c>
    </row>
    <row r="45" spans="1:5">
      <c r="A45" s="3" t="s">
        <v>33</v>
      </c>
      <c r="B45" s="3">
        <v>2026</v>
      </c>
      <c r="C45" s="3" t="s">
        <v>220</v>
      </c>
      <c r="D45" s="3" t="s">
        <v>46</v>
      </c>
      <c r="E45" s="4">
        <v>185024146</v>
      </c>
    </row>
    <row r="46" spans="1:5">
      <c r="A46" s="3" t="s">
        <v>33</v>
      </c>
      <c r="B46" s="3">
        <v>2026</v>
      </c>
      <c r="C46" s="3" t="s">
        <v>220</v>
      </c>
      <c r="D46" s="3" t="s">
        <v>214</v>
      </c>
      <c r="E46" s="4">
        <v>31463782</v>
      </c>
    </row>
    <row r="47" spans="1:5">
      <c r="A47" s="3" t="s">
        <v>33</v>
      </c>
      <c r="B47" s="3">
        <v>2026</v>
      </c>
      <c r="C47" s="3" t="s">
        <v>220</v>
      </c>
      <c r="D47" s="3" t="s">
        <v>215</v>
      </c>
      <c r="E47" s="4">
        <v>31543718</v>
      </c>
    </row>
    <row r="48" spans="1:5">
      <c r="A48" s="3" t="s">
        <v>33</v>
      </c>
      <c r="B48" s="3">
        <v>2026</v>
      </c>
      <c r="C48" s="3" t="s">
        <v>220</v>
      </c>
      <c r="D48" s="3" t="s">
        <v>216</v>
      </c>
      <c r="E48" s="4">
        <v>50068564</v>
      </c>
    </row>
    <row r="49" spans="1:5">
      <c r="A49" s="3" t="s">
        <v>33</v>
      </c>
      <c r="B49" s="3">
        <v>2026</v>
      </c>
      <c r="C49" s="3" t="s">
        <v>220</v>
      </c>
      <c r="D49" s="3" t="s">
        <v>217</v>
      </c>
      <c r="E49" s="4">
        <v>24750000</v>
      </c>
    </row>
    <row r="50" spans="1:5">
      <c r="A50" s="3" t="s">
        <v>34</v>
      </c>
      <c r="B50" s="3">
        <v>2026</v>
      </c>
      <c r="C50" s="3" t="s">
        <v>213</v>
      </c>
      <c r="D50" s="3" t="s">
        <v>46</v>
      </c>
      <c r="E50" s="4">
        <v>12200000</v>
      </c>
    </row>
    <row r="51" spans="1:5">
      <c r="A51" s="3" t="s">
        <v>34</v>
      </c>
      <c r="B51" s="3">
        <v>2026</v>
      </c>
      <c r="C51" s="3" t="s">
        <v>213</v>
      </c>
      <c r="D51" s="3" t="s">
        <v>214</v>
      </c>
      <c r="E51" s="4">
        <v>3300000</v>
      </c>
    </row>
    <row r="52" spans="1:5">
      <c r="A52" s="3" t="s">
        <v>34</v>
      </c>
      <c r="B52" s="3">
        <v>2026</v>
      </c>
      <c r="C52" s="3" t="s">
        <v>213</v>
      </c>
      <c r="D52" s="3" t="s">
        <v>215</v>
      </c>
      <c r="E52" s="4">
        <v>0</v>
      </c>
    </row>
    <row r="53" spans="1:5">
      <c r="A53" s="3" t="s">
        <v>34</v>
      </c>
      <c r="B53" s="3">
        <v>2026</v>
      </c>
      <c r="C53" s="3" t="s">
        <v>213</v>
      </c>
      <c r="D53" s="3" t="s">
        <v>216</v>
      </c>
      <c r="E53" s="4">
        <v>0</v>
      </c>
    </row>
    <row r="54" spans="1:5">
      <c r="A54" s="3" t="s">
        <v>34</v>
      </c>
      <c r="B54" s="3">
        <v>2026</v>
      </c>
      <c r="C54" s="3" t="s">
        <v>213</v>
      </c>
      <c r="D54" s="3" t="s">
        <v>217</v>
      </c>
      <c r="E54" s="4">
        <v>0</v>
      </c>
    </row>
    <row r="55" spans="1:5">
      <c r="A55" s="3" t="s">
        <v>34</v>
      </c>
      <c r="B55" s="3">
        <v>2026</v>
      </c>
      <c r="C55" s="3" t="s">
        <v>218</v>
      </c>
      <c r="D55" s="3" t="s">
        <v>46</v>
      </c>
      <c r="E55" s="4">
        <v>317962563</v>
      </c>
    </row>
    <row r="56" spans="1:5">
      <c r="A56" s="3" t="s">
        <v>34</v>
      </c>
      <c r="B56" s="3">
        <v>2026</v>
      </c>
      <c r="C56" s="3" t="s">
        <v>218</v>
      </c>
      <c r="D56" s="3" t="s">
        <v>214</v>
      </c>
      <c r="E56" s="4">
        <v>74400000</v>
      </c>
    </row>
    <row r="57" spans="1:5">
      <c r="A57" s="3" t="s">
        <v>34</v>
      </c>
      <c r="B57" s="3">
        <v>2026</v>
      </c>
      <c r="C57" s="3" t="s">
        <v>218</v>
      </c>
      <c r="D57" s="3" t="s">
        <v>215</v>
      </c>
      <c r="E57" s="4">
        <v>111212414</v>
      </c>
    </row>
    <row r="58" spans="1:5">
      <c r="A58" s="3" t="s">
        <v>34</v>
      </c>
      <c r="B58" s="3">
        <v>2026</v>
      </c>
      <c r="C58" s="3" t="s">
        <v>218</v>
      </c>
      <c r="D58" s="3" t="s">
        <v>216</v>
      </c>
      <c r="E58" s="4">
        <v>82100000</v>
      </c>
    </row>
    <row r="59" spans="1:5">
      <c r="A59" s="3" t="s">
        <v>34</v>
      </c>
      <c r="B59" s="3">
        <v>2026</v>
      </c>
      <c r="C59" s="3" t="s">
        <v>218</v>
      </c>
      <c r="D59" s="3" t="s">
        <v>217</v>
      </c>
      <c r="E59" s="4">
        <v>240763323</v>
      </c>
    </row>
    <row r="60" spans="1:5">
      <c r="A60" s="3" t="s">
        <v>34</v>
      </c>
      <c r="B60" s="3">
        <v>2026</v>
      </c>
      <c r="C60" s="3" t="s">
        <v>69</v>
      </c>
      <c r="D60" s="3" t="s">
        <v>214</v>
      </c>
      <c r="E60" s="4">
        <v>0</v>
      </c>
    </row>
    <row r="61" spans="1:5">
      <c r="A61" s="3" t="s">
        <v>34</v>
      </c>
      <c r="B61" s="3">
        <v>2026</v>
      </c>
      <c r="C61" s="3" t="s">
        <v>69</v>
      </c>
      <c r="D61" s="3" t="s">
        <v>215</v>
      </c>
      <c r="E61" s="4">
        <v>5000000</v>
      </c>
    </row>
    <row r="62" spans="1:5">
      <c r="A62" s="3" t="s">
        <v>34</v>
      </c>
      <c r="B62" s="3">
        <v>2026</v>
      </c>
      <c r="C62" s="3" t="s">
        <v>69</v>
      </c>
      <c r="D62" s="3" t="s">
        <v>216</v>
      </c>
      <c r="E62" s="4">
        <v>1000000</v>
      </c>
    </row>
    <row r="63" spans="1:5">
      <c r="A63" s="3" t="s">
        <v>34</v>
      </c>
      <c r="B63" s="3">
        <v>2026</v>
      </c>
      <c r="C63" s="3" t="s">
        <v>69</v>
      </c>
      <c r="D63" s="3" t="s">
        <v>217</v>
      </c>
      <c r="E63" s="4">
        <v>0</v>
      </c>
    </row>
    <row r="64" spans="1:5">
      <c r="A64" s="3" t="s">
        <v>34</v>
      </c>
      <c r="B64" s="3">
        <v>2026</v>
      </c>
      <c r="C64" s="3" t="s">
        <v>219</v>
      </c>
      <c r="D64" s="3" t="s">
        <v>46</v>
      </c>
      <c r="E64" s="4">
        <v>161346939</v>
      </c>
    </row>
    <row r="65" spans="1:5">
      <c r="A65" s="3" t="s">
        <v>34</v>
      </c>
      <c r="B65" s="3">
        <v>2026</v>
      </c>
      <c r="C65" s="3" t="s">
        <v>219</v>
      </c>
      <c r="D65" s="3" t="s">
        <v>214</v>
      </c>
      <c r="E65" s="4">
        <v>62800000</v>
      </c>
    </row>
    <row r="66" spans="1:5">
      <c r="A66" s="3" t="s">
        <v>34</v>
      </c>
      <c r="B66" s="3">
        <v>2026</v>
      </c>
      <c r="C66" s="3" t="s">
        <v>219</v>
      </c>
      <c r="D66" s="3" t="s">
        <v>215</v>
      </c>
      <c r="E66" s="4">
        <v>27850000</v>
      </c>
    </row>
    <row r="67" spans="1:5">
      <c r="A67" s="3" t="s">
        <v>34</v>
      </c>
      <c r="B67" s="3">
        <v>2026</v>
      </c>
      <c r="C67" s="3" t="s">
        <v>219</v>
      </c>
      <c r="D67" s="3" t="s">
        <v>216</v>
      </c>
      <c r="E67" s="4">
        <v>58400000</v>
      </c>
    </row>
    <row r="68" spans="1:5">
      <c r="A68" s="3" t="s">
        <v>34</v>
      </c>
      <c r="B68" s="3">
        <v>2026</v>
      </c>
      <c r="C68" s="3" t="s">
        <v>219</v>
      </c>
      <c r="D68" s="3" t="s">
        <v>217</v>
      </c>
      <c r="E68" s="4">
        <v>16243655</v>
      </c>
    </row>
    <row r="69" spans="1:5">
      <c r="A69" s="3" t="s">
        <v>34</v>
      </c>
      <c r="B69" s="3">
        <v>2026</v>
      </c>
      <c r="C69" s="3" t="s">
        <v>220</v>
      </c>
      <c r="D69" s="3" t="s">
        <v>46</v>
      </c>
      <c r="E69" s="4">
        <v>241910316</v>
      </c>
    </row>
    <row r="70" spans="1:5">
      <c r="A70" s="3" t="s">
        <v>34</v>
      </c>
      <c r="B70" s="3">
        <v>2026</v>
      </c>
      <c r="C70" s="3" t="s">
        <v>220</v>
      </c>
      <c r="D70" s="3" t="s">
        <v>214</v>
      </c>
      <c r="E70" s="4">
        <v>6000000</v>
      </c>
    </row>
    <row r="71" spans="1:5">
      <c r="A71" s="3" t="s">
        <v>34</v>
      </c>
      <c r="B71" s="3">
        <v>2026</v>
      </c>
      <c r="C71" s="3" t="s">
        <v>220</v>
      </c>
      <c r="D71" s="3" t="s">
        <v>215</v>
      </c>
      <c r="E71" s="4">
        <v>43000000</v>
      </c>
    </row>
    <row r="72" spans="1:5">
      <c r="A72" s="3" t="s">
        <v>34</v>
      </c>
      <c r="B72" s="3">
        <v>2026</v>
      </c>
      <c r="C72" s="3" t="s">
        <v>220</v>
      </c>
      <c r="D72" s="3" t="s">
        <v>216</v>
      </c>
      <c r="E72" s="4">
        <v>48400000</v>
      </c>
    </row>
    <row r="73" spans="1:5">
      <c r="A73" s="3" t="s">
        <v>34</v>
      </c>
      <c r="B73" s="3">
        <v>2026</v>
      </c>
      <c r="C73" s="3" t="s">
        <v>220</v>
      </c>
      <c r="D73" s="3" t="s">
        <v>217</v>
      </c>
      <c r="E73" s="4">
        <v>20304570</v>
      </c>
    </row>
    <row r="74" spans="1:5">
      <c r="A74" s="3" t="s">
        <v>35</v>
      </c>
      <c r="B74" s="3">
        <v>2026</v>
      </c>
      <c r="C74" s="3" t="s">
        <v>213</v>
      </c>
      <c r="D74" s="3" t="s">
        <v>46</v>
      </c>
      <c r="E74" s="4">
        <v>12000000</v>
      </c>
    </row>
    <row r="75" spans="1:5">
      <c r="A75" s="3" t="s">
        <v>35</v>
      </c>
      <c r="B75" s="3">
        <v>2026</v>
      </c>
      <c r="C75" s="3" t="s">
        <v>213</v>
      </c>
      <c r="D75" s="3" t="s">
        <v>214</v>
      </c>
      <c r="E75" s="4">
        <v>0</v>
      </c>
    </row>
    <row r="76" spans="1:5">
      <c r="A76" s="3" t="s">
        <v>35</v>
      </c>
      <c r="B76" s="3">
        <v>2026</v>
      </c>
      <c r="C76" s="3" t="s">
        <v>213</v>
      </c>
      <c r="D76" s="3" t="s">
        <v>215</v>
      </c>
      <c r="E76" s="4">
        <v>0</v>
      </c>
    </row>
    <row r="77" spans="1:5">
      <c r="A77" s="3" t="s">
        <v>35</v>
      </c>
      <c r="B77" s="3">
        <v>2026</v>
      </c>
      <c r="C77" s="3" t="s">
        <v>213</v>
      </c>
      <c r="D77" s="3" t="s">
        <v>216</v>
      </c>
      <c r="E77" s="4">
        <v>0</v>
      </c>
    </row>
    <row r="78" spans="1:5">
      <c r="A78" s="3" t="s">
        <v>35</v>
      </c>
      <c r="B78" s="3">
        <v>2026</v>
      </c>
      <c r="C78" s="3" t="s">
        <v>213</v>
      </c>
      <c r="D78" s="3" t="s">
        <v>217</v>
      </c>
      <c r="E78" s="4">
        <v>0</v>
      </c>
    </row>
    <row r="79" spans="1:5">
      <c r="A79" s="3" t="s">
        <v>35</v>
      </c>
      <c r="B79" s="3">
        <v>2026</v>
      </c>
      <c r="C79" s="3" t="s">
        <v>218</v>
      </c>
      <c r="D79" s="3" t="s">
        <v>46</v>
      </c>
      <c r="E79" s="4">
        <v>248098179</v>
      </c>
    </row>
    <row r="80" spans="1:5">
      <c r="A80" s="3" t="s">
        <v>35</v>
      </c>
      <c r="B80" s="3">
        <v>2026</v>
      </c>
      <c r="C80" s="3" t="s">
        <v>218</v>
      </c>
      <c r="D80" s="3" t="s">
        <v>214</v>
      </c>
      <c r="E80" s="4">
        <v>46600000</v>
      </c>
    </row>
    <row r="81" spans="1:5">
      <c r="A81" s="3" t="s">
        <v>35</v>
      </c>
      <c r="B81" s="3">
        <v>2026</v>
      </c>
      <c r="C81" s="3" t="s">
        <v>218</v>
      </c>
      <c r="D81" s="3" t="s">
        <v>215</v>
      </c>
      <c r="E81" s="4">
        <v>40163334</v>
      </c>
    </row>
    <row r="82" spans="1:5">
      <c r="A82" s="3" t="s">
        <v>35</v>
      </c>
      <c r="B82" s="3">
        <v>2026</v>
      </c>
      <c r="C82" s="3" t="s">
        <v>218</v>
      </c>
      <c r="D82" s="3" t="s">
        <v>216</v>
      </c>
      <c r="E82" s="4">
        <v>30000000</v>
      </c>
    </row>
    <row r="83" spans="1:5">
      <c r="A83" s="3" t="s">
        <v>35</v>
      </c>
      <c r="B83" s="3">
        <v>2026</v>
      </c>
      <c r="C83" s="3" t="s">
        <v>218</v>
      </c>
      <c r="D83" s="3" t="s">
        <v>217</v>
      </c>
      <c r="E83" s="4">
        <v>218938843</v>
      </c>
    </row>
    <row r="84" spans="1:5">
      <c r="A84" s="3" t="s">
        <v>35</v>
      </c>
      <c r="B84" s="3">
        <v>2026</v>
      </c>
      <c r="C84" s="3" t="s">
        <v>69</v>
      </c>
      <c r="D84" s="3" t="s">
        <v>46</v>
      </c>
      <c r="E84" s="4">
        <v>0</v>
      </c>
    </row>
    <row r="85" spans="1:5">
      <c r="A85" s="3" t="s">
        <v>35</v>
      </c>
      <c r="B85" s="3">
        <v>2026</v>
      </c>
      <c r="C85" s="3" t="s">
        <v>69</v>
      </c>
      <c r="D85" s="3" t="s">
        <v>214</v>
      </c>
      <c r="E85" s="4">
        <v>0</v>
      </c>
    </row>
    <row r="86" spans="1:5">
      <c r="A86" s="3" t="s">
        <v>35</v>
      </c>
      <c r="B86" s="3">
        <v>2026</v>
      </c>
      <c r="C86" s="3" t="s">
        <v>69</v>
      </c>
      <c r="D86" s="3" t="s">
        <v>215</v>
      </c>
      <c r="E86" s="4">
        <v>0</v>
      </c>
    </row>
    <row r="87" spans="1:5">
      <c r="A87" s="3" t="s">
        <v>35</v>
      </c>
      <c r="B87" s="3">
        <v>2026</v>
      </c>
      <c r="C87" s="3" t="s">
        <v>69</v>
      </c>
      <c r="D87" s="3" t="s">
        <v>216</v>
      </c>
      <c r="E87" s="4">
        <v>0</v>
      </c>
    </row>
    <row r="88" spans="1:5">
      <c r="A88" s="3" t="s">
        <v>35</v>
      </c>
      <c r="B88" s="3">
        <v>2026</v>
      </c>
      <c r="C88" s="3" t="s">
        <v>69</v>
      </c>
      <c r="D88" s="3" t="s">
        <v>217</v>
      </c>
      <c r="E88" s="4">
        <v>0</v>
      </c>
    </row>
    <row r="89" spans="1:5">
      <c r="A89" s="3" t="s">
        <v>35</v>
      </c>
      <c r="B89" s="3">
        <v>2026</v>
      </c>
      <c r="C89" s="3" t="s">
        <v>219</v>
      </c>
      <c r="D89" s="3" t="s">
        <v>46</v>
      </c>
      <c r="E89" s="4">
        <v>305764700</v>
      </c>
    </row>
    <row r="90" spans="1:5">
      <c r="A90" s="3" t="s">
        <v>35</v>
      </c>
      <c r="B90" s="3">
        <v>2026</v>
      </c>
      <c r="C90" s="3" t="s">
        <v>219</v>
      </c>
      <c r="D90" s="3" t="s">
        <v>214</v>
      </c>
      <c r="E90" s="4">
        <v>8000000</v>
      </c>
    </row>
    <row r="91" spans="1:5">
      <c r="A91" s="3" t="s">
        <v>35</v>
      </c>
      <c r="B91" s="3">
        <v>2026</v>
      </c>
      <c r="C91" s="3" t="s">
        <v>219</v>
      </c>
      <c r="D91" s="3" t="s">
        <v>215</v>
      </c>
      <c r="E91" s="4">
        <v>4000000</v>
      </c>
    </row>
    <row r="92" spans="1:5">
      <c r="A92" s="3" t="s">
        <v>35</v>
      </c>
      <c r="B92" s="3">
        <v>2026</v>
      </c>
      <c r="C92" s="3" t="s">
        <v>219</v>
      </c>
      <c r="D92" s="3" t="s">
        <v>216</v>
      </c>
      <c r="E92" s="4">
        <v>17000000</v>
      </c>
    </row>
    <row r="93" spans="1:5">
      <c r="A93" s="3" t="s">
        <v>35</v>
      </c>
      <c r="B93" s="3">
        <v>2026</v>
      </c>
      <c r="C93" s="3" t="s">
        <v>219</v>
      </c>
      <c r="D93" s="3" t="s">
        <v>217</v>
      </c>
      <c r="E93" s="4">
        <v>0</v>
      </c>
    </row>
    <row r="94" spans="1:5">
      <c r="A94" s="3" t="s">
        <v>35</v>
      </c>
      <c r="B94" s="3">
        <v>2026</v>
      </c>
      <c r="C94" s="3" t="s">
        <v>220</v>
      </c>
      <c r="D94" s="3" t="s">
        <v>46</v>
      </c>
      <c r="E94" s="4">
        <v>123000000</v>
      </c>
    </row>
    <row r="95" spans="1:5">
      <c r="A95" s="3" t="s">
        <v>35</v>
      </c>
      <c r="B95" s="3">
        <v>2026</v>
      </c>
      <c r="C95" s="3" t="s">
        <v>220</v>
      </c>
      <c r="D95" s="3" t="s">
        <v>214</v>
      </c>
      <c r="E95" s="4">
        <v>0</v>
      </c>
    </row>
    <row r="96" spans="1:5">
      <c r="A96" s="3" t="s">
        <v>35</v>
      </c>
      <c r="B96" s="3">
        <v>2026</v>
      </c>
      <c r="C96" s="3" t="s">
        <v>220</v>
      </c>
      <c r="D96" s="3" t="s">
        <v>215</v>
      </c>
      <c r="E96" s="4">
        <v>0</v>
      </c>
    </row>
    <row r="97" spans="1:5">
      <c r="A97" s="3" t="s">
        <v>35</v>
      </c>
      <c r="B97" s="3">
        <v>2026</v>
      </c>
      <c r="C97" s="3" t="s">
        <v>220</v>
      </c>
      <c r="D97" s="3" t="s">
        <v>216</v>
      </c>
      <c r="E97" s="4">
        <v>47000000</v>
      </c>
    </row>
    <row r="98" spans="1:5">
      <c r="A98" s="3" t="s">
        <v>35</v>
      </c>
      <c r="B98" s="3">
        <v>2026</v>
      </c>
      <c r="C98" s="3" t="s">
        <v>220</v>
      </c>
      <c r="D98" s="3" t="s">
        <v>217</v>
      </c>
      <c r="E98" s="4">
        <v>0</v>
      </c>
    </row>
    <row r="99" spans="1:5">
      <c r="A99" s="3" t="s">
        <v>36</v>
      </c>
      <c r="B99" s="3">
        <v>2026</v>
      </c>
      <c r="C99" s="3" t="s">
        <v>213</v>
      </c>
      <c r="D99" s="3" t="s">
        <v>46</v>
      </c>
      <c r="E99" s="4">
        <v>3300000</v>
      </c>
    </row>
    <row r="100" spans="1:5">
      <c r="A100" s="3" t="s">
        <v>36</v>
      </c>
      <c r="B100" s="3">
        <v>2026</v>
      </c>
      <c r="C100" s="3" t="s">
        <v>213</v>
      </c>
      <c r="D100" s="3" t="s">
        <v>214</v>
      </c>
      <c r="E100" s="4">
        <v>0</v>
      </c>
    </row>
    <row r="101" spans="1:5">
      <c r="A101" s="3" t="s">
        <v>36</v>
      </c>
      <c r="B101" s="3">
        <v>2026</v>
      </c>
      <c r="C101" s="3" t="s">
        <v>213</v>
      </c>
      <c r="D101" s="3" t="s">
        <v>215</v>
      </c>
      <c r="E101" s="4">
        <v>0</v>
      </c>
    </row>
    <row r="102" spans="1:5">
      <c r="A102" s="3" t="s">
        <v>36</v>
      </c>
      <c r="B102" s="3">
        <v>2026</v>
      </c>
      <c r="C102" s="3" t="s">
        <v>213</v>
      </c>
      <c r="D102" s="3" t="s">
        <v>216</v>
      </c>
      <c r="E102" s="4">
        <v>0</v>
      </c>
    </row>
    <row r="103" spans="1:5">
      <c r="A103" s="3" t="s">
        <v>36</v>
      </c>
      <c r="B103" s="3">
        <v>2026</v>
      </c>
      <c r="C103" s="3" t="s">
        <v>213</v>
      </c>
      <c r="D103" s="3" t="s">
        <v>217</v>
      </c>
      <c r="E103" s="4">
        <v>0</v>
      </c>
    </row>
    <row r="104" spans="1:5">
      <c r="A104" s="3" t="s">
        <v>36</v>
      </c>
      <c r="B104" s="3">
        <v>2026</v>
      </c>
      <c r="C104" s="3" t="s">
        <v>218</v>
      </c>
      <c r="D104" s="3" t="s">
        <v>46</v>
      </c>
      <c r="E104" s="4">
        <v>100866646</v>
      </c>
    </row>
    <row r="105" spans="1:5">
      <c r="A105" s="3" t="s">
        <v>36</v>
      </c>
      <c r="B105" s="3">
        <v>2026</v>
      </c>
      <c r="C105" s="3" t="s">
        <v>218</v>
      </c>
      <c r="D105" s="3" t="s">
        <v>214</v>
      </c>
      <c r="E105" s="4">
        <v>12775990</v>
      </c>
    </row>
    <row r="106" spans="1:5">
      <c r="A106" s="3" t="s">
        <v>36</v>
      </c>
      <c r="B106" s="3">
        <v>2026</v>
      </c>
      <c r="C106" s="3" t="s">
        <v>218</v>
      </c>
      <c r="D106" s="3" t="s">
        <v>215</v>
      </c>
      <c r="E106" s="4">
        <v>211367474</v>
      </c>
    </row>
    <row r="107" spans="1:5">
      <c r="A107" s="3" t="s">
        <v>36</v>
      </c>
      <c r="B107" s="3">
        <v>2026</v>
      </c>
      <c r="C107" s="3" t="s">
        <v>218</v>
      </c>
      <c r="D107" s="3" t="s">
        <v>216</v>
      </c>
      <c r="E107" s="4">
        <v>61450000</v>
      </c>
    </row>
    <row r="108" spans="1:5">
      <c r="A108" s="3" t="s">
        <v>36</v>
      </c>
      <c r="B108" s="3">
        <v>2026</v>
      </c>
      <c r="C108" s="3" t="s">
        <v>218</v>
      </c>
      <c r="D108" s="3" t="s">
        <v>217</v>
      </c>
      <c r="E108" s="4">
        <v>157473733</v>
      </c>
    </row>
    <row r="109" spans="1:5">
      <c r="A109" s="3" t="s">
        <v>36</v>
      </c>
      <c r="B109" s="3">
        <v>2026</v>
      </c>
      <c r="C109" s="3" t="s">
        <v>69</v>
      </c>
      <c r="D109" s="3" t="s">
        <v>46</v>
      </c>
      <c r="E109" s="4">
        <v>0</v>
      </c>
    </row>
    <row r="110" spans="1:5">
      <c r="A110" s="3" t="s">
        <v>36</v>
      </c>
      <c r="B110" s="3">
        <v>2026</v>
      </c>
      <c r="C110" s="3" t="s">
        <v>69</v>
      </c>
      <c r="D110" s="3" t="s">
        <v>214</v>
      </c>
      <c r="E110" s="4">
        <v>0</v>
      </c>
    </row>
    <row r="111" spans="1:5">
      <c r="A111" s="3" t="s">
        <v>36</v>
      </c>
      <c r="B111" s="3">
        <v>2026</v>
      </c>
      <c r="C111" s="3" t="s">
        <v>69</v>
      </c>
      <c r="D111" s="3" t="s">
        <v>215</v>
      </c>
      <c r="E111" s="4">
        <v>0</v>
      </c>
    </row>
    <row r="112" spans="1:5">
      <c r="A112" s="3" t="s">
        <v>36</v>
      </c>
      <c r="B112" s="3">
        <v>2026</v>
      </c>
      <c r="C112" s="3" t="s">
        <v>69</v>
      </c>
      <c r="D112" s="3" t="s">
        <v>216</v>
      </c>
      <c r="E112" s="4">
        <v>0</v>
      </c>
    </row>
    <row r="113" spans="1:5">
      <c r="A113" s="3" t="s">
        <v>36</v>
      </c>
      <c r="B113" s="3">
        <v>2026</v>
      </c>
      <c r="C113" s="3" t="s">
        <v>69</v>
      </c>
      <c r="D113" s="3" t="s">
        <v>217</v>
      </c>
      <c r="E113" s="4">
        <v>0</v>
      </c>
    </row>
    <row r="114" spans="1:5">
      <c r="A114" s="3" t="s">
        <v>36</v>
      </c>
      <c r="B114" s="3">
        <v>2026</v>
      </c>
      <c r="C114" s="3" t="s">
        <v>219</v>
      </c>
      <c r="D114" s="3" t="s">
        <v>46</v>
      </c>
      <c r="E114" s="4">
        <v>177263334</v>
      </c>
    </row>
    <row r="115" spans="1:5">
      <c r="A115" s="3" t="s">
        <v>36</v>
      </c>
      <c r="B115" s="3">
        <v>2026</v>
      </c>
      <c r="C115" s="3" t="s">
        <v>219</v>
      </c>
      <c r="D115" s="3" t="s">
        <v>214</v>
      </c>
      <c r="E115" s="4">
        <v>0</v>
      </c>
    </row>
    <row r="116" spans="1:5">
      <c r="A116" s="3" t="s">
        <v>36</v>
      </c>
      <c r="B116" s="3">
        <v>2026</v>
      </c>
      <c r="C116" s="3" t="s">
        <v>219</v>
      </c>
      <c r="D116" s="3" t="s">
        <v>215</v>
      </c>
      <c r="E116" s="4">
        <v>123156929</v>
      </c>
    </row>
    <row r="117" spans="1:5">
      <c r="A117" s="3" t="s">
        <v>36</v>
      </c>
      <c r="B117" s="3">
        <v>2026</v>
      </c>
      <c r="C117" s="3" t="s">
        <v>219</v>
      </c>
      <c r="D117" s="3" t="s">
        <v>216</v>
      </c>
      <c r="E117" s="4">
        <v>0</v>
      </c>
    </row>
    <row r="118" spans="1:5">
      <c r="A118" s="3" t="s">
        <v>36</v>
      </c>
      <c r="B118" s="3">
        <v>2026</v>
      </c>
      <c r="C118" s="3" t="s">
        <v>219</v>
      </c>
      <c r="D118" s="3" t="s">
        <v>217</v>
      </c>
      <c r="E118" s="4">
        <v>0</v>
      </c>
    </row>
    <row r="119" spans="1:5">
      <c r="A119" s="3" t="s">
        <v>36</v>
      </c>
      <c r="B119" s="3">
        <v>2026</v>
      </c>
      <c r="C119" s="3" t="s">
        <v>220</v>
      </c>
      <c r="D119" s="3" t="s">
        <v>46</v>
      </c>
      <c r="E119" s="4">
        <v>98513514</v>
      </c>
    </row>
    <row r="120" spans="1:5">
      <c r="A120" s="3" t="s">
        <v>36</v>
      </c>
      <c r="B120" s="3">
        <v>2026</v>
      </c>
      <c r="C120" s="3" t="s">
        <v>220</v>
      </c>
      <c r="D120" s="3" t="s">
        <v>214</v>
      </c>
      <c r="E120" s="4">
        <v>10513514</v>
      </c>
    </row>
    <row r="121" spans="1:5">
      <c r="A121" s="3" t="s">
        <v>36</v>
      </c>
      <c r="B121" s="3">
        <v>2026</v>
      </c>
      <c r="C121" s="3" t="s">
        <v>220</v>
      </c>
      <c r="D121" s="3" t="s">
        <v>215</v>
      </c>
      <c r="E121" s="4">
        <v>0</v>
      </c>
    </row>
    <row r="122" spans="1:5">
      <c r="A122" s="3" t="s">
        <v>36</v>
      </c>
      <c r="B122" s="3">
        <v>2026</v>
      </c>
      <c r="C122" s="3" t="s">
        <v>220</v>
      </c>
      <c r="D122" s="3" t="s">
        <v>216</v>
      </c>
      <c r="E122" s="4">
        <v>37975000</v>
      </c>
    </row>
    <row r="123" spans="1:5">
      <c r="A123" s="3" t="s">
        <v>36</v>
      </c>
      <c r="B123" s="3">
        <v>2026</v>
      </c>
      <c r="C123" s="3" t="s">
        <v>220</v>
      </c>
      <c r="D123" s="3" t="s">
        <v>217</v>
      </c>
      <c r="E123" s="4">
        <v>100000000</v>
      </c>
    </row>
    <row r="124" spans="1:5">
      <c r="A124" s="3" t="s">
        <v>37</v>
      </c>
      <c r="B124" s="3">
        <v>2026</v>
      </c>
      <c r="C124" s="3" t="s">
        <v>213</v>
      </c>
      <c r="D124" s="3" t="s">
        <v>46</v>
      </c>
      <c r="E124" s="4">
        <v>4400000</v>
      </c>
    </row>
    <row r="125" spans="1:5">
      <c r="A125" s="3" t="s">
        <v>37</v>
      </c>
      <c r="B125" s="3">
        <v>2026</v>
      </c>
      <c r="C125" s="3" t="s">
        <v>213</v>
      </c>
      <c r="D125" s="3" t="s">
        <v>214</v>
      </c>
      <c r="E125" s="4">
        <v>0</v>
      </c>
    </row>
    <row r="126" spans="1:5">
      <c r="A126" s="3" t="s">
        <v>37</v>
      </c>
      <c r="B126" s="3">
        <v>2026</v>
      </c>
      <c r="C126" s="3" t="s">
        <v>218</v>
      </c>
      <c r="D126" s="3" t="s">
        <v>46</v>
      </c>
      <c r="E126" s="4">
        <v>252639917</v>
      </c>
    </row>
    <row r="127" spans="1:5">
      <c r="A127" s="3" t="s">
        <v>37</v>
      </c>
      <c r="B127" s="3">
        <v>2026</v>
      </c>
      <c r="C127" s="3" t="s">
        <v>218</v>
      </c>
      <c r="D127" s="3" t="s">
        <v>214</v>
      </c>
      <c r="E127" s="4">
        <v>30960000</v>
      </c>
    </row>
    <row r="128" spans="1:5">
      <c r="A128" s="3" t="s">
        <v>37</v>
      </c>
      <c r="B128" s="3">
        <v>2026</v>
      </c>
      <c r="C128" s="3" t="s">
        <v>218</v>
      </c>
      <c r="D128" s="3" t="s">
        <v>215</v>
      </c>
      <c r="E128" s="4">
        <v>112015000</v>
      </c>
    </row>
    <row r="129" spans="1:5">
      <c r="A129" s="3" t="s">
        <v>37</v>
      </c>
      <c r="B129" s="3">
        <v>2026</v>
      </c>
      <c r="C129" s="3" t="s">
        <v>218</v>
      </c>
      <c r="D129" s="3" t="s">
        <v>216</v>
      </c>
      <c r="E129" s="4">
        <v>114271036</v>
      </c>
    </row>
    <row r="130" spans="1:5">
      <c r="A130" s="3" t="s">
        <v>37</v>
      </c>
      <c r="B130" s="3">
        <v>2026</v>
      </c>
      <c r="C130" s="3" t="s">
        <v>218</v>
      </c>
      <c r="D130" s="3" t="s">
        <v>217</v>
      </c>
      <c r="E130" s="4">
        <v>39557895</v>
      </c>
    </row>
    <row r="131" spans="1:5">
      <c r="A131" s="3" t="s">
        <v>37</v>
      </c>
      <c r="B131" s="3">
        <v>2026</v>
      </c>
      <c r="C131" s="3" t="s">
        <v>69</v>
      </c>
      <c r="D131" s="3" t="s">
        <v>214</v>
      </c>
      <c r="E131" s="4">
        <v>0</v>
      </c>
    </row>
    <row r="132" spans="1:5">
      <c r="A132" s="3" t="s">
        <v>37</v>
      </c>
      <c r="B132" s="3">
        <v>2026</v>
      </c>
      <c r="C132" s="3" t="s">
        <v>219</v>
      </c>
      <c r="D132" s="3" t="s">
        <v>46</v>
      </c>
      <c r="E132" s="4">
        <v>246133333</v>
      </c>
    </row>
    <row r="133" spans="1:5">
      <c r="A133" s="3" t="s">
        <v>37</v>
      </c>
      <c r="B133" s="3">
        <v>2026</v>
      </c>
      <c r="C133" s="3" t="s">
        <v>219</v>
      </c>
      <c r="D133" s="3" t="s">
        <v>214</v>
      </c>
      <c r="E133" s="4">
        <v>0</v>
      </c>
    </row>
    <row r="134" spans="1:5">
      <c r="A134" s="3" t="s">
        <v>37</v>
      </c>
      <c r="B134" s="3">
        <v>2026</v>
      </c>
      <c r="C134" s="3" t="s">
        <v>219</v>
      </c>
      <c r="D134" s="3" t="s">
        <v>215</v>
      </c>
      <c r="E134" s="4">
        <v>17200000</v>
      </c>
    </row>
    <row r="135" spans="1:5">
      <c r="A135" s="3" t="s">
        <v>37</v>
      </c>
      <c r="B135" s="3">
        <v>2026</v>
      </c>
      <c r="C135" s="3" t="s">
        <v>219</v>
      </c>
      <c r="D135" s="3" t="s">
        <v>216</v>
      </c>
      <c r="E135" s="4">
        <v>23700000</v>
      </c>
    </row>
    <row r="136" spans="1:5">
      <c r="A136" s="3" t="s">
        <v>37</v>
      </c>
      <c r="B136" s="3">
        <v>2026</v>
      </c>
      <c r="C136" s="3" t="s">
        <v>220</v>
      </c>
      <c r="D136" s="3" t="s">
        <v>46</v>
      </c>
      <c r="E136" s="4">
        <v>70566265</v>
      </c>
    </row>
    <row r="137" spans="1:5">
      <c r="A137" s="3" t="s">
        <v>37</v>
      </c>
      <c r="B137" s="3">
        <v>2026</v>
      </c>
      <c r="C137" s="3" t="s">
        <v>220</v>
      </c>
      <c r="D137" s="3" t="s">
        <v>214</v>
      </c>
      <c r="E137" s="4">
        <v>10513514</v>
      </c>
    </row>
    <row r="138" spans="1:5">
      <c r="A138" s="3" t="s">
        <v>37</v>
      </c>
      <c r="B138" s="3">
        <v>2026</v>
      </c>
      <c r="C138" s="3" t="s">
        <v>220</v>
      </c>
      <c r="D138" s="3" t="s">
        <v>215</v>
      </c>
      <c r="E138" s="4">
        <v>25900901</v>
      </c>
    </row>
    <row r="139" spans="1:5">
      <c r="A139" s="3" t="s">
        <v>37</v>
      </c>
      <c r="B139" s="3">
        <v>2026</v>
      </c>
      <c r="C139" s="3" t="s">
        <v>220</v>
      </c>
      <c r="D139" s="3" t="s">
        <v>216</v>
      </c>
      <c r="E139" s="4">
        <v>100243237</v>
      </c>
    </row>
    <row r="140" spans="1:5">
      <c r="A140" s="3" t="s">
        <v>37</v>
      </c>
      <c r="B140" s="3">
        <v>2026</v>
      </c>
      <c r="C140" s="3" t="s">
        <v>220</v>
      </c>
      <c r="D140" s="3" t="s">
        <v>217</v>
      </c>
      <c r="E140" s="4">
        <v>5263158</v>
      </c>
    </row>
  </sheetData>
  <autoFilter xmlns:etc="http://www.wps.cn/officeDocument/2017/etCustomData" ref="A1:E1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Facebook, Instagram, Tiktok, X</vt:lpstr>
      <vt:lpstr>Recap Youtube</vt:lpstr>
      <vt:lpstr>Source Revenue Youtube</vt:lpstr>
      <vt:lpstr>Competitor Youtube</vt:lpstr>
      <vt:lpstr>Revenue Direct Sales Socmed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REKADAYA 2</dc:creator>
  <cp:lastModifiedBy>Inggil Wastu</cp:lastModifiedBy>
  <dcterms:created xsi:type="dcterms:W3CDTF">2026-06-05T01:19:00Z</dcterms:created>
  <dcterms:modified xsi:type="dcterms:W3CDTF">2026-08-18T12:14:13Z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5536873C9E1047148A40960A44C7269A_12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